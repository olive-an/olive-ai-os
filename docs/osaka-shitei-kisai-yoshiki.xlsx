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sheets/sheet16.xml" ContentType="application/vnd.openxmlformats-officedocument.spreadsheetml.worksheet+xml"/>
  <Override PartName="/xl/comments/comment15.xml" ContentType="application/vnd.openxmlformats-officedocument.spreadsheetml.comments+xml"/>
  <Override PartName="/xl/worksheets/sheet17.xml" ContentType="application/vnd.openxmlformats-officedocument.spreadsheetml.worksheet+xml"/>
  <Override PartName="/xl/comments/comment16.xml" ContentType="application/vnd.openxmlformats-officedocument.spreadsheetml.comments+xml"/>
  <Override PartName="/xl/worksheets/sheet18.xml" ContentType="application/vnd.openxmlformats-officedocument.spreadsheetml.worksheet+xml"/>
  <Override PartName="/xl/comments/comment17.xml" ContentType="application/vnd.openxmlformats-officedocument.spreadsheetml.comments+xml"/>
  <Override PartName="/xl/worksheets/sheet19.xml" ContentType="application/vnd.openxmlformats-officedocument.spreadsheetml.worksheet+xml"/>
  <Override PartName="/xl/comments/comment18.xml" ContentType="application/vnd.openxmlformats-officedocument.spreadsheetml.comments+xml"/>
  <Override PartName="/xl/worksheets/sheet20.xml" ContentType="application/vnd.openxmlformats-officedocument.spreadsheetml.worksheet+xml"/>
  <Override PartName="/xl/comments/comment19.xml" ContentType="application/vnd.openxmlformats-officedocument.spreadsheetml.comments+xml"/>
  <Override PartName="/xl/worksheets/sheet21.xml" ContentType="application/vnd.openxmlformats-officedocument.spreadsheetml.worksheet+xml"/>
  <Override PartName="/xl/comments/comment20.xml" ContentType="application/vnd.openxmlformats-officedocument.spreadsheetml.comments+xml"/>
  <Override PartName="/xl/worksheets/sheet22.xml" ContentType="application/vnd.openxmlformats-officedocument.spreadsheetml.worksheet+xml"/>
  <Override PartName="/xl/comments/comment21.xml" ContentType="application/vnd.openxmlformats-officedocument.spreadsheetml.comments+xml"/>
  <Override PartName="/xl/worksheets/sheet23.xml" ContentType="application/vnd.openxmlformats-officedocument.spreadsheetml.worksheet+xml"/>
  <Override PartName="/xl/comments/comment22.xml" ContentType="application/vnd.openxmlformats-officedocument.spreadsheetml.comments+xml"/>
  <Override PartName="/xl/worksheets/sheet24.xml" ContentType="application/vnd.openxmlformats-officedocument.spreadsheetml.worksheet+xml"/>
  <Override PartName="/xl/comments/comment23.xml" ContentType="application/vnd.openxmlformats-officedocument.spreadsheetml.comments+xml"/>
  <Override PartName="/xl/worksheets/sheet25.xml" ContentType="application/vnd.openxmlformats-officedocument.spreadsheetml.worksheet+xml"/>
  <Override PartName="/xl/comments/comment24.xml" ContentType="application/vnd.openxmlformats-officedocument.spreadsheetml.comments+xml"/>
  <Override PartName="/xl/worksheets/sheet26.xml" ContentType="application/vnd.openxmlformats-officedocument.spreadsheetml.worksheet+xml"/>
  <Override PartName="/xl/comments/comment25.xml" ContentType="application/vnd.openxmlformats-officedocument.spreadsheetml.comments+xml"/>
  <Override PartName="/xl/worksheets/sheet27.xml" ContentType="application/vnd.openxmlformats-officedocument.spreadsheetml.worksheet+xml"/>
  <Override PartName="/xl/comments/comment26.xml" ContentType="application/vnd.openxmlformats-officedocument.spreadsheetml.comments+xml"/>
  <Override PartName="/xl/worksheets/sheet28.xml" ContentType="application/vnd.openxmlformats-officedocument.spreadsheetml.worksheet+xml"/>
  <Override PartName="/xl/comments/comment27.xml" ContentType="application/vnd.openxmlformats-officedocument.spreadsheetml.comments+xml"/>
  <Override PartName="/xl/worksheets/sheet29.xml" ContentType="application/vnd.openxmlformats-officedocument.spreadsheetml.worksheet+xml"/>
  <Override PartName="/xl/comments/comment28.xml" ContentType="application/vnd.openxmlformats-officedocument.spreadsheetml.comments+xml"/>
  <Override PartName="/xl/worksheets/sheet30.xml" ContentType="application/vnd.openxmlformats-officedocument.spreadsheetml.worksheet+xml"/>
  <Override PartName="/xl/comments/comment29.xml" ContentType="application/vnd.openxmlformats-officedocument.spreadsheetml.comments+xml"/>
  <Override PartName="/xl/worksheets/sheet31.xml" ContentType="application/vnd.openxmlformats-officedocument.spreadsheetml.worksheet+xml"/>
  <Override PartName="/xl/comments/comment30.xml" ContentType="application/vnd.openxmlformats-officedocument.spreadsheetml.comments+xml"/>
  <Override PartName="/xl/worksheets/sheet32.xml" ContentType="application/vnd.openxmlformats-officedocument.spreadsheetml.worksheet+xml"/>
  <Override PartName="/xl/comments/comment31.xml" ContentType="application/vnd.openxmlformats-officedocument.spreadsheetml.comments+xml"/>
  <Override PartName="/xl/worksheets/sheet33.xml" ContentType="application/vnd.openxmlformats-officedocument.spreadsheetml.worksheet+xml"/>
  <Override PartName="/xl/comments/comment32.xml" ContentType="application/vnd.openxmlformats-officedocument.spreadsheetml.comments+xml"/>
  <Override PartName="/xl/worksheets/sheet34.xml" ContentType="application/vnd.openxmlformats-officedocument.spreadsheetml.worksheet+xml"/>
  <Override PartName="/xl/comments/comment33.xml" ContentType="application/vnd.openxmlformats-officedocument.spreadsheetml.comments+xml"/>
  <Override PartName="/xl/worksheets/sheet35.xml" ContentType="application/vnd.openxmlformats-officedocument.spreadsheetml.worksheet+xml"/>
  <Override PartName="/xl/comments/comment34.xml" ContentType="application/vnd.openxmlformats-officedocument.spreadsheetml.comments+xml"/>
  <Override PartName="/xl/worksheets/sheet36.xml" ContentType="application/vnd.openxmlformats-officedocument.spreadsheetml.worksheet+xml"/>
  <Override PartName="/xl/comments/comment35.xml" ContentType="application/vnd.openxmlformats-officedocument.spreadsheetml.comments+xml"/>
  <Override PartName="/xl/worksheets/sheet37.xml" ContentType="application/vnd.openxmlformats-officedocument.spreadsheetml.worksheet+xml"/>
  <Override PartName="/xl/comments/comment36.xml" ContentType="application/vnd.openxmlformats-officedocument.spreadsheetml.comments+xml"/>
  <Override PartName="/xl/worksheets/sheet38.xml" ContentType="application/vnd.openxmlformats-officedocument.spreadsheetml.worksheet+xml"/>
  <Override PartName="/xl/comments/comment37.xml" ContentType="application/vnd.openxmlformats-officedocument.spreadsheetml.comments+xml"/>
  <Override PartName="/xl/worksheets/sheet39.xml" ContentType="application/vnd.openxmlformats-officedocument.spreadsheetml.worksheet+xml"/>
  <Override PartName="/xl/comments/comment38.xml" ContentType="application/vnd.openxmlformats-officedocument.spreadsheetml.comments+xml"/>
  <Override PartName="/xl/worksheets/sheet40.xml" ContentType="application/vnd.openxmlformats-officedocument.spreadsheetml.worksheet+xml"/>
  <Override PartName="/xl/comments/comment39.xml" ContentType="application/vnd.openxmlformats-officedocument.spreadsheetml.comments+xml"/>
  <Override PartName="/xl/worksheets/sheet41.xml" ContentType="application/vnd.openxmlformats-officedocument.spreadsheetml.worksheet+xml"/>
  <Override PartName="/xl/comments/comment40.xml" ContentType="application/vnd.openxmlformats-officedocument.spreadsheetml.comments+xml"/>
  <Override PartName="/xl/worksheets/sheet42.xml" ContentType="application/vnd.openxmlformats-officedocument.spreadsheetml.worksheet+xml"/>
  <Override PartName="/xl/worksheets/sheet43.xml" ContentType="application/vnd.openxmlformats-officedocument.spreadsheetml.worksheet+xml"/>
  <Override PartName="/xl/comments/comment41.xml" ContentType="application/vnd.openxmlformats-officedocument.spreadsheetml.comments+xml"/>
  <Override PartName="/xl/worksheets/sheet44.xml" ContentType="application/vnd.openxmlformats-officedocument.spreadsheetml.worksheet+xml"/>
  <Override PartName="/xl/comments/comment42.xml" ContentType="application/vnd.openxmlformats-officedocument.spreadsheetml.comments+xml"/>
  <Override PartName="/xl/worksheets/sheet45.xml" ContentType="application/vnd.openxmlformats-officedocument.spreadsheetml.worksheet+xml"/>
  <Override PartName="/xl/comments/comment43.xml" ContentType="application/vnd.openxmlformats-officedocument.spreadsheetml.comments+xml"/>
  <Override PartName="/xl/worksheets/sheet46.xml" ContentType="application/vnd.openxmlformats-officedocument.spreadsheetml.worksheet+xml"/>
  <Override PartName="/xl/worksheets/sheet47.xml" ContentType="application/vnd.openxmlformats-officedocument.spreadsheetml.worksheet+xml"/>
  <Override PartName="/xl/comments/comment44.xml" ContentType="application/vnd.openxmlformats-officedocument.spreadsheetml.comments+xml"/>
  <Override PartName="/xl/worksheets/sheet4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目次" sheetId="1" state="visible" r:id="rId1"/>
    <sheet xmlns:r="http://schemas.openxmlformats.org/officeDocument/2006/relationships" name="付表1(居宅・重訪・同行・行動）" sheetId="2" state="visible" r:id="rId2"/>
    <sheet xmlns:r="http://schemas.openxmlformats.org/officeDocument/2006/relationships" name="付表1【記入例】" sheetId="3" state="visible" r:id="rId3"/>
    <sheet xmlns:r="http://schemas.openxmlformats.org/officeDocument/2006/relationships" name="付表2（重度包括）" sheetId="4" state="visible" r:id="rId4"/>
    <sheet xmlns:r="http://schemas.openxmlformats.org/officeDocument/2006/relationships" name="付表2【記入例】" sheetId="5" state="visible" r:id="rId5"/>
    <sheet xmlns:r="http://schemas.openxmlformats.org/officeDocument/2006/relationships" name="付表3（相談支援）" sheetId="6" state="visible" r:id="rId6"/>
    <sheet xmlns:r="http://schemas.openxmlformats.org/officeDocument/2006/relationships" name="付表3　【記入例】" sheetId="7" state="visible" r:id="rId7"/>
    <sheet xmlns:r="http://schemas.openxmlformats.org/officeDocument/2006/relationships" name="付表4（療養)" sheetId="8" state="visible" r:id="rId8"/>
    <sheet xmlns:r="http://schemas.openxmlformats.org/officeDocument/2006/relationships" name="付表5（生介）" sheetId="9" state="visible" r:id="rId9"/>
    <sheet xmlns:r="http://schemas.openxmlformats.org/officeDocument/2006/relationships" name="付表5【記入例】" sheetId="10" state="visible" r:id="rId10"/>
    <sheet xmlns:r="http://schemas.openxmlformats.org/officeDocument/2006/relationships" name="付表6（機能）" sheetId="11" state="visible" r:id="rId11"/>
    <sheet xmlns:r="http://schemas.openxmlformats.org/officeDocument/2006/relationships" name="付表7（生訓）" sheetId="12" state="visible" r:id="rId12"/>
    <sheet xmlns:r="http://schemas.openxmlformats.org/officeDocument/2006/relationships" name="付表8（就移）" sheetId="13" state="visible" r:id="rId13"/>
    <sheet xmlns:r="http://schemas.openxmlformats.org/officeDocument/2006/relationships" name="付表9（就継）" sheetId="14" state="visible" r:id="rId14"/>
    <sheet xmlns:r="http://schemas.openxmlformats.org/officeDocument/2006/relationships" name="付表10（従たる） " sheetId="15" state="visible" r:id="rId15"/>
    <sheet xmlns:r="http://schemas.openxmlformats.org/officeDocument/2006/relationships" name="付表10【記入例】" sheetId="16" state="visible" r:id="rId16"/>
    <sheet xmlns:r="http://schemas.openxmlformats.org/officeDocument/2006/relationships" name="付表11（多機能型）" sheetId="17" state="visible" r:id="rId17"/>
    <sheet xmlns:r="http://schemas.openxmlformats.org/officeDocument/2006/relationships" name="付表11【記入例】" sheetId="18" state="visible" r:id="rId18"/>
    <sheet xmlns:r="http://schemas.openxmlformats.org/officeDocument/2006/relationships" name="付表12（短期）" sheetId="19" state="visible" r:id="rId19"/>
    <sheet xmlns:r="http://schemas.openxmlformats.org/officeDocument/2006/relationships" name="付表12【記入例】" sheetId="20" state="visible" r:id="rId20"/>
    <sheet xmlns:r="http://schemas.openxmlformats.org/officeDocument/2006/relationships" name="付表13（GH)" sheetId="21" state="visible" r:id="rId21"/>
    <sheet xmlns:r="http://schemas.openxmlformats.org/officeDocument/2006/relationships" name="付表13【記入例】" sheetId="22" state="visible" r:id="rId22"/>
    <sheet xmlns:r="http://schemas.openxmlformats.org/officeDocument/2006/relationships" name="付表13（その２）" sheetId="23" state="visible" r:id="rId23"/>
    <sheet xmlns:r="http://schemas.openxmlformats.org/officeDocument/2006/relationships" name="付表13（その２）【記入例】" sheetId="24" state="visible" r:id="rId24"/>
    <sheet xmlns:r="http://schemas.openxmlformats.org/officeDocument/2006/relationships" name="付表13（その３）" sheetId="25" state="visible" r:id="rId25"/>
    <sheet xmlns:r="http://schemas.openxmlformats.org/officeDocument/2006/relationships" name="付表13の2（居宅利用型）" sheetId="26" state="visible" r:id="rId26"/>
    <sheet xmlns:r="http://schemas.openxmlformats.org/officeDocument/2006/relationships" name="付表14(入所）" sheetId="27" state="visible" r:id="rId27"/>
    <sheet xmlns:r="http://schemas.openxmlformats.org/officeDocument/2006/relationships" name="付表14【記入例】" sheetId="28" state="visible" r:id="rId28"/>
    <sheet xmlns:r="http://schemas.openxmlformats.org/officeDocument/2006/relationships" name="付表14の2" sheetId="29" state="visible" r:id="rId29"/>
    <sheet xmlns:r="http://schemas.openxmlformats.org/officeDocument/2006/relationships" name="付表14の2【記入例】" sheetId="30" state="visible" r:id="rId30"/>
    <sheet xmlns:r="http://schemas.openxmlformats.org/officeDocument/2006/relationships" name="付表14の3" sheetId="31" state="visible" r:id="rId31"/>
    <sheet xmlns:r="http://schemas.openxmlformats.org/officeDocument/2006/relationships" name="付表１5・16（放課後・児童） " sheetId="32" state="visible" r:id="rId32"/>
    <sheet xmlns:r="http://schemas.openxmlformats.org/officeDocument/2006/relationships" name="付表１5・16（放課後・児童）  (記入例)" sheetId="33" state="visible" r:id="rId33"/>
    <sheet xmlns:r="http://schemas.openxmlformats.org/officeDocument/2006/relationships" name="付表17（福祉型センタ）" sheetId="34" state="visible" r:id="rId34"/>
    <sheet xmlns:r="http://schemas.openxmlformats.org/officeDocument/2006/relationships" name="付表18（医療型センタ）" sheetId="35" state="visible" r:id="rId35"/>
    <sheet xmlns:r="http://schemas.openxmlformats.org/officeDocument/2006/relationships" name="付表19（保育所等訪問）" sheetId="36" state="visible" r:id="rId36"/>
    <sheet xmlns:r="http://schemas.openxmlformats.org/officeDocument/2006/relationships" name="付表20（福祉型入所）" sheetId="37" state="visible" r:id="rId37"/>
    <sheet xmlns:r="http://schemas.openxmlformats.org/officeDocument/2006/relationships" name="付表21（医療型入所）" sheetId="38" state="visible" r:id="rId38"/>
    <sheet xmlns:r="http://schemas.openxmlformats.org/officeDocument/2006/relationships" name="付表22（児多機能）" sheetId="39" state="visible" r:id="rId39"/>
    <sheet xmlns:r="http://schemas.openxmlformats.org/officeDocument/2006/relationships" name="付表23" sheetId="40" state="visible" r:id="rId40"/>
    <sheet xmlns:r="http://schemas.openxmlformats.org/officeDocument/2006/relationships" name="付表23【記入例】" sheetId="41" state="visible" r:id="rId41"/>
    <sheet xmlns:r="http://schemas.openxmlformats.org/officeDocument/2006/relationships" name="付表23の２" sheetId="42" state="visible" r:id="rId42"/>
    <sheet xmlns:r="http://schemas.openxmlformats.org/officeDocument/2006/relationships" name="付表23の３" sheetId="43" state="visible" r:id="rId43"/>
    <sheet xmlns:r="http://schemas.openxmlformats.org/officeDocument/2006/relationships" name="付表24" sheetId="44" state="visible" r:id="rId44"/>
    <sheet xmlns:r="http://schemas.openxmlformats.org/officeDocument/2006/relationships" name="付表24【記入例】" sheetId="45" state="visible" r:id="rId45"/>
    <sheet xmlns:r="http://schemas.openxmlformats.org/officeDocument/2006/relationships" name="付表25" sheetId="46" state="visible" r:id="rId46"/>
    <sheet xmlns:r="http://schemas.openxmlformats.org/officeDocument/2006/relationships" name="付表26" sheetId="47" state="visible" r:id="rId47"/>
    <sheet xmlns:r="http://schemas.openxmlformats.org/officeDocument/2006/relationships" name="付表26【記入例】" sheetId="48" state="visible" r:id="rId48"/>
  </sheets>
  <definedNames>
    <definedName name="_xlnm.Print_Area" localSheetId="0">'目次'!$A$1:$B$48</definedName>
    <definedName name="_xlnm.Print_Area" localSheetId="1">'付表1(居宅・重訪・同行・行動）'!$A$1:$AH$55</definedName>
    <definedName name="_xlnm.Print_Area" localSheetId="2">'付表1【記入例】'!$A$1:$AH$55</definedName>
    <definedName name="_xlnm.Print_Area" localSheetId="3">'付表2（重度包括）'!$A$1:$AH$65</definedName>
    <definedName name="_xlnm.Print_Area" localSheetId="4">'付表2【記入例】'!$A$1:$AH$65</definedName>
    <definedName name="_xlnm.Print_Area" localSheetId="5">'付表3（相談支援）'!$A$1:$AH$70</definedName>
    <definedName name="_xlnm.Print_Area" localSheetId="6">'付表3　【記入例】'!$A$1:$AH$70</definedName>
    <definedName name="_xlnm.Print_Area" localSheetId="7">'付表4（療養)'!$A$1:$AH$80</definedName>
    <definedName name="_xlnm.Print_Area" localSheetId="8">'付表5（生介）'!$A$1:$AH$104</definedName>
    <definedName name="_xlnm.Print_Area" localSheetId="9">'付表5【記入例】'!$A$1:$AH$101</definedName>
    <definedName name="_xlnm.Print_Area" localSheetId="10">'付表6（機能）'!$A$1:$AH$107</definedName>
    <definedName name="_xlnm.Print_Area" localSheetId="11">'付表7（生訓）'!$A$1:$AH$101</definedName>
    <definedName name="_xlnm.Print_Area" localSheetId="12">'付表8（就移）'!$A$1:$AH$92</definedName>
    <definedName name="_xlnm.Print_Area" localSheetId="13">'付表9（就継）'!$A$1:$AH$92</definedName>
    <definedName name="_xlnm.Print_Area" localSheetId="14">'付表10（従たる） '!$A$1:$AH$73</definedName>
    <definedName name="_xlnm.Print_Area" localSheetId="15">'付表10【記入例】'!$A$1:$AH$73</definedName>
    <definedName name="_xlnm.Print_Area" localSheetId="16">'付表11（多機能型）'!$A$1:$AH$64</definedName>
    <definedName name="_xlnm.Print_Area" localSheetId="17">'付表11【記入例】'!$A$1:$AH$63</definedName>
    <definedName name="_xlnm.Print_Area" localSheetId="18">'付表12（短期）'!$A$1:$AH$96</definedName>
    <definedName name="_xlnm.Print_Area" localSheetId="19">'付表12【記入例】'!$A$1:$AH$96</definedName>
    <definedName name="_xlnm.Print_Area" localSheetId="20">'付表13（GH)'!$A$1:$AH$68</definedName>
    <definedName name="_xlnm.Print_Area" localSheetId="21">'付表13【記入例】'!$A$1:$AH$68</definedName>
    <definedName name="_xlnm.Print_Area" localSheetId="22">'付表13（その２）'!$A$1:$AH$61</definedName>
    <definedName name="_xlnm.Print_Area" localSheetId="23">'付表13（その２）【記入例】'!$A$1:$AH$61</definedName>
    <definedName name="_xlnm.Print_Area" localSheetId="24">'付表13（その３）'!$A$1:$AH$59</definedName>
    <definedName name="_xlnm.Print_Area" localSheetId="25">'付表13の2（居宅利用型）'!$A$1:$AH$74</definedName>
    <definedName name="_xlnm.Print_Area" localSheetId="26">'付表14(入所）'!$A$1:$AH$79</definedName>
    <definedName name="_xlnm.Print_Area" localSheetId="27">'付表14【記入例】'!$A$1:$AH$79</definedName>
    <definedName name="_xlnm.Print_Area" localSheetId="28">'付表14の2'!$A$1:$AH$79</definedName>
    <definedName name="_xlnm.Print_Area" localSheetId="29">'付表14の2【記入例】'!$A$1:$AH$79</definedName>
    <definedName name="_xlnm.Print_Area" localSheetId="30">'付表14の3'!$A$1:$AH$56</definedName>
    <definedName name="_xlnm.Print_Area" localSheetId="31">'付表１5・16（放課後・児童） '!$A$1:$AH$127</definedName>
    <definedName name="_xlnm.Print_Area" localSheetId="32">'付表１5・16（放課後・児童）  (記入例)'!$A$1:$AH$127</definedName>
    <definedName name="_xlnm.Print_Area" localSheetId="33">'付表17（福祉型センタ）'!$A$1:$Q$63</definedName>
    <definedName name="_xlnm.Print_Area" localSheetId="34">'付表18（医療型センタ）'!$A$1:$Q$63</definedName>
    <definedName name="_xlnm.Print_Area" localSheetId="35">'付表19（保育所等訪問）'!$A$1:$Q$43</definedName>
    <definedName name="_xlnm.Print_Area" localSheetId="36">'付表20（福祉型入所）'!$A$1:$Q$66</definedName>
    <definedName name="_xlnm.Print_Area" localSheetId="37">'付表21（医療型入所）'!$A$1:$Q$61</definedName>
    <definedName name="_xlnm.Print_Area" localSheetId="38">'付表22（児多機能）'!$A$1:$U$106</definedName>
    <definedName name="_xlnm.Print_Area" localSheetId="39">'付表23'!$A$1:$AH$97</definedName>
    <definedName name="_xlnm.Print_Area" localSheetId="40">'付表23【記入例】'!$A$1:$AH$102</definedName>
    <definedName name="_xlnm.Print_Area" localSheetId="41">'付表23の２'!$A$1:$J$41</definedName>
    <definedName name="_xlnm.Print_Area" localSheetId="42">'付表23の３'!$A$1:$J$28</definedName>
    <definedName name="_xlnm.Print_Area" localSheetId="43">'付表24'!$A$1:$AH$94</definedName>
    <definedName name="_xlnm.Print_Area" localSheetId="44">'付表24【記入例】'!$A$1:$AH$94</definedName>
    <definedName name="_xlnm.Print_Area" localSheetId="45">'付表25'!$A$1:$AH$87</definedName>
    <definedName name="_xlnm.Print_Area" localSheetId="46">'付表26'!$A$1:$AH$74</definedName>
    <definedName name="_xlnm.Print_Area" localSheetId="47">'付表26【記入例】'!$A$1:$AH$74</definedName>
  </definedNames>
  <calcPr calcId="191029" fullCalcOnLoad="1"/>
</workbook>
</file>

<file path=xl/styles.xml><?xml version="1.0" encoding="utf-8"?>
<styleSheet xmlns="http://schemas.openxmlformats.org/spreadsheetml/2006/main">
  <numFmts count="11">
    <numFmt numFmtId="164" formatCode="0.0_ "/>
    <numFmt numFmtId="165" formatCode="0_);[Red]\(0\)"/>
    <numFmt numFmtId="166" formatCode="0.0_);[Red]\(0.0\)"/>
    <numFmt numFmtId="167" formatCode="0_ "/>
    <numFmt numFmtId="168" formatCode="0_);\(0\)"/>
    <numFmt numFmtId="169" formatCode="0.0_);\(0.0\)"/>
    <numFmt numFmtId="170" formatCode="#,##0_);[Red]\(#,##0\)"/>
    <numFmt numFmtId="171" formatCode="#,##0.0_);[Red]\(#,##0.0\)"/>
    <numFmt numFmtId="172" formatCode="#,##0_ "/>
    <numFmt numFmtId="173" formatCode="0.00_ "/>
    <numFmt numFmtId="174" formatCode="&quot;¥&quot;#,##0;[Red]&quot;¥&quot;\-#,##0"/>
  </numFmts>
  <fonts count="107">
    <font>
      <name val="ＭＳ Ｐゴシック"/>
      <charset val="128"/>
      <family val="3"/>
      <sz val="11"/>
    </font>
    <font>
      <name val="ＭＳ Ｐゴシック"/>
      <charset val="128"/>
      <family val="3"/>
      <color indexed="8"/>
      <sz val="11"/>
    </font>
    <font>
      <name val="ＭＳ Ｐゴシック"/>
      <charset val="128"/>
      <family val="3"/>
      <color indexed="9"/>
      <sz val="11"/>
    </font>
    <font>
      <name val="ＭＳ Ｐゴシック"/>
      <charset val="128"/>
      <family val="3"/>
      <b val="1"/>
      <color indexed="56"/>
      <sz val="18"/>
    </font>
    <font>
      <name val="ＭＳ Ｐゴシック"/>
      <charset val="128"/>
      <family val="3"/>
      <b val="1"/>
      <color indexed="9"/>
      <sz val="11"/>
    </font>
    <font>
      <name val="ＭＳ Ｐゴシック"/>
      <charset val="128"/>
      <family val="3"/>
      <color indexed="60"/>
      <sz val="11"/>
    </font>
    <font>
      <name val="ＭＳ Ｐゴシック"/>
      <charset val="128"/>
      <family val="3"/>
      <sz val="11"/>
    </font>
    <font>
      <name val="ＭＳ Ｐゴシック"/>
      <charset val="128"/>
      <family val="3"/>
      <color indexed="52"/>
      <sz val="11"/>
    </font>
    <font>
      <name val="ＭＳ Ｐゴシック"/>
      <charset val="128"/>
      <family val="3"/>
      <color indexed="20"/>
      <sz val="11"/>
    </font>
    <font>
      <name val="ＭＳ Ｐゴシック"/>
      <charset val="128"/>
      <family val="3"/>
      <b val="1"/>
      <color indexed="52"/>
      <sz val="11"/>
    </font>
    <font>
      <name val="ＭＳ Ｐゴシック"/>
      <charset val="128"/>
      <family val="3"/>
      <color indexed="10"/>
      <sz val="11"/>
    </font>
    <font>
      <name val="ＭＳ Ｐゴシック"/>
      <charset val="128"/>
      <family val="3"/>
      <b val="1"/>
      <color indexed="56"/>
      <sz val="15"/>
    </font>
    <font>
      <name val="ＭＳ Ｐゴシック"/>
      <charset val="128"/>
      <family val="3"/>
      <b val="1"/>
      <color indexed="56"/>
      <sz val="13"/>
    </font>
    <font>
      <name val="ＭＳ Ｐゴシック"/>
      <charset val="128"/>
      <family val="3"/>
      <b val="1"/>
      <color indexed="56"/>
      <sz val="11"/>
    </font>
    <font>
      <name val="ＭＳ Ｐゴシック"/>
      <charset val="128"/>
      <family val="3"/>
      <b val="1"/>
      <color indexed="8"/>
      <sz val="11"/>
    </font>
    <font>
      <name val="ＭＳ Ｐゴシック"/>
      <charset val="128"/>
      <family val="3"/>
      <b val="1"/>
      <color indexed="63"/>
      <sz val="11"/>
    </font>
    <font>
      <name val="ＭＳ Ｐゴシック"/>
      <charset val="128"/>
      <family val="3"/>
      <i val="1"/>
      <color indexed="23"/>
      <sz val="11"/>
    </font>
    <font>
      <name val="ＭＳ Ｐゴシック"/>
      <charset val="128"/>
      <family val="3"/>
      <color indexed="62"/>
      <sz val="11"/>
    </font>
    <font>
      <name val="ＭＳ Ｐゴシック"/>
      <charset val="128"/>
      <family val="3"/>
      <color indexed="17"/>
      <sz val="11"/>
    </font>
    <font>
      <name val="ＭＳ Ｐゴシック"/>
      <charset val="128"/>
      <family val="3"/>
      <sz val="6"/>
    </font>
    <font>
      <name val="ＭＳ 明朝"/>
      <charset val="128"/>
      <family val="1"/>
      <sz val="12"/>
    </font>
    <font>
      <name val="ＭＳ 明朝"/>
      <charset val="128"/>
      <family val="1"/>
      <sz val="10"/>
    </font>
    <font>
      <name val="ＭＳ 明朝"/>
      <charset val="128"/>
      <family val="1"/>
      <sz val="8"/>
    </font>
    <font>
      <name val="ＭＳ 明朝"/>
      <charset val="128"/>
      <family val="1"/>
      <sz val="9"/>
    </font>
    <font>
      <name val="ＭＳ 明朝"/>
      <charset val="128"/>
      <family val="1"/>
      <color indexed="12"/>
      <sz val="10"/>
    </font>
    <font>
      <name val="ＭＳ 明朝"/>
      <charset val="128"/>
      <family val="1"/>
      <sz val="7"/>
    </font>
    <font>
      <name val="ＭＳ ゴシック"/>
      <charset val="128"/>
      <family val="3"/>
      <b val="1"/>
      <color indexed="10"/>
      <sz val="9"/>
    </font>
    <font>
      <name val="ＭＳ Ｐゴシック"/>
      <charset val="128"/>
      <family val="3"/>
      <b val="1"/>
      <color indexed="81"/>
      <sz val="9"/>
    </font>
    <font>
      <name val="ＭＳ Ｐゴシック"/>
      <charset val="128"/>
      <family val="3"/>
      <color indexed="81"/>
      <sz val="9"/>
    </font>
    <font>
      <name val="ＭＳ 明朝"/>
      <charset val="128"/>
      <family val="1"/>
      <sz val="6"/>
    </font>
    <font>
      <name val="ＭＳ 明朝"/>
      <charset val="128"/>
      <family val="1"/>
      <sz val="11"/>
    </font>
    <font>
      <name val="ＭＳ 明朝"/>
      <charset val="128"/>
      <family val="1"/>
      <color indexed="8"/>
      <sz val="10"/>
    </font>
    <font>
      <name val="ＭＳ 明朝"/>
      <charset val="128"/>
      <family val="1"/>
      <color rgb="FF0000FF"/>
      <sz val="10"/>
    </font>
    <font>
      <name val="ＭＳ 明朝"/>
      <charset val="128"/>
      <family val="1"/>
      <color rgb="FF0000FF"/>
      <sz val="9"/>
    </font>
    <font>
      <name val="ＭＳ 明朝"/>
      <charset val="128"/>
      <family val="1"/>
      <color rgb="FF0000FF"/>
      <sz val="12"/>
    </font>
    <font>
      <name val="ＭＳ 明朝"/>
      <charset val="128"/>
      <family val="1"/>
      <color rgb="FF0000FF"/>
      <sz val="11"/>
    </font>
    <font>
      <name val="ＭＳ 明朝"/>
      <charset val="128"/>
      <family val="1"/>
      <color rgb="FF0000FF"/>
      <sz val="8"/>
    </font>
    <font>
      <name val="ＭＳ Ｐゴシック"/>
      <charset val="128"/>
      <family val="3"/>
      <color rgb="FF0000FF"/>
      <sz val="11"/>
    </font>
    <font>
      <name val="ＭＳ ゴシック"/>
      <charset val="128"/>
      <family val="3"/>
      <sz val="11"/>
    </font>
    <font>
      <name val="ＭＳ Ｐゴシック"/>
      <charset val="128"/>
      <family val="3"/>
      <sz val="10"/>
    </font>
    <font>
      <name val="ＭＳ ゴシック"/>
      <charset val="128"/>
      <family val="3"/>
      <sz val="10"/>
    </font>
    <font>
      <name val="ＭＳ 明朝"/>
      <charset val="128"/>
      <family val="1"/>
      <sz val="14"/>
    </font>
    <font>
      <name val="ＭＳ ゴシック"/>
      <charset val="128"/>
      <family val="3"/>
      <sz val="12"/>
    </font>
    <font>
      <name val="ＭＳ ゴシック"/>
      <charset val="128"/>
      <family val="3"/>
      <sz val="9"/>
    </font>
    <font>
      <name val="ＭＳ ゴシック"/>
      <charset val="128"/>
      <family val="3"/>
      <sz val="8"/>
    </font>
    <font>
      <name val="ＭＳ 明朝"/>
      <charset val="128"/>
      <family val="1"/>
      <color indexed="12"/>
      <sz val="14"/>
    </font>
    <font>
      <name val="ＭＳ ゴシック"/>
      <charset val="128"/>
      <family val="3"/>
      <color rgb="FF0000FF"/>
      <sz val="11"/>
    </font>
    <font>
      <name val="ＭＳ 明朝"/>
      <charset val="128"/>
      <family val="1"/>
      <color indexed="12"/>
      <sz val="9"/>
    </font>
    <font>
      <name val="ＭＳ 明朝"/>
      <charset val="128"/>
      <family val="1"/>
      <color indexed="12"/>
      <sz val="8"/>
    </font>
    <font>
      <name val="ＭＳ Ｐ明朝"/>
      <charset val="128"/>
      <family val="1"/>
      <color indexed="12"/>
      <sz val="10"/>
    </font>
    <font>
      <name val="ＭＳ 明朝"/>
      <charset val="128"/>
      <family val="1"/>
      <color indexed="12"/>
      <sz val="7"/>
    </font>
    <font>
      <name val="ＭＳ ゴシック"/>
      <charset val="128"/>
      <family val="3"/>
      <sz val="7"/>
    </font>
    <font>
      <name val="ＭＳ ゴシック"/>
      <charset val="128"/>
      <family val="3"/>
      <sz val="6"/>
    </font>
    <font>
      <name val="ＭＳ Ｐゴシック"/>
      <charset val="128"/>
      <family val="3"/>
      <b val="1"/>
      <color indexed="10"/>
      <sz val="9"/>
    </font>
    <font>
      <name val="ＭＳ 明朝"/>
      <charset val="128"/>
      <family val="1"/>
      <color rgb="FF002060"/>
      <sz val="10"/>
    </font>
    <font>
      <name val="ＭＳ ゴシック"/>
      <charset val="128"/>
      <family val="3"/>
      <color indexed="12"/>
      <sz val="10"/>
    </font>
    <font>
      <name val="ＭＳ 明朝"/>
      <charset val="128"/>
      <family val="1"/>
      <color indexed="12"/>
      <sz val="12"/>
    </font>
    <font>
      <name val="ＭＳ 明朝"/>
      <charset val="128"/>
      <family val="1"/>
      <color indexed="18"/>
      <sz val="10"/>
    </font>
    <font>
      <name val="ＭＳ ゴシック"/>
      <charset val="128"/>
      <family val="3"/>
      <color indexed="18"/>
      <sz val="10"/>
    </font>
    <font>
      <name val="ＭＳ Ｐゴシック"/>
      <charset val="128"/>
      <family val="3"/>
      <sz val="9"/>
    </font>
    <font>
      <name val="ＭＳ Ｐゴシック"/>
      <charset val="128"/>
      <family val="3"/>
      <sz val="8"/>
    </font>
    <font>
      <name val="ＭＳ 明朝"/>
      <charset val="128"/>
      <family val="1"/>
      <color indexed="18"/>
      <sz val="9"/>
    </font>
    <font>
      <name val="ＭＳ 明朝"/>
      <charset val="128"/>
      <family val="1"/>
      <color theme="3"/>
      <sz val="10"/>
    </font>
    <font>
      <name val="ＭＳ Ｐゴシック"/>
      <charset val="128"/>
      <family val="3"/>
      <b val="1"/>
      <sz val="11"/>
    </font>
    <font>
      <name val="ＭＳ 明朝"/>
      <charset val="128"/>
      <family val="1"/>
      <color rgb="FF0000FF"/>
      <sz val="14"/>
    </font>
    <font>
      <name val="ＭＳ ゴシック"/>
      <charset val="128"/>
      <family val="3"/>
      <color indexed="18"/>
      <sz val="9"/>
    </font>
    <font>
      <name val="ＭＳ Ｐ明朝"/>
      <charset val="128"/>
      <family val="1"/>
      <sz val="9"/>
    </font>
    <font>
      <name val="ＭＳ Ｐ明朝"/>
      <charset val="128"/>
      <family val="1"/>
      <color indexed="18"/>
      <sz val="9"/>
    </font>
    <font>
      <name val="ＭＳ 明朝"/>
      <charset val="128"/>
      <family val="1"/>
      <color indexed="18"/>
      <sz val="12"/>
    </font>
    <font>
      <name val="ＭＳ 明朝"/>
      <charset val="128"/>
      <family val="1"/>
      <color theme="4" tint="-0.499984740745262"/>
      <sz val="10"/>
    </font>
    <font>
      <name val="ＭＳ ゴシック"/>
      <charset val="128"/>
      <family val="3"/>
      <sz val="7.5"/>
    </font>
    <font>
      <name val="ＭＳ Ｐゴシック"/>
      <charset val="128"/>
      <family val="3"/>
      <color rgb="FF0000FF"/>
      <sz val="10"/>
    </font>
    <font>
      <name val="ＭＳ Ｐゴシック"/>
      <charset val="128"/>
      <family val="3"/>
      <color indexed="12"/>
      <sz val="11"/>
    </font>
    <font>
      <name val="ＭＳ 明朝"/>
      <charset val="128"/>
      <family val="1"/>
      <color indexed="12"/>
      <sz val="11"/>
    </font>
    <font>
      <name val="ＭＳ ゴシック"/>
      <charset val="128"/>
      <family val="3"/>
      <sz val="10.5"/>
    </font>
    <font>
      <name val="ＭＳ Ｐゴシック"/>
      <charset val="128"/>
      <family val="3"/>
      <sz val="12"/>
    </font>
    <font>
      <name val="ＭＳ 明朝"/>
      <charset val="128"/>
      <family val="1"/>
      <color indexed="62"/>
      <sz val="14"/>
    </font>
    <font>
      <name val="ＭＳ 明朝"/>
      <charset val="128"/>
      <family val="1"/>
      <color indexed="62"/>
      <sz val="9"/>
    </font>
    <font>
      <name val="ＭＳ 明朝"/>
      <charset val="128"/>
      <family val="1"/>
      <color indexed="62"/>
      <sz val="12"/>
    </font>
    <font>
      <name val="ＭＳ 明朝"/>
      <charset val="128"/>
      <family val="1"/>
      <color indexed="62"/>
      <sz val="10"/>
    </font>
    <font>
      <name val="ＭＳ 明朝"/>
      <charset val="128"/>
      <family val="1"/>
      <color indexed="62"/>
      <sz val="8"/>
    </font>
    <font>
      <name val="ＭＳ ゴシック"/>
      <charset val="128"/>
      <family val="3"/>
      <color indexed="62"/>
      <sz val="10"/>
    </font>
    <font>
      <name val="ＭＳ Ｐゴシック"/>
      <charset val="128"/>
      <family val="3"/>
      <color indexed="62"/>
      <sz val="10"/>
    </font>
    <font>
      <name val="ＭＳ Ｐゴシック"/>
      <charset val="128"/>
      <family val="3"/>
      <sz val="5"/>
    </font>
    <font>
      <name val="ＭＳ Ｐゴシック"/>
      <charset val="128"/>
      <family val="3"/>
      <sz val="10.5"/>
    </font>
    <font>
      <name val="ＭＳ Ｐゴシック"/>
      <charset val="128"/>
      <family val="3"/>
      <sz val="7"/>
    </font>
    <font>
      <name val="ＭＳ Ｐゴシック"/>
      <charset val="128"/>
      <family val="3"/>
      <color indexed="13"/>
      <sz val="9"/>
    </font>
    <font>
      <name val="ＭＳ ゴシック"/>
      <charset val="128"/>
      <family val="3"/>
      <color theme="1"/>
      <sz val="11"/>
    </font>
    <font>
      <name val="ＭＳ 明朝"/>
      <charset val="128"/>
      <family val="1"/>
      <b val="1"/>
      <sz val="10"/>
    </font>
    <font>
      <name val="ＭＳ ゴシック"/>
      <charset val="128"/>
      <family val="3"/>
      <b val="1"/>
      <color indexed="10"/>
      <sz val="8"/>
    </font>
    <font>
      <name val="ＭＳ Ｐゴシック"/>
      <charset val="128"/>
      <family val="3"/>
      <color theme="10"/>
      <sz val="11"/>
      <u val="single"/>
    </font>
    <font>
      <name val="ＭＳ 明朝"/>
      <charset val="128"/>
      <family val="1"/>
      <b val="1"/>
      <color indexed="12"/>
      <sz val="10"/>
    </font>
    <font>
      <name val="ＭＳ ゴシック"/>
      <charset val="128"/>
      <family val="3"/>
      <b val="1"/>
      <sz val="10"/>
    </font>
    <font>
      <name val="ＭＳ Ｐゴシック"/>
      <charset val="128"/>
      <family val="3"/>
      <color rgb="FF0000FF"/>
      <sz val="11"/>
      <u val="single"/>
    </font>
    <font>
      <name val="ＭＳ Ｐゴシック"/>
      <charset val="128"/>
      <family val="3"/>
      <color rgb="FF0000CC"/>
      <sz val="9"/>
    </font>
    <font>
      <name val="ＭＳ 明朝"/>
      <charset val="128"/>
      <family val="1"/>
      <color rgb="FF0000CC"/>
      <sz val="10"/>
    </font>
    <font>
      <name val="ＭＳ Ｐゴシック"/>
      <charset val="128"/>
      <family val="3"/>
      <color indexed="10"/>
      <sz val="9"/>
    </font>
    <font>
      <name val="ＭＳ Ｐゴシック"/>
      <charset val="128"/>
      <family val="3"/>
      <color theme="1"/>
      <sz val="11"/>
      <scheme val="minor"/>
    </font>
    <font>
      <name val="ＭＳ Ｐゴシック"/>
      <charset val="128"/>
      <family val="3"/>
      <color theme="1"/>
      <sz val="12"/>
      <scheme val="minor"/>
    </font>
    <font>
      <name val="ＭＳ ゴシック"/>
      <charset val="128"/>
      <family val="3"/>
      <color indexed="8"/>
      <sz val="11"/>
    </font>
    <font>
      <name val="ＭＳ ゴシック"/>
      <charset val="128"/>
      <family val="3"/>
      <b val="1"/>
      <sz val="11"/>
    </font>
    <font>
      <name val="ＭＳ ゴシック"/>
      <charset val="128"/>
      <family val="3"/>
      <color theme="1"/>
      <sz val="9"/>
    </font>
    <font>
      <name val="ＭＳ Ｐゴシック"/>
      <charset val="128"/>
      <family val="3"/>
      <sz val="14"/>
    </font>
    <font>
      <name val="ＭＳ Ｐゴシック"/>
      <charset val="128"/>
      <family val="3"/>
      <color theme="10"/>
      <sz val="14"/>
      <u val="single"/>
    </font>
    <font>
      <name val="Source Code Pro"/>
      <family val="2"/>
      <color rgb="FF0070C0"/>
      <sz val="20"/>
    </font>
    <font>
      <name val="Source Code Pro"/>
      <family val="3"/>
      <b val="1"/>
      <color rgb="FF0070C0"/>
      <sz val="20"/>
    </font>
    <font>
      <name val="Source Code Pro"/>
      <family val="2"/>
      <color rgb="FF0070C0"/>
      <sz val="22"/>
    </font>
  </fonts>
  <fills count="31">
    <fill>
      <patternFill/>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43"/>
        <bgColor indexed="64"/>
      </patternFill>
    </fill>
    <fill>
      <patternFill patternType="solid">
        <fgColor indexed="65"/>
        <bgColor indexed="64"/>
      </patternFill>
    </fill>
    <fill>
      <patternFill patternType="solid">
        <fgColor rgb="FFFFFF99"/>
        <bgColor indexed="64"/>
      </patternFill>
    </fill>
    <fill>
      <patternFill patternType="solid">
        <fgColor indexed="26"/>
        <bgColor indexed="64"/>
      </patternFill>
    </fill>
    <fill>
      <patternFill patternType="solid">
        <fgColor indexed="22"/>
        <bgColor indexed="64"/>
      </patternFill>
    </fill>
    <fill>
      <patternFill patternType="solid">
        <fgColor theme="9" tint="0.5999938962981048"/>
        <bgColor indexed="64"/>
      </patternFill>
    </fill>
    <fill>
      <patternFill patternType="solid">
        <fgColor rgb="FFFFFF00"/>
        <bgColor indexed="64"/>
      </patternFill>
    </fill>
  </fills>
  <borders count="345">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tted">
        <color indexed="64"/>
      </left>
      <right style="dotted">
        <color indexed="64"/>
      </right>
      <top style="medium">
        <color indexed="64"/>
      </top>
      <bottom/>
      <diagonal/>
    </border>
    <border>
      <left style="dotted">
        <color indexed="64"/>
      </left>
      <right style="dotted">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dotted">
        <color indexed="64"/>
      </top>
      <bottom style="thin">
        <color indexed="64"/>
      </bottom>
      <diagonal/>
    </border>
    <border>
      <left style="thin">
        <color indexed="64"/>
      </left>
      <right style="medium">
        <color indexed="64"/>
      </right>
      <top style="dotted">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medium">
        <color indexed="64"/>
      </left>
      <right/>
      <top style="thin">
        <color indexed="64"/>
      </top>
      <bottom/>
      <diagonal/>
    </border>
    <border>
      <left style="medium">
        <color indexed="64"/>
      </left>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right style="medium">
        <color indexed="64"/>
      </right>
      <top/>
      <bottom style="thin">
        <color indexed="64"/>
      </bottom>
      <diagonal/>
    </border>
    <border diagonalUp="1" diagonalDown="1">
      <left style="thin">
        <color indexed="64"/>
      </left>
      <right/>
      <top style="thin">
        <color indexed="64"/>
      </top>
      <bottom/>
      <diagonal style="thin">
        <color indexed="64"/>
      </diagonal>
    </border>
    <border diagonalUp="1" diagonalDown="1">
      <left/>
      <right/>
      <top style="thin">
        <color indexed="64"/>
      </top>
      <bottom/>
      <diagonal style="thin">
        <color indexed="64"/>
      </diagonal>
    </border>
    <border diagonalUp="1" diagonalDown="1">
      <left/>
      <right style="medium">
        <color indexed="64"/>
      </right>
      <top style="thin">
        <color indexed="64"/>
      </top>
      <bottom/>
      <diagonal style="thin">
        <color indexed="64"/>
      </diagonal>
    </border>
    <border diagonalUp="1" diagonalDown="1">
      <left style="thin">
        <color indexed="64"/>
      </left>
      <right/>
      <top/>
      <bottom/>
      <diagonal style="thin">
        <color indexed="64"/>
      </diagonal>
    </border>
    <border diagonalUp="1" diagonalDown="1">
      <left/>
      <right/>
      <top/>
      <bottom/>
      <diagonal style="thin">
        <color indexed="64"/>
      </diagonal>
    </border>
    <border diagonalUp="1" diagonalDown="1">
      <left/>
      <right style="medium">
        <color indexed="64"/>
      </right>
      <top/>
      <bottom/>
      <diagonal style="thin">
        <color indexed="64"/>
      </diagonal>
    </border>
    <border diagonalUp="1" diagonalDown="1">
      <left style="thin">
        <color indexed="64"/>
      </left>
      <right/>
      <top/>
      <bottom style="thin">
        <color indexed="64"/>
      </bottom>
      <diagonal style="thin">
        <color indexed="64"/>
      </diagonal>
    </border>
    <border diagonalUp="1" diagonalDown="1">
      <left/>
      <right/>
      <top/>
      <bottom style="thin">
        <color indexed="64"/>
      </bottom>
      <diagonal style="thin">
        <color indexed="64"/>
      </diagonal>
    </border>
    <border diagonalUp="1" diagonalDown="1">
      <left/>
      <right style="medium">
        <color indexed="64"/>
      </right>
      <top/>
      <bottom style="thin">
        <color indexed="64"/>
      </bottom>
      <diagonal style="thin">
        <color indexed="64"/>
      </diagonal>
    </border>
    <border diagonalUp="1" diagonalDown="1">
      <left/>
      <right style="thin">
        <color indexed="64"/>
      </right>
      <top style="thin">
        <color indexed="64"/>
      </top>
      <bottom/>
      <diagonal style="thin">
        <color indexed="64"/>
      </diagonal>
    </border>
    <border diagonalUp="1" diagonalDown="1">
      <left/>
      <right style="thin">
        <color indexed="64"/>
      </right>
      <top/>
      <bottom style="thin">
        <color indexed="64"/>
      </bottom>
      <diagonal style="thin">
        <color indexed="64"/>
      </diagonal>
    </border>
    <border>
      <left style="medium">
        <color indexed="64"/>
      </left>
      <right/>
      <top style="thin">
        <color indexed="64"/>
      </top>
      <bottom style="thin">
        <color indexed="64"/>
      </bottom>
      <diagonal/>
    </border>
    <border>
      <left style="dotted">
        <color indexed="64"/>
      </left>
      <right style="medium">
        <color indexed="64"/>
      </right>
      <top style="medium">
        <color indexed="64"/>
      </top>
      <bottom/>
      <diagonal/>
    </border>
    <border>
      <left style="dotted">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rgb="FF0000FF"/>
      </left>
      <right/>
      <top style="thin">
        <color rgb="FF0000FF"/>
      </top>
      <bottom style="thin">
        <color rgb="FF0000FF"/>
      </bottom>
      <diagonal/>
    </border>
    <border>
      <left/>
      <right/>
      <top style="thin">
        <color rgb="FF0000FF"/>
      </top>
      <bottom style="thin">
        <color rgb="FF0000FF"/>
      </bottom>
      <diagonal/>
    </border>
    <border>
      <left/>
      <right style="thin">
        <color rgb="FF0000FF"/>
      </right>
      <top style="thin">
        <color rgb="FF0000FF"/>
      </top>
      <bottom style="thin">
        <color rgb="FF0000FF"/>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style="dotted">
        <color indexed="64"/>
      </right>
      <top/>
      <bottom/>
      <diagonal/>
    </border>
    <border>
      <left style="dotted">
        <color indexed="64"/>
      </left>
      <right style="dotted">
        <color indexed="64"/>
      </right>
      <top/>
      <bottom/>
      <diagonal/>
    </border>
    <border>
      <left style="dotted">
        <color indexed="64"/>
      </left>
      <right style="thin">
        <color indexed="64"/>
      </right>
      <top/>
      <bottom/>
      <diagonal/>
    </border>
    <border>
      <left style="thin">
        <color indexed="64"/>
      </left>
      <right style="dotted">
        <color indexed="64"/>
      </right>
      <top/>
      <bottom style="thin">
        <color indexed="64"/>
      </bottom>
      <diagonal/>
    </border>
    <border>
      <left style="dotted">
        <color indexed="64"/>
      </left>
      <right style="dotted">
        <color indexed="64"/>
      </right>
      <top/>
      <bottom style="thin">
        <color indexed="64"/>
      </bottom>
      <diagonal/>
    </border>
    <border>
      <left style="dotted">
        <color indexed="64"/>
      </left>
      <right style="thin">
        <color indexed="64"/>
      </right>
      <top/>
      <bottom style="thin">
        <color indexed="64"/>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dotted">
        <color indexed="64"/>
      </left>
      <right style="medium">
        <color indexed="64"/>
      </right>
      <top style="thin">
        <color indexed="64"/>
      </top>
      <bottom style="dotted">
        <color indexed="64"/>
      </bottom>
      <diagonal/>
    </border>
    <border>
      <left style="dotted">
        <color indexed="64"/>
      </left>
      <right style="medium">
        <color indexed="64"/>
      </right>
      <top style="thin">
        <color indexed="64"/>
      </top>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thin">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medium">
        <color indexed="64"/>
      </right>
      <top/>
      <bottom style="dotted">
        <color indexed="64"/>
      </bottom>
      <diagonal/>
    </border>
    <border>
      <left style="medium">
        <color indexed="64"/>
      </left>
      <right style="thin">
        <color indexed="64"/>
      </right>
      <top style="thin">
        <color indexed="64"/>
      </top>
      <bottom/>
      <diagonal/>
    </border>
    <border>
      <left/>
      <right style="dashed">
        <color indexed="64"/>
      </right>
      <top style="thin">
        <color indexed="64"/>
      </top>
      <bottom style="thin">
        <color indexed="64"/>
      </bottom>
      <diagonal/>
    </border>
    <border>
      <left style="dashed">
        <color indexed="64"/>
      </left>
      <right/>
      <top style="thin">
        <color indexed="64"/>
      </top>
      <bottom style="thin">
        <color indexed="64"/>
      </bottom>
      <diagonal/>
    </border>
    <border>
      <left style="medium">
        <color indexed="64"/>
      </left>
      <right style="thin">
        <color indexed="64"/>
      </right>
      <top/>
      <bottom/>
      <diagonal/>
    </border>
    <border>
      <left/>
      <right style="dashed">
        <color indexed="64"/>
      </right>
      <top style="thin">
        <color indexed="64"/>
      </top>
      <bottom/>
      <diagonal/>
    </border>
    <border>
      <left style="dashed">
        <color indexed="64"/>
      </left>
      <right/>
      <top style="thin">
        <color indexed="64"/>
      </top>
      <bottom/>
      <diagonal/>
    </border>
    <border>
      <left/>
      <right style="dashed">
        <color indexed="64"/>
      </right>
      <top/>
      <bottom/>
      <diagonal/>
    </border>
    <border>
      <left style="dashed">
        <color indexed="64"/>
      </left>
      <right/>
      <top/>
      <bottom/>
      <diagonal/>
    </border>
    <border>
      <left/>
      <right style="dashed">
        <color indexed="64"/>
      </right>
      <top/>
      <bottom style="thin">
        <color indexed="64"/>
      </bottom>
      <diagonal/>
    </border>
    <border>
      <left style="dashed">
        <color indexed="64"/>
      </left>
      <right/>
      <top/>
      <bottom style="thin">
        <color indexed="64"/>
      </bottom>
      <diagonal/>
    </border>
    <border>
      <left style="thin">
        <color indexed="64"/>
      </left>
      <right/>
      <top style="thin">
        <color indexed="64"/>
      </top>
      <bottom style="medium">
        <color indexed="64"/>
      </bottom>
      <diagonal/>
    </border>
    <border>
      <left style="thin">
        <color indexed="12"/>
      </left>
      <right style="thin">
        <color indexed="12"/>
      </right>
      <top style="thin">
        <color indexed="12"/>
      </top>
      <bottom style="thin">
        <color indexed="12"/>
      </bottom>
      <diagonal/>
    </border>
    <border>
      <left/>
      <right style="dotted">
        <color indexed="64"/>
      </right>
      <top style="thin">
        <color indexed="64"/>
      </top>
      <bottom style="thin">
        <color indexed="64"/>
      </bottom>
      <diagonal/>
    </border>
    <border>
      <left style="dotted">
        <color indexed="64"/>
      </left>
      <right/>
      <top style="thin">
        <color indexed="64"/>
      </top>
      <bottom style="thin">
        <color indexed="64"/>
      </bottom>
      <diagonal/>
    </border>
    <border>
      <left/>
      <right style="dotted">
        <color indexed="64"/>
      </right>
      <top style="thin">
        <color indexed="64"/>
      </top>
      <bottom style="dotted">
        <color indexed="64"/>
      </bottom>
      <diagonal/>
    </border>
    <border>
      <left style="dotted">
        <color indexed="64"/>
      </left>
      <right/>
      <top style="thin">
        <color indexed="64"/>
      </top>
      <bottom style="dotted">
        <color indexed="64"/>
      </bottom>
      <diagonal/>
    </border>
    <border>
      <left/>
      <right style="medium">
        <color indexed="64"/>
      </right>
      <top style="thin">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right style="dotted">
        <color indexed="64"/>
      </right>
      <top style="dotted">
        <color indexed="64"/>
      </top>
      <bottom style="thin">
        <color indexed="64"/>
      </bottom>
      <diagonal/>
    </border>
    <border>
      <left style="dotted">
        <color indexed="64"/>
      </left>
      <right/>
      <top style="dotted">
        <color indexed="64"/>
      </top>
      <bottom style="thin">
        <color indexed="64"/>
      </bottom>
      <diagonal/>
    </border>
    <border>
      <left/>
      <right style="medium">
        <color indexed="64"/>
      </right>
      <top style="dotted">
        <color indexed="64"/>
      </top>
      <bottom style="thin">
        <color indexed="64"/>
      </bottom>
      <diagonal/>
    </border>
    <border>
      <left style="thin">
        <color indexed="12"/>
      </left>
      <right/>
      <top style="thin">
        <color indexed="12"/>
      </top>
      <bottom style="thin">
        <color indexed="12"/>
      </bottom>
      <diagonal/>
    </border>
    <border>
      <left/>
      <right/>
      <top style="thin">
        <color indexed="12"/>
      </top>
      <bottom style="thin">
        <color indexed="12"/>
      </bottom>
      <diagonal/>
    </border>
    <border>
      <left/>
      <right style="thin">
        <color indexed="12"/>
      </right>
      <top style="thin">
        <color indexed="12"/>
      </top>
      <bottom style="thin">
        <color indexed="12"/>
      </bottom>
      <diagonal/>
    </border>
    <border>
      <left style="thin">
        <color indexed="64"/>
      </left>
      <right style="medium">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dotted">
        <color indexed="64"/>
      </left>
      <right/>
      <top/>
      <bottom style="thin">
        <color indexed="64"/>
      </bottom>
      <diagonal/>
    </border>
    <border>
      <left style="dashed">
        <color indexed="64"/>
      </left>
      <right style="thin">
        <color indexed="64"/>
      </right>
      <top/>
      <bottom style="thin">
        <color indexed="64"/>
      </bottom>
      <diagonal/>
    </border>
    <border>
      <left style="dashed">
        <color indexed="64"/>
      </left>
      <right style="dashed">
        <color indexed="64"/>
      </right>
      <top/>
      <bottom style="thin">
        <color indexed="64"/>
      </bottom>
      <diagonal/>
    </border>
    <border>
      <left style="thin">
        <color indexed="64"/>
      </left>
      <right style="dashed">
        <color indexed="64"/>
      </right>
      <top/>
      <bottom style="thin">
        <color indexed="64"/>
      </bottom>
      <diagonal/>
    </border>
    <border>
      <left style="dotted">
        <color indexed="64"/>
      </left>
      <right/>
      <top/>
      <bottom/>
      <diagonal/>
    </border>
    <border>
      <left style="dashed">
        <color indexed="64"/>
      </left>
      <right style="thin">
        <color indexed="64"/>
      </right>
      <top style="thin">
        <color indexed="64"/>
      </top>
      <bottom/>
      <diagonal/>
    </border>
    <border>
      <left style="dashed">
        <color indexed="64"/>
      </left>
      <right style="dashed">
        <color indexed="64"/>
      </right>
      <top style="thin">
        <color indexed="64"/>
      </top>
      <bottom/>
      <diagonal/>
    </border>
    <border>
      <left style="thin">
        <color indexed="64"/>
      </left>
      <right style="dashed">
        <color indexed="64"/>
      </right>
      <top style="thin">
        <color indexed="64"/>
      </top>
      <bottom/>
      <diagonal/>
    </border>
    <border>
      <left style="dotted">
        <color indexed="64"/>
      </left>
      <right/>
      <top style="thin">
        <color indexed="64"/>
      </top>
      <bottom/>
      <diagonal/>
    </border>
    <border>
      <left style="dashed">
        <color indexed="64"/>
      </left>
      <right style="thin">
        <color indexed="64"/>
      </right>
      <top style="thin">
        <color indexed="64"/>
      </top>
      <bottom style="thin">
        <color indexed="64"/>
      </bottom>
      <diagonal/>
    </border>
    <border>
      <left style="dashed">
        <color indexed="64"/>
      </left>
      <right style="dashed">
        <color indexed="64"/>
      </right>
      <top style="thin">
        <color indexed="64"/>
      </top>
      <bottom style="thin">
        <color indexed="64"/>
      </bottom>
      <diagonal/>
    </border>
    <border>
      <left style="thin">
        <color indexed="64"/>
      </left>
      <right style="dashed">
        <color indexed="64"/>
      </right>
      <top style="thin">
        <color indexed="64"/>
      </top>
      <bottom style="thin">
        <color indexed="64"/>
      </bottom>
      <diagonal/>
    </border>
    <border>
      <left/>
      <right style="dotted">
        <color indexed="64"/>
      </right>
      <top/>
      <bottom style="thin">
        <color indexed="64"/>
      </bottom>
      <diagonal/>
    </border>
    <border>
      <left/>
      <right style="dotted">
        <color indexed="64"/>
      </right>
      <top/>
      <bottom/>
      <diagonal/>
    </border>
    <border>
      <left/>
      <right style="medium">
        <color indexed="64"/>
      </right>
      <top style="dotted">
        <color indexed="64"/>
      </top>
      <bottom/>
      <diagonal/>
    </border>
    <border>
      <left/>
      <right/>
      <top style="dotted">
        <color indexed="64"/>
      </top>
      <bottom/>
      <diagonal/>
    </border>
    <border>
      <left style="dotted">
        <color indexed="64"/>
      </left>
      <right/>
      <top style="dotted">
        <color indexed="64"/>
      </top>
      <bottom/>
      <diagonal/>
    </border>
    <border>
      <left/>
      <right style="dotted">
        <color indexed="64"/>
      </right>
      <top style="dotted">
        <color indexed="64"/>
      </top>
      <bottom/>
      <diagonal/>
    </border>
    <border>
      <left style="thin">
        <color indexed="64"/>
      </left>
      <right/>
      <top style="dotted">
        <color indexed="64"/>
      </top>
      <bottom/>
      <diagonal/>
    </border>
    <border>
      <left/>
      <right style="medium">
        <color indexed="64"/>
      </right>
      <top/>
      <bottom style="dotted">
        <color indexed="64"/>
      </bottom>
      <diagonal/>
    </border>
    <border>
      <left style="dotted">
        <color indexed="64"/>
      </left>
      <right/>
      <top/>
      <bottom style="dotted">
        <color indexed="64"/>
      </bottom>
      <diagonal/>
    </border>
    <border>
      <left/>
      <right style="dotted">
        <color indexed="64"/>
      </right>
      <top/>
      <bottom style="dotted">
        <color indexed="64"/>
      </bottom>
      <diagonal/>
    </border>
    <border>
      <left/>
      <right style="dotted">
        <color indexed="64"/>
      </right>
      <top style="thin">
        <color indexed="64"/>
      </top>
      <bottom/>
      <diagonal/>
    </border>
    <border diagonalDown="1">
      <left/>
      <right style="thin">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medium">
        <color indexed="12"/>
      </left>
      <right style="medium">
        <color indexed="12"/>
      </right>
      <top style="medium">
        <color indexed="12"/>
      </top>
      <bottom style="medium">
        <color indexed="12"/>
      </bottom>
      <diagonal/>
    </border>
    <border>
      <left style="thin">
        <color indexed="64"/>
      </left>
      <right/>
      <top/>
      <bottom style="dashed">
        <color indexed="64"/>
      </bottom>
      <diagonal/>
    </border>
    <border>
      <left/>
      <right/>
      <top/>
      <bottom style="dashed">
        <color indexed="64"/>
      </bottom>
      <diagonal/>
    </border>
    <border>
      <left/>
      <right style="thin">
        <color indexed="64"/>
      </right>
      <top/>
      <bottom style="dashed">
        <color indexed="64"/>
      </bottom>
      <diagonal/>
    </border>
    <border>
      <left/>
      <right style="medium">
        <color indexed="64"/>
      </right>
      <top/>
      <bottom style="dashed">
        <color indexed="64"/>
      </bottom>
      <diagonal/>
    </border>
    <border>
      <left style="thin">
        <color indexed="64"/>
      </left>
      <right/>
      <top style="dashed">
        <color indexed="64"/>
      </top>
      <bottom/>
      <diagonal/>
    </border>
    <border>
      <left/>
      <right/>
      <top style="dashed">
        <color indexed="64"/>
      </top>
      <bottom/>
      <diagonal/>
    </border>
    <border>
      <left/>
      <right style="thin">
        <color indexed="64"/>
      </right>
      <top style="dashed">
        <color indexed="64"/>
      </top>
      <bottom/>
      <diagonal/>
    </border>
    <border>
      <left/>
      <right style="medium">
        <color indexed="64"/>
      </right>
      <top style="dashed">
        <color indexed="64"/>
      </top>
      <bottom/>
      <diagonal/>
    </border>
    <border>
      <left style="dotted">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dashed">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double">
        <color indexed="64"/>
      </top>
      <bottom/>
      <diagonal style="thin">
        <color indexed="64"/>
      </diagonal>
    </border>
    <border diagonalDown="1">
      <left/>
      <right/>
      <top style="double">
        <color indexed="64"/>
      </top>
      <bottom/>
      <diagonal style="thin">
        <color indexed="64"/>
      </diagonal>
    </border>
    <border diagonalDown="1">
      <left/>
      <right style="thin">
        <color indexed="64"/>
      </right>
      <top style="double">
        <color indexed="64"/>
      </top>
      <bottom/>
      <diagonal style="thin">
        <color indexed="64"/>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top style="double">
        <color indexed="64"/>
      </top>
      <bottom/>
      <diagonal/>
    </border>
    <border>
      <left/>
      <right style="medium">
        <color indexed="64"/>
      </right>
      <top style="double">
        <color indexed="64"/>
      </top>
      <bottom/>
      <diagonal/>
    </border>
    <border diagonalDown="1">
      <left style="thin">
        <color indexed="64"/>
      </left>
      <right/>
      <top/>
      <bottom/>
      <diagonal style="thin">
        <color indexed="64"/>
      </diagonal>
    </border>
    <border diagonalDown="1">
      <left/>
      <right/>
      <top/>
      <bottom/>
      <diagonal style="thin">
        <color indexed="64"/>
      </diagonal>
    </border>
    <border diagonalDown="1">
      <left/>
      <right style="thin">
        <color indexed="64"/>
      </right>
      <top/>
      <bottom/>
      <diagonal style="thin">
        <color indexed="64"/>
      </diagonal>
    </border>
    <border>
      <left style="dotted">
        <color indexed="64"/>
      </left>
      <right style="medium">
        <color indexed="64"/>
      </right>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dashed">
        <color indexed="64"/>
      </right>
      <top style="medium">
        <color indexed="64"/>
      </top>
      <bottom style="thin">
        <color indexed="64"/>
      </bottom>
      <diagonal/>
    </border>
    <border>
      <left style="dashed">
        <color indexed="64"/>
      </left>
      <right style="dashed">
        <color indexed="64"/>
      </right>
      <top style="medium">
        <color indexed="64"/>
      </top>
      <bottom style="thin">
        <color indexed="64"/>
      </bottom>
      <diagonal/>
    </border>
    <border>
      <left style="dashed">
        <color indexed="64"/>
      </left>
      <right style="thin">
        <color indexed="64"/>
      </right>
      <top style="medium">
        <color indexed="64"/>
      </top>
      <bottom style="thin">
        <color indexed="64"/>
      </bottom>
      <diagonal/>
    </border>
    <border>
      <left style="thin">
        <color indexed="64"/>
      </left>
      <right style="dotted">
        <color indexed="64"/>
      </right>
      <top style="medium">
        <color indexed="64"/>
      </top>
      <bottom style="medium">
        <color indexed="64"/>
      </bottom>
      <diagonal/>
    </border>
    <border>
      <left style="dotted">
        <color indexed="64"/>
      </left>
      <right/>
      <top style="medium">
        <color indexed="64"/>
      </top>
      <bottom/>
      <diagonal/>
    </border>
    <border>
      <left style="thin">
        <color indexed="64"/>
      </left>
      <right style="dashed">
        <color indexed="64"/>
      </right>
      <top style="medium">
        <color indexed="64"/>
      </top>
      <bottom/>
      <diagonal/>
    </border>
    <border>
      <left style="thin">
        <color indexed="64"/>
      </left>
      <right style="dashed">
        <color indexed="64"/>
      </right>
      <top/>
      <bottom/>
      <diagonal/>
    </border>
    <border>
      <left style="thin">
        <color indexed="64"/>
      </left>
      <right style="dotted">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dashed">
        <color indexed="64"/>
      </bottom>
      <diagonal/>
    </border>
    <border>
      <left/>
      <right style="medium">
        <color indexed="64"/>
      </right>
      <top style="double">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style="dotted">
        <color indexed="64"/>
      </right>
      <top style="thin">
        <color indexed="64"/>
      </top>
      <bottom style="medium">
        <color indexed="64"/>
      </bottom>
      <diagonal/>
    </border>
    <border>
      <left style="thin">
        <color indexed="12"/>
      </left>
      <right style="thin">
        <color indexed="12"/>
      </right>
      <top style="thin">
        <color indexed="12"/>
      </top>
      <bottom/>
      <diagonal/>
    </border>
    <border>
      <left style="thin">
        <color indexed="12"/>
      </left>
      <right style="thin">
        <color indexed="12"/>
      </right>
      <top/>
      <bottom style="thin">
        <color indexed="12"/>
      </bottom>
      <diagonal/>
    </border>
    <border>
      <left style="thin">
        <color rgb="FF0000FF"/>
      </left>
      <right style="thin">
        <color rgb="FF0000FF"/>
      </right>
      <top style="thin">
        <color rgb="FF0000FF"/>
      </top>
      <bottom style="thin">
        <color rgb="FF0000FF"/>
      </bottom>
      <diagonal/>
    </border>
    <border>
      <left style="thin">
        <color indexed="64"/>
      </left>
      <right style="thin">
        <color indexed="64"/>
      </right>
      <top style="dashed">
        <color indexed="64"/>
      </top>
      <bottom style="dashed">
        <color indexed="64"/>
      </bottom>
      <diagonal/>
    </border>
    <border>
      <left style="thin">
        <color indexed="64"/>
      </left>
      <right style="medium">
        <color indexed="64"/>
      </right>
      <top style="dashed">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right style="medium">
        <color indexed="64"/>
      </right>
      <top style="dashed">
        <color indexed="64"/>
      </top>
      <bottom style="thin">
        <color indexed="64"/>
      </bottom>
      <diagonal/>
    </border>
    <border>
      <left style="dotted">
        <color indexed="64"/>
      </left>
      <right/>
      <top style="medium">
        <color indexed="64"/>
      </top>
      <bottom style="medium">
        <color indexed="64"/>
      </bottom>
      <diagonal/>
    </border>
    <border>
      <left style="dotted">
        <color indexed="64"/>
      </left>
      <right/>
      <top style="medium">
        <color indexed="64"/>
      </top>
      <bottom style="thin">
        <color indexed="64"/>
      </bottom>
      <diagonal/>
    </border>
    <border>
      <left style="dashed">
        <color indexed="64"/>
      </left>
      <right/>
      <top style="thin">
        <color indexed="64"/>
      </top>
      <bottom style="dashed">
        <color indexed="64"/>
      </bottom>
      <diagonal/>
    </border>
    <border>
      <left/>
      <right/>
      <top style="thin">
        <color indexed="64"/>
      </top>
      <bottom style="dashed">
        <color indexed="64"/>
      </bottom>
      <diagonal/>
    </border>
    <border>
      <left style="dashed">
        <color indexed="64"/>
      </left>
      <right/>
      <top style="thin">
        <color indexed="64"/>
      </top>
      <bottom style="dotted">
        <color indexed="64"/>
      </bottom>
      <diagonal/>
    </border>
    <border>
      <left style="dashed">
        <color indexed="64"/>
      </left>
      <right/>
      <top style="dotted">
        <color indexed="64"/>
      </top>
      <bottom style="thin">
        <color indexed="64"/>
      </bottom>
      <diagonal/>
    </border>
    <border>
      <left style="dotted">
        <color indexed="64"/>
      </left>
      <right/>
      <top style="thin">
        <color indexed="64"/>
      </top>
      <bottom style="medium">
        <color indexed="64"/>
      </bottom>
      <diagonal/>
    </border>
    <border>
      <left style="thin">
        <color indexed="64"/>
      </left>
      <right style="dashed">
        <color indexed="64"/>
      </right>
      <top style="thin">
        <color indexed="64"/>
      </top>
      <bottom style="medium">
        <color indexed="64"/>
      </bottom>
      <diagonal/>
    </border>
    <border>
      <left style="dashed">
        <color indexed="64"/>
      </left>
      <right style="dashed">
        <color indexed="64"/>
      </right>
      <top style="thin">
        <color indexed="64"/>
      </top>
      <bottom style="medium">
        <color indexed="64"/>
      </bottom>
      <diagonal/>
    </border>
    <border>
      <left style="dashed">
        <color indexed="64"/>
      </left>
      <right style="thin">
        <color indexed="64"/>
      </right>
      <top style="thin">
        <color indexed="64"/>
      </top>
      <bottom style="medium">
        <color indexed="64"/>
      </bottom>
      <diagonal/>
    </border>
    <border>
      <left/>
      <right style="thin">
        <color indexed="64"/>
      </right>
      <top style="dotted">
        <color indexed="64"/>
      </top>
      <bottom style="dotted">
        <color indexed="64"/>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style="medium">
        <color indexed="64"/>
      </bottom>
      <diagonal/>
    </border>
    <border>
      <left style="thin">
        <color indexed="64"/>
      </left>
      <right/>
      <top style="dotted">
        <color indexed="64"/>
      </top>
      <bottom style="medium">
        <color indexed="64"/>
      </bottom>
      <diagonal/>
    </border>
    <border>
      <left/>
      <right/>
      <top style="dotted">
        <color indexed="64"/>
      </top>
      <bottom style="medium">
        <color indexed="64"/>
      </bottom>
      <diagonal/>
    </border>
    <border>
      <left/>
      <right style="thin">
        <color indexed="64"/>
      </right>
      <top style="dotted">
        <color indexed="64"/>
      </top>
      <bottom style="medium">
        <color indexed="64"/>
      </bottom>
      <diagonal/>
    </border>
    <border>
      <left style="dotted">
        <color indexed="64"/>
      </left>
      <right style="dotted">
        <color indexed="64"/>
      </right>
      <top style="medium">
        <color indexed="64"/>
      </top>
      <bottom style="thin">
        <color indexed="64"/>
      </bottom>
      <diagonal/>
    </border>
    <border>
      <left style="dotted">
        <color indexed="64"/>
      </left>
      <right style="thin">
        <color indexed="64"/>
      </right>
      <top style="medium">
        <color indexed="64"/>
      </top>
      <bottom style="thin">
        <color indexed="64"/>
      </bottom>
      <diagonal/>
    </border>
    <border>
      <left style="thin">
        <color indexed="64"/>
      </left>
      <right/>
      <top style="medium">
        <color indexed="64"/>
      </top>
      <bottom style="dotted">
        <color indexed="64"/>
      </bottom>
      <diagonal/>
    </border>
    <border>
      <left/>
      <right/>
      <top style="medium">
        <color indexed="64"/>
      </top>
      <bottom style="dotted">
        <color indexed="64"/>
      </bottom>
      <diagonal/>
    </border>
    <border>
      <left/>
      <right style="thin">
        <color indexed="64"/>
      </right>
      <top style="medium">
        <color indexed="64"/>
      </top>
      <bottom style="dotted">
        <color indexed="64"/>
      </bottom>
      <diagonal/>
    </border>
    <border>
      <left/>
      <right style="medium">
        <color indexed="64"/>
      </right>
      <top style="medium">
        <color indexed="64"/>
      </top>
      <bottom style="dotted">
        <color indexed="64"/>
      </bottom>
      <diagonal/>
    </border>
    <border>
      <left style="thin">
        <color indexed="64"/>
      </left>
      <right/>
      <top/>
      <bottom style="double">
        <color indexed="64"/>
      </bottom>
      <diagonal/>
    </border>
    <border>
      <left/>
      <right/>
      <top/>
      <bottom style="double">
        <color indexed="64"/>
      </bottom>
      <diagonal/>
    </border>
    <border>
      <left/>
      <right style="thin">
        <color indexed="64"/>
      </right>
      <top/>
      <bottom style="double">
        <color indexed="64"/>
      </bottom>
      <diagonal/>
    </border>
    <border>
      <left style="thin">
        <color indexed="64"/>
      </left>
      <right style="thin">
        <color indexed="64"/>
      </right>
      <top style="double">
        <color indexed="64"/>
      </top>
      <bottom style="thin">
        <color indexed="64"/>
      </bottom>
      <diagonal/>
    </border>
    <border>
      <left/>
      <right style="dotted">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diagonalDown="1">
      <left style="thin">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64"/>
      </left>
      <right style="thin">
        <color indexed="64"/>
      </right>
      <top style="medium">
        <color indexed="64"/>
      </top>
      <bottom/>
      <diagonal/>
    </border>
    <border>
      <left style="dashed">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top style="thin">
        <color indexed="64"/>
      </top>
      <bottom style="dashed">
        <color indexed="64"/>
      </bottom>
      <diagonal/>
    </border>
    <border>
      <left/>
      <right style="medium">
        <color indexed="64"/>
      </right>
      <top style="thin">
        <color indexed="64"/>
      </top>
      <bottom style="dashed">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thin">
        <color indexed="64"/>
      </left>
      <right/>
      <top style="medium">
        <color indexed="64"/>
      </top>
      <bottom style="dashed">
        <color indexed="64"/>
      </bottom>
      <diagonal/>
    </border>
    <border>
      <left/>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dashed">
        <color indexed="64"/>
      </left>
      <right style="dashed">
        <color indexed="64"/>
      </right>
      <top style="medium">
        <color indexed="64"/>
      </top>
      <bottom/>
      <diagonal/>
    </border>
    <border>
      <left style="dashed">
        <color indexed="64"/>
      </left>
      <right style="thin">
        <color indexed="64"/>
      </right>
      <top style="medium">
        <color indexed="64"/>
      </top>
      <bottom/>
      <diagonal/>
    </border>
    <border>
      <left style="dashed">
        <color indexed="64"/>
      </left>
      <right style="dotted">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dotted">
        <color indexed="64"/>
      </right>
      <top/>
      <bottom style="medium">
        <color indexed="64"/>
      </bottom>
      <diagonal/>
    </border>
    <border>
      <left style="dotted">
        <color indexed="64"/>
      </left>
      <right/>
      <top/>
      <bottom style="medium">
        <color indexed="64"/>
      </bottom>
      <diagonal/>
    </border>
    <border>
      <left/>
      <right style="dotted">
        <color indexed="64"/>
      </right>
      <top style="thin">
        <color indexed="64"/>
      </top>
      <bottom style="dashed">
        <color indexed="64"/>
      </bottom>
      <diagonal/>
    </border>
    <border>
      <left style="dotted">
        <color indexed="64"/>
      </left>
      <right/>
      <top style="thin">
        <color indexed="64"/>
      </top>
      <bottom style="dashed">
        <color indexed="64"/>
      </bottom>
      <diagonal/>
    </border>
    <border>
      <left/>
      <right style="dotted">
        <color indexed="64"/>
      </right>
      <top style="dashed">
        <color indexed="64"/>
      </top>
      <bottom style="dashed">
        <color indexed="64"/>
      </bottom>
      <diagonal/>
    </border>
    <border>
      <left style="dotted">
        <color indexed="64"/>
      </left>
      <right/>
      <top style="dashed">
        <color indexed="64"/>
      </top>
      <bottom style="dashed">
        <color indexed="64"/>
      </bottom>
      <diagonal/>
    </border>
    <border>
      <left/>
      <right style="thin">
        <color indexed="64"/>
      </right>
      <top style="dashed">
        <color indexed="64"/>
      </top>
      <bottom style="dashed">
        <color indexed="64"/>
      </bottom>
      <diagonal/>
    </border>
    <border>
      <left/>
      <right style="thin">
        <color indexed="64"/>
      </right>
      <top style="dotted">
        <color indexed="64"/>
      </top>
      <bottom/>
      <diagonal/>
    </border>
    <border diagonalUp="1" diagonalDown="1">
      <left style="thin">
        <color indexed="64"/>
      </left>
      <right style="medium">
        <color indexed="64"/>
      </right>
      <top style="thin">
        <color indexed="64"/>
      </top>
      <bottom style="thin">
        <color indexed="64"/>
      </bottom>
      <diagonal style="thin">
        <color indexed="64"/>
      </diagonal>
    </border>
    <border diagonalUp="1" diagonalDown="1">
      <left style="thin">
        <color indexed="64"/>
      </left>
      <right style="thin">
        <color indexed="64"/>
      </right>
      <top style="thin">
        <color indexed="64"/>
      </top>
      <bottom style="thin">
        <color indexed="64"/>
      </bottom>
      <diagonal style="thin">
        <color indexed="64"/>
      </diagonal>
    </border>
    <border>
      <left style="dotted">
        <color indexed="64"/>
      </left>
      <right style="dotted">
        <color indexed="64"/>
      </right>
      <top style="medium">
        <color indexed="64"/>
      </top>
      <bottom style="medium">
        <color indexed="64"/>
      </bottom>
      <diagonal/>
    </border>
    <border>
      <left style="dotted">
        <color indexed="64"/>
      </left>
      <right style="medium">
        <color indexed="64"/>
      </right>
      <top style="medium">
        <color indexed="64"/>
      </top>
      <bottom style="medium">
        <color indexed="64"/>
      </bottom>
      <diagonal/>
    </border>
    <border>
      <left style="dotted">
        <color indexed="64"/>
      </left>
      <right style="medium">
        <color indexed="64"/>
      </right>
      <top/>
      <bottom/>
      <diagonal/>
    </border>
    <border>
      <left/>
      <right/>
      <top style="thin">
        <color rgb="FF0000FF"/>
      </top>
      <bottom/>
      <diagonal/>
    </border>
    <border>
      <left/>
      <right style="thin">
        <color rgb="FF0000FF"/>
      </right>
      <top style="thin">
        <color rgb="FF0000FF"/>
      </top>
      <bottom/>
      <diagonal/>
    </border>
    <border>
      <left style="thin">
        <color indexed="64"/>
      </left>
      <right style="medium">
        <color indexed="64"/>
      </right>
      <top style="thin">
        <color indexed="64"/>
      </top>
      <bottom style="medium">
        <color indexed="64"/>
      </bottom>
      <diagonal/>
    </border>
    <border>
      <left style="dotted">
        <color indexed="64"/>
      </left>
      <right style="medium">
        <color indexed="64"/>
      </right>
      <top style="dotted">
        <color indexed="64"/>
      </top>
      <bottom style="thin">
        <color indexed="64"/>
      </bottom>
      <diagonal/>
    </border>
    <border>
      <left style="dashed">
        <color indexed="64"/>
      </left>
      <right style="dashed">
        <color indexed="64"/>
      </right>
      <top/>
      <bottom/>
      <diagonal/>
    </border>
    <border>
      <left style="dashed">
        <color indexed="64"/>
      </left>
      <right style="thin">
        <color indexed="64"/>
      </right>
      <top/>
      <bottom/>
      <diagonal/>
    </border>
    <border diagonalDown="1">
      <left style="thin">
        <color indexed="64"/>
      </left>
      <right style="thin">
        <color indexed="64"/>
      </right>
      <top style="thin">
        <color indexed="64"/>
      </top>
      <bottom style="thin">
        <color indexed="64"/>
      </bottom>
      <diagonal style="thin">
        <color indexed="64"/>
      </diagonal>
    </border>
    <border>
      <left/>
      <right style="dashed">
        <color indexed="64"/>
      </right>
      <top style="medium">
        <color indexed="64"/>
      </top>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diagonal/>
    </border>
    <border diagonalDown="1">
      <left style="thin">
        <color indexed="64"/>
      </left>
      <right style="thin">
        <color indexed="64"/>
      </right>
      <top style="double">
        <color indexed="64"/>
      </top>
      <bottom style="thin">
        <color indexed="64"/>
      </bottom>
      <diagonal style="thin">
        <color indexed="64"/>
      </diagonal>
    </border>
    <border>
      <left style="thin">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n">
        <color indexed="64"/>
      </left>
      <right style="medium">
        <color indexed="64"/>
      </right>
      <top style="double">
        <color indexed="64"/>
      </top>
      <bottom style="thin">
        <color indexed="64"/>
      </bottom>
      <diagonal/>
    </border>
    <border>
      <left style="thin">
        <color indexed="12"/>
      </left>
      <right/>
      <top/>
      <bottom/>
      <diagonal/>
    </border>
    <border>
      <left style="thin">
        <color indexed="12"/>
      </left>
      <right style="thin">
        <color indexed="12"/>
      </right>
      <top/>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dashed">
        <color indexed="64"/>
      </top>
      <bottom style="thin">
        <color indexed="64"/>
      </bottom>
      <diagonal/>
    </border>
    <border>
      <left style="dashed">
        <color indexed="64"/>
      </left>
      <right style="thin">
        <color indexed="64"/>
      </right>
      <top style="dotted">
        <color indexed="64"/>
      </top>
      <bottom style="thin">
        <color indexed="64"/>
      </bottom>
      <diagonal/>
    </border>
    <border>
      <left style="dashed">
        <color indexed="64"/>
      </left>
      <right style="thin">
        <color indexed="64"/>
      </right>
      <top style="thin">
        <color indexed="64"/>
      </top>
      <bottom style="dotted">
        <color indexed="64"/>
      </bottom>
      <diagonal/>
    </border>
    <border>
      <left style="dotted">
        <color indexed="64"/>
      </left>
      <right style="medium">
        <color indexed="64"/>
      </right>
      <top style="thin">
        <color indexed="64"/>
      </top>
      <bottom style="medium">
        <color indexed="64"/>
      </bottom>
      <diagonal/>
    </border>
    <border>
      <left style="thin">
        <color indexed="64"/>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style="thin">
        <color indexed="64"/>
      </right>
      <top/>
      <bottom style="medium">
        <color indexed="64"/>
      </bottom>
      <diagonal/>
    </border>
    <border>
      <left/>
      <right style="dotted">
        <color indexed="64"/>
      </right>
      <top style="medium">
        <color indexed="64"/>
      </top>
      <bottom/>
      <diagonal/>
    </border>
    <border>
      <left/>
      <right style="dotted">
        <color indexed="64"/>
      </right>
      <top style="medium">
        <color indexed="64"/>
      </top>
      <bottom style="thin">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dotted">
        <color indexed="64"/>
      </left>
      <right style="dotted">
        <color indexed="64"/>
      </right>
      <top style="thin">
        <color indexed="64"/>
      </top>
      <bottom style="medium">
        <color indexed="64"/>
      </bottom>
      <diagonal/>
    </border>
    <border>
      <left/>
      <right style="thin">
        <color indexed="12"/>
      </right>
      <top/>
      <bottom/>
      <diagonal/>
    </border>
    <border>
      <left style="dashed">
        <color indexed="64"/>
      </left>
      <right style="medium">
        <color indexed="64"/>
      </right>
      <top style="thin">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style="medium">
        <color indexed="64"/>
      </right>
      <top style="thin">
        <color indexed="64"/>
      </top>
      <bottom style="dashed">
        <color indexed="64"/>
      </bottom>
      <diagonal/>
    </border>
    <border>
      <left style="thin">
        <color indexed="64"/>
      </left>
      <right style="medium">
        <color indexed="64"/>
      </right>
      <top style="dashed">
        <color indexed="64"/>
      </top>
      <bottom style="thin">
        <color indexed="64"/>
      </bottom>
      <diagonal/>
    </border>
    <border>
      <left style="thin">
        <color indexed="64"/>
      </left>
      <right style="medium">
        <color indexed="64"/>
      </right>
      <top style="medium">
        <color indexed="64"/>
      </top>
      <bottom style="dashed">
        <color indexed="64"/>
      </bottom>
      <diagonal/>
    </border>
    <border>
      <left style="thin">
        <color indexed="64"/>
      </left>
      <right style="dotted">
        <color indexed="64"/>
      </right>
      <top style="dashed">
        <color indexed="64"/>
      </top>
      <bottom style="dashed">
        <color indexed="64"/>
      </bottom>
      <diagonal/>
    </border>
    <border>
      <left/>
      <right style="dotted">
        <color indexed="64"/>
      </right>
      <top style="dashed">
        <color indexed="64"/>
      </top>
      <bottom/>
      <diagonal/>
    </border>
    <border>
      <left style="thin">
        <color indexed="64"/>
      </left>
      <right style="dotted">
        <color indexed="64"/>
      </right>
      <top style="thin">
        <color indexed="64"/>
      </top>
      <bottom style="dashed">
        <color indexed="64"/>
      </bottom>
      <diagonal/>
    </border>
    <border>
      <left style="dashed">
        <color indexed="64"/>
      </left>
      <right style="medium">
        <color indexed="64"/>
      </right>
      <top/>
      <bottom/>
      <diagonal/>
    </border>
  </borders>
  <cellStyleXfs count="50">
    <xf numFmtId="0" fontId="6" fillId="0" borderId="0" applyAlignment="1">
      <alignment vertical="center"/>
    </xf>
    <xf numFmtId="0" fontId="1" fillId="2" borderId="0" applyAlignment="1">
      <alignment vertical="center"/>
    </xf>
    <xf numFmtId="0" fontId="1" fillId="3" borderId="0" applyAlignment="1">
      <alignment vertical="center"/>
    </xf>
    <xf numFmtId="0" fontId="1" fillId="4" borderId="0" applyAlignment="1">
      <alignment vertical="center"/>
    </xf>
    <xf numFmtId="0" fontId="1" fillId="5" borderId="0" applyAlignment="1">
      <alignment vertical="center"/>
    </xf>
    <xf numFmtId="0" fontId="1" fillId="6" borderId="0" applyAlignment="1">
      <alignment vertical="center"/>
    </xf>
    <xf numFmtId="0" fontId="1" fillId="7" borderId="0" applyAlignment="1">
      <alignment vertical="center"/>
    </xf>
    <xf numFmtId="0" fontId="1" fillId="8" borderId="0" applyAlignment="1">
      <alignment vertical="center"/>
    </xf>
    <xf numFmtId="0" fontId="1" fillId="9" borderId="0" applyAlignment="1">
      <alignment vertical="center"/>
    </xf>
    <xf numFmtId="0" fontId="1" fillId="10" borderId="0" applyAlignment="1">
      <alignment vertical="center"/>
    </xf>
    <xf numFmtId="0" fontId="1" fillId="5" borderId="0" applyAlignment="1">
      <alignment vertical="center"/>
    </xf>
    <xf numFmtId="0" fontId="1" fillId="8" borderId="0" applyAlignment="1">
      <alignment vertical="center"/>
    </xf>
    <xf numFmtId="0" fontId="1" fillId="11" borderId="0" applyAlignment="1">
      <alignment vertical="center"/>
    </xf>
    <xf numFmtId="0" fontId="2" fillId="12" borderId="0" applyAlignment="1">
      <alignment vertical="center"/>
    </xf>
    <xf numFmtId="0" fontId="2" fillId="9" borderId="0" applyAlignment="1">
      <alignment vertical="center"/>
    </xf>
    <xf numFmtId="0" fontId="2" fillId="10" borderId="0" applyAlignment="1">
      <alignment vertical="center"/>
    </xf>
    <xf numFmtId="0" fontId="2" fillId="13" borderId="0" applyAlignment="1">
      <alignment vertical="center"/>
    </xf>
    <xf numFmtId="0" fontId="2" fillId="14" borderId="0" applyAlignment="1">
      <alignment vertical="center"/>
    </xf>
    <xf numFmtId="0" fontId="2" fillId="15" borderId="0" applyAlignment="1">
      <alignment vertical="center"/>
    </xf>
    <xf numFmtId="0" fontId="2" fillId="16" borderId="0" applyAlignment="1">
      <alignment vertical="center"/>
    </xf>
    <xf numFmtId="0" fontId="2" fillId="17" borderId="0" applyAlignment="1">
      <alignment vertical="center"/>
    </xf>
    <xf numFmtId="0" fontId="2" fillId="18" borderId="0" applyAlignment="1">
      <alignment vertical="center"/>
    </xf>
    <xf numFmtId="0" fontId="2" fillId="13" borderId="0" applyAlignment="1">
      <alignment vertical="center"/>
    </xf>
    <xf numFmtId="0" fontId="2" fillId="14" borderId="0" applyAlignment="1">
      <alignment vertical="center"/>
    </xf>
    <xf numFmtId="0" fontId="2" fillId="19" borderId="0" applyAlignment="1">
      <alignment vertical="center"/>
    </xf>
    <xf numFmtId="0" fontId="3" fillId="0" borderId="0" applyAlignment="1">
      <alignment vertical="center"/>
    </xf>
    <xf numFmtId="0" fontId="4" fillId="20" borderId="1" applyAlignment="1">
      <alignment vertical="center"/>
    </xf>
    <xf numFmtId="0" fontId="5" fillId="21" borderId="0" applyAlignment="1">
      <alignment vertical="center"/>
    </xf>
    <xf numFmtId="0" fontId="6" fillId="22" borderId="2" applyAlignment="1">
      <alignment vertical="center"/>
    </xf>
    <xf numFmtId="0" fontId="7" fillId="0" borderId="3" applyAlignment="1">
      <alignment vertical="center"/>
    </xf>
    <xf numFmtId="0" fontId="8" fillId="3" borderId="0" applyAlignment="1">
      <alignment vertical="center"/>
    </xf>
    <xf numFmtId="0" fontId="9" fillId="23" borderId="4" applyAlignment="1">
      <alignment vertical="center"/>
    </xf>
    <xf numFmtId="0" fontId="10" fillId="0" borderId="0" applyAlignment="1">
      <alignment vertical="center"/>
    </xf>
    <xf numFmtId="0" fontId="11" fillId="0" borderId="5" applyAlignment="1">
      <alignment vertical="center"/>
    </xf>
    <xf numFmtId="0" fontId="12" fillId="0" borderId="6" applyAlignment="1">
      <alignment vertical="center"/>
    </xf>
    <xf numFmtId="0" fontId="13" fillId="0" borderId="7" applyAlignment="1">
      <alignment vertical="center"/>
    </xf>
    <xf numFmtId="0" fontId="13" fillId="0" borderId="0" applyAlignment="1">
      <alignment vertical="center"/>
    </xf>
    <xf numFmtId="0" fontId="14" fillId="0" borderId="8" applyAlignment="1">
      <alignment vertical="center"/>
    </xf>
    <xf numFmtId="0" fontId="15" fillId="23" borderId="9" applyAlignment="1">
      <alignment vertical="center"/>
    </xf>
    <xf numFmtId="0" fontId="16" fillId="0" borderId="0" applyAlignment="1">
      <alignment vertical="center"/>
    </xf>
    <xf numFmtId="0" fontId="17" fillId="7" borderId="4" applyAlignment="1">
      <alignment vertical="center"/>
    </xf>
    <xf numFmtId="0" fontId="18" fillId="4" borderId="0" applyAlignment="1">
      <alignment vertical="center"/>
    </xf>
    <xf numFmtId="38" fontId="6" fillId="0" borderId="0" applyAlignment="1">
      <alignment vertical="center"/>
    </xf>
    <xf numFmtId="0" fontId="6" fillId="0" borderId="0"/>
    <xf numFmtId="6" fontId="6" fillId="0" borderId="0" applyAlignment="1">
      <alignment vertical="center"/>
    </xf>
    <xf numFmtId="0" fontId="6" fillId="0" borderId="0" applyAlignment="1">
      <alignment vertical="center"/>
    </xf>
    <xf numFmtId="0" fontId="6" fillId="0" borderId="0"/>
    <xf numFmtId="0" fontId="90" fillId="0" borderId="0" applyAlignment="1">
      <alignment vertical="center"/>
    </xf>
    <xf numFmtId="0" fontId="97" fillId="0" borderId="0" applyAlignment="1">
      <alignment vertical="center"/>
    </xf>
    <xf numFmtId="0" fontId="90" fillId="0" borderId="0" applyAlignment="1">
      <alignment vertical="center"/>
    </xf>
  </cellStyleXfs>
  <cellXfs count="4991">
    <xf numFmtId="0" fontId="0" fillId="0" borderId="0" applyAlignment="1" pivotButton="0" quotePrefix="0" xfId="0">
      <alignment vertical="center"/>
    </xf>
    <xf numFmtId="49" fontId="20" fillId="24" borderId="10" applyAlignment="1" pivotButton="0" quotePrefix="0" xfId="0">
      <alignment horizontal="center" vertical="center"/>
    </xf>
    <xf numFmtId="49" fontId="20" fillId="24" borderId="11" applyAlignment="1" pivotButton="0" quotePrefix="0" xfId="0">
      <alignment horizontal="center" vertical="center"/>
    </xf>
    <xf numFmtId="49" fontId="21" fillId="0" borderId="12" applyAlignment="1" pivotButton="0" quotePrefix="0" xfId="0">
      <alignment horizontal="left" vertical="center" wrapText="1"/>
    </xf>
    <xf numFmtId="49" fontId="21" fillId="0" borderId="13" applyAlignment="1" pivotButton="0" quotePrefix="0" xfId="0">
      <alignment horizontal="left" vertical="center" wrapText="1"/>
    </xf>
    <xf numFmtId="49" fontId="21" fillId="0" borderId="14" applyAlignment="1" pivotButton="0" quotePrefix="0" xfId="0">
      <alignment horizontal="center" vertical="center"/>
    </xf>
    <xf numFmtId="49" fontId="21" fillId="0" borderId="0" applyAlignment="1" pivotButton="0" quotePrefix="0" xfId="0">
      <alignment horizontal="center" vertical="center"/>
    </xf>
    <xf numFmtId="49" fontId="21" fillId="0" borderId="0" applyAlignment="1" pivotButton="0" quotePrefix="0" xfId="0">
      <alignment vertical="center"/>
    </xf>
    <xf numFmtId="49" fontId="21" fillId="0" borderId="15" applyAlignment="1" pivotButton="0" quotePrefix="0" xfId="0">
      <alignment horizontal="left" vertical="center"/>
    </xf>
    <xf numFmtId="49" fontId="21" fillId="0" borderId="14" applyAlignment="1" pivotButton="0" quotePrefix="0" xfId="0">
      <alignment horizontal="left" vertical="center"/>
    </xf>
    <xf numFmtId="49" fontId="21" fillId="0" borderId="16" applyAlignment="1" pivotButton="0" quotePrefix="0" xfId="0">
      <alignment horizontal="center" vertical="center"/>
    </xf>
    <xf numFmtId="49" fontId="21" fillId="0" borderId="12" applyAlignment="1" pivotButton="0" quotePrefix="0" xfId="0">
      <alignment horizontal="left" vertical="center"/>
    </xf>
    <xf numFmtId="49" fontId="21" fillId="0" borderId="0" applyAlignment="1" pivotButton="0" quotePrefix="0" xfId="0">
      <alignment horizontal="left" vertical="center"/>
    </xf>
    <xf numFmtId="49" fontId="21" fillId="0" borderId="0" applyAlignment="1" pivotButton="0" quotePrefix="0" xfId="0">
      <alignment horizontal="left" vertical="center"/>
    </xf>
    <xf numFmtId="49" fontId="32" fillId="0" borderId="14" applyAlignment="1" pivotButton="0" quotePrefix="0" xfId="0">
      <alignment horizontal="center" vertical="center"/>
    </xf>
    <xf numFmtId="49" fontId="21" fillId="0" borderId="0" applyAlignment="1" pivotButton="0" quotePrefix="0" xfId="0">
      <alignment horizontal="center" vertical="center"/>
    </xf>
    <xf numFmtId="49" fontId="21" fillId="0" borderId="0" applyAlignment="1" pivotButton="0" quotePrefix="0" xfId="0">
      <alignment horizontal="right" vertical="center"/>
    </xf>
    <xf numFmtId="49" fontId="21" fillId="0" borderId="0" applyAlignment="1" pivotButton="0" quotePrefix="0" xfId="0">
      <alignment horizontal="distributed" vertical="center"/>
    </xf>
    <xf numFmtId="49" fontId="21" fillId="0" borderId="17" applyAlignment="1" pivotButton="0" quotePrefix="0" xfId="0">
      <alignment horizontal="distributed" vertical="center"/>
    </xf>
    <xf numFmtId="49" fontId="21" fillId="0" borderId="17" applyAlignment="1" pivotButton="0" quotePrefix="0" xfId="0">
      <alignment horizontal="center" vertical="center"/>
    </xf>
    <xf numFmtId="49" fontId="21" fillId="0" borderId="17" applyAlignment="1" pivotButton="0" quotePrefix="0" xfId="0">
      <alignment horizontal="center" vertical="center"/>
    </xf>
    <xf numFmtId="49" fontId="21" fillId="0" borderId="16" applyAlignment="1" pivotButton="0" quotePrefix="0" xfId="0">
      <alignment horizontal="right" vertical="center"/>
    </xf>
    <xf numFmtId="49" fontId="21" fillId="0" borderId="0" applyAlignment="1" pivotButton="0" quotePrefix="0" xfId="0">
      <alignment horizontal="left" vertical="center"/>
    </xf>
    <xf numFmtId="49" fontId="21" fillId="0" borderId="12" applyAlignment="1" pivotButton="0" quotePrefix="0" xfId="0">
      <alignment vertical="center" wrapText="1"/>
    </xf>
    <xf numFmtId="49" fontId="21" fillId="0" borderId="13" applyAlignment="1" pivotButton="0" quotePrefix="0" xfId="0">
      <alignment vertical="center" wrapText="1"/>
    </xf>
    <xf numFmtId="49" fontId="21" fillId="0" borderId="16" applyAlignment="1" pivotButton="0" quotePrefix="0" xfId="0">
      <alignment vertical="center" wrapText="1"/>
    </xf>
    <xf numFmtId="49" fontId="32" fillId="0" borderId="12" applyAlignment="1" pivotButton="0" quotePrefix="0" xfId="0">
      <alignment vertical="center" wrapText="1"/>
    </xf>
    <xf numFmtId="49" fontId="32" fillId="0" borderId="13" applyAlignment="1" pivotButton="0" quotePrefix="0" xfId="0">
      <alignment vertical="center" wrapText="1"/>
    </xf>
    <xf numFmtId="49" fontId="21" fillId="0" borderId="12" applyAlignment="1" pivotButton="0" quotePrefix="0" xfId="0">
      <alignment vertical="center" wrapText="1"/>
    </xf>
    <xf numFmtId="49" fontId="21" fillId="0" borderId="20" applyAlignment="1" pivotButton="0" quotePrefix="0" xfId="0">
      <alignment vertical="center" wrapText="1"/>
    </xf>
    <xf numFmtId="49" fontId="21" fillId="0" borderId="21" applyAlignment="1" pivotButton="0" quotePrefix="0" xfId="0">
      <alignment vertical="center" wrapText="1"/>
    </xf>
    <xf numFmtId="49" fontId="21" fillId="0" borderId="20" applyAlignment="1" pivotButton="0" quotePrefix="0" xfId="0">
      <alignment horizontal="center" vertical="center" wrapText="1"/>
    </xf>
    <xf numFmtId="49" fontId="21" fillId="0" borderId="14" applyAlignment="1" pivotButton="0" quotePrefix="0" xfId="0">
      <alignment horizontal="center" vertical="center"/>
    </xf>
    <xf numFmtId="49" fontId="21" fillId="0" borderId="12" applyAlignment="1" pivotButton="0" quotePrefix="0" xfId="0">
      <alignment horizontal="left" vertical="center"/>
    </xf>
    <xf numFmtId="49" fontId="21" fillId="0" borderId="21" applyAlignment="1" pivotButton="0" quotePrefix="0" xfId="0">
      <alignment horizontal="left" vertical="center"/>
    </xf>
    <xf numFmtId="49" fontId="21" fillId="0" borderId="12" applyAlignment="1" pivotButton="0" quotePrefix="0" xfId="0">
      <alignment horizontal="left" vertical="center" wrapText="1"/>
    </xf>
    <xf numFmtId="49" fontId="21" fillId="0" borderId="21" applyAlignment="1" pivotButton="0" quotePrefix="0" xfId="0">
      <alignment horizontal="left" vertical="center" wrapText="1"/>
    </xf>
    <xf numFmtId="49" fontId="21" fillId="0" borderId="19" applyAlignment="1" pivotButton="0" quotePrefix="0" xfId="0">
      <alignment horizontal="center" vertical="center" wrapText="1"/>
    </xf>
    <xf numFmtId="49" fontId="20" fillId="24" borderId="62" applyAlignment="1" pivotButton="0" quotePrefix="0" xfId="0">
      <alignment horizontal="center" vertical="center"/>
    </xf>
    <xf numFmtId="49" fontId="20" fillId="24" borderId="63" applyAlignment="1" pivotButton="0" quotePrefix="0" xfId="0">
      <alignment horizontal="center" vertical="center"/>
    </xf>
    <xf numFmtId="49" fontId="21" fillId="0" borderId="14" applyAlignment="1" pivotButton="0" quotePrefix="0" xfId="0">
      <alignment horizontal="left" vertical="center"/>
    </xf>
    <xf numFmtId="49" fontId="21" fillId="0" borderId="0" applyAlignment="1" pivotButton="0" quotePrefix="0" xfId="0">
      <alignment horizontal="left" vertical="center"/>
    </xf>
    <xf numFmtId="49" fontId="21" fillId="24" borderId="17" applyAlignment="1" pivotButton="0" quotePrefix="0" xfId="0">
      <alignment horizontal="center" vertical="center"/>
    </xf>
    <xf numFmtId="49" fontId="24" fillId="0" borderId="14" applyAlignment="1" pivotButton="0" quotePrefix="0" xfId="0">
      <alignment horizontal="center" vertical="center"/>
    </xf>
    <xf numFmtId="49" fontId="39" fillId="0" borderId="0" applyAlignment="1" pivotButton="0" quotePrefix="0" xfId="0">
      <alignment horizontal="left" vertical="center"/>
    </xf>
    <xf numFmtId="49" fontId="39" fillId="0" borderId="0" applyAlignment="1" pivotButton="0" quotePrefix="0" xfId="0">
      <alignment horizontal="right" vertical="center"/>
    </xf>
    <xf numFmtId="49" fontId="39" fillId="0" borderId="0" applyAlignment="1" pivotButton="0" quotePrefix="0" xfId="0">
      <alignment horizontal="distributed" vertical="center"/>
    </xf>
    <xf numFmtId="49" fontId="39" fillId="0" borderId="0" applyAlignment="1" pivotButton="0" quotePrefix="0" xfId="0">
      <alignment horizontal="center" vertical="center"/>
    </xf>
    <xf numFmtId="49" fontId="39" fillId="0" borderId="17" applyAlignment="1" pivotButton="0" quotePrefix="0" xfId="0">
      <alignment horizontal="distributed" vertical="center"/>
    </xf>
    <xf numFmtId="49" fontId="39" fillId="0" borderId="17" applyAlignment="1" pivotButton="0" quotePrefix="0" xfId="0">
      <alignment horizontal="center" vertical="center"/>
    </xf>
    <xf numFmtId="49" fontId="40" fillId="0" borderId="17" applyAlignment="1" pivotButton="0" quotePrefix="0" xfId="0">
      <alignment horizontal="center" vertical="center"/>
    </xf>
    <xf numFmtId="49" fontId="40" fillId="0" borderId="73" applyAlignment="1" pivotButton="0" quotePrefix="0" xfId="0">
      <alignment horizontal="center" vertical="center"/>
    </xf>
    <xf numFmtId="49" fontId="40" fillId="0" borderId="12" applyAlignment="1" pivotButton="0" quotePrefix="0" xfId="0">
      <alignment horizontal="left" vertical="center"/>
    </xf>
    <xf numFmtId="49" fontId="39" fillId="0" borderId="14" applyAlignment="1" pivotButton="0" quotePrefix="0" xfId="0">
      <alignment horizontal="left" vertical="center"/>
    </xf>
    <xf numFmtId="49" fontId="40" fillId="0" borderId="16" applyAlignment="1" pivotButton="0" quotePrefix="0" xfId="0">
      <alignment horizontal="right" vertical="center"/>
    </xf>
    <xf numFmtId="49" fontId="40" fillId="0" borderId="15" applyAlignment="1" pivotButton="0" quotePrefix="0" xfId="0">
      <alignment horizontal="left" vertical="center"/>
    </xf>
    <xf numFmtId="49" fontId="43" fillId="0" borderId="0" applyAlignment="1" pivotButton="0" quotePrefix="0" xfId="0">
      <alignment horizontal="center" vertical="center"/>
    </xf>
    <xf numFmtId="49" fontId="43" fillId="0" borderId="21" applyAlignment="1" pivotButton="0" quotePrefix="0" xfId="0">
      <alignment horizontal="center" vertical="center"/>
    </xf>
    <xf numFmtId="49" fontId="40" fillId="0" borderId="18" applyAlignment="1" pivotButton="0" quotePrefix="0" xfId="0">
      <alignment horizontal="center" vertical="center"/>
    </xf>
    <xf numFmtId="49" fontId="40" fillId="0" borderId="27" applyAlignment="1" pivotButton="0" quotePrefix="0" xfId="0">
      <alignment horizontal="left" vertical="center"/>
    </xf>
    <xf numFmtId="49" fontId="40" fillId="0" borderId="0" applyAlignment="1" pivotButton="0" quotePrefix="0" xfId="0">
      <alignment horizontal="center" vertical="center"/>
    </xf>
    <xf numFmtId="49" fontId="40" fillId="0" borderId="28" applyAlignment="1" pivotButton="0" quotePrefix="0" xfId="0">
      <alignment horizontal="center" vertical="center"/>
    </xf>
    <xf numFmtId="49" fontId="40" fillId="0" borderId="20" applyAlignment="1" pivotButton="0" quotePrefix="0" xfId="0">
      <alignment horizontal="center" vertical="center"/>
    </xf>
    <xf numFmtId="49" fontId="43" fillId="0" borderId="0" applyAlignment="1" pivotButton="0" quotePrefix="0" xfId="0">
      <alignment horizontal="left" vertical="center"/>
    </xf>
    <xf numFmtId="49" fontId="43" fillId="0" borderId="14" applyAlignment="1" pivotButton="0" quotePrefix="0" xfId="0">
      <alignment horizontal="center" vertical="center"/>
    </xf>
    <xf numFmtId="49" fontId="43" fillId="0" borderId="23" applyAlignment="1" pivotButton="0" quotePrefix="0" xfId="0">
      <alignment horizontal="center" vertical="center"/>
    </xf>
    <xf numFmtId="49" fontId="40" fillId="0" borderId="16" applyAlignment="1" pivotButton="0" quotePrefix="0" xfId="0">
      <alignment horizontal="center" vertical="center"/>
    </xf>
    <xf numFmtId="49" fontId="40" fillId="0" borderId="23" applyAlignment="1" pivotButton="0" quotePrefix="0" xfId="0">
      <alignment horizontal="center" vertical="center"/>
    </xf>
    <xf numFmtId="49" fontId="40" fillId="0" borderId="14" applyAlignment="1" pivotButton="0" quotePrefix="0" xfId="0">
      <alignment horizontal="left" vertical="center"/>
    </xf>
    <xf numFmtId="49" fontId="40" fillId="0" borderId="19" applyAlignment="1" pivotButton="0" quotePrefix="0" xfId="0">
      <alignment horizontal="center" vertical="center"/>
    </xf>
    <xf numFmtId="49" fontId="40" fillId="0" borderId="16" applyAlignment="1" pivotButton="0" quotePrefix="0" xfId="0">
      <alignment horizontal="left" vertical="center"/>
    </xf>
    <xf numFmtId="49" fontId="44" fillId="0" borderId="14" applyAlignment="1" pivotButton="0" quotePrefix="0" xfId="0">
      <alignment horizontal="left" vertical="center"/>
    </xf>
    <xf numFmtId="49" fontId="39" fillId="0" borderId="27" applyAlignment="1" pivotButton="0" quotePrefix="0" xfId="0">
      <alignment vertical="center"/>
    </xf>
    <xf numFmtId="49" fontId="39" fillId="0" borderId="0" applyAlignment="1" pivotButton="0" quotePrefix="0" xfId="0">
      <alignment vertical="center"/>
    </xf>
    <xf numFmtId="49" fontId="39" fillId="0" borderId="48" applyAlignment="1" pivotButton="0" quotePrefix="0" xfId="0">
      <alignment vertical="center"/>
    </xf>
    <xf numFmtId="49" fontId="39" fillId="0" borderId="27" applyAlignment="1" pivotButton="0" quotePrefix="0" xfId="0">
      <alignment horizontal="center" vertical="center"/>
    </xf>
    <xf numFmtId="49" fontId="39" fillId="0" borderId="48" applyAlignment="1" pivotButton="0" quotePrefix="0" xfId="0">
      <alignment horizontal="left" vertical="center"/>
    </xf>
    <xf numFmtId="49" fontId="39" fillId="0" borderId="14" applyAlignment="1" pivotButton="0" quotePrefix="0" xfId="0">
      <alignment horizontal="center" vertical="center"/>
    </xf>
    <xf numFmtId="49" fontId="40" fillId="0" borderId="0" applyAlignment="1" pivotButton="0" quotePrefix="0" xfId="0">
      <alignment horizontal="left" vertical="center"/>
    </xf>
    <xf numFmtId="49" fontId="43" fillId="0" borderId="111" applyAlignment="1" pivotButton="0" quotePrefix="0" xfId="0">
      <alignment horizontal="center" vertical="center"/>
    </xf>
    <xf numFmtId="49" fontId="40" fillId="0" borderId="111" applyAlignment="1" pivotButton="0" quotePrefix="0" xfId="0">
      <alignment horizontal="center" vertical="center"/>
    </xf>
    <xf numFmtId="49" fontId="40" fillId="0" borderId="46" applyAlignment="1" pivotButton="0" quotePrefix="0" xfId="0">
      <alignment horizontal="center" vertical="center"/>
    </xf>
    <xf numFmtId="49" fontId="40" fillId="0" borderId="44" applyAlignment="1" pivotButton="0" quotePrefix="0" xfId="0">
      <alignment horizontal="center" vertical="center"/>
    </xf>
    <xf numFmtId="49" fontId="43" fillId="0" borderId="48" applyAlignment="1" pivotButton="0" quotePrefix="0" xfId="0">
      <alignment horizontal="distributed" vertical="center"/>
    </xf>
    <xf numFmtId="49" fontId="44" fillId="0" borderId="14" applyAlignment="1" pivotButton="0" quotePrefix="0" xfId="0">
      <alignment horizontal="center" vertical="center"/>
    </xf>
    <xf numFmtId="49" fontId="40" fillId="0" borderId="14" applyAlignment="1" pivotButton="0" quotePrefix="0" xfId="0">
      <alignment horizontal="center" vertical="center"/>
    </xf>
    <xf numFmtId="49" fontId="40" fillId="0" borderId="139" applyAlignment="1" pivotButton="0" quotePrefix="0" xfId="0">
      <alignment horizontal="center" vertical="center"/>
    </xf>
    <xf numFmtId="49" fontId="40" fillId="0" borderId="140" applyAlignment="1" pivotButton="0" quotePrefix="0" xfId="0">
      <alignment horizontal="center" vertical="center"/>
    </xf>
    <xf numFmtId="49" fontId="40" fillId="0" borderId="141" applyAlignment="1" pivotButton="0" quotePrefix="0" xfId="0">
      <alignment horizontal="center" vertical="center"/>
    </xf>
    <xf numFmtId="49" fontId="40" fillId="0" borderId="49" applyAlignment="1" pivotButton="0" quotePrefix="0" xfId="0">
      <alignment vertical="center"/>
    </xf>
    <xf numFmtId="49" fontId="20" fillId="0" borderId="21" applyAlignment="1" pivotButton="0" quotePrefix="0" xfId="0">
      <alignment horizontal="center" vertical="center"/>
    </xf>
    <xf numFmtId="49" fontId="20" fillId="0" borderId="21" applyAlignment="1" pivotButton="0" quotePrefix="0" xfId="0">
      <alignment horizontal="right" vertical="center"/>
    </xf>
    <xf numFmtId="49" fontId="40" fillId="0" borderId="21" applyAlignment="1" pivotButton="0" quotePrefix="0" xfId="0">
      <alignment horizontal="right" vertical="center"/>
    </xf>
    <xf numFmtId="49" fontId="40" fillId="0" borderId="21" applyAlignment="1" pivotButton="0" quotePrefix="0" xfId="0">
      <alignment horizontal="center" vertical="center"/>
    </xf>
    <xf numFmtId="49" fontId="40" fillId="0" borderId="48" applyAlignment="1" pivotButton="0" quotePrefix="0" xfId="0">
      <alignment horizontal="center" vertical="center"/>
    </xf>
    <xf numFmtId="49" fontId="40" fillId="0" borderId="144" applyAlignment="1" pivotButton="0" quotePrefix="0" xfId="0">
      <alignment vertical="center"/>
    </xf>
    <xf numFmtId="49" fontId="20" fillId="0" borderId="145" applyAlignment="1" pivotButton="0" quotePrefix="0" xfId="0">
      <alignment horizontal="center" vertical="center"/>
    </xf>
    <xf numFmtId="49" fontId="21" fillId="0" borderId="145" applyAlignment="1" pivotButton="0" quotePrefix="0" xfId="0">
      <alignment vertical="center"/>
    </xf>
    <xf numFmtId="49" fontId="40" fillId="0" borderId="145" applyAlignment="1" pivotButton="0" quotePrefix="0" xfId="0">
      <alignment horizontal="right" vertical="center"/>
    </xf>
    <xf numFmtId="49" fontId="40" fillId="0" borderId="145" applyAlignment="1" pivotButton="0" quotePrefix="0" xfId="0">
      <alignment horizontal="center" vertical="center"/>
    </xf>
    <xf numFmtId="49" fontId="40" fillId="0" borderId="149" applyAlignment="1" pivotButton="0" quotePrefix="0" xfId="0">
      <alignment vertical="center"/>
    </xf>
    <xf numFmtId="49" fontId="20" fillId="0" borderId="30" applyAlignment="1" pivotButton="0" quotePrefix="0" xfId="0">
      <alignment horizontal="center" vertical="center"/>
    </xf>
    <xf numFmtId="49" fontId="20" fillId="0" borderId="30" applyAlignment="1" pivotButton="0" quotePrefix="0" xfId="0">
      <alignment horizontal="right" vertical="center"/>
    </xf>
    <xf numFmtId="49" fontId="40" fillId="0" borderId="30" applyAlignment="1" pivotButton="0" quotePrefix="0" xfId="0">
      <alignment horizontal="right" vertical="center"/>
    </xf>
    <xf numFmtId="49" fontId="40" fillId="0" borderId="30" applyAlignment="1" pivotButton="0" quotePrefix="0" xfId="0">
      <alignment horizontal="center" vertical="center"/>
    </xf>
    <xf numFmtId="0" fontId="6" fillId="0" borderId="30" applyAlignment="1" pivotButton="0" quotePrefix="0" xfId="0">
      <alignment vertical="center"/>
    </xf>
    <xf numFmtId="49" fontId="40" fillId="0" borderId="13" applyAlignment="1" pivotButton="0" quotePrefix="0" xfId="0">
      <alignment vertical="center"/>
    </xf>
    <xf numFmtId="49" fontId="20" fillId="0" borderId="12" applyAlignment="1" pivotButton="0" quotePrefix="0" xfId="0">
      <alignment horizontal="center" vertical="center"/>
    </xf>
    <xf numFmtId="49" fontId="40" fillId="0" borderId="12" applyAlignment="1" pivotButton="0" quotePrefix="0" xfId="0">
      <alignment horizontal="right" vertical="center"/>
    </xf>
    <xf numFmtId="49" fontId="40" fillId="0" borderId="12" applyAlignment="1" pivotButton="0" quotePrefix="0" xfId="0">
      <alignment horizontal="center" vertical="center"/>
    </xf>
    <xf numFmtId="49" fontId="40" fillId="0" borderId="14" applyAlignment="1" pivotButton="0" quotePrefix="0" xfId="0">
      <alignment vertical="center"/>
    </xf>
    <xf numFmtId="49" fontId="40" fillId="0" borderId="61" applyAlignment="1" pivotButton="0" quotePrefix="0" xfId="0">
      <alignment horizontal="center" vertical="center"/>
    </xf>
    <xf numFmtId="49" fontId="43" fillId="24" borderId="49" applyAlignment="1" pivotButton="0" quotePrefix="0" xfId="0">
      <alignment vertical="center"/>
    </xf>
    <xf numFmtId="49" fontId="43" fillId="24" borderId="21" applyAlignment="1" pivotButton="0" quotePrefix="0" xfId="0">
      <alignment vertical="center"/>
    </xf>
    <xf numFmtId="49" fontId="43" fillId="24" borderId="48" applyAlignment="1" pivotButton="0" quotePrefix="0" xfId="0">
      <alignment vertical="center"/>
    </xf>
    <xf numFmtId="49" fontId="43" fillId="24" borderId="0" applyAlignment="1" pivotButton="0" quotePrefix="0" xfId="0">
      <alignment vertical="center"/>
    </xf>
    <xf numFmtId="49" fontId="43" fillId="24" borderId="13" applyAlignment="1" pivotButton="0" quotePrefix="0" xfId="0">
      <alignment vertical="center"/>
    </xf>
    <xf numFmtId="49" fontId="43" fillId="24" borderId="12" applyAlignment="1" pivotButton="0" quotePrefix="0" xfId="0">
      <alignment vertical="center"/>
    </xf>
    <xf numFmtId="49" fontId="29" fillId="0" borderId="13" applyAlignment="1" pivotButton="0" quotePrefix="0" xfId="0">
      <alignment horizontal="center" vertical="center" shrinkToFit="1"/>
    </xf>
    <xf numFmtId="49" fontId="29" fillId="0" borderId="12" applyAlignment="1" pivotButton="0" quotePrefix="0" xfId="0">
      <alignment horizontal="center" vertical="center" shrinkToFit="1"/>
    </xf>
    <xf numFmtId="49" fontId="40" fillId="0" borderId="12" applyAlignment="1" pivotButton="0" quotePrefix="0" xfId="0">
      <alignment horizontal="left" vertical="center" textRotation="255" wrapText="1"/>
    </xf>
    <xf numFmtId="49" fontId="21" fillId="0" borderId="15" applyAlignment="1" pivotButton="0" quotePrefix="0" xfId="0">
      <alignment horizontal="center" vertical="center"/>
    </xf>
    <xf numFmtId="0" fontId="0" fillId="0" borderId="30" applyAlignment="1" pivotButton="0" quotePrefix="0" xfId="0">
      <alignment vertical="center"/>
    </xf>
    <xf numFmtId="49" fontId="43" fillId="0" borderId="159" applyAlignment="1" pivotButton="0" quotePrefix="0" xfId="0">
      <alignment horizontal="center" vertical="center"/>
    </xf>
    <xf numFmtId="49" fontId="39" fillId="0" borderId="18" applyAlignment="1" pivotButton="0" quotePrefix="0" xfId="0">
      <alignment horizontal="center" vertical="center"/>
    </xf>
    <xf numFmtId="49" fontId="39" fillId="0" borderId="12" applyAlignment="1" pivotButton="0" quotePrefix="0" xfId="0">
      <alignment horizontal="center" vertical="center"/>
    </xf>
    <xf numFmtId="49" fontId="40" fillId="0" borderId="12" applyAlignment="1" pivotButton="0" quotePrefix="0" xfId="0">
      <alignment horizontal="distributed" vertical="center" wrapText="1"/>
    </xf>
    <xf numFmtId="49" fontId="39" fillId="0" borderId="13" applyAlignment="1" pivotButton="0" quotePrefix="0" xfId="0">
      <alignment horizontal="center" vertical="center"/>
    </xf>
    <xf numFmtId="49" fontId="43" fillId="0" borderId="0" applyAlignment="1" pivotButton="0" quotePrefix="0" xfId="0">
      <alignment horizontal="left" vertical="center" shrinkToFit="1"/>
    </xf>
    <xf numFmtId="49" fontId="43" fillId="0" borderId="0" applyAlignment="1" pivotButton="0" quotePrefix="0" xfId="0">
      <alignment horizontal="center" vertical="center" wrapText="1"/>
    </xf>
    <xf numFmtId="49" fontId="43" fillId="0" borderId="48" applyAlignment="1" pivotButton="0" quotePrefix="0" xfId="0">
      <alignment horizontal="left" vertical="center" wrapText="1"/>
    </xf>
    <xf numFmtId="49" fontId="40" fillId="0" borderId="160" applyAlignment="1" pivotButton="0" quotePrefix="0" xfId="0">
      <alignment horizontal="center" vertical="center"/>
    </xf>
    <xf numFmtId="49" fontId="40" fillId="0" borderId="161" applyAlignment="1" pivotButton="0" quotePrefix="0" xfId="0">
      <alignment horizontal="center" vertical="center"/>
    </xf>
    <xf numFmtId="49" fontId="40" fillId="0" borderId="162" applyAlignment="1" pivotButton="0" quotePrefix="0" xfId="0">
      <alignment horizontal="center" vertical="center"/>
    </xf>
    <xf numFmtId="49" fontId="22" fillId="0" borderId="161" applyAlignment="1" pivotButton="0" quotePrefix="0" xfId="0">
      <alignment horizontal="left" vertical="center" wrapText="1"/>
    </xf>
    <xf numFmtId="49" fontId="39" fillId="0" borderId="161" applyAlignment="1" pivotButton="0" quotePrefix="0" xfId="0">
      <alignment horizontal="center" vertical="center"/>
    </xf>
    <xf numFmtId="49" fontId="40" fillId="0" borderId="161" applyAlignment="1" pivotButton="0" quotePrefix="0" xfId="0">
      <alignment horizontal="distributed" vertical="center" wrapText="1"/>
    </xf>
    <xf numFmtId="49" fontId="40" fillId="0" borderId="162" applyAlignment="1" pivotButton="0" quotePrefix="0" xfId="0">
      <alignment horizontal="distributed" vertical="center" wrapText="1"/>
    </xf>
    <xf numFmtId="49" fontId="44" fillId="0" borderId="161" applyAlignment="1" pivotButton="0" quotePrefix="0" xfId="0">
      <alignment horizontal="left" vertical="center" wrapText="1"/>
    </xf>
    <xf numFmtId="49" fontId="44" fillId="0" borderId="163" applyAlignment="1" pivotButton="0" quotePrefix="0" xfId="0">
      <alignment horizontal="left" vertical="center" wrapText="1"/>
    </xf>
    <xf numFmtId="49" fontId="40" fillId="0" borderId="164" applyAlignment="1" pivotButton="0" quotePrefix="0" xfId="0">
      <alignment horizontal="center" vertical="center"/>
    </xf>
    <xf numFmtId="49" fontId="40" fillId="0" borderId="165" applyAlignment="1" pivotButton="0" quotePrefix="0" xfId="0">
      <alignment horizontal="center" vertical="center"/>
    </xf>
    <xf numFmtId="49" fontId="40" fillId="0" borderId="166" applyAlignment="1" pivotButton="0" quotePrefix="0" xfId="0">
      <alignment horizontal="center" vertical="center"/>
    </xf>
    <xf numFmtId="49" fontId="23" fillId="0" borderId="165" applyAlignment="1" pivotButton="0" quotePrefix="0" xfId="0">
      <alignment horizontal="left" vertical="center" shrinkToFit="1"/>
    </xf>
    <xf numFmtId="49" fontId="40" fillId="0" borderId="165" applyAlignment="1" pivotButton="0" quotePrefix="0" xfId="0">
      <alignment horizontal="left" vertical="center"/>
    </xf>
    <xf numFmtId="49" fontId="40" fillId="0" borderId="165" applyAlignment="1" pivotButton="0" quotePrefix="0" xfId="0">
      <alignment horizontal="distributed" vertical="center" wrapText="1"/>
    </xf>
    <xf numFmtId="49" fontId="40" fillId="0" borderId="166" applyAlignment="1" pivotButton="0" quotePrefix="0" xfId="0">
      <alignment horizontal="distributed" vertical="center" wrapText="1"/>
    </xf>
    <xf numFmtId="49" fontId="40" fillId="0" borderId="167" applyAlignment="1" pivotButton="0" quotePrefix="0" xfId="0">
      <alignment horizontal="center" vertical="center"/>
    </xf>
    <xf numFmtId="49" fontId="44" fillId="0" borderId="48" applyAlignment="1" pivotButton="0" quotePrefix="0" xfId="0">
      <alignment horizontal="left" vertical="center" wrapText="1"/>
    </xf>
    <xf numFmtId="49" fontId="39" fillId="0" borderId="20" applyAlignment="1" pivotButton="0" quotePrefix="0" xfId="0">
      <alignment horizontal="center" vertical="center"/>
    </xf>
    <xf numFmtId="49" fontId="39" fillId="0" borderId="21" applyAlignment="1" pivotButton="0" quotePrefix="0" xfId="0">
      <alignment horizontal="center" vertical="center"/>
    </xf>
    <xf numFmtId="49" fontId="39" fillId="0" borderId="22" applyAlignment="1" pivotButton="0" quotePrefix="0" xfId="0">
      <alignment horizontal="center" vertical="center"/>
    </xf>
    <xf numFmtId="49" fontId="40" fillId="0" borderId="21" applyAlignment="1" pivotButton="0" quotePrefix="0" xfId="0">
      <alignment horizontal="distributed" vertical="center" wrapText="1"/>
    </xf>
    <xf numFmtId="49" fontId="40" fillId="0" borderId="20" applyAlignment="1" pivotButton="0" quotePrefix="0" xfId="0">
      <alignment horizontal="center" vertical="center" wrapText="1"/>
    </xf>
    <xf numFmtId="49" fontId="51" fillId="0" borderId="161" applyAlignment="1" pivotButton="0" quotePrefix="0" xfId="0">
      <alignment horizontal="center" vertical="center" wrapText="1"/>
    </xf>
    <xf numFmtId="49" fontId="44" fillId="0" borderId="162" applyAlignment="1" pivotButton="0" quotePrefix="0" xfId="0">
      <alignment horizontal="left" vertical="center" wrapText="1"/>
    </xf>
    <xf numFmtId="49" fontId="22" fillId="0" borderId="163" applyAlignment="1" pivotButton="0" quotePrefix="0" xfId="0">
      <alignment horizontal="left" vertical="center" wrapText="1"/>
    </xf>
    <xf numFmtId="49" fontId="40" fillId="0" borderId="19" applyAlignment="1" pivotButton="0" quotePrefix="0" xfId="0">
      <alignment horizontal="center" vertical="center" wrapText="1"/>
    </xf>
    <xf numFmtId="49" fontId="40" fillId="0" borderId="13" applyAlignment="1" pivotButton="0" quotePrefix="0" xfId="0">
      <alignment horizontal="center" vertical="center"/>
    </xf>
    <xf numFmtId="49" fontId="22" fillId="0" borderId="0" applyAlignment="1" pivotButton="0" quotePrefix="0" xfId="0">
      <alignment horizontal="left" vertical="center" wrapText="1"/>
    </xf>
    <xf numFmtId="49" fontId="40" fillId="0" borderId="0" applyAlignment="1" pivotButton="0" quotePrefix="0" xfId="0">
      <alignment horizontal="distributed" vertical="center" wrapText="1"/>
    </xf>
    <xf numFmtId="49" fontId="23" fillId="0" borderId="12" applyAlignment="1" pivotButton="0" quotePrefix="0" xfId="0">
      <alignment horizontal="left" vertical="center" shrinkToFit="1"/>
    </xf>
    <xf numFmtId="49" fontId="40" fillId="0" borderId="22" applyAlignment="1" pivotButton="0" quotePrefix="0" xfId="0">
      <alignment horizontal="center" vertical="center"/>
    </xf>
    <xf numFmtId="164" fontId="23" fillId="0" borderId="18" applyAlignment="1" pivotButton="0" quotePrefix="0" xfId="0">
      <alignment horizontal="center" vertical="center" shrinkToFit="1"/>
    </xf>
    <xf numFmtId="164" fontId="23" fillId="0" borderId="12" applyAlignment="1" pivotButton="0" quotePrefix="0" xfId="0">
      <alignment horizontal="center" vertical="center" shrinkToFit="1"/>
    </xf>
    <xf numFmtId="164" fontId="43" fillId="0" borderId="12" applyAlignment="1" pivotButton="0" quotePrefix="0" xfId="0">
      <alignment horizontal="center" vertical="center" shrinkToFit="1"/>
    </xf>
    <xf numFmtId="164" fontId="43" fillId="0" borderId="19" applyAlignment="1" pivotButton="0" quotePrefix="0" xfId="0">
      <alignment horizontal="center" vertical="center" shrinkToFit="1"/>
    </xf>
    <xf numFmtId="164" fontId="23" fillId="0" borderId="27" applyAlignment="1" pivotButton="0" quotePrefix="0" xfId="0">
      <alignment horizontal="center" vertical="center" shrinkToFit="1"/>
    </xf>
    <xf numFmtId="164" fontId="43" fillId="0" borderId="0" applyAlignment="1" pivotButton="0" quotePrefix="0" xfId="0">
      <alignment horizontal="center" vertical="center" shrinkToFit="1"/>
    </xf>
    <xf numFmtId="164" fontId="23" fillId="0" borderId="0" applyAlignment="1" pivotButton="0" quotePrefix="0" xfId="0">
      <alignment horizontal="center" vertical="center" shrinkToFit="1"/>
    </xf>
    <xf numFmtId="164" fontId="43" fillId="0" borderId="28" applyAlignment="1" pivotButton="0" quotePrefix="0" xfId="0">
      <alignment horizontal="center" vertical="center" shrinkToFit="1"/>
    </xf>
    <xf numFmtId="49" fontId="43" fillId="0" borderId="66" applyAlignment="1" pivotButton="0" quotePrefix="0" xfId="0">
      <alignment horizontal="center" vertical="center" textRotation="255" wrapText="1"/>
    </xf>
    <xf numFmtId="49" fontId="43" fillId="0" borderId="21" applyAlignment="1" pivotButton="0" quotePrefix="0" xfId="0">
      <alignment horizontal="center" vertical="center" textRotation="255" wrapText="1"/>
    </xf>
    <xf numFmtId="49" fontId="43" fillId="0" borderId="22" applyAlignment="1" pivotButton="0" quotePrefix="0" xfId="0">
      <alignment horizontal="center" vertical="center" textRotation="255" wrapText="1"/>
    </xf>
    <xf numFmtId="164" fontId="23" fillId="0" borderId="20" applyAlignment="1" pivotButton="0" quotePrefix="0" xfId="0">
      <alignment horizontal="center" vertical="center" shrinkToFit="1"/>
    </xf>
    <xf numFmtId="164" fontId="23" fillId="0" borderId="21" applyAlignment="1" pivotButton="0" quotePrefix="0" xfId="0">
      <alignment horizontal="center" vertical="center" shrinkToFit="1"/>
    </xf>
    <xf numFmtId="164" fontId="43" fillId="0" borderId="21" applyAlignment="1" pivotButton="0" quotePrefix="0" xfId="0">
      <alignment horizontal="center" vertical="center" shrinkToFit="1"/>
    </xf>
    <xf numFmtId="164" fontId="43" fillId="0" borderId="22" applyAlignment="1" pivotButton="0" quotePrefix="0" xfId="0">
      <alignment horizontal="center" vertical="center" shrinkToFit="1"/>
    </xf>
    <xf numFmtId="49" fontId="40" fillId="0" borderId="20" applyAlignment="1" pivotButton="0" quotePrefix="0" xfId="0">
      <alignment horizontal="left" vertical="center" wrapText="1"/>
    </xf>
    <xf numFmtId="49" fontId="40" fillId="0" borderId="21" applyAlignment="1" pivotButton="0" quotePrefix="0" xfId="0">
      <alignment horizontal="left" vertical="center" wrapText="1"/>
    </xf>
    <xf numFmtId="49" fontId="40" fillId="0" borderId="22" applyAlignment="1" pivotButton="0" quotePrefix="0" xfId="0">
      <alignment horizontal="left" vertical="center" wrapText="1"/>
    </xf>
    <xf numFmtId="165" fontId="40" fillId="0" borderId="23" applyAlignment="1" pivotButton="0" quotePrefix="0" xfId="0">
      <alignment horizontal="left" vertical="center" wrapText="1"/>
    </xf>
    <xf numFmtId="49" fontId="40" fillId="0" borderId="23" applyAlignment="1" pivotButton="0" quotePrefix="0" xfId="0">
      <alignment horizontal="left" vertical="center" wrapText="1"/>
    </xf>
    <xf numFmtId="49" fontId="39" fillId="0" borderId="13" applyAlignment="1" pivotButton="0" quotePrefix="0" xfId="0">
      <alignment vertical="center"/>
    </xf>
    <xf numFmtId="49" fontId="40" fillId="25" borderId="0" applyAlignment="1" pivotButton="0" quotePrefix="0" xfId="0">
      <alignment horizontal="center" vertical="center"/>
    </xf>
    <xf numFmtId="49" fontId="21" fillId="0" borderId="0" applyAlignment="1" pivotButton="0" quotePrefix="0" xfId="0">
      <alignment vertical="center" wrapText="1"/>
    </xf>
    <xf numFmtId="49" fontId="21" fillId="0" borderId="0" applyAlignment="1" pivotButton="0" quotePrefix="0" xfId="0">
      <alignment horizontal="center" vertical="center" wrapText="1"/>
    </xf>
    <xf numFmtId="49" fontId="40" fillId="0" borderId="0" applyAlignment="1" pivotButton="0" quotePrefix="0" xfId="0">
      <alignment vertical="center" wrapText="1"/>
    </xf>
    <xf numFmtId="49" fontId="40" fillId="0" borderId="48" applyAlignment="1" pivotButton="0" quotePrefix="0" xfId="0">
      <alignment horizontal="left" vertical="center"/>
    </xf>
    <xf numFmtId="49" fontId="39" fillId="0" borderId="170" applyAlignment="1" pivotButton="0" quotePrefix="0" xfId="0">
      <alignment horizontal="center" vertical="center"/>
    </xf>
    <xf numFmtId="49" fontId="39" fillId="0" borderId="169" applyAlignment="1" pivotButton="0" quotePrefix="0" xfId="0">
      <alignment horizontal="center" vertical="center"/>
    </xf>
    <xf numFmtId="49" fontId="43" fillId="0" borderId="65" applyAlignment="1" pivotButton="0" quotePrefix="0" xfId="0">
      <alignment horizontal="left" vertical="center"/>
    </xf>
    <xf numFmtId="49" fontId="43" fillId="0" borderId="69" applyAlignment="1" pivotButton="0" quotePrefix="0" xfId="0">
      <alignment horizontal="left" vertical="center"/>
    </xf>
    <xf numFmtId="49" fontId="39" fillId="24" borderId="65" applyAlignment="1" pivotButton="0" quotePrefix="0" xfId="0">
      <alignment horizontal="left" vertical="center"/>
    </xf>
    <xf numFmtId="49" fontId="39" fillId="24" borderId="71" applyAlignment="1" pivotButton="0" quotePrefix="0" xfId="0">
      <alignment horizontal="left" vertical="center"/>
    </xf>
    <xf numFmtId="49" fontId="39" fillId="0" borderId="43" applyAlignment="1" pivotButton="0" quotePrefix="0" xfId="0">
      <alignment horizontal="right" vertical="center"/>
    </xf>
    <xf numFmtId="49" fontId="39" fillId="0" borderId="43" applyAlignment="1" pivotButton="0" quotePrefix="0" xfId="0">
      <alignment horizontal="left" vertical="center"/>
    </xf>
    <xf numFmtId="49" fontId="39" fillId="0" borderId="17" applyAlignment="1" pivotButton="0" quotePrefix="0" xfId="0">
      <alignment horizontal="left" vertical="center"/>
    </xf>
    <xf numFmtId="164" fontId="23" fillId="0" borderId="19" applyAlignment="1" pivotButton="0" quotePrefix="0" xfId="0">
      <alignment horizontal="center" vertical="center" shrinkToFit="1"/>
    </xf>
    <xf numFmtId="164" fontId="23" fillId="0" borderId="28" applyAlignment="1" pivotButton="0" quotePrefix="0" xfId="0">
      <alignment horizontal="center" vertical="center" shrinkToFit="1"/>
    </xf>
    <xf numFmtId="164" fontId="23" fillId="0" borderId="22" applyAlignment="1" pivotButton="0" quotePrefix="0" xfId="0">
      <alignment horizontal="center" vertical="center" shrinkToFit="1"/>
    </xf>
    <xf numFmtId="49" fontId="40" fillId="0" borderId="23" applyAlignment="1" pivotButton="0" quotePrefix="0" xfId="0">
      <alignment vertical="center" wrapText="1"/>
    </xf>
    <xf numFmtId="165" fontId="21" fillId="24" borderId="18" applyAlignment="1" pivotButton="0" quotePrefix="0" xfId="0">
      <alignment vertical="center" shrinkToFit="1"/>
    </xf>
    <xf numFmtId="0" fontId="0" fillId="24" borderId="12" applyAlignment="1" pivotButton="0" quotePrefix="0" xfId="0">
      <alignment vertical="center"/>
    </xf>
    <xf numFmtId="165" fontId="40" fillId="24" borderId="12" applyAlignment="1" pivotButton="0" quotePrefix="0" xfId="0">
      <alignment horizontal="left" vertical="center" wrapText="1"/>
    </xf>
    <xf numFmtId="165" fontId="21" fillId="24" borderId="12" applyAlignment="1" pivotButton="0" quotePrefix="0" xfId="0">
      <alignment vertical="center" wrapText="1"/>
    </xf>
    <xf numFmtId="49" fontId="40" fillId="24" borderId="12" applyAlignment="1" pivotButton="0" quotePrefix="0" xfId="0">
      <alignment horizontal="left" vertical="center" wrapText="1"/>
    </xf>
    <xf numFmtId="166" fontId="21" fillId="24" borderId="12" applyAlignment="1" pivotButton="0" quotePrefix="0" xfId="0">
      <alignment vertical="center" wrapText="1"/>
    </xf>
    <xf numFmtId="166" fontId="21" fillId="24" borderId="12" applyAlignment="1" pivotButton="0" quotePrefix="0" xfId="0">
      <alignment vertical="center" shrinkToFit="1"/>
    </xf>
    <xf numFmtId="165" fontId="40" fillId="24" borderId="13" applyAlignment="1" pivotButton="0" quotePrefix="0" xfId="0">
      <alignment horizontal="center" vertical="center" wrapText="1"/>
    </xf>
    <xf numFmtId="49" fontId="40" fillId="0" borderId="46" applyAlignment="1" pivotButton="0" quotePrefix="0" xfId="0">
      <alignment vertical="center" wrapText="1"/>
    </xf>
    <xf numFmtId="165" fontId="21" fillId="24" borderId="189" applyAlignment="1" pivotButton="0" quotePrefix="0" xfId="0">
      <alignment vertical="center" shrinkToFit="1"/>
    </xf>
    <xf numFmtId="0" fontId="0" fillId="24" borderId="17" applyAlignment="1" pivotButton="0" quotePrefix="0" xfId="0">
      <alignment vertical="center"/>
    </xf>
    <xf numFmtId="165" fontId="40" fillId="24" borderId="17" applyAlignment="1" pivotButton="0" quotePrefix="0" xfId="0">
      <alignment horizontal="left" vertical="center" wrapText="1"/>
    </xf>
    <xf numFmtId="165" fontId="21" fillId="24" borderId="17" applyAlignment="1" pivotButton="0" quotePrefix="0" xfId="0">
      <alignment vertical="center" wrapText="1"/>
    </xf>
    <xf numFmtId="166" fontId="40" fillId="24" borderId="17" applyAlignment="1" pivotButton="0" quotePrefix="0" xfId="0">
      <alignment horizontal="left" vertical="center" wrapText="1"/>
    </xf>
    <xf numFmtId="166" fontId="21" fillId="24" borderId="17" applyAlignment="1" pivotButton="0" quotePrefix="0" xfId="0">
      <alignment vertical="center" wrapText="1"/>
    </xf>
    <xf numFmtId="166" fontId="21" fillId="24" borderId="17" applyAlignment="1" pivotButton="0" quotePrefix="0" xfId="0">
      <alignment vertical="center" shrinkToFit="1"/>
    </xf>
    <xf numFmtId="165" fontId="40" fillId="24" borderId="73" applyAlignment="1" pivotButton="0" quotePrefix="0" xfId="0">
      <alignment horizontal="center" vertical="center" wrapText="1"/>
    </xf>
    <xf numFmtId="49" fontId="40" fillId="0" borderId="192" applyAlignment="1" pivotButton="0" quotePrefix="0" xfId="0">
      <alignment horizontal="center" vertical="center"/>
    </xf>
    <xf numFmtId="49" fontId="40" fillId="0" borderId="193" applyAlignment="1" pivotButton="0" quotePrefix="0" xfId="0">
      <alignment horizontal="center" vertical="center"/>
    </xf>
    <xf numFmtId="49" fontId="40" fillId="0" borderId="194" applyAlignment="1" pivotButton="0" quotePrefix="0" xfId="0">
      <alignment horizontal="center" vertical="center"/>
    </xf>
    <xf numFmtId="49" fontId="20" fillId="0" borderId="150" applyAlignment="1" pivotButton="0" quotePrefix="0" xfId="0">
      <alignment horizontal="right" vertical="center"/>
    </xf>
    <xf numFmtId="49" fontId="20" fillId="0" borderId="130" applyAlignment="1" pivotButton="0" quotePrefix="0" xfId="0">
      <alignment horizontal="right" vertical="center"/>
    </xf>
    <xf numFmtId="49" fontId="39" fillId="0" borderId="27" applyAlignment="1" pivotButton="0" quotePrefix="0" xfId="0">
      <alignment horizontal="right" vertical="center"/>
    </xf>
    <xf numFmtId="49" fontId="39" fillId="0" borderId="19" applyAlignment="1" pivotButton="0" quotePrefix="0" xfId="0">
      <alignment horizontal="center" vertical="center"/>
    </xf>
    <xf numFmtId="49" fontId="59" fillId="0" borderId="23" applyAlignment="1" pivotButton="0" quotePrefix="0" xfId="0">
      <alignment horizontal="left" vertical="center"/>
    </xf>
    <xf numFmtId="49" fontId="40" fillId="0" borderId="201" applyAlignment="1" pivotButton="0" quotePrefix="0" xfId="0">
      <alignment horizontal="left" vertical="center"/>
    </xf>
    <xf numFmtId="49" fontId="21" fillId="0" borderId="12" applyAlignment="1" pivotButton="0" quotePrefix="0" xfId="0">
      <alignment horizontal="center" vertical="center" wrapText="1"/>
    </xf>
    <xf numFmtId="49" fontId="21" fillId="0" borderId="13" applyAlignment="1" pivotButton="0" quotePrefix="0" xfId="0">
      <alignment horizontal="center" vertical="center" wrapText="1"/>
    </xf>
    <xf numFmtId="49" fontId="40" fillId="0" borderId="0" applyAlignment="1" pivotButton="0" quotePrefix="0" xfId="0">
      <alignment horizontal="right" vertical="top"/>
    </xf>
    <xf numFmtId="49" fontId="40" fillId="0" borderId="0" applyAlignment="1" pivotButton="0" quotePrefix="0" xfId="0">
      <alignment horizontal="right" vertical="top" wrapText="1"/>
    </xf>
    <xf numFmtId="49" fontId="40" fillId="0" borderId="0" applyAlignment="1" pivotButton="0" quotePrefix="0" xfId="0">
      <alignment horizontal="right"/>
    </xf>
    <xf numFmtId="49" fontId="40" fillId="0" borderId="0" applyAlignment="1" pivotButton="0" quotePrefix="0" xfId="0">
      <alignment horizontal="right" wrapText="1"/>
    </xf>
    <xf numFmtId="49" fontId="21" fillId="0" borderId="21" applyAlignment="1" pivotButton="0" quotePrefix="0" xfId="0">
      <alignment horizontal="center" vertical="center" wrapText="1"/>
    </xf>
    <xf numFmtId="49" fontId="21" fillId="0" borderId="49" applyAlignment="1" pivotButton="0" quotePrefix="0" xfId="0">
      <alignment horizontal="center" vertical="center" wrapText="1"/>
    </xf>
    <xf numFmtId="49" fontId="39" fillId="0" borderId="18" applyAlignment="1" pivotButton="0" quotePrefix="0" xfId="0">
      <alignment horizontal="left" vertical="center"/>
    </xf>
    <xf numFmtId="49" fontId="60" fillId="24" borderId="0" applyAlignment="1" pivotButton="0" quotePrefix="0" xfId="0">
      <alignment horizontal="distributed" vertical="center" wrapText="1"/>
    </xf>
    <xf numFmtId="49" fontId="39" fillId="24" borderId="0" applyAlignment="1" pivotButton="0" quotePrefix="0" xfId="0">
      <alignment horizontal="center" vertical="center"/>
    </xf>
    <xf numFmtId="49" fontId="21" fillId="24" borderId="0" applyAlignment="1" pivotButton="0" quotePrefix="0" xfId="0">
      <alignment horizontal="center" vertical="center" wrapText="1"/>
    </xf>
    <xf numFmtId="49" fontId="21" fillId="24" borderId="48" applyAlignment="1" pivotButton="0" quotePrefix="0" xfId="0">
      <alignment horizontal="center" vertical="center" wrapText="1"/>
    </xf>
    <xf numFmtId="49" fontId="39" fillId="0" borderId="28" applyAlignment="1" pivotButton="0" quotePrefix="0" xfId="0">
      <alignment vertical="center"/>
    </xf>
    <xf numFmtId="49" fontId="60" fillId="24" borderId="27" applyAlignment="1" pivotButton="0" quotePrefix="0" xfId="0">
      <alignment horizontal="distributed" vertical="center" wrapText="1"/>
    </xf>
    <xf numFmtId="49" fontId="60" fillId="24" borderId="21" applyAlignment="1" pivotButton="0" quotePrefix="0" xfId="0">
      <alignment horizontal="distributed" vertical="center" wrapText="1"/>
    </xf>
    <xf numFmtId="49" fontId="39" fillId="24" borderId="21" applyAlignment="1" pivotButton="0" quotePrefix="0" xfId="0">
      <alignment horizontal="center" vertical="center"/>
    </xf>
    <xf numFmtId="49" fontId="21" fillId="24" borderId="21" applyAlignment="1" pivotButton="0" quotePrefix="0" xfId="0">
      <alignment horizontal="center" vertical="center" wrapText="1"/>
    </xf>
    <xf numFmtId="49" fontId="21" fillId="24" borderId="49" applyAlignment="1" pivotButton="0" quotePrefix="0" xfId="0">
      <alignment horizontal="center" vertical="center" wrapText="1"/>
    </xf>
    <xf numFmtId="49" fontId="39" fillId="0" borderId="210" applyAlignment="1" pivotButton="0" quotePrefix="0" xfId="0">
      <alignment vertical="center"/>
    </xf>
    <xf numFmtId="49" fontId="40" fillId="0" borderId="170" applyAlignment="1" pivotButton="0" quotePrefix="0" xfId="0">
      <alignment horizontal="left" vertical="center"/>
    </xf>
    <xf numFmtId="49" fontId="40" fillId="0" borderId="65" applyAlignment="1" pivotButton="0" quotePrefix="0" xfId="0">
      <alignment horizontal="center" vertical="center"/>
    </xf>
    <xf numFmtId="49" fontId="40" fillId="0" borderId="169" applyAlignment="1" pivotButton="0" quotePrefix="0" xfId="0">
      <alignment horizontal="center" vertical="center"/>
    </xf>
    <xf numFmtId="49" fontId="40" fillId="0" borderId="20" applyAlignment="1" pivotButton="0" quotePrefix="0" xfId="0">
      <alignment horizontal="left" vertical="center"/>
    </xf>
    <xf numFmtId="49" fontId="44" fillId="24" borderId="110" applyAlignment="1" pivotButton="0" quotePrefix="0" xfId="0">
      <alignment vertical="center"/>
    </xf>
    <xf numFmtId="49" fontId="44" fillId="24" borderId="45" applyAlignment="1" pivotButton="0" quotePrefix="0" xfId="0">
      <alignment vertical="center"/>
    </xf>
    <xf numFmtId="49" fontId="44" fillId="24" borderId="45" applyAlignment="1" pivotButton="0" quotePrefix="0" xfId="0">
      <alignment vertical="center" wrapText="1"/>
    </xf>
    <xf numFmtId="49" fontId="44" fillId="24" borderId="47" applyAlignment="1" pivotButton="0" quotePrefix="0" xfId="0">
      <alignment vertical="center" wrapText="1"/>
    </xf>
    <xf numFmtId="49" fontId="39" fillId="0" borderId="18" applyAlignment="1" pivotButton="0" quotePrefix="0" xfId="0">
      <alignment vertical="center"/>
    </xf>
    <xf numFmtId="49" fontId="39" fillId="0" borderId="12" applyAlignment="1" pivotButton="0" quotePrefix="0" xfId="0">
      <alignment vertical="center"/>
    </xf>
    <xf numFmtId="49" fontId="59" fillId="0" borderId="12" applyAlignment="1" pivotButton="0" quotePrefix="0" xfId="0">
      <alignment horizontal="left" vertical="center"/>
    </xf>
    <xf numFmtId="49" fontId="40" fillId="0" borderId="27" applyAlignment="1" pivotButton="0" quotePrefix="0" xfId="0">
      <alignment horizontal="center" vertical="center" wrapText="1"/>
    </xf>
    <xf numFmtId="49" fontId="40" fillId="25" borderId="12" applyAlignment="1" pivotButton="0" quotePrefix="0" xfId="0">
      <alignment horizontal="distributed" vertical="center" wrapText="1" shrinkToFit="1"/>
    </xf>
    <xf numFmtId="49" fontId="40" fillId="25" borderId="19" applyAlignment="1" pivotButton="0" quotePrefix="0" xfId="0">
      <alignment horizontal="distributed" vertical="center" wrapText="1" shrinkToFit="1"/>
    </xf>
    <xf numFmtId="49" fontId="40" fillId="0" borderId="27" applyAlignment="1" pivotButton="0" quotePrefix="0" xfId="0">
      <alignment horizontal="center" vertical="center" shrinkToFit="1"/>
    </xf>
    <xf numFmtId="49" fontId="40" fillId="0" borderId="28" applyAlignment="1" pivotButton="0" quotePrefix="0" xfId="0">
      <alignment horizontal="center" vertical="center" shrinkToFit="1"/>
    </xf>
    <xf numFmtId="49" fontId="40" fillId="25" borderId="21" applyAlignment="1" pivotButton="0" quotePrefix="0" xfId="0">
      <alignment horizontal="distributed" vertical="center" wrapText="1" shrinkToFit="1"/>
    </xf>
    <xf numFmtId="49" fontId="40" fillId="25" borderId="22" applyAlignment="1" pivotButton="0" quotePrefix="0" xfId="0">
      <alignment horizontal="distributed" vertical="center" wrapText="1" shrinkToFit="1"/>
    </xf>
    <xf numFmtId="49" fontId="52" fillId="0" borderId="0" applyAlignment="1" pivotButton="0" quotePrefix="0" xfId="0">
      <alignment horizontal="distributed" vertical="center"/>
    </xf>
    <xf numFmtId="49" fontId="40" fillId="0" borderId="18" applyAlignment="1" pivotButton="0" quotePrefix="0" xfId="0">
      <alignment horizontal="left" vertical="center"/>
    </xf>
    <xf numFmtId="49" fontId="40" fillId="24" borderId="12" applyAlignment="1" pivotButton="0" quotePrefix="0" xfId="0">
      <alignment horizontal="center" vertical="center"/>
    </xf>
    <xf numFmtId="49" fontId="39" fillId="24" borderId="13" applyAlignment="1" pivotButton="0" quotePrefix="0" xfId="0">
      <alignment horizontal="center" vertical="center"/>
    </xf>
    <xf numFmtId="49" fontId="40" fillId="24" borderId="0" applyAlignment="1" pivotButton="0" quotePrefix="0" xfId="0">
      <alignment horizontal="center" vertical="center"/>
    </xf>
    <xf numFmtId="49" fontId="39" fillId="24" borderId="48" applyAlignment="1" pivotButton="0" quotePrefix="0" xfId="0">
      <alignment horizontal="center" vertical="center"/>
    </xf>
    <xf numFmtId="49" fontId="40" fillId="0" borderId="19" applyAlignment="1" pivotButton="0" quotePrefix="0" xfId="0">
      <alignment horizontal="distributed" vertical="center"/>
    </xf>
    <xf numFmtId="49" fontId="40" fillId="24" borderId="12" applyAlignment="1" pivotButton="0" quotePrefix="0" xfId="0">
      <alignment horizontal="center" vertical="center" wrapText="1"/>
    </xf>
    <xf numFmtId="49" fontId="40" fillId="24" borderId="13" applyAlignment="1" pivotButton="0" quotePrefix="0" xfId="0">
      <alignment horizontal="center" vertical="center" wrapText="1"/>
    </xf>
    <xf numFmtId="49" fontId="40" fillId="24" borderId="21" applyAlignment="1" pivotButton="0" quotePrefix="0" xfId="0">
      <alignment horizontal="center" vertical="center" wrapText="1"/>
    </xf>
    <xf numFmtId="49" fontId="40" fillId="24" borderId="49" applyAlignment="1" pivotButton="0" quotePrefix="0" xfId="0">
      <alignment horizontal="center" vertical="center" wrapText="1"/>
    </xf>
    <xf numFmtId="49" fontId="40" fillId="0" borderId="19" applyAlignment="1" pivotButton="0" quotePrefix="0" xfId="0">
      <alignment vertical="center" wrapText="1"/>
    </xf>
    <xf numFmtId="49" fontId="44" fillId="24" borderId="18" applyAlignment="1" pivotButton="0" quotePrefix="0" xfId="0">
      <alignment vertical="center"/>
    </xf>
    <xf numFmtId="49" fontId="44" fillId="24" borderId="12" applyAlignment="1" pivotButton="0" quotePrefix="0" xfId="0">
      <alignment vertical="center"/>
    </xf>
    <xf numFmtId="49" fontId="44" fillId="24" borderId="12" applyAlignment="1" pivotButton="0" quotePrefix="0" xfId="0">
      <alignment vertical="center" wrapText="1"/>
    </xf>
    <xf numFmtId="49" fontId="44" fillId="24" borderId="13" applyAlignment="1" pivotButton="0" quotePrefix="0" xfId="0">
      <alignment vertical="center" wrapText="1"/>
    </xf>
    <xf numFmtId="49" fontId="40" fillId="0" borderId="137" applyAlignment="1" pivotButton="0" quotePrefix="0" xfId="0">
      <alignment horizontal="center" vertical="center"/>
    </xf>
    <xf numFmtId="49" fontId="40" fillId="0" borderId="136" applyAlignment="1" pivotButton="0" quotePrefix="0" xfId="0">
      <alignment horizontal="center" vertical="center"/>
    </xf>
    <xf numFmtId="49" fontId="40" fillId="0" borderId="135" applyAlignment="1" pivotButton="0" quotePrefix="0" xfId="0">
      <alignment horizontal="center" vertical="center"/>
    </xf>
    <xf numFmtId="49" fontId="39" fillId="0" borderId="189" applyAlignment="1" pivotButton="0" quotePrefix="0" xfId="0">
      <alignment horizontal="center" vertical="center"/>
    </xf>
    <xf numFmtId="49" fontId="39" fillId="0" borderId="188" applyAlignment="1" pivotButton="0" quotePrefix="0" xfId="0">
      <alignment horizontal="center" vertical="center"/>
    </xf>
    <xf numFmtId="49" fontId="60" fillId="24" borderId="17" applyAlignment="1" pivotButton="0" quotePrefix="0" xfId="0">
      <alignment horizontal="distributed" vertical="center" wrapText="1"/>
    </xf>
    <xf numFmtId="49" fontId="39" fillId="24" borderId="17" applyAlignment="1" pivotButton="0" quotePrefix="0" xfId="0">
      <alignment horizontal="center" vertical="center"/>
    </xf>
    <xf numFmtId="49" fontId="21" fillId="24" borderId="17" applyAlignment="1" pivotButton="0" quotePrefix="0" xfId="0">
      <alignment horizontal="center" vertical="center" wrapText="1"/>
    </xf>
    <xf numFmtId="49" fontId="21" fillId="24" borderId="73" applyAlignment="1" pivotButton="0" quotePrefix="0" xfId="0">
      <alignment horizontal="center" vertical="center" wrapText="1"/>
    </xf>
    <xf numFmtId="49" fontId="40" fillId="0" borderId="67" applyAlignment="1" pivotButton="0" quotePrefix="0" xfId="0">
      <alignment horizontal="center" vertical="center"/>
    </xf>
    <xf numFmtId="49" fontId="40" fillId="0" borderId="69" applyAlignment="1" pivotButton="0" quotePrefix="0" xfId="0">
      <alignment horizontal="center" vertical="center"/>
    </xf>
    <xf numFmtId="49" fontId="63" fillId="0" borderId="0" applyAlignment="1" pivotButton="0" quotePrefix="0" xfId="0">
      <alignment horizontal="left" vertical="center"/>
    </xf>
    <xf numFmtId="49" fontId="43" fillId="0" borderId="15" applyAlignment="1" pivotButton="0" quotePrefix="0" xfId="0">
      <alignment horizontal="center" vertical="center"/>
    </xf>
    <xf numFmtId="49" fontId="40" fillId="24" borderId="12" applyAlignment="1" pivotButton="0" quotePrefix="0" xfId="0">
      <alignment horizontal="distributed" vertical="center" wrapText="1"/>
    </xf>
    <xf numFmtId="49" fontId="39" fillId="24" borderId="13" applyAlignment="1" pivotButton="0" quotePrefix="0" xfId="0">
      <alignment horizontal="left" vertical="center"/>
    </xf>
    <xf numFmtId="49" fontId="40" fillId="24" borderId="0" applyAlignment="1" pivotButton="0" quotePrefix="0" xfId="0">
      <alignment horizontal="distributed" vertical="center" wrapText="1"/>
    </xf>
    <xf numFmtId="49" fontId="39" fillId="24" borderId="48" applyAlignment="1" pivotButton="0" quotePrefix="0" xfId="0">
      <alignment horizontal="left" vertical="center"/>
    </xf>
    <xf numFmtId="49" fontId="21" fillId="24" borderId="21" applyAlignment="1" pivotButton="0" quotePrefix="0" xfId="0">
      <alignment horizontal="center" vertical="center"/>
    </xf>
    <xf numFmtId="49" fontId="39" fillId="24" borderId="49" applyAlignment="1" pivotButton="0" quotePrefix="0" xfId="0">
      <alignment horizontal="left" vertical="center"/>
    </xf>
    <xf numFmtId="49" fontId="43" fillId="0" borderId="78" applyAlignment="1" pivotButton="0" quotePrefix="0" xfId="0">
      <alignment horizontal="distributed" vertical="center"/>
    </xf>
    <xf numFmtId="49" fontId="43" fillId="0" borderId="79" applyAlignment="1" pivotButton="0" quotePrefix="0" xfId="0">
      <alignment horizontal="distributed" vertical="center"/>
    </xf>
    <xf numFmtId="49" fontId="21" fillId="0" borderId="79" applyAlignment="1" pivotButton="0" quotePrefix="0" xfId="0">
      <alignment horizontal="right" vertical="center"/>
    </xf>
    <xf numFmtId="49" fontId="39" fillId="0" borderId="79" applyAlignment="1" pivotButton="0" quotePrefix="0" xfId="0">
      <alignment horizontal="left" vertical="center"/>
    </xf>
    <xf numFmtId="49" fontId="21" fillId="0" borderId="79" applyAlignment="1" pivotButton="0" quotePrefix="0" xfId="0">
      <alignment horizontal="center" vertical="center"/>
    </xf>
    <xf numFmtId="49" fontId="39" fillId="0" borderId="80" applyAlignment="1" pivotButton="0" quotePrefix="0" xfId="0">
      <alignment horizontal="left" vertical="center"/>
    </xf>
    <xf numFmtId="49" fontId="40" fillId="24" borderId="0" applyAlignment="1" pivotButton="0" quotePrefix="0" xfId="0">
      <alignment vertical="center"/>
    </xf>
    <xf numFmtId="49" fontId="21" fillId="24" borderId="12" applyAlignment="1" pivotButton="0" quotePrefix="0" xfId="0">
      <alignment horizontal="right" vertical="center"/>
    </xf>
    <xf numFmtId="49" fontId="40" fillId="24" borderId="14" applyAlignment="1" pivotButton="0" quotePrefix="0" xfId="0">
      <alignment horizontal="center" vertical="center"/>
    </xf>
    <xf numFmtId="49" fontId="40" fillId="24" borderId="48" applyAlignment="1" pivotButton="0" quotePrefix="0" xfId="0">
      <alignment horizontal="left" vertical="center"/>
    </xf>
    <xf numFmtId="49" fontId="39" fillId="24" borderId="73" applyAlignment="1" pivotButton="0" quotePrefix="0" xfId="0">
      <alignment horizontal="left" vertical="center"/>
    </xf>
    <xf numFmtId="49" fontId="21" fillId="0" borderId="0" applyAlignment="1" pivotButton="0" quotePrefix="0" xfId="0">
      <alignment horizontal="left" vertical="center" wrapText="1"/>
    </xf>
    <xf numFmtId="49" fontId="21" fillId="0" borderId="48" applyAlignment="1" pivotButton="0" quotePrefix="0" xfId="0">
      <alignment horizontal="left" vertical="center" wrapText="1"/>
    </xf>
    <xf numFmtId="49" fontId="21" fillId="0" borderId="43" applyAlignment="1" pivotButton="0" quotePrefix="0" xfId="0">
      <alignment horizontal="left" vertical="center" wrapText="1"/>
    </xf>
    <xf numFmtId="49" fontId="22" fillId="0" borderId="43" applyAlignment="1" pivotButton="0" quotePrefix="0" xfId="0">
      <alignment vertical="center" wrapText="1"/>
    </xf>
    <xf numFmtId="49" fontId="22" fillId="0" borderId="0" applyAlignment="1" pivotButton="0" quotePrefix="0" xfId="0">
      <alignment vertical="center" wrapText="1"/>
    </xf>
    <xf numFmtId="49" fontId="21" fillId="0" borderId="43" applyAlignment="1" pivotButton="0" quotePrefix="0" xfId="0">
      <alignment vertical="center" wrapText="1"/>
    </xf>
    <xf numFmtId="49" fontId="21" fillId="0" borderId="43" applyAlignment="1" pivotButton="0" quotePrefix="0" xfId="0">
      <alignment vertical="center" shrinkToFit="1"/>
    </xf>
    <xf numFmtId="49" fontId="21" fillId="0" borderId="0" applyAlignment="1" pivotButton="0" quotePrefix="0" xfId="0">
      <alignment vertical="center" shrinkToFit="1"/>
    </xf>
    <xf numFmtId="49" fontId="40" fillId="0" borderId="43" applyAlignment="1" pivotButton="0" quotePrefix="0" xfId="0">
      <alignment vertical="center"/>
    </xf>
    <xf numFmtId="49" fontId="40" fillId="0" borderId="0" applyAlignment="1" pivotButton="0" quotePrefix="0" xfId="0">
      <alignment vertical="center"/>
    </xf>
    <xf numFmtId="49" fontId="29" fillId="0" borderId="43" applyAlignment="1" pivotButton="0" quotePrefix="0" xfId="0">
      <alignment horizontal="center" vertical="center" shrinkToFit="1"/>
    </xf>
    <xf numFmtId="49" fontId="29" fillId="0" borderId="0" applyAlignment="1" pivotButton="0" quotePrefix="0" xfId="0">
      <alignment horizontal="center" vertical="center" shrinkToFit="1"/>
    </xf>
    <xf numFmtId="49" fontId="43" fillId="0" borderId="21" applyAlignment="1" pivotButton="0" quotePrefix="0" xfId="0">
      <alignment horizontal="left" vertical="center"/>
    </xf>
    <xf numFmtId="49" fontId="65" fillId="0" borderId="78" applyAlignment="1" pivotButton="0" quotePrefix="0" xfId="0">
      <alignment horizontal="distributed" vertical="center"/>
    </xf>
    <xf numFmtId="49" fontId="65" fillId="0" borderId="79" applyAlignment="1" pivotButton="0" quotePrefix="0" xfId="0">
      <alignment horizontal="distributed" vertical="center"/>
    </xf>
    <xf numFmtId="49" fontId="57" fillId="0" borderId="79" applyAlignment="1" pivotButton="0" quotePrefix="0" xfId="0">
      <alignment horizontal="right" vertical="center"/>
    </xf>
    <xf numFmtId="49" fontId="40" fillId="0" borderId="65" applyAlignment="1" pivotButton="0" quotePrefix="0" xfId="0">
      <alignment horizontal="left" vertical="center"/>
    </xf>
    <xf numFmtId="49" fontId="21" fillId="0" borderId="65" applyAlignment="1" pivotButton="0" quotePrefix="0" xfId="0">
      <alignment horizontal="left" vertical="center" wrapText="1"/>
    </xf>
    <xf numFmtId="49" fontId="21" fillId="0" borderId="71" applyAlignment="1" pivotButton="0" quotePrefix="0" xfId="0">
      <alignment horizontal="left" vertical="center" wrapText="1"/>
    </xf>
    <xf numFmtId="49" fontId="48" fillId="0" borderId="43" applyAlignment="1" pivotButton="0" quotePrefix="0" xfId="0">
      <alignment vertical="center" wrapText="1"/>
    </xf>
    <xf numFmtId="49" fontId="48" fillId="0" borderId="0" applyAlignment="1" pivotButton="0" quotePrefix="0" xfId="0">
      <alignment vertical="center" wrapText="1"/>
    </xf>
    <xf numFmtId="49" fontId="40" fillId="0" borderId="32" applyAlignment="1" pivotButton="0" quotePrefix="0" xfId="0">
      <alignment horizontal="center" vertical="center"/>
    </xf>
    <xf numFmtId="49" fontId="49" fillId="0" borderId="43" applyAlignment="1" pivotButton="0" quotePrefix="0" xfId="0">
      <alignment vertical="center" wrapText="1"/>
    </xf>
    <xf numFmtId="49" fontId="49" fillId="0" borderId="0" applyAlignment="1" pivotButton="0" quotePrefix="0" xfId="0">
      <alignment vertical="center" wrapText="1"/>
    </xf>
    <xf numFmtId="49" fontId="39" fillId="0" borderId="12" applyAlignment="1" pivotButton="0" quotePrefix="0" xfId="0">
      <alignment horizontal="left" vertical="center"/>
    </xf>
    <xf numFmtId="0" fontId="6" fillId="0" borderId="0" applyAlignment="1" pivotButton="0" quotePrefix="0" xfId="0">
      <alignment vertical="center"/>
    </xf>
    <xf numFmtId="49" fontId="43" fillId="0" borderId="14" applyAlignment="1" pivotButton="0" quotePrefix="0" xfId="0">
      <alignment horizontal="right" vertical="center"/>
    </xf>
    <xf numFmtId="49" fontId="66" fillId="0" borderId="14" applyAlignment="1" pivotButton="0" quotePrefix="0" xfId="0">
      <alignment horizontal="center" vertical="center"/>
    </xf>
    <xf numFmtId="49" fontId="43" fillId="0" borderId="112" applyAlignment="1" pivotButton="0" quotePrefix="0" xfId="0">
      <alignment horizontal="right" vertical="center"/>
    </xf>
    <xf numFmtId="49" fontId="43" fillId="0" borderId="15" applyAlignment="1" pivotButton="0" quotePrefix="0" xfId="0">
      <alignment horizontal="right" vertical="center"/>
    </xf>
    <xf numFmtId="49" fontId="43" fillId="0" borderId="12" applyAlignment="1" pivotButton="0" quotePrefix="0" xfId="0">
      <alignment horizontal="right" vertical="center"/>
    </xf>
    <xf numFmtId="49" fontId="66" fillId="0" borderId="12" applyAlignment="1" pivotButton="0" quotePrefix="0" xfId="0">
      <alignment horizontal="center" vertical="center"/>
    </xf>
    <xf numFmtId="49" fontId="43" fillId="0" borderId="152" applyAlignment="1" pivotButton="0" quotePrefix="0" xfId="0">
      <alignment horizontal="right" vertical="center"/>
    </xf>
    <xf numFmtId="49" fontId="43" fillId="0" borderId="13" applyAlignment="1" pivotButton="0" quotePrefix="0" xfId="0">
      <alignment horizontal="right" vertical="center"/>
    </xf>
    <xf numFmtId="49" fontId="43" fillId="0" borderId="45" applyAlignment="1" pivotButton="0" quotePrefix="0" xfId="0">
      <alignment horizontal="right" vertical="center"/>
    </xf>
    <xf numFmtId="49" fontId="66" fillId="0" borderId="45" applyAlignment="1" pivotButton="0" quotePrefix="0" xfId="0">
      <alignment horizontal="center" vertical="center"/>
    </xf>
    <xf numFmtId="49" fontId="43" fillId="0" borderId="243" applyAlignment="1" pivotButton="0" quotePrefix="0" xfId="0">
      <alignment horizontal="right" vertical="center"/>
    </xf>
    <xf numFmtId="49" fontId="43" fillId="0" borderId="47" applyAlignment="1" pivotButton="0" quotePrefix="0" xfId="0">
      <alignment horizontal="right" vertical="center"/>
    </xf>
    <xf numFmtId="49" fontId="40" fillId="0" borderId="172" applyAlignment="1" pivotButton="0" quotePrefix="0" xfId="0">
      <alignment horizontal="center" vertical="center" textRotation="255"/>
    </xf>
    <xf numFmtId="0" fontId="43" fillId="0" borderId="172" applyAlignment="1" pivotButton="0" quotePrefix="0" xfId="0">
      <alignment horizontal="distributed" vertical="center" shrinkToFit="1" indent="1"/>
    </xf>
    <xf numFmtId="49" fontId="23" fillId="0" borderId="172" applyAlignment="1" pivotButton="0" quotePrefix="0" xfId="0">
      <alignment horizontal="center" vertical="center"/>
    </xf>
    <xf numFmtId="49" fontId="23" fillId="0" borderId="172" applyAlignment="1" pivotButton="0" quotePrefix="0" xfId="0">
      <alignment horizontal="left" vertical="center"/>
    </xf>
    <xf numFmtId="49" fontId="43" fillId="0" borderId="172" applyAlignment="1" pivotButton="0" quotePrefix="0" xfId="0">
      <alignment horizontal="right" vertical="center"/>
    </xf>
    <xf numFmtId="49" fontId="66" fillId="0" borderId="172" applyAlignment="1" pivotButton="0" quotePrefix="0" xfId="0">
      <alignment horizontal="center" vertical="center"/>
    </xf>
    <xf numFmtId="49" fontId="43" fillId="0" borderId="14" applyAlignment="1" pivotButton="0" quotePrefix="0" xfId="0">
      <alignment vertical="center" wrapText="1"/>
    </xf>
    <xf numFmtId="49" fontId="43" fillId="0" borderId="12" applyAlignment="1" pivotButton="0" quotePrefix="0" xfId="0">
      <alignment vertical="center" wrapText="1"/>
    </xf>
    <xf numFmtId="49" fontId="43" fillId="0" borderId="46" applyAlignment="1" pivotButton="0" quotePrefix="0" xfId="0">
      <alignment horizontal="center" vertical="center"/>
    </xf>
    <xf numFmtId="49" fontId="43" fillId="0" borderId="47" applyAlignment="1" pivotButton="0" quotePrefix="0" xfId="0">
      <alignment horizontal="center" vertical="center"/>
    </xf>
    <xf numFmtId="49" fontId="67" fillId="0" borderId="14" applyAlignment="1" pivotButton="0" quotePrefix="0" xfId="0">
      <alignment horizontal="center" vertical="center"/>
    </xf>
    <xf numFmtId="166" fontId="40" fillId="0" borderId="23" applyAlignment="1" pivotButton="0" quotePrefix="0" xfId="0">
      <alignment horizontal="center" vertical="center" wrapText="1"/>
    </xf>
    <xf numFmtId="49" fontId="43" fillId="0" borderId="16" applyAlignment="1" pivotButton="0" quotePrefix="0" xfId="0">
      <alignment horizontal="distributed" vertical="center" wrapText="1"/>
    </xf>
    <xf numFmtId="49" fontId="43" fillId="0" borderId="14" applyAlignment="1" pivotButton="0" quotePrefix="0" xfId="0">
      <alignment horizontal="distributed" vertical="center" wrapText="1"/>
    </xf>
    <xf numFmtId="167" fontId="40" fillId="0" borderId="16" applyAlignment="1" pivotButton="0" quotePrefix="0" xfId="0">
      <alignment horizontal="distributed" vertical="center" wrapText="1"/>
    </xf>
    <xf numFmtId="167" fontId="40" fillId="0" borderId="23" applyAlignment="1" pivotButton="0" quotePrefix="0" xfId="0">
      <alignment horizontal="distributed" vertical="center" wrapText="1"/>
    </xf>
    <xf numFmtId="49" fontId="20" fillId="0" borderId="16" applyAlignment="1" pivotButton="0" quotePrefix="0" xfId="0">
      <alignment horizontal="center" vertical="center" wrapText="1"/>
    </xf>
    <xf numFmtId="167" fontId="44" fillId="0" borderId="23" applyAlignment="1" pivotButton="0" quotePrefix="0" xfId="0">
      <alignment horizontal="distributed" vertical="center" wrapText="1"/>
    </xf>
    <xf numFmtId="49" fontId="40" fillId="0" borderId="27" applyAlignment="1" pivotButton="0" quotePrefix="0" xfId="0">
      <alignment horizontal="center" vertical="center"/>
    </xf>
    <xf numFmtId="49" fontId="40" fillId="0" borderId="18" applyAlignment="1" pivotButton="0" quotePrefix="0" xfId="0">
      <alignment vertical="center"/>
    </xf>
    <xf numFmtId="49" fontId="40" fillId="0" borderId="12" applyAlignment="1" pivotButton="0" quotePrefix="0" xfId="0">
      <alignment vertical="center"/>
    </xf>
    <xf numFmtId="164" fontId="21" fillId="0" borderId="12" applyAlignment="1" pivotButton="0" quotePrefix="0" xfId="0">
      <alignment horizontal="center" vertical="center"/>
    </xf>
    <xf numFmtId="164" fontId="21" fillId="0" borderId="19" applyAlignment="1" pivotButton="0" quotePrefix="0" xfId="0">
      <alignment horizontal="center" vertical="center"/>
    </xf>
    <xf numFmtId="49" fontId="40" fillId="0" borderId="27" applyAlignment="1" pivotButton="0" quotePrefix="0" xfId="0">
      <alignment vertical="center"/>
    </xf>
    <xf numFmtId="49" fontId="23" fillId="0" borderId="0" applyAlignment="1" pivotButton="0" quotePrefix="0" xfId="0">
      <alignment horizontal="center" vertical="center"/>
    </xf>
    <xf numFmtId="49" fontId="43" fillId="0" borderId="0" applyAlignment="1" pivotButton="0" quotePrefix="0" xfId="0">
      <alignment vertical="center"/>
    </xf>
    <xf numFmtId="49" fontId="39" fillId="0" borderId="28" applyAlignment="1" pivotButton="0" quotePrefix="0" xfId="0">
      <alignment horizontal="left" vertical="center"/>
    </xf>
    <xf numFmtId="49" fontId="40" fillId="0" borderId="20" applyAlignment="1" pivotButton="0" quotePrefix="0" xfId="0">
      <alignment vertical="center"/>
    </xf>
    <xf numFmtId="49" fontId="40" fillId="0" borderId="21" applyAlignment="1" pivotButton="0" quotePrefix="0" xfId="0">
      <alignment vertical="center"/>
    </xf>
    <xf numFmtId="49" fontId="40" fillId="0" borderId="22" applyAlignment="1" pivotButton="0" quotePrefix="0" xfId="0">
      <alignment vertical="center"/>
    </xf>
    <xf numFmtId="166" fontId="40" fillId="0" borderId="23" applyAlignment="1" pivotButton="0" quotePrefix="0" xfId="0">
      <alignment horizontal="left" vertical="center" wrapText="1"/>
    </xf>
    <xf numFmtId="165" fontId="40" fillId="0" borderId="15" applyAlignment="1" pivotButton="0" quotePrefix="0" xfId="0">
      <alignment horizontal="center" vertical="center" wrapText="1"/>
    </xf>
    <xf numFmtId="49" fontId="39" fillId="0" borderId="35" applyAlignment="1" pivotButton="0" quotePrefix="0" xfId="0">
      <alignment vertical="center"/>
    </xf>
    <xf numFmtId="49" fontId="40" fillId="0" borderId="0" applyAlignment="1" pivotButton="0" quotePrefix="0" xfId="0">
      <alignment horizontal="distributed" vertical="center"/>
    </xf>
    <xf numFmtId="49" fontId="39" fillId="0" borderId="33" applyAlignment="1" pivotButton="0" quotePrefix="0" xfId="0">
      <alignment vertical="center"/>
    </xf>
    <xf numFmtId="49" fontId="60" fillId="0" borderId="0" applyAlignment="1" pivotButton="0" quotePrefix="0" xfId="0">
      <alignment horizontal="left" vertical="center"/>
    </xf>
    <xf numFmtId="49" fontId="44" fillId="0" borderId="0" applyAlignment="1" pivotButton="0" quotePrefix="0" xfId="0">
      <alignment horizontal="center" vertical="center"/>
    </xf>
    <xf numFmtId="49" fontId="44" fillId="0" borderId="0" applyAlignment="1" pivotButton="0" quotePrefix="0" xfId="0">
      <alignment horizontal="distributed" vertical="center"/>
    </xf>
    <xf numFmtId="49" fontId="39" fillId="0" borderId="34" applyAlignment="1" pivotButton="0" quotePrefix="0" xfId="0">
      <alignment vertical="center"/>
    </xf>
    <xf numFmtId="49" fontId="39" fillId="0" borderId="21" applyAlignment="1" pivotButton="0" quotePrefix="0" xfId="0">
      <alignment vertical="center"/>
    </xf>
    <xf numFmtId="49" fontId="39" fillId="0" borderId="49" applyAlignment="1" pivotButton="0" quotePrefix="0" xfId="0">
      <alignment vertical="center"/>
    </xf>
    <xf numFmtId="49" fontId="39" fillId="0" borderId="32" applyAlignment="1" pivotButton="0" quotePrefix="0" xfId="0">
      <alignment horizontal="left" vertical="center"/>
    </xf>
    <xf numFmtId="49" fontId="60" fillId="0" borderId="21" applyAlignment="1" pivotButton="0" quotePrefix="0" xfId="0">
      <alignment horizontal="left" vertical="center"/>
    </xf>
    <xf numFmtId="49" fontId="39" fillId="0" borderId="21" applyAlignment="1" pivotButton="0" quotePrefix="0" xfId="0">
      <alignment horizontal="left" vertical="center"/>
    </xf>
    <xf numFmtId="49" fontId="39" fillId="0" borderId="49" applyAlignment="1" pivotButton="0" quotePrefix="0" xfId="0">
      <alignment horizontal="left" vertical="center"/>
    </xf>
    <xf numFmtId="49" fontId="40" fillId="0" borderId="18" applyAlignment="1" pivotButton="0" quotePrefix="0" xfId="0">
      <alignment horizontal="center" vertical="center" wrapText="1"/>
    </xf>
    <xf numFmtId="49" fontId="40" fillId="0" borderId="28" applyAlignment="1" pivotButton="0" quotePrefix="0" xfId="0">
      <alignment horizontal="center" vertical="center" wrapText="1"/>
    </xf>
    <xf numFmtId="49" fontId="40" fillId="0" borderId="22" applyAlignment="1" pivotButton="0" quotePrefix="0" xfId="0">
      <alignment horizontal="center" vertical="center" wrapText="1"/>
    </xf>
    <xf numFmtId="49" fontId="43" fillId="0" borderId="210" applyAlignment="1" pivotButton="0" quotePrefix="0" xfId="0">
      <alignment horizontal="center" vertical="center"/>
    </xf>
    <xf numFmtId="49" fontId="71" fillId="0" borderId="33" applyAlignment="1" pivotButton="0" quotePrefix="0" xfId="0">
      <alignment vertical="center"/>
    </xf>
    <xf numFmtId="49" fontId="44" fillId="0" borderId="210" applyAlignment="1" pivotButton="0" quotePrefix="0" xfId="0">
      <alignment horizontal="distributed" vertical="center"/>
    </xf>
    <xf numFmtId="49" fontId="43" fillId="0" borderId="0" applyAlignment="1" pivotButton="0" quotePrefix="0" xfId="0">
      <alignment horizontal="distributed" vertical="center"/>
    </xf>
    <xf numFmtId="49" fontId="43" fillId="0" borderId="28" applyAlignment="1" pivotButton="0" quotePrefix="0" xfId="0">
      <alignment horizontal="distributed" vertical="center"/>
    </xf>
    <xf numFmtId="49" fontId="38" fillId="0" borderId="27" applyAlignment="1" pivotButton="0" quotePrefix="0" xfId="0">
      <alignment vertical="center"/>
    </xf>
    <xf numFmtId="49" fontId="39" fillId="0" borderId="27" applyAlignment="1" pivotButton="0" quotePrefix="0" xfId="0">
      <alignment horizontal="distributed" vertical="center"/>
    </xf>
    <xf numFmtId="49" fontId="40" fillId="0" borderId="28" applyAlignment="1" pivotButton="0" quotePrefix="0" xfId="0">
      <alignment horizontal="distributed" vertical="center"/>
    </xf>
    <xf numFmtId="49" fontId="21" fillId="0" borderId="12" applyAlignment="1" pivotButton="0" quotePrefix="0" xfId="0">
      <alignment horizontal="left" vertical="center" indent="1"/>
    </xf>
    <xf numFmtId="49" fontId="39" fillId="0" borderId="0" applyAlignment="1" applyProtection="1" pivotButton="0" quotePrefix="0" xfId="42">
      <alignment horizontal="right" vertical="center"/>
      <protection locked="0" hidden="0"/>
    </xf>
    <xf numFmtId="49" fontId="21" fillId="0" borderId="0" applyAlignment="1" pivotButton="0" quotePrefix="0" xfId="0">
      <alignment horizontal="left" vertical="center" indent="1"/>
    </xf>
    <xf numFmtId="49" fontId="59" fillId="0" borderId="0" applyAlignment="1" applyProtection="1" pivotButton="0" quotePrefix="0" xfId="42">
      <alignment horizontal="right" vertical="center"/>
      <protection locked="0" hidden="0"/>
    </xf>
    <xf numFmtId="49" fontId="40" fillId="0" borderId="12" applyAlignment="1" pivotButton="0" quotePrefix="0" xfId="0">
      <alignment horizontal="distributed" vertical="center"/>
    </xf>
    <xf numFmtId="49" fontId="39" fillId="0" borderId="13" applyAlignment="1" pivotButton="0" quotePrefix="0" xfId="0">
      <alignment horizontal="left" vertical="center"/>
    </xf>
    <xf numFmtId="49" fontId="21" fillId="0" borderId="165" applyAlignment="1" pivotButton="0" quotePrefix="0" xfId="0">
      <alignment horizontal="left" vertical="center" indent="1"/>
    </xf>
    <xf numFmtId="49" fontId="21" fillId="0" borderId="167" applyAlignment="1" pivotButton="0" quotePrefix="0" xfId="0">
      <alignment horizontal="left" vertical="center" indent="1"/>
    </xf>
    <xf numFmtId="49" fontId="21" fillId="0" borderId="27" applyAlignment="1" pivotButton="0" quotePrefix="0" xfId="0">
      <alignment horizontal="left" vertical="center" indent="1"/>
    </xf>
    <xf numFmtId="49" fontId="21" fillId="0" borderId="48" applyAlignment="1" pivotButton="0" quotePrefix="0" xfId="0">
      <alignment horizontal="left" vertical="center" indent="1"/>
    </xf>
    <xf numFmtId="49" fontId="21" fillId="0" borderId="21" applyAlignment="1" pivotButton="0" quotePrefix="0" xfId="0">
      <alignment horizontal="left" vertical="center" indent="1"/>
    </xf>
    <xf numFmtId="49" fontId="21" fillId="0" borderId="49" applyAlignment="1" pivotButton="0" quotePrefix="0" xfId="0">
      <alignment horizontal="left" vertical="center" indent="1"/>
    </xf>
    <xf numFmtId="0" fontId="0" fillId="0" borderId="12" applyAlignment="1" pivotButton="0" quotePrefix="0" xfId="0">
      <alignment horizontal="left" vertical="center" wrapText="1"/>
    </xf>
    <xf numFmtId="0" fontId="0" fillId="0" borderId="21" applyAlignment="1" pivotButton="0" quotePrefix="0" xfId="0">
      <alignment horizontal="left" vertical="center" wrapText="1"/>
    </xf>
    <xf numFmtId="49" fontId="40" fillId="0" borderId="19" applyAlignment="1" pivotButton="0" quotePrefix="0" xfId="0">
      <alignment vertical="center"/>
    </xf>
    <xf numFmtId="49" fontId="39" fillId="0" borderId="14" applyAlignment="1" pivotButton="0" quotePrefix="0" xfId="0">
      <alignment vertical="center"/>
    </xf>
    <xf numFmtId="49" fontId="39" fillId="0" borderId="15" applyAlignment="1" pivotButton="0" quotePrefix="0" xfId="0">
      <alignment vertical="center"/>
    </xf>
    <xf numFmtId="49" fontId="20" fillId="0" borderId="16" applyAlignment="1" pivotButton="0" quotePrefix="0" xfId="0">
      <alignment horizontal="right" vertical="center"/>
    </xf>
    <xf numFmtId="49" fontId="20" fillId="0" borderId="14" applyAlignment="1" pivotButton="0" quotePrefix="0" xfId="0">
      <alignment horizontal="center" vertical="center"/>
    </xf>
    <xf numFmtId="165" fontId="43" fillId="0" borderId="23" applyAlignment="1" pivotButton="0" quotePrefix="0" xfId="0">
      <alignment horizontal="left" vertical="center" wrapText="1"/>
    </xf>
    <xf numFmtId="166" fontId="43" fillId="0" borderId="23" applyAlignment="1" pivotButton="0" quotePrefix="0" xfId="0">
      <alignment horizontal="left" vertical="center" wrapText="1"/>
    </xf>
    <xf numFmtId="165" fontId="43" fillId="0" borderId="15" applyAlignment="1" pivotButton="0" quotePrefix="0" xfId="0">
      <alignment horizontal="center" vertical="center" wrapText="1"/>
    </xf>
    <xf numFmtId="49" fontId="39" fillId="0" borderId="73" applyAlignment="1" pivotButton="0" quotePrefix="0" xfId="0">
      <alignment horizontal="left" vertical="center"/>
    </xf>
    <xf numFmtId="49" fontId="43" fillId="0" borderId="12" applyAlignment="1" pivotButton="0" quotePrefix="0" xfId="0">
      <alignment horizontal="center" vertical="center"/>
    </xf>
    <xf numFmtId="49" fontId="43" fillId="0" borderId="19" applyAlignment="1" pivotButton="0" quotePrefix="0" xfId="0">
      <alignment horizontal="center" vertical="center"/>
    </xf>
    <xf numFmtId="49" fontId="43" fillId="0" borderId="23" applyAlignment="1" pivotButton="0" quotePrefix="0" xfId="0">
      <alignment horizontal="center" vertical="center" shrinkToFit="1"/>
    </xf>
    <xf numFmtId="49" fontId="40" fillId="0" borderId="46" applyAlignment="1" pivotButton="0" quotePrefix="0" xfId="0">
      <alignment horizontal="left" vertical="center"/>
    </xf>
    <xf numFmtId="49" fontId="40" fillId="0" borderId="45" applyAlignment="1" pivotButton="0" quotePrefix="0" xfId="0">
      <alignment horizontal="center" vertical="center"/>
    </xf>
    <xf numFmtId="49" fontId="56" fillId="0" borderId="45" applyAlignment="1" pivotButton="0" quotePrefix="0" xfId="0">
      <alignment horizontal="left" vertical="center"/>
    </xf>
    <xf numFmtId="167" fontId="40" fillId="0" borderId="23" applyAlignment="1" pivotButton="0" quotePrefix="0" xfId="0">
      <alignment horizontal="left" vertical="center"/>
    </xf>
    <xf numFmtId="167" fontId="40" fillId="0" borderId="112" applyAlignment="1" pivotButton="0" quotePrefix="0" xfId="0">
      <alignment horizontal="left" vertical="center"/>
    </xf>
    <xf numFmtId="167" fontId="40" fillId="0" borderId="15" applyAlignment="1" pivotButton="0" quotePrefix="0" xfId="0">
      <alignment horizontal="left" vertical="center"/>
    </xf>
    <xf numFmtId="49" fontId="39" fillId="0" borderId="20" applyAlignment="1" pivotButton="0" quotePrefix="0" xfId="0">
      <alignment vertical="center"/>
    </xf>
    <xf numFmtId="49" fontId="40" fillId="0" borderId="21" applyAlignment="1" pivotButton="0" quotePrefix="0" xfId="0">
      <alignment horizontal="distributed" vertical="center"/>
    </xf>
    <xf numFmtId="49" fontId="40" fillId="0" borderId="23" applyAlignment="1" pivotButton="0" quotePrefix="0" xfId="0">
      <alignment horizontal="left" vertical="center"/>
    </xf>
    <xf numFmtId="49" fontId="56" fillId="0" borderId="14" applyAlignment="1" pivotButton="0" quotePrefix="0" xfId="0">
      <alignment horizontal="left" vertical="center"/>
    </xf>
    <xf numFmtId="49" fontId="43" fillId="0" borderId="46" applyAlignment="1" pivotButton="0" quotePrefix="0" xfId="0">
      <alignment horizontal="center" vertical="center" shrinkToFit="1"/>
    </xf>
    <xf numFmtId="49" fontId="43" fillId="0" borderId="12" applyAlignment="1" pivotButton="0" quotePrefix="0" xfId="0">
      <alignment horizontal="center" vertical="center" textRotation="255" wrapText="1"/>
    </xf>
    <xf numFmtId="49" fontId="40" fillId="0" borderId="22" applyAlignment="1" pivotButton="0" quotePrefix="0" xfId="0">
      <alignment horizontal="distributed" vertical="center"/>
    </xf>
    <xf numFmtId="49" fontId="59" fillId="0" borderId="49" applyAlignment="1" pivotButton="0" quotePrefix="0" xfId="0">
      <alignment horizontal="center" vertical="center"/>
    </xf>
    <xf numFmtId="165" fontId="40" fillId="0" borderId="19" applyAlignment="1" pivotButton="0" quotePrefix="0" xfId="0">
      <alignment horizontal="left" vertical="center" wrapText="1"/>
    </xf>
    <xf numFmtId="49" fontId="40" fillId="0" borderId="19" applyAlignment="1" pivotButton="0" quotePrefix="0" xfId="0">
      <alignment horizontal="left" vertical="center" wrapText="1"/>
    </xf>
    <xf numFmtId="49" fontId="43" fillId="0" borderId="0" applyAlignment="1" pivotButton="0" quotePrefix="0" xfId="0">
      <alignment horizontal="center" vertical="center" textRotation="255" wrapText="1"/>
    </xf>
    <xf numFmtId="49" fontId="44" fillId="0" borderId="18" applyAlignment="1" pivotButton="0" quotePrefix="0" xfId="0">
      <alignment horizontal="center" vertical="center" wrapText="1"/>
    </xf>
    <xf numFmtId="49" fontId="44" fillId="0" borderId="19" applyAlignment="1" pivotButton="0" quotePrefix="0" xfId="0">
      <alignment horizontal="center" vertical="center" wrapText="1"/>
    </xf>
    <xf numFmtId="49" fontId="44" fillId="0" borderId="20" applyAlignment="1" pivotButton="0" quotePrefix="0" xfId="0">
      <alignment horizontal="center" vertical="center" wrapText="1"/>
    </xf>
    <xf numFmtId="49" fontId="44" fillId="0" borderId="22" applyAlignment="1" pivotButton="0" quotePrefix="0" xfId="0">
      <alignment horizontal="center" vertical="center" wrapText="1"/>
    </xf>
    <xf numFmtId="49" fontId="44" fillId="0" borderId="12" applyAlignment="1" pivotButton="0" quotePrefix="0" xfId="0">
      <alignment horizontal="distributed" vertical="center" wrapText="1"/>
    </xf>
    <xf numFmtId="167" fontId="21" fillId="0" borderId="12" applyAlignment="1" pivotButton="0" quotePrefix="0" xfId="0">
      <alignment vertical="center" wrapText="1"/>
    </xf>
    <xf numFmtId="167" fontId="21" fillId="0" borderId="19" applyAlignment="1" pivotButton="0" quotePrefix="0" xfId="0">
      <alignment vertical="center" wrapText="1"/>
    </xf>
    <xf numFmtId="49" fontId="43" fillId="0" borderId="27" applyAlignment="1" pivotButton="0" quotePrefix="0" xfId="0">
      <alignment horizontal="distributed" vertical="center" wrapText="1"/>
    </xf>
    <xf numFmtId="49" fontId="43" fillId="0" borderId="0" applyAlignment="1" pivotButton="0" quotePrefix="0" xfId="0">
      <alignment horizontal="distributed" vertical="center" wrapText="1"/>
    </xf>
    <xf numFmtId="167" fontId="52" fillId="0" borderId="28" applyAlignment="1" pivotButton="0" quotePrefix="0" xfId="0">
      <alignment horizontal="distributed" vertical="center" wrapText="1"/>
    </xf>
    <xf numFmtId="49" fontId="20" fillId="0" borderId="27" applyAlignment="1" pivotButton="0" quotePrefix="0" xfId="0">
      <alignment horizontal="center" vertical="center" wrapText="1"/>
    </xf>
    <xf numFmtId="49" fontId="23" fillId="0" borderId="0" applyAlignment="1" pivotButton="0" quotePrefix="0" xfId="0">
      <alignment horizontal="center" vertical="center" wrapText="1"/>
    </xf>
    <xf numFmtId="49" fontId="20" fillId="0" borderId="20" applyAlignment="1" pivotButton="0" quotePrefix="0" xfId="0">
      <alignment horizontal="center" vertical="center" wrapText="1"/>
    </xf>
    <xf numFmtId="49" fontId="20" fillId="0" borderId="21" applyAlignment="1" pivotButton="0" quotePrefix="0" xfId="0">
      <alignment horizontal="center" vertical="center" wrapText="1"/>
    </xf>
    <xf numFmtId="167" fontId="44" fillId="0" borderId="21" applyAlignment="1" pivotButton="0" quotePrefix="0" xfId="0">
      <alignment horizontal="distributed" vertical="center" wrapText="1"/>
    </xf>
    <xf numFmtId="167" fontId="44" fillId="0" borderId="0" applyAlignment="1" pivotButton="0" quotePrefix="0" xfId="0">
      <alignment horizontal="distributed" vertical="center" wrapText="1"/>
    </xf>
    <xf numFmtId="167" fontId="21" fillId="0" borderId="21" applyAlignment="1" pivotButton="0" quotePrefix="0" xfId="0">
      <alignment vertical="center" wrapText="1"/>
    </xf>
    <xf numFmtId="167" fontId="44" fillId="0" borderId="22" applyAlignment="1" pivotButton="0" quotePrefix="0" xfId="0">
      <alignment horizontal="distributed" vertical="center" wrapText="1"/>
    </xf>
    <xf numFmtId="165" fontId="40" fillId="0" borderId="46" applyAlignment="1" pivotButton="0" quotePrefix="0" xfId="0">
      <alignment horizontal="left" vertical="center" wrapText="1"/>
    </xf>
    <xf numFmtId="49" fontId="40" fillId="0" borderId="46" applyAlignment="1" pivotButton="0" quotePrefix="0" xfId="0">
      <alignment horizontal="left" vertical="center" wrapText="1"/>
    </xf>
    <xf numFmtId="165" fontId="40" fillId="0" borderId="47" applyAlignment="1" pivotButton="0" quotePrefix="0" xfId="0">
      <alignment horizontal="center" vertical="center" wrapText="1"/>
    </xf>
    <xf numFmtId="49" fontId="40" fillId="0" borderId="0" applyAlignment="1" pivotButton="0" quotePrefix="0" xfId="0">
      <alignment horizontal="right" vertical="center"/>
    </xf>
    <xf numFmtId="49" fontId="44" fillId="0" borderId="12" applyAlignment="1" pivotButton="0" quotePrefix="0" xfId="0">
      <alignment horizontal="center" vertical="center" textRotation="255" wrapText="1"/>
    </xf>
    <xf numFmtId="49" fontId="51" fillId="0" borderId="0" applyAlignment="1" pivotButton="0" quotePrefix="0" xfId="0">
      <alignment horizontal="center" vertical="center" wrapText="1"/>
    </xf>
    <xf numFmtId="49" fontId="52" fillId="0" borderId="0" applyAlignment="1" pivotButton="0" quotePrefix="0" xfId="0">
      <alignment horizontal="center" vertical="distributed" textRotation="255" wrapText="1"/>
    </xf>
    <xf numFmtId="49" fontId="44" fillId="0" borderId="18" applyAlignment="1" pivotButton="0" quotePrefix="0" xfId="0">
      <alignment horizontal="center" vertical="center" textRotation="255" wrapText="1"/>
    </xf>
    <xf numFmtId="49" fontId="52" fillId="0" borderId="12" applyAlignment="1" pivotButton="0" quotePrefix="0" xfId="0">
      <alignment horizontal="center" vertical="distributed" textRotation="255" wrapText="1"/>
    </xf>
    <xf numFmtId="49" fontId="44" fillId="0" borderId="19" applyAlignment="1" pivotButton="0" quotePrefix="0" xfId="0">
      <alignment horizontal="left" vertical="center" wrapText="1"/>
    </xf>
    <xf numFmtId="49" fontId="44" fillId="0" borderId="27" applyAlignment="1" pivotButton="0" quotePrefix="0" xfId="0">
      <alignment horizontal="center" vertical="center" textRotation="255" wrapText="1"/>
    </xf>
    <xf numFmtId="49" fontId="44" fillId="0" borderId="28" applyAlignment="1" pivotButton="0" quotePrefix="0" xfId="0">
      <alignment horizontal="left" vertical="center" wrapText="1"/>
    </xf>
    <xf numFmtId="49" fontId="44" fillId="0" borderId="189" applyAlignment="1" pivotButton="0" quotePrefix="0" xfId="0">
      <alignment horizontal="center" vertical="center" textRotation="255" wrapText="1"/>
    </xf>
    <xf numFmtId="49" fontId="52" fillId="0" borderId="17" applyAlignment="1" pivotButton="0" quotePrefix="0" xfId="0">
      <alignment horizontal="center" vertical="distributed" textRotation="255" wrapText="1"/>
    </xf>
    <xf numFmtId="49" fontId="44" fillId="0" borderId="188" applyAlignment="1" pivotButton="0" quotePrefix="0" xfId="0">
      <alignment horizontal="left" vertical="center" wrapText="1"/>
    </xf>
    <xf numFmtId="49" fontId="0" fillId="0" borderId="0" applyAlignment="1" pivotButton="0" quotePrefix="0" xfId="0">
      <alignment horizontal="left" vertical="center"/>
    </xf>
    <xf numFmtId="49" fontId="6" fillId="0" borderId="0" applyAlignment="1" pivotButton="0" quotePrefix="0" xfId="0">
      <alignment horizontal="left" vertical="center"/>
    </xf>
    <xf numFmtId="49" fontId="6" fillId="0" borderId="0" applyAlignment="1" pivotButton="0" quotePrefix="0" xfId="0">
      <alignment horizontal="center" vertical="center"/>
    </xf>
    <xf numFmtId="49" fontId="75" fillId="0" borderId="0" applyAlignment="1" pivotButton="0" quotePrefix="0" xfId="0">
      <alignment horizontal="left" vertical="center"/>
    </xf>
    <xf numFmtId="49" fontId="38" fillId="0" borderId="0" applyAlignment="1" pivotButton="0" quotePrefix="0" xfId="0">
      <alignment horizontal="left" vertical="center"/>
    </xf>
    <xf numFmtId="49" fontId="38" fillId="0" borderId="17" applyAlignment="1" pivotButton="0" quotePrefix="0" xfId="0">
      <alignment horizontal="left" vertical="center"/>
    </xf>
    <xf numFmtId="49" fontId="40" fillId="0" borderId="17" applyAlignment="1" pivotButton="0" quotePrefix="0" xfId="0">
      <alignment horizontal="distributed" vertical="center"/>
    </xf>
    <xf numFmtId="49" fontId="40" fillId="0" borderId="17" applyAlignment="1" pivotButton="0" quotePrefix="0" xfId="0">
      <alignment horizontal="left" vertical="center"/>
    </xf>
    <xf numFmtId="49" fontId="39" fillId="24" borderId="18" applyAlignment="1" pivotButton="0" quotePrefix="0" xfId="0">
      <alignment horizontal="left" vertical="center"/>
    </xf>
    <xf numFmtId="49" fontId="39" fillId="24" borderId="12" applyAlignment="1" pivotButton="0" quotePrefix="0" xfId="0">
      <alignment horizontal="left" vertical="center"/>
    </xf>
    <xf numFmtId="166" fontId="40" fillId="0" borderId="45" applyAlignment="1" pivotButton="0" quotePrefix="0" xfId="0">
      <alignment horizontal="center" vertical="center" wrapText="1"/>
    </xf>
    <xf numFmtId="167" fontId="40" fillId="0" borderId="46" applyAlignment="1" pivotButton="0" quotePrefix="0" xfId="0">
      <alignment horizontal="right" vertical="center" wrapText="1"/>
    </xf>
    <xf numFmtId="49" fontId="40" fillId="0" borderId="45" applyAlignment="1" pivotButton="0" quotePrefix="0" xfId="0">
      <alignment horizontal="left" vertical="center" wrapText="1"/>
    </xf>
    <xf numFmtId="49" fontId="39" fillId="24" borderId="189" applyAlignment="1" pivotButton="0" quotePrefix="0" xfId="0">
      <alignment horizontal="left" vertical="center"/>
    </xf>
    <xf numFmtId="49" fontId="39" fillId="24" borderId="17" applyAlignment="1" pivotButton="0" quotePrefix="0" xfId="0">
      <alignment horizontal="left" vertical="center"/>
    </xf>
    <xf numFmtId="49" fontId="39" fillId="0" borderId="20" applyAlignment="1" pivotButton="0" quotePrefix="0" xfId="0">
      <alignment horizontal="right" vertical="center"/>
    </xf>
    <xf numFmtId="164" fontId="40" fillId="24" borderId="18" applyAlignment="1" pivotButton="0" quotePrefix="0" xfId="0">
      <alignment vertical="center"/>
    </xf>
    <xf numFmtId="164" fontId="40" fillId="24" borderId="12" applyAlignment="1" pivotButton="0" quotePrefix="0" xfId="0">
      <alignment vertical="center"/>
    </xf>
    <xf numFmtId="49" fontId="39" fillId="0" borderId="0" applyAlignment="1" pivotButton="0" quotePrefix="0" xfId="0">
      <alignment vertical="center" wrapText="1"/>
    </xf>
    <xf numFmtId="165" fontId="21" fillId="0" borderId="0" applyAlignment="1" pivotButton="0" quotePrefix="0" xfId="0">
      <alignment horizontal="left" vertical="center"/>
    </xf>
    <xf numFmtId="166" fontId="40" fillId="0" borderId="0" applyAlignment="1" pivotButton="0" quotePrefix="0" xfId="0">
      <alignment horizontal="left" vertical="center"/>
    </xf>
    <xf numFmtId="167" fontId="40" fillId="0" borderId="0" applyAlignment="1" pivotButton="0" quotePrefix="0" xfId="0">
      <alignment horizontal="left" vertical="center"/>
    </xf>
    <xf numFmtId="164" fontId="40" fillId="0" borderId="107" applyAlignment="1" pivotButton="0" quotePrefix="0" xfId="0">
      <alignment horizontal="left" vertical="center"/>
    </xf>
    <xf numFmtId="164" fontId="40" fillId="0" borderId="0" applyAlignment="1" pivotButton="0" quotePrefix="0" xfId="0">
      <alignment horizontal="left" vertical="center"/>
    </xf>
    <xf numFmtId="49" fontId="39" fillId="0" borderId="19" applyAlignment="1" pivotButton="0" quotePrefix="0" xfId="0">
      <alignment horizontal="left" vertical="center"/>
    </xf>
    <xf numFmtId="49" fontId="39" fillId="24" borderId="27" applyAlignment="1" pivotButton="0" quotePrefix="0" xfId="0">
      <alignment horizontal="left" vertical="center"/>
    </xf>
    <xf numFmtId="49" fontId="39" fillId="24" borderId="0" applyAlignment="1" pivotButton="0" quotePrefix="0" xfId="0">
      <alignment horizontal="left" vertical="center"/>
    </xf>
    <xf numFmtId="49" fontId="39" fillId="0" borderId="27" applyAlignment="1" pivotButton="0" quotePrefix="0" xfId="0">
      <alignment horizontal="left" vertical="center"/>
    </xf>
    <xf numFmtId="165" fontId="40" fillId="0" borderId="0" applyAlignment="1" pivotButton="0" quotePrefix="0" xfId="0">
      <alignment vertical="center" justifyLastLine="1"/>
    </xf>
    <xf numFmtId="164" fontId="40" fillId="0" borderId="107" applyAlignment="1" pivotButton="0" quotePrefix="0" xfId="0">
      <alignment vertical="center"/>
    </xf>
    <xf numFmtId="165" fontId="40" fillId="0" borderId="0" applyAlignment="1" pivotButton="0" quotePrefix="0" xfId="0">
      <alignment horizontal="left" vertical="center"/>
    </xf>
    <xf numFmtId="165" fontId="40" fillId="0" borderId="0" applyAlignment="1" pivotButton="0" quotePrefix="0" xfId="0">
      <alignment vertical="center" shrinkToFit="1"/>
    </xf>
    <xf numFmtId="49" fontId="39" fillId="0" borderId="20" applyAlignment="1" pivotButton="0" quotePrefix="0" xfId="0">
      <alignment horizontal="left" vertical="center"/>
    </xf>
    <xf numFmtId="49" fontId="39" fillId="0" borderId="21" applyAlignment="1" pivotButton="0" quotePrefix="0" xfId="0">
      <alignment vertical="center" wrapText="1"/>
    </xf>
    <xf numFmtId="165" fontId="21" fillId="0" borderId="21" applyAlignment="1" pivotButton="0" quotePrefix="0" xfId="0">
      <alignment horizontal="left" vertical="center"/>
    </xf>
    <xf numFmtId="166" fontId="40" fillId="0" borderId="21" applyAlignment="1" pivotButton="0" quotePrefix="0" xfId="0">
      <alignment horizontal="left" vertical="center"/>
    </xf>
    <xf numFmtId="167" fontId="40" fillId="0" borderId="21" applyAlignment="1" pivotButton="0" quotePrefix="0" xfId="0">
      <alignment horizontal="left" vertical="center"/>
    </xf>
    <xf numFmtId="164" fontId="40" fillId="0" borderId="109" applyAlignment="1" pivotButton="0" quotePrefix="0" xfId="0">
      <alignment horizontal="left" vertical="center"/>
    </xf>
    <xf numFmtId="164" fontId="40" fillId="0" borderId="21" applyAlignment="1" pivotButton="0" quotePrefix="0" xfId="0">
      <alignment horizontal="left" vertical="center"/>
    </xf>
    <xf numFmtId="49" fontId="39" fillId="0" borderId="22" applyAlignment="1" pivotButton="0" quotePrefix="0" xfId="0">
      <alignment horizontal="left" vertical="center"/>
    </xf>
    <xf numFmtId="49" fontId="39" fillId="24" borderId="20" applyAlignment="1" pivotButton="0" quotePrefix="0" xfId="0">
      <alignment horizontal="left" vertical="center"/>
    </xf>
    <xf numFmtId="49" fontId="39" fillId="24" borderId="21" applyAlignment="1" pivotButton="0" quotePrefix="0" xfId="0">
      <alignment horizontal="left" vertical="center"/>
    </xf>
    <xf numFmtId="49" fontId="43" fillId="0" borderId="72" applyAlignment="1" pivotButton="0" quotePrefix="0" xfId="0">
      <alignment vertical="center" textRotation="255" wrapText="1"/>
    </xf>
    <xf numFmtId="49" fontId="43" fillId="0" borderId="188" applyAlignment="1" pivotButton="0" quotePrefix="0" xfId="0">
      <alignment vertical="center" textRotation="255" wrapText="1"/>
    </xf>
    <xf numFmtId="49" fontId="39" fillId="0" borderId="189" applyAlignment="1" pivotButton="0" quotePrefix="0" xfId="0">
      <alignment horizontal="left" vertical="center"/>
    </xf>
    <xf numFmtId="49" fontId="39" fillId="0" borderId="17" applyAlignment="1" pivotButton="0" quotePrefix="0" xfId="0">
      <alignment vertical="center" wrapText="1"/>
    </xf>
    <xf numFmtId="165" fontId="21" fillId="0" borderId="17" applyAlignment="1" pivotButton="0" quotePrefix="0" xfId="0">
      <alignment horizontal="left" vertical="center"/>
    </xf>
    <xf numFmtId="166" fontId="40" fillId="0" borderId="17" applyAlignment="1" pivotButton="0" quotePrefix="0" xfId="0">
      <alignment horizontal="left" vertical="center"/>
    </xf>
    <xf numFmtId="167" fontId="40" fillId="0" borderId="17" applyAlignment="1" pivotButton="0" quotePrefix="0" xfId="0">
      <alignment horizontal="left" vertical="center"/>
    </xf>
    <xf numFmtId="164" fontId="40" fillId="0" borderId="267" applyAlignment="1" pivotButton="0" quotePrefix="0" xfId="0">
      <alignment horizontal="left" vertical="center"/>
    </xf>
    <xf numFmtId="164" fontId="40" fillId="0" borderId="17" applyAlignment="1" pivotButton="0" quotePrefix="0" xfId="0">
      <alignment horizontal="left" vertical="center"/>
    </xf>
    <xf numFmtId="49" fontId="39" fillId="0" borderId="188" applyAlignment="1" pivotButton="0" quotePrefix="0" xfId="0">
      <alignment horizontal="left" vertical="center"/>
    </xf>
    <xf numFmtId="49" fontId="39" fillId="24" borderId="12" applyAlignment="1" pivotButton="0" quotePrefix="0" xfId="0">
      <alignment horizontal="center" vertical="center"/>
    </xf>
    <xf numFmtId="49" fontId="21" fillId="24" borderId="12" applyAlignment="1" pivotButton="0" quotePrefix="0" xfId="0">
      <alignment horizontal="center" vertical="center" wrapText="1"/>
    </xf>
    <xf numFmtId="49" fontId="21" fillId="24" borderId="13" applyAlignment="1" pivotButton="0" quotePrefix="0" xfId="0">
      <alignment horizontal="center" vertical="center" wrapText="1"/>
    </xf>
    <xf numFmtId="49" fontId="40" fillId="24" borderId="0" applyAlignment="1" pivotButton="0" quotePrefix="0" xfId="0">
      <alignment horizontal="right" vertical="top"/>
    </xf>
    <xf numFmtId="49" fontId="40" fillId="24" borderId="0" applyAlignment="1" pivotButton="0" quotePrefix="0" xfId="0">
      <alignment horizontal="right" vertical="top" wrapText="1"/>
    </xf>
    <xf numFmtId="49" fontId="40" fillId="24" borderId="0" applyAlignment="1" pivotButton="0" quotePrefix="0" xfId="0">
      <alignment horizontal="right"/>
    </xf>
    <xf numFmtId="49" fontId="40" fillId="24" borderId="0" applyAlignment="1" pivotButton="0" quotePrefix="0" xfId="0">
      <alignment horizontal="right" wrapText="1"/>
    </xf>
    <xf numFmtId="49" fontId="40" fillId="25" borderId="16" applyAlignment="1" pivotButton="0" quotePrefix="0" xfId="0">
      <alignment horizontal="left" vertical="center"/>
    </xf>
    <xf numFmtId="49" fontId="40" fillId="25" borderId="16" applyAlignment="1" pivotButton="0" quotePrefix="0" xfId="0">
      <alignment horizontal="center" vertical="center"/>
    </xf>
    <xf numFmtId="164" fontId="43" fillId="0" borderId="32" applyAlignment="1" pivotButton="0" quotePrefix="0" xfId="0">
      <alignment horizontal="center" vertical="center" shrinkToFit="1"/>
    </xf>
    <xf numFmtId="165" fontId="39" fillId="0" borderId="0" applyAlignment="1" pivotButton="0" quotePrefix="0" xfId="0">
      <alignment horizontal="left" vertical="center"/>
    </xf>
    <xf numFmtId="0" fontId="6" fillId="0" borderId="0" applyAlignment="1" pivotButton="0" quotePrefix="0" xfId="43">
      <alignment horizontal="center" vertical="center"/>
    </xf>
    <xf numFmtId="0" fontId="6" fillId="0" borderId="0" applyAlignment="1" pivotButton="0" quotePrefix="0" xfId="43">
      <alignment horizontal="right" vertical="center"/>
    </xf>
    <xf numFmtId="0" fontId="6" fillId="0" borderId="0" applyAlignment="1" pivotButton="0" quotePrefix="0" xfId="43">
      <alignment horizontal="left" vertical="center"/>
    </xf>
    <xf numFmtId="0" fontId="59" fillId="0" borderId="18" applyAlignment="1" pivotButton="0" quotePrefix="0" xfId="43">
      <alignment horizontal="left" vertical="top"/>
    </xf>
    <xf numFmtId="0" fontId="6" fillId="0" borderId="12" applyAlignment="1" pivotButton="0" quotePrefix="0" xfId="43">
      <alignment horizontal="left" vertical="top"/>
    </xf>
    <xf numFmtId="0" fontId="6" fillId="0" borderId="13" applyAlignment="1" pivotButton="0" quotePrefix="0" xfId="43">
      <alignment horizontal="left" vertical="top"/>
    </xf>
    <xf numFmtId="0" fontId="59" fillId="0" borderId="32" applyAlignment="1" pivotButton="0" quotePrefix="0" xfId="43">
      <alignment horizontal="center" vertical="center"/>
    </xf>
    <xf numFmtId="0" fontId="59" fillId="0" borderId="43" applyAlignment="1" pivotButton="0" quotePrefix="0" xfId="43">
      <alignment horizontal="center" vertical="center"/>
    </xf>
    <xf numFmtId="0" fontId="59" fillId="0" borderId="14" applyAlignment="1" pivotButton="0" quotePrefix="0" xfId="43">
      <alignment vertical="center"/>
    </xf>
    <xf numFmtId="0" fontId="59" fillId="0" borderId="23" applyAlignment="1" pivotButton="0" quotePrefix="0" xfId="43">
      <alignment vertical="center"/>
    </xf>
    <xf numFmtId="0" fontId="59" fillId="0" borderId="15" applyAlignment="1" pivotButton="0" quotePrefix="0" xfId="43">
      <alignment vertical="center"/>
    </xf>
    <xf numFmtId="0" fontId="59" fillId="0" borderId="12" applyAlignment="1" pivotButton="0" quotePrefix="0" xfId="43">
      <alignment vertical="center"/>
    </xf>
    <xf numFmtId="0" fontId="59" fillId="0" borderId="13" applyAlignment="1" pivotButton="0" quotePrefix="0" xfId="43">
      <alignment vertical="center"/>
    </xf>
    <xf numFmtId="0" fontId="59" fillId="0" borderId="27" applyAlignment="1" pivotButton="0" quotePrefix="0" xfId="43">
      <alignment horizontal="center" vertical="center"/>
    </xf>
    <xf numFmtId="0" fontId="59" fillId="0" borderId="0" applyAlignment="1" pivotButton="0" quotePrefix="0" xfId="43">
      <alignment horizontal="center" vertical="center"/>
    </xf>
    <xf numFmtId="0" fontId="59" fillId="0" borderId="0" applyAlignment="1" pivotButton="0" quotePrefix="0" xfId="43">
      <alignment vertical="center"/>
    </xf>
    <xf numFmtId="0" fontId="59" fillId="0" borderId="48" applyAlignment="1" pivotButton="0" quotePrefix="0" xfId="43">
      <alignment vertical="center"/>
    </xf>
    <xf numFmtId="0" fontId="59" fillId="0" borderId="20" applyAlignment="1" pivotButton="0" quotePrefix="0" xfId="43">
      <alignment horizontal="center" vertical="center"/>
    </xf>
    <xf numFmtId="0" fontId="59" fillId="0" borderId="21" applyAlignment="1" pivotButton="0" quotePrefix="0" xfId="43">
      <alignment vertical="center"/>
    </xf>
    <xf numFmtId="0" fontId="59" fillId="0" borderId="21" applyAlignment="1" pivotButton="0" quotePrefix="0" xfId="43">
      <alignment horizontal="center" vertical="center"/>
    </xf>
    <xf numFmtId="0" fontId="59" fillId="0" borderId="49" applyAlignment="1" pivotButton="0" quotePrefix="0" xfId="43">
      <alignment vertical="center"/>
    </xf>
    <xf numFmtId="0" fontId="59" fillId="0" borderId="16" applyAlignment="1" pivotButton="0" quotePrefix="0" xfId="43">
      <alignment vertical="center"/>
    </xf>
    <xf numFmtId="0" fontId="59" fillId="0" borderId="14" applyAlignment="1" pivotButton="0" quotePrefix="0" xfId="43">
      <alignment horizontal="center" vertical="center"/>
    </xf>
    <xf numFmtId="0" fontId="59" fillId="0" borderId="23" applyAlignment="1" pivotButton="0" quotePrefix="0" xfId="43">
      <alignment horizontal="center" vertical="center"/>
    </xf>
    <xf numFmtId="0" fontId="59" fillId="0" borderId="32" applyAlignment="1" pivotButton="0" quotePrefix="0" xfId="43">
      <alignment horizontal="center" vertical="center" shrinkToFit="1"/>
    </xf>
    <xf numFmtId="0" fontId="6" fillId="0" borderId="12" applyAlignment="1" pivotButton="0" quotePrefix="0" xfId="43">
      <alignment horizontal="center" vertical="center"/>
    </xf>
    <xf numFmtId="0" fontId="6" fillId="0" borderId="13" applyAlignment="1" pivotButton="0" quotePrefix="0" xfId="43">
      <alignment horizontal="center" vertical="center"/>
    </xf>
    <xf numFmtId="0" fontId="75" fillId="0" borderId="0" applyAlignment="1" pivotButton="0" quotePrefix="0" xfId="43">
      <alignment horizontal="center" vertical="center" shrinkToFit="1"/>
    </xf>
    <xf numFmtId="0" fontId="59" fillId="0" borderId="0" applyAlignment="1" pivotButton="0" quotePrefix="0" xfId="43">
      <alignment horizontal="left" vertical="center"/>
    </xf>
    <xf numFmtId="0" fontId="6" fillId="0" borderId="0" applyAlignment="1" pivotButton="0" quotePrefix="0" xfId="43">
      <alignment vertical="center"/>
    </xf>
    <xf numFmtId="0" fontId="60" fillId="0" borderId="0" applyAlignment="1" pivotButton="0" quotePrefix="0" xfId="43">
      <alignment vertical="center" wrapText="1"/>
    </xf>
    <xf numFmtId="0" fontId="59" fillId="0" borderId="16" applyAlignment="1" pivotButton="0" quotePrefix="0" xfId="43">
      <alignment horizontal="center" vertical="center"/>
    </xf>
    <xf numFmtId="0" fontId="59" fillId="0" borderId="103" applyAlignment="1" pivotButton="0" quotePrefix="0" xfId="43">
      <alignment horizontal="center" vertical="center"/>
    </xf>
    <xf numFmtId="0" fontId="59" fillId="0" borderId="258" applyAlignment="1" pivotButton="0" quotePrefix="0" xfId="43">
      <alignment horizontal="center" vertical="center"/>
    </xf>
    <xf numFmtId="0" fontId="59" fillId="0" borderId="15" applyAlignment="1" pivotButton="0" quotePrefix="0" xfId="43">
      <alignment horizontal="center" vertical="center"/>
    </xf>
    <xf numFmtId="0" fontId="59" fillId="0" borderId="43" applyAlignment="1" pivotButton="0" quotePrefix="0" xfId="43">
      <alignment horizontal="center" vertical="center" shrinkToFit="1"/>
    </xf>
    <xf numFmtId="0" fontId="59" fillId="0" borderId="27" applyAlignment="1" pivotButton="0" quotePrefix="0" xfId="43">
      <alignment horizontal="left" vertical="center"/>
    </xf>
    <xf numFmtId="0" fontId="59" fillId="0" borderId="48" applyAlignment="1" pivotButton="0" quotePrefix="0" xfId="43">
      <alignment horizontal="left" vertical="center"/>
    </xf>
    <xf numFmtId="0" fontId="59" fillId="0" borderId="48" applyAlignment="1" pivotButton="0" quotePrefix="0" xfId="43">
      <alignment horizontal="center" vertical="center"/>
    </xf>
    <xf numFmtId="0" fontId="59" fillId="0" borderId="32" applyAlignment="1" pivotButton="0" quotePrefix="0" xfId="43">
      <alignment horizontal="center"/>
    </xf>
    <xf numFmtId="0" fontId="59" fillId="0" borderId="34" applyAlignment="1" pivotButton="0" quotePrefix="0" xfId="43">
      <alignment horizontal="center" vertical="center"/>
    </xf>
    <xf numFmtId="0" fontId="59" fillId="27" borderId="14" applyAlignment="1" pivotButton="0" quotePrefix="0" xfId="43">
      <alignment vertical="center"/>
    </xf>
    <xf numFmtId="0" fontId="59" fillId="27" borderId="15" applyAlignment="1" pivotButton="0" quotePrefix="0" xfId="43">
      <alignment vertical="center"/>
    </xf>
    <xf numFmtId="0" fontId="6" fillId="0" borderId="16" applyAlignment="1" pivotButton="0" quotePrefix="0" xfId="43">
      <alignment horizontal="center" vertical="center"/>
    </xf>
    <xf numFmtId="0" fontId="6" fillId="0" borderId="23" applyAlignment="1" pivotButton="0" quotePrefix="0" xfId="43">
      <alignment horizontal="center" vertical="center"/>
    </xf>
    <xf numFmtId="0" fontId="0" fillId="0" borderId="0" applyAlignment="1" pivotButton="0" quotePrefix="0" xfId="45">
      <alignment vertical="center"/>
    </xf>
    <xf numFmtId="0" fontId="6" fillId="0" borderId="0" applyAlignment="1" pivotButton="0" quotePrefix="0" xfId="45">
      <alignment vertical="center"/>
    </xf>
    <xf numFmtId="0" fontId="75" fillId="0" borderId="0" applyAlignment="1" pivotButton="0" quotePrefix="0" xfId="45">
      <alignment vertical="center"/>
    </xf>
    <xf numFmtId="0" fontId="84" fillId="0" borderId="0" applyAlignment="1" pivotButton="0" quotePrefix="0" xfId="45">
      <alignment vertical="center"/>
    </xf>
    <xf numFmtId="0" fontId="19" fillId="0" borderId="0" applyAlignment="1" pivotButton="0" quotePrefix="0" xfId="45">
      <alignment vertical="center"/>
    </xf>
    <xf numFmtId="0" fontId="59" fillId="0" borderId="17" applyAlignment="1" pivotButton="0" quotePrefix="0" xfId="46">
      <alignment vertical="center"/>
    </xf>
    <xf numFmtId="0" fontId="6" fillId="0" borderId="17" applyAlignment="1" pivotButton="0" quotePrefix="0" xfId="46">
      <alignment vertical="center"/>
    </xf>
    <xf numFmtId="0" fontId="60" fillId="0" borderId="27" applyAlignment="1" pivotButton="0" quotePrefix="0" xfId="46">
      <alignment horizontal="left" vertical="top"/>
    </xf>
    <xf numFmtId="0" fontId="6" fillId="0" borderId="0" applyAlignment="1" pivotButton="0" quotePrefix="0" xfId="46">
      <alignment horizontal="left" vertical="top"/>
    </xf>
    <xf numFmtId="0" fontId="6" fillId="0" borderId="48" applyAlignment="1" pivotButton="0" quotePrefix="0" xfId="45">
      <alignment vertical="center"/>
    </xf>
    <xf numFmtId="0" fontId="6" fillId="0" borderId="29" applyAlignment="1" pivotButton="0" quotePrefix="0" xfId="46">
      <alignment horizontal="left" vertical="top"/>
    </xf>
    <xf numFmtId="0" fontId="6" fillId="0" borderId="30" applyAlignment="1" pivotButton="0" quotePrefix="0" xfId="46">
      <alignment horizontal="left" vertical="top"/>
    </xf>
    <xf numFmtId="0" fontId="60" fillId="0" borderId="30" applyAlignment="1" pivotButton="0" quotePrefix="0" xfId="46">
      <alignment horizontal="right" vertical="top"/>
    </xf>
    <xf numFmtId="0" fontId="59" fillId="0" borderId="30" applyAlignment="1" pivotButton="0" quotePrefix="0" xfId="46">
      <alignment horizontal="left" vertical="top"/>
    </xf>
    <xf numFmtId="0" fontId="6" fillId="0" borderId="149" applyAlignment="1" pivotButton="0" quotePrefix="0" xfId="45">
      <alignment vertical="center"/>
    </xf>
    <xf numFmtId="0" fontId="6" fillId="0" borderId="20" applyAlignment="1" pivotButton="0" quotePrefix="0" xfId="46">
      <alignment horizontal="left" vertical="top"/>
    </xf>
    <xf numFmtId="0" fontId="6" fillId="0" borderId="21" applyAlignment="1" pivotButton="0" quotePrefix="0" xfId="46">
      <alignment horizontal="left" vertical="top"/>
    </xf>
    <xf numFmtId="0" fontId="6" fillId="0" borderId="49" applyAlignment="1" pivotButton="0" quotePrefix="0" xfId="45">
      <alignment vertical="center"/>
    </xf>
    <xf numFmtId="0" fontId="60" fillId="0" borderId="61" applyAlignment="1" pivotButton="0" quotePrefix="0" xfId="45">
      <alignment vertical="center"/>
    </xf>
    <xf numFmtId="0" fontId="6" fillId="0" borderId="21" applyAlignment="1" pivotButton="0" quotePrefix="0" xfId="45">
      <alignment vertical="center"/>
    </xf>
    <xf numFmtId="0" fontId="60" fillId="0" borderId="18" applyAlignment="1" pivotButton="0" quotePrefix="0" xfId="46">
      <alignment vertical="center"/>
    </xf>
    <xf numFmtId="0" fontId="59" fillId="0" borderId="12" applyAlignment="1" pivotButton="0" quotePrefix="0" xfId="46">
      <alignment vertical="center"/>
    </xf>
    <xf numFmtId="0" fontId="59" fillId="0" borderId="13" applyAlignment="1" pivotButton="0" quotePrefix="0" xfId="46">
      <alignment vertical="center"/>
    </xf>
    <xf numFmtId="0" fontId="6" fillId="0" borderId="0" applyAlignment="1" pivotButton="0" quotePrefix="0" xfId="46">
      <alignment horizontal="center" vertical="center"/>
    </xf>
    <xf numFmtId="0" fontId="60" fillId="0" borderId="27" applyAlignment="1" pivotButton="0" quotePrefix="0" xfId="46">
      <alignment horizontal="left" vertical="center"/>
    </xf>
    <xf numFmtId="0" fontId="60" fillId="0" borderId="0" pivotButton="0" quotePrefix="0" xfId="46"/>
    <xf numFmtId="0" fontId="60" fillId="0" borderId="48" pivotButton="0" quotePrefix="0" xfId="46"/>
    <xf numFmtId="0" fontId="6" fillId="0" borderId="24" applyAlignment="1" pivotButton="0" quotePrefix="0" xfId="46">
      <alignment horizontal="center" vertical="center"/>
    </xf>
    <xf numFmtId="0" fontId="6" fillId="0" borderId="25" pivotButton="0" quotePrefix="0" xfId="46"/>
    <xf numFmtId="0" fontId="6" fillId="0" borderId="124" pivotButton="0" quotePrefix="0" xfId="46"/>
    <xf numFmtId="0" fontId="59" fillId="0" borderId="27" applyAlignment="1" pivotButton="0" quotePrefix="0" xfId="46">
      <alignment horizontal="left" vertical="center"/>
    </xf>
    <xf numFmtId="0" fontId="59" fillId="0" borderId="0" applyAlignment="1" pivotButton="0" quotePrefix="0" xfId="46">
      <alignment horizontal="center" vertical="center"/>
    </xf>
    <xf numFmtId="0" fontId="6" fillId="0" borderId="21" applyAlignment="1" pivotButton="0" quotePrefix="0" xfId="43">
      <alignment horizontal="center" vertical="center"/>
    </xf>
    <xf numFmtId="0" fontId="6" fillId="0" borderId="23" applyAlignment="1" pivotButton="0" quotePrefix="0" xfId="45">
      <alignment vertical="center"/>
    </xf>
    <xf numFmtId="0" fontId="6" fillId="0" borderId="21" applyAlignment="1" pivotButton="0" quotePrefix="0" xfId="46">
      <alignment horizontal="center" vertical="center"/>
    </xf>
    <xf numFmtId="0" fontId="6" fillId="0" borderId="21" pivotButton="0" quotePrefix="0" xfId="46"/>
    <xf numFmtId="0" fontId="6" fillId="0" borderId="49" pivotButton="0" quotePrefix="0" xfId="46"/>
    <xf numFmtId="0" fontId="6" fillId="0" borderId="16" applyAlignment="1" pivotButton="0" quotePrefix="0" xfId="46">
      <alignment horizontal="left" vertical="center"/>
    </xf>
    <xf numFmtId="0" fontId="6" fillId="0" borderId="14" applyAlignment="1" pivotButton="0" quotePrefix="0" xfId="46">
      <alignment horizontal="left" vertical="center"/>
    </xf>
    <xf numFmtId="0" fontId="6" fillId="0" borderId="14" applyAlignment="1" pivotButton="0" quotePrefix="0" xfId="46">
      <alignment vertical="center"/>
    </xf>
    <xf numFmtId="0" fontId="6" fillId="0" borderId="15" applyAlignment="1" pivotButton="0" quotePrefix="0" xfId="46">
      <alignment vertical="center"/>
    </xf>
    <xf numFmtId="0" fontId="6" fillId="0" borderId="12" applyAlignment="1" pivotButton="0" quotePrefix="0" xfId="46">
      <alignment vertical="center"/>
    </xf>
    <xf numFmtId="0" fontId="6" fillId="0" borderId="220" applyAlignment="1" pivotButton="0" quotePrefix="0" xfId="46">
      <alignment horizontal="center" vertical="center"/>
    </xf>
    <xf numFmtId="0" fontId="6" fillId="0" borderId="274" applyAlignment="1" pivotButton="0" quotePrefix="0" xfId="46">
      <alignment horizontal="center" vertical="center"/>
    </xf>
    <xf numFmtId="0" fontId="6" fillId="0" borderId="213" applyAlignment="1" pivotButton="0" quotePrefix="0" xfId="46">
      <alignment vertical="center"/>
    </xf>
    <xf numFmtId="0" fontId="6" fillId="0" borderId="214" applyAlignment="1" pivotButton="0" quotePrefix="0" xfId="46">
      <alignment vertical="center"/>
    </xf>
    <xf numFmtId="0" fontId="6" fillId="0" borderId="49" applyAlignment="1" pivotButton="0" quotePrefix="0" xfId="46">
      <alignment horizontal="center" vertical="center"/>
    </xf>
    <xf numFmtId="0" fontId="59" fillId="0" borderId="0" applyAlignment="1" pivotButton="0" quotePrefix="0" xfId="45">
      <alignment vertical="center"/>
    </xf>
    <xf numFmtId="0" fontId="86" fillId="0" borderId="0" applyAlignment="1" pivotButton="0" quotePrefix="0" xfId="45">
      <alignment vertical="center"/>
    </xf>
    <xf numFmtId="0" fontId="60" fillId="0" borderId="20" applyAlignment="1" pivotButton="0" quotePrefix="0" xfId="45">
      <alignment horizontal="center" vertical="center"/>
    </xf>
    <xf numFmtId="0" fontId="60" fillId="0" borderId="103" applyAlignment="1" pivotButton="0" quotePrefix="0" xfId="45">
      <alignment vertical="center"/>
    </xf>
    <xf numFmtId="0" fontId="59" fillId="0" borderId="32" applyAlignment="1" pivotButton="0" quotePrefix="0" xfId="45">
      <alignment horizontal="center" vertical="center"/>
    </xf>
    <xf numFmtId="0" fontId="59" fillId="0" borderId="23" applyAlignment="1" pivotButton="0" quotePrefix="0" xfId="45">
      <alignment horizontal="center" vertical="center"/>
    </xf>
    <xf numFmtId="0" fontId="60" fillId="0" borderId="258" applyAlignment="1" pivotButton="0" quotePrefix="0" xfId="45">
      <alignment vertical="center"/>
    </xf>
    <xf numFmtId="0" fontId="59" fillId="0" borderId="17" applyAlignment="1" pivotButton="0" quotePrefix="0" xfId="46">
      <alignment horizontal="center" vertical="center"/>
    </xf>
    <xf numFmtId="0" fontId="59" fillId="0" borderId="48" applyAlignment="1" pivotButton="0" quotePrefix="0" xfId="45">
      <alignment vertical="center"/>
    </xf>
    <xf numFmtId="0" fontId="60" fillId="0" borderId="32" applyAlignment="1" pivotButton="0" quotePrefix="0" xfId="45">
      <alignment horizontal="center" vertical="center"/>
    </xf>
    <xf numFmtId="0" fontId="60" fillId="0" borderId="0" applyAlignment="1" pivotButton="0" quotePrefix="0" xfId="45">
      <alignment horizontal="center" vertical="center"/>
    </xf>
    <xf numFmtId="0" fontId="60" fillId="0" borderId="48" applyAlignment="1" pivotButton="0" quotePrefix="0" xfId="45">
      <alignment horizontal="center" vertical="center"/>
    </xf>
    <xf numFmtId="0" fontId="60" fillId="0" borderId="32" applyAlignment="1" pivotButton="0" quotePrefix="0" xfId="45">
      <alignment vertical="center"/>
    </xf>
    <xf numFmtId="0" fontId="59" fillId="0" borderId="32" applyAlignment="1" pivotButton="0" quotePrefix="0" xfId="45">
      <alignment vertical="center"/>
    </xf>
    <xf numFmtId="0" fontId="59" fillId="28" borderId="32" applyAlignment="1" pivotButton="0" quotePrefix="0" xfId="45">
      <alignment vertical="center"/>
    </xf>
    <xf numFmtId="0" fontId="60" fillId="0" borderId="16" applyAlignment="1" pivotButton="0" quotePrefix="0" xfId="45">
      <alignment horizontal="center" vertical="center"/>
    </xf>
    <xf numFmtId="0" fontId="59" fillId="0" borderId="16" applyAlignment="1" pivotButton="0" quotePrefix="0" xfId="45">
      <alignment vertical="center"/>
    </xf>
    <xf numFmtId="0" fontId="59" fillId="28" borderId="16" applyAlignment="1" pivotButton="0" quotePrefix="0" xfId="45">
      <alignment vertical="center"/>
    </xf>
    <xf numFmtId="0" fontId="60" fillId="0" borderId="276" applyAlignment="1" pivotButton="0" quotePrefix="0" xfId="45">
      <alignment vertical="center"/>
    </xf>
    <xf numFmtId="0" fontId="59" fillId="28" borderId="276" applyAlignment="1" pivotButton="0" quotePrefix="0" xfId="45">
      <alignment vertical="center"/>
    </xf>
    <xf numFmtId="0" fontId="59" fillId="28" borderId="110" applyAlignment="1" pivotButton="0" quotePrefix="0" xfId="45">
      <alignment vertical="center"/>
    </xf>
    <xf numFmtId="0" fontId="60" fillId="0" borderId="0" applyAlignment="1" pivotButton="0" quotePrefix="0" xfId="46">
      <alignment vertical="center"/>
    </xf>
    <xf numFmtId="49" fontId="40" fillId="0" borderId="21" applyAlignment="1" pivotButton="0" quotePrefix="0" xfId="0">
      <alignment horizontal="left" vertical="center"/>
    </xf>
    <xf numFmtId="49" fontId="40" fillId="0" borderId="273" applyAlignment="1" pivotButton="0" quotePrefix="0" xfId="0">
      <alignment horizontal="left" vertical="center" wrapText="1"/>
    </xf>
    <xf numFmtId="49" fontId="40" fillId="0" borderId="285" applyAlignment="1" pivotButton="0" quotePrefix="0" xfId="0">
      <alignment horizontal="left" vertical="center" wrapText="1"/>
    </xf>
    <xf numFmtId="49" fontId="40" fillId="0" borderId="285" applyAlignment="1" pivotButton="0" quotePrefix="0" xfId="0">
      <alignment horizontal="left" vertical="center"/>
    </xf>
    <xf numFmtId="0" fontId="40" fillId="0" borderId="286" applyAlignment="1" pivotButton="0" quotePrefix="0" xfId="0">
      <alignment vertical="center"/>
    </xf>
    <xf numFmtId="49" fontId="40" fillId="0" borderId="214" applyAlignment="1" pivotButton="0" quotePrefix="0" xfId="0">
      <alignment horizontal="left" vertical="center"/>
    </xf>
    <xf numFmtId="49" fontId="24" fillId="0" borderId="214" applyAlignment="1" pivotButton="0" quotePrefix="0" xfId="0">
      <alignment horizontal="center" vertical="center"/>
    </xf>
    <xf numFmtId="49" fontId="23" fillId="0" borderId="48" applyAlignment="1" pivotButton="0" quotePrefix="0" xfId="0">
      <alignment horizontal="left" vertical="center" wrapText="1"/>
    </xf>
    <xf numFmtId="49" fontId="39" fillId="0" borderId="167" applyAlignment="1" pivotButton="0" quotePrefix="0" xfId="0">
      <alignment horizontal="center" vertical="center"/>
    </xf>
    <xf numFmtId="49" fontId="22" fillId="0" borderId="48" applyAlignment="1" pivotButton="0" quotePrefix="0" xfId="0">
      <alignment horizontal="left" vertical="center" wrapText="1"/>
    </xf>
    <xf numFmtId="49" fontId="22" fillId="0" borderId="162" applyAlignment="1" pivotButton="0" quotePrefix="0" xfId="0">
      <alignment horizontal="left" vertical="center" wrapText="1"/>
    </xf>
    <xf numFmtId="166" fontId="40" fillId="0" borderId="46" applyAlignment="1" pivotButton="0" quotePrefix="0" xfId="0">
      <alignment horizontal="left" vertical="center" wrapText="1"/>
    </xf>
    <xf numFmtId="49" fontId="40" fillId="0" borderId="197" applyAlignment="1" pivotButton="0" quotePrefix="0" xfId="0">
      <alignment horizontal="center" vertical="center"/>
    </xf>
    <xf numFmtId="49" fontId="40" fillId="0" borderId="288" applyAlignment="1" pivotButton="0" quotePrefix="0" xfId="0">
      <alignment horizontal="center" vertical="center"/>
    </xf>
    <xf numFmtId="49" fontId="40" fillId="0" borderId="289" applyAlignment="1" pivotButton="0" quotePrefix="0" xfId="0">
      <alignment horizontal="center" vertical="center"/>
    </xf>
    <xf numFmtId="49" fontId="22" fillId="0" borderId="14" applyAlignment="1" pivotButton="0" quotePrefix="0" xfId="0">
      <alignment horizontal="left" vertical="center" wrapText="1"/>
    </xf>
    <xf numFmtId="49" fontId="40" fillId="0" borderId="21" applyAlignment="1" pivotButton="0" quotePrefix="0" xfId="0">
      <alignment horizontal="left" vertical="center" textRotation="255"/>
    </xf>
    <xf numFmtId="49" fontId="21" fillId="0" borderId="49" applyAlignment="1" pivotButton="0" quotePrefix="0" xfId="0">
      <alignment horizontal="left" vertical="center" wrapText="1"/>
    </xf>
    <xf numFmtId="49" fontId="91" fillId="0" borderId="17" applyAlignment="1" pivotButton="0" quotePrefix="0" xfId="0">
      <alignment vertical="center"/>
    </xf>
    <xf numFmtId="49" fontId="92" fillId="0" borderId="17" applyAlignment="1" pivotButton="0" quotePrefix="0" xfId="0">
      <alignment vertical="center"/>
    </xf>
    <xf numFmtId="49" fontId="92" fillId="0" borderId="17" applyAlignment="1" pivotButton="0" quotePrefix="0" xfId="0">
      <alignment horizontal="right" vertical="center"/>
    </xf>
    <xf numFmtId="49" fontId="44" fillId="0" borderId="0" applyAlignment="1" pivotButton="0" quotePrefix="0" xfId="0">
      <alignment horizontal="left" vertical="center" wrapText="1"/>
    </xf>
    <xf numFmtId="164" fontId="43" fillId="0" borderId="111" applyAlignment="1" pivotButton="0" quotePrefix="0" xfId="0">
      <alignment horizontal="center" vertical="center" shrinkToFit="1"/>
    </xf>
    <xf numFmtId="0" fontId="97" fillId="0" borderId="0" applyAlignment="1" pivotButton="0" quotePrefix="0" xfId="48">
      <alignment vertical="center"/>
    </xf>
    <xf numFmtId="0" fontId="98" fillId="0" borderId="0" applyAlignment="1" pivotButton="0" quotePrefix="0" xfId="48">
      <alignment vertical="center"/>
    </xf>
    <xf numFmtId="0" fontId="97" fillId="0" borderId="32" applyAlignment="1" pivotButton="0" quotePrefix="0" xfId="48">
      <alignment horizontal="center" vertical="center"/>
    </xf>
    <xf numFmtId="0" fontId="97" fillId="0" borderId="0" applyAlignment="1" pivotButton="0" quotePrefix="0" xfId="48">
      <alignment horizontal="center" vertical="center"/>
    </xf>
    <xf numFmtId="0" fontId="0" fillId="0" borderId="0" applyAlignment="1" pivotButton="0" quotePrefix="0" xfId="0">
      <alignment horizontal="right" vertical="center"/>
    </xf>
    <xf numFmtId="0" fontId="0" fillId="30" borderId="282" applyAlignment="1" pivotButton="0" quotePrefix="0" xfId="0">
      <alignment horizontal="right" vertical="center"/>
    </xf>
    <xf numFmtId="0" fontId="0" fillId="30" borderId="271" applyAlignment="1" pivotButton="0" quotePrefix="0" xfId="0">
      <alignment vertical="center"/>
    </xf>
    <xf numFmtId="0" fontId="0" fillId="0" borderId="283" applyAlignment="1" pivotButton="0" quotePrefix="0" xfId="0">
      <alignment horizontal="center" vertical="center"/>
    </xf>
    <xf numFmtId="0" fontId="0" fillId="30" borderId="284" applyAlignment="1" pivotButton="0" quotePrefix="0" xfId="0">
      <alignment horizontal="right" vertical="center"/>
    </xf>
    <xf numFmtId="0" fontId="0" fillId="30" borderId="32" applyAlignment="1" pivotButton="0" quotePrefix="0" xfId="0">
      <alignment vertical="center"/>
    </xf>
    <xf numFmtId="0" fontId="0" fillId="0" borderId="74" applyAlignment="1" pivotButton="0" quotePrefix="0" xfId="0">
      <alignment horizontal="center" vertical="center"/>
    </xf>
    <xf numFmtId="0" fontId="0" fillId="30" borderId="100" applyAlignment="1" pivotButton="0" quotePrefix="0" xfId="0">
      <alignment horizontal="right" vertical="center"/>
    </xf>
    <xf numFmtId="0" fontId="0" fillId="30" borderId="35" applyAlignment="1" pivotButton="0" quotePrefix="0" xfId="0">
      <alignment vertical="center"/>
    </xf>
    <xf numFmtId="0" fontId="0" fillId="0" borderId="36" applyAlignment="1" pivotButton="0" quotePrefix="0" xfId="0">
      <alignment horizontal="center" vertical="center"/>
    </xf>
    <xf numFmtId="0" fontId="0" fillId="0" borderId="249" applyAlignment="1" pivotButton="0" quotePrefix="0" xfId="0">
      <alignment horizontal="center" vertical="center"/>
    </xf>
    <xf numFmtId="0" fontId="0" fillId="0" borderId="291" applyAlignment="1" pivotButton="0" quotePrefix="0" xfId="0">
      <alignment vertical="center"/>
    </xf>
    <xf numFmtId="0" fontId="0" fillId="0" borderId="173" applyAlignment="1" pivotButton="0" quotePrefix="0" xfId="0">
      <alignment horizontal="center" vertical="center"/>
    </xf>
    <xf numFmtId="49" fontId="0" fillId="0" borderId="0" applyAlignment="1" pivotButton="0" quotePrefix="0" xfId="0">
      <alignment vertical="center"/>
    </xf>
    <xf numFmtId="0" fontId="59" fillId="0" borderId="0" applyAlignment="1" pivotButton="0" quotePrefix="0" xfId="0">
      <alignment vertical="center"/>
    </xf>
    <xf numFmtId="49" fontId="48" fillId="0" borderId="14" applyAlignment="1" pivotButton="0" quotePrefix="0" xfId="0">
      <alignment horizontal="left" vertical="center" wrapText="1"/>
    </xf>
    <xf numFmtId="49" fontId="38" fillId="0" borderId="0" applyAlignment="1" pivotButton="0" quotePrefix="0" xfId="0">
      <alignment vertical="center" shrinkToFit="1"/>
    </xf>
    <xf numFmtId="49" fontId="100" fillId="0" borderId="0" applyAlignment="1" pivotButton="0" quotePrefix="0" xfId="0">
      <alignment horizontal="right" vertical="center"/>
    </xf>
    <xf numFmtId="49" fontId="21" fillId="0" borderId="214" applyAlignment="1" pivotButton="0" quotePrefix="0" xfId="0">
      <alignment horizontal="center" vertical="center"/>
    </xf>
    <xf numFmtId="49" fontId="40" fillId="0" borderId="133" applyAlignment="1" pivotButton="0" quotePrefix="0" xfId="0">
      <alignment horizontal="center" vertical="center"/>
    </xf>
    <xf numFmtId="49" fontId="40" fillId="0" borderId="132" applyAlignment="1" pivotButton="0" quotePrefix="0" xfId="0">
      <alignment horizontal="center" vertical="center"/>
    </xf>
    <xf numFmtId="49" fontId="40" fillId="0" borderId="131" applyAlignment="1" pivotButton="0" quotePrefix="0" xfId="0">
      <alignment horizontal="center" vertical="center"/>
    </xf>
    <xf numFmtId="49" fontId="40" fillId="0" borderId="220" applyAlignment="1" pivotButton="0" quotePrefix="0" xfId="0">
      <alignment vertical="center"/>
    </xf>
    <xf numFmtId="49" fontId="40" fillId="0" borderId="201" applyAlignment="1" pivotButton="0" quotePrefix="0" xfId="0">
      <alignment horizontal="center" vertical="center"/>
    </xf>
    <xf numFmtId="49" fontId="40" fillId="0" borderId="286" applyAlignment="1" pivotButton="0" quotePrefix="0" xfId="0">
      <alignment vertical="center"/>
    </xf>
    <xf numFmtId="49" fontId="40" fillId="0" borderId="298" applyAlignment="1" pivotButton="0" quotePrefix="0" xfId="0">
      <alignment horizontal="center" vertical="center"/>
    </xf>
    <xf numFmtId="49" fontId="43" fillId="0" borderId="220" applyAlignment="1" pivotButton="0" quotePrefix="0" xfId="0">
      <alignment vertical="center"/>
    </xf>
    <xf numFmtId="49" fontId="39" fillId="0" borderId="220" applyAlignment="1" pivotButton="0" quotePrefix="0" xfId="0">
      <alignment horizontal="right" vertical="center"/>
    </xf>
    <xf numFmtId="49" fontId="40" fillId="0" borderId="274" applyAlignment="1" pivotButton="0" quotePrefix="0" xfId="0">
      <alignment vertical="center"/>
    </xf>
    <xf numFmtId="49" fontId="20" fillId="0" borderId="0" applyAlignment="1" pivotButton="0" quotePrefix="0" xfId="0">
      <alignment horizontal="left" vertical="center"/>
    </xf>
    <xf numFmtId="0" fontId="90" fillId="0" borderId="0" applyAlignment="1" pivotButton="0" quotePrefix="0" xfId="49">
      <alignment vertical="center"/>
    </xf>
    <xf numFmtId="0" fontId="102" fillId="0" borderId="0" applyAlignment="1" pivotButton="0" quotePrefix="0" xfId="0">
      <alignment vertical="center"/>
    </xf>
    <xf numFmtId="0" fontId="103" fillId="0" borderId="0" applyAlignment="1" pivotButton="0" quotePrefix="0" xfId="49">
      <alignment vertical="center"/>
    </xf>
    <xf numFmtId="0" fontId="104" fillId="0" borderId="0" applyAlignment="1" pivotButton="0" quotePrefix="0" xfId="0">
      <alignment vertical="center"/>
    </xf>
    <xf numFmtId="0" fontId="105" fillId="0" borderId="0" applyAlignment="1" pivotButton="0" quotePrefix="0" xfId="0">
      <alignment vertical="center"/>
    </xf>
    <xf numFmtId="0" fontId="106" fillId="0" borderId="0" applyAlignment="1" pivotButton="0" quotePrefix="0" xfId="0">
      <alignment vertical="center"/>
    </xf>
    <xf numFmtId="49" fontId="21" fillId="0" borderId="14" applyAlignment="1" pivotButton="0" quotePrefix="0" xfId="0">
      <alignment horizontal="left" vertical="center"/>
    </xf>
    <xf numFmtId="49" fontId="21" fillId="0" borderId="12" applyAlignment="1" pivotButton="0" quotePrefix="0" xfId="0">
      <alignment horizontal="left" vertical="center" wrapText="1"/>
    </xf>
    <xf numFmtId="49" fontId="21" fillId="0" borderId="21" applyAlignment="1" pivotButton="0" quotePrefix="0" xfId="0">
      <alignment horizontal="left" vertical="center" wrapText="1"/>
    </xf>
    <xf numFmtId="49" fontId="24" fillId="0" borderId="14" applyAlignment="1" pivotButton="0" quotePrefix="0" xfId="0">
      <alignment horizontal="center" vertical="center"/>
    </xf>
    <xf numFmtId="49" fontId="40" fillId="0" borderId="27" applyAlignment="1" pivotButton="0" quotePrefix="0" xfId="0">
      <alignment horizontal="center" vertical="center" shrinkToFit="1"/>
    </xf>
    <xf numFmtId="49" fontId="40" fillId="0" borderId="28" applyAlignment="1" pivotButton="0" quotePrefix="0" xfId="0">
      <alignment horizontal="center" vertical="center" shrinkToFit="1"/>
    </xf>
    <xf numFmtId="49" fontId="20" fillId="0" borderId="21" applyAlignment="1" pivotButton="0" quotePrefix="0" xfId="0">
      <alignment horizontal="right" vertical="center"/>
    </xf>
    <xf numFmtId="49" fontId="40" fillId="0" borderId="19" applyAlignment="1" pivotButton="0" quotePrefix="0" xfId="0">
      <alignment horizontal="distributed" vertical="center"/>
    </xf>
    <xf numFmtId="49" fontId="40" fillId="0" borderId="20" applyAlignment="1" pivotButton="0" quotePrefix="0" xfId="0">
      <alignment horizontal="left" vertical="center"/>
    </xf>
    <xf numFmtId="49" fontId="40" fillId="0" borderId="21" applyAlignment="1" pivotButton="0" quotePrefix="0" xfId="0">
      <alignment horizontal="left" vertical="center"/>
    </xf>
    <xf numFmtId="49" fontId="40" fillId="0" borderId="18" applyAlignment="1" pivotButton="0" quotePrefix="0" xfId="0">
      <alignment horizontal="center" vertical="center"/>
    </xf>
    <xf numFmtId="49" fontId="40" fillId="0" borderId="12" applyAlignment="1" pivotButton="0" quotePrefix="0" xfId="0">
      <alignment horizontal="center" vertical="center"/>
    </xf>
    <xf numFmtId="49" fontId="40" fillId="0" borderId="0" applyAlignment="1" pivotButton="0" quotePrefix="0" xfId="0">
      <alignment horizontal="center" vertical="center"/>
    </xf>
    <xf numFmtId="49" fontId="40" fillId="0" borderId="20" applyAlignment="1" pivotButton="0" quotePrefix="0" xfId="0">
      <alignment horizontal="center" vertical="center"/>
    </xf>
    <xf numFmtId="49" fontId="40" fillId="0" borderId="21" applyAlignment="1" pivotButton="0" quotePrefix="0" xfId="0">
      <alignment horizontal="center" vertical="center"/>
    </xf>
    <xf numFmtId="49" fontId="40" fillId="0" borderId="12" applyAlignment="1" pivotButton="0" quotePrefix="0" xfId="0">
      <alignment horizontal="left" vertical="center"/>
    </xf>
    <xf numFmtId="49" fontId="40" fillId="0" borderId="19" applyAlignment="1" pivotButton="0" quotePrefix="0" xfId="0">
      <alignment horizontal="center" vertical="center"/>
    </xf>
    <xf numFmtId="49" fontId="40" fillId="0" borderId="28" applyAlignment="1" pivotButton="0" quotePrefix="0" xfId="0">
      <alignment horizontal="center" vertical="center"/>
    </xf>
    <xf numFmtId="49" fontId="40" fillId="0" borderId="27" applyAlignment="1" pivotButton="0" quotePrefix="0" xfId="0">
      <alignment horizontal="left" vertical="center"/>
    </xf>
    <xf numFmtId="49" fontId="40" fillId="0" borderId="0" applyAlignment="1" pivotButton="0" quotePrefix="0" xfId="0">
      <alignment horizontal="left" vertical="center"/>
    </xf>
    <xf numFmtId="49" fontId="39" fillId="0" borderId="27" applyAlignment="1" pivotButton="0" quotePrefix="0" xfId="0">
      <alignment horizontal="center" vertical="center"/>
    </xf>
    <xf numFmtId="49" fontId="40" fillId="0" borderId="16" applyAlignment="1" pivotButton="0" quotePrefix="0" xfId="0">
      <alignment horizontal="center" vertical="center"/>
    </xf>
    <xf numFmtId="49" fontId="40" fillId="0" borderId="23" applyAlignment="1" pivotButton="0" quotePrefix="0" xfId="0">
      <alignment horizontal="center" vertical="center"/>
    </xf>
    <xf numFmtId="49" fontId="40" fillId="0" borderId="12" applyAlignment="1" pivotButton="0" quotePrefix="0" xfId="0">
      <alignment horizontal="distributed" vertical="center" wrapText="1"/>
    </xf>
    <xf numFmtId="49" fontId="38" fillId="0" borderId="19" applyAlignment="1" pivotButton="0" quotePrefix="0" xfId="0">
      <alignment vertical="center"/>
    </xf>
    <xf numFmtId="49" fontId="40" fillId="0" borderId="20" applyAlignment="1" pivotButton="0" quotePrefix="0" xfId="0">
      <alignment horizontal="center" vertical="center" wrapText="1"/>
    </xf>
    <xf numFmtId="49" fontId="40" fillId="0" borderId="21" applyAlignment="1" pivotButton="0" quotePrefix="0" xfId="0">
      <alignment horizontal="distributed" vertical="center" wrapText="1"/>
    </xf>
    <xf numFmtId="49" fontId="21" fillId="0" borderId="13" applyAlignment="1" pivotButton="0" quotePrefix="0" xfId="0">
      <alignment horizontal="left" vertical="center" wrapText="1"/>
    </xf>
    <xf numFmtId="49" fontId="21" fillId="0" borderId="49" applyAlignment="1" pivotButton="0" quotePrefix="0" xfId="0">
      <alignment horizontal="left" vertical="center" wrapText="1"/>
    </xf>
    <xf numFmtId="49" fontId="43" fillId="0" borderId="22" applyAlignment="1" pivotButton="0" quotePrefix="0" xfId="0">
      <alignment horizontal="center" vertical="center" textRotation="255" wrapText="1"/>
    </xf>
    <xf numFmtId="49" fontId="39" fillId="0" borderId="14" applyAlignment="1" pivotButton="0" quotePrefix="0" xfId="0">
      <alignment horizontal="center" vertical="center"/>
    </xf>
    <xf numFmtId="49" fontId="22" fillId="0" borderId="21" applyAlignment="1" pivotButton="0" quotePrefix="0" xfId="0">
      <alignment horizontal="left" vertical="center" wrapText="1"/>
    </xf>
    <xf numFmtId="49" fontId="21" fillId="0" borderId="145" applyAlignment="1" pivotButton="0" quotePrefix="0" xfId="0">
      <alignment vertical="center"/>
    </xf>
    <xf numFmtId="49" fontId="40" fillId="0" borderId="145" applyAlignment="1" pivotButton="0" quotePrefix="0" xfId="0">
      <alignment horizontal="center" vertical="center"/>
    </xf>
    <xf numFmtId="49" fontId="40" fillId="0" borderId="30" applyAlignment="1" pivotButton="0" quotePrefix="0" xfId="0">
      <alignment horizontal="center" vertical="center"/>
    </xf>
    <xf numFmtId="49" fontId="20" fillId="0" borderId="150" applyAlignment="1" pivotButton="0" quotePrefix="0" xfId="0">
      <alignment horizontal="right" vertical="center"/>
    </xf>
    <xf numFmtId="49" fontId="20" fillId="0" borderId="30" applyAlignment="1" pivotButton="0" quotePrefix="0" xfId="0">
      <alignment horizontal="right" vertical="center"/>
    </xf>
    <xf numFmtId="49" fontId="20" fillId="0" borderId="130" applyAlignment="1" pivotButton="0" quotePrefix="0" xfId="0">
      <alignment horizontal="right" vertical="center"/>
    </xf>
    <xf numFmtId="49" fontId="39" fillId="0" borderId="27" applyAlignment="1" pivotButton="0" quotePrefix="0" xfId="0">
      <alignment vertical="center"/>
    </xf>
    <xf numFmtId="49" fontId="39" fillId="0" borderId="0" applyAlignment="1" pivotButton="0" quotePrefix="0" xfId="0">
      <alignment vertical="center"/>
    </xf>
    <xf numFmtId="49" fontId="39" fillId="0" borderId="48" applyAlignment="1" pivotButton="0" quotePrefix="0" xfId="0">
      <alignment vertical="center"/>
    </xf>
    <xf numFmtId="49" fontId="39" fillId="0" borderId="0" applyAlignment="1" pivotButton="0" quotePrefix="0" xfId="0">
      <alignment horizontal="left" vertical="center"/>
    </xf>
    <xf numFmtId="49" fontId="39" fillId="0" borderId="48" applyAlignment="1" pivotButton="0" quotePrefix="0" xfId="0">
      <alignment horizontal="left" vertical="center"/>
    </xf>
    <xf numFmtId="49" fontId="40" fillId="0" borderId="27" applyAlignment="1" pivotButton="0" quotePrefix="0" xfId="0">
      <alignment horizontal="center" vertical="center" wrapText="1"/>
    </xf>
    <xf numFmtId="49" fontId="43" fillId="0" borderId="21" applyAlignment="1" pivotButton="0" quotePrefix="0" xfId="0">
      <alignment horizontal="center" vertical="center"/>
    </xf>
    <xf numFmtId="164" fontId="43" fillId="0" borderId="0" applyAlignment="1" pivotButton="0" quotePrefix="0" xfId="0">
      <alignment horizontal="center" vertical="center" shrinkToFit="1"/>
    </xf>
    <xf numFmtId="49" fontId="40" fillId="25" borderId="0" applyAlignment="1" pivotButton="0" quotePrefix="0" xfId="0">
      <alignment horizontal="center" vertical="center"/>
    </xf>
    <xf numFmtId="49" fontId="39" fillId="0" borderId="0" applyAlignment="1" pivotButton="0" quotePrefix="0" xfId="0">
      <alignment horizontal="distributed" vertical="center"/>
    </xf>
    <xf numFmtId="164" fontId="23" fillId="0" borderId="18" applyAlignment="1" pivotButton="0" quotePrefix="0" xfId="0">
      <alignment horizontal="center" vertical="center" shrinkToFit="1"/>
    </xf>
    <xf numFmtId="164" fontId="23" fillId="0" borderId="12" applyAlignment="1" pivotButton="0" quotePrefix="0" xfId="0">
      <alignment horizontal="center" vertical="center" shrinkToFit="1"/>
    </xf>
    <xf numFmtId="164" fontId="23" fillId="0" borderId="19" applyAlignment="1" pivotButton="0" quotePrefix="0" xfId="0">
      <alignment horizontal="center" vertical="center" shrinkToFit="1"/>
    </xf>
    <xf numFmtId="49" fontId="39" fillId="0" borderId="0" applyAlignment="1" pivotButton="0" quotePrefix="0" xfId="0">
      <alignment horizontal="center" vertical="center"/>
    </xf>
    <xf numFmtId="49" fontId="40" fillId="0" borderId="141" applyAlignment="1" pivotButton="0" quotePrefix="0" xfId="0">
      <alignment horizontal="center" vertical="center"/>
    </xf>
    <xf numFmtId="49" fontId="40" fillId="0" borderId="140" applyAlignment="1" pivotButton="0" quotePrefix="0" xfId="0">
      <alignment horizontal="center" vertical="center"/>
    </xf>
    <xf numFmtId="49" fontId="40" fillId="0" borderId="139" applyAlignment="1" pivotButton="0" quotePrefix="0" xfId="0">
      <alignment horizontal="center" vertical="center"/>
    </xf>
    <xf numFmtId="0" fontId="0" fillId="0" borderId="30" applyAlignment="1" pivotButton="0" quotePrefix="0" xfId="0">
      <alignment vertical="center"/>
    </xf>
    <xf numFmtId="49" fontId="43" fillId="0" borderId="66" applyAlignment="1" pivotButton="0" quotePrefix="0" xfId="0">
      <alignment horizontal="center" vertical="center" textRotation="255" wrapText="1"/>
    </xf>
    <xf numFmtId="49" fontId="43" fillId="0" borderId="21" applyAlignment="1" pivotButton="0" quotePrefix="0" xfId="0">
      <alignment horizontal="center" vertical="center" textRotation="255" wrapText="1"/>
    </xf>
    <xf numFmtId="49" fontId="40" fillId="0" borderId="14" applyAlignment="1" pivotButton="0" quotePrefix="0" xfId="0">
      <alignment horizontal="left" vertical="center"/>
    </xf>
    <xf numFmtId="49" fontId="40" fillId="0" borderId="17" applyAlignment="1" pivotButton="0" quotePrefix="0" xfId="0">
      <alignment horizontal="center" vertical="center"/>
    </xf>
    <xf numFmtId="49" fontId="40" fillId="0" borderId="192" applyAlignment="1" pivotButton="0" quotePrefix="0" xfId="0">
      <alignment horizontal="center" vertical="center"/>
    </xf>
    <xf numFmtId="49" fontId="40" fillId="0" borderId="193" applyAlignment="1" pivotButton="0" quotePrefix="0" xfId="0">
      <alignment horizontal="center" vertical="center"/>
    </xf>
    <xf numFmtId="49" fontId="40" fillId="0" borderId="194" applyAlignment="1" pivotButton="0" quotePrefix="0" xfId="0">
      <alignment horizontal="center" vertical="center"/>
    </xf>
    <xf numFmtId="49" fontId="43" fillId="0" borderId="0" applyAlignment="1" pivotButton="0" quotePrefix="0" xfId="0">
      <alignment horizontal="center" vertical="center"/>
    </xf>
    <xf numFmtId="49" fontId="40" fillId="0" borderId="15" applyAlignment="1" pivotButton="0" quotePrefix="0" xfId="0">
      <alignment horizontal="left" vertical="center"/>
    </xf>
    <xf numFmtId="49" fontId="20" fillId="0" borderId="12" applyAlignment="1" pivotButton="0" quotePrefix="0" xfId="0">
      <alignment horizontal="center" vertical="center"/>
    </xf>
    <xf numFmtId="49" fontId="20" fillId="0" borderId="21" applyAlignment="1" pivotButton="0" quotePrefix="0" xfId="0">
      <alignment horizontal="center" vertical="center"/>
    </xf>
    <xf numFmtId="49" fontId="40" fillId="0" borderId="16" applyAlignment="1" pivotButton="0" quotePrefix="0" xfId="0">
      <alignment horizontal="left" vertical="center"/>
    </xf>
    <xf numFmtId="49" fontId="40" fillId="25" borderId="12" applyAlignment="1" pivotButton="0" quotePrefix="0" xfId="0">
      <alignment horizontal="distributed" vertical="center" wrapText="1" shrinkToFit="1"/>
    </xf>
    <xf numFmtId="49" fontId="40" fillId="25" borderId="19" applyAlignment="1" pivotButton="0" quotePrefix="0" xfId="0">
      <alignment horizontal="distributed" vertical="center" wrapText="1" shrinkToFit="1"/>
    </xf>
    <xf numFmtId="49" fontId="40" fillId="25" borderId="21" applyAlignment="1" pivotButton="0" quotePrefix="0" xfId="0">
      <alignment horizontal="distributed" vertical="center" wrapText="1" shrinkToFit="1"/>
    </xf>
    <xf numFmtId="49" fontId="40" fillId="25" borderId="22" applyAlignment="1" pivotButton="0" quotePrefix="0" xfId="0">
      <alignment horizontal="distributed" vertical="center" wrapText="1" shrinkToFit="1"/>
    </xf>
    <xf numFmtId="49" fontId="24" fillId="0" borderId="214" applyAlignment="1" pivotButton="0" quotePrefix="0" xfId="0">
      <alignment horizontal="center" vertical="center"/>
    </xf>
    <xf numFmtId="49" fontId="40" fillId="0" borderId="214" applyAlignment="1" pivotButton="0" quotePrefix="0" xfId="0">
      <alignment horizontal="left" vertical="center"/>
    </xf>
    <xf numFmtId="49" fontId="40" fillId="0" borderId="23" applyAlignment="1" pivotButton="0" quotePrefix="0" xfId="0">
      <alignment horizontal="left" vertical="center" wrapText="1"/>
    </xf>
    <xf numFmtId="49" fontId="40" fillId="0" borderId="73" applyAlignment="1" pivotButton="0" quotePrefix="0" xfId="0">
      <alignment horizontal="center" vertical="center"/>
    </xf>
    <xf numFmtId="49" fontId="44" fillId="0" borderId="21" applyAlignment="1" pivotButton="0" quotePrefix="0" xfId="0">
      <alignment horizontal="left" vertical="center"/>
    </xf>
    <xf numFmtId="49" fontId="30" fillId="0" borderId="0" applyAlignment="1" pivotButton="0" quotePrefix="0" xfId="0">
      <alignment horizontal="left" vertical="center"/>
    </xf>
    <xf numFmtId="49" fontId="21" fillId="0" borderId="0" applyAlignment="1" pivotButton="0" quotePrefix="0" xfId="0">
      <alignment horizontal="center" vertical="center"/>
    </xf>
    <xf numFmtId="0" fontId="30" fillId="0" borderId="0" applyAlignment="1" pivotButton="0" quotePrefix="0" xfId="0">
      <alignment vertical="center"/>
    </xf>
    <xf numFmtId="49" fontId="23" fillId="0" borderId="0" applyAlignment="1" pivotButton="0" quotePrefix="0" xfId="0">
      <alignment horizontal="distributed" vertical="center"/>
    </xf>
    <xf numFmtId="49" fontId="21" fillId="0" borderId="0" applyAlignment="1" pivotButton="0" quotePrefix="0" xfId="0">
      <alignment horizontal="left" vertical="center"/>
    </xf>
    <xf numFmtId="49" fontId="21" fillId="0" borderId="0" applyAlignment="1" pivotButton="0" quotePrefix="0" xfId="0">
      <alignment horizontal="distributed" vertical="center"/>
    </xf>
    <xf numFmtId="49" fontId="21" fillId="24" borderId="64" applyAlignment="1" pivotButton="0" quotePrefix="0" xfId="0">
      <alignment horizontal="center" vertical="center"/>
    </xf>
    <xf numFmtId="49" fontId="21" fillId="24" borderId="65" applyAlignment="1" pivotButton="0" quotePrefix="0" xfId="0">
      <alignment horizontal="center" vertical="center"/>
    </xf>
    <xf numFmtId="49" fontId="21" fillId="24" borderId="71" applyAlignment="1" pivotButton="0" quotePrefix="0" xfId="0">
      <alignment horizontal="center" vertical="center"/>
    </xf>
    <xf numFmtId="49" fontId="21" fillId="24" borderId="72" applyAlignment="1" pivotButton="0" quotePrefix="0" xfId="0">
      <alignment horizontal="center" vertical="center"/>
    </xf>
    <xf numFmtId="49" fontId="21" fillId="24" borderId="17" applyAlignment="1" pivotButton="0" quotePrefix="0" xfId="0">
      <alignment horizontal="center" vertical="center"/>
    </xf>
    <xf numFmtId="49" fontId="21" fillId="24" borderId="73" applyAlignment="1" pivotButton="0" quotePrefix="0" xfId="0">
      <alignment horizontal="center" vertical="center"/>
    </xf>
    <xf numFmtId="49" fontId="20" fillId="24" borderId="10" applyAlignment="1" pivotButton="0" quotePrefix="0" xfId="0">
      <alignment horizontal="center" vertical="center"/>
    </xf>
    <xf numFmtId="49" fontId="20" fillId="24" borderId="11" applyAlignment="1" pivotButton="0" quotePrefix="0" xfId="0">
      <alignment horizontal="center" vertical="center"/>
    </xf>
    <xf numFmtId="49" fontId="21" fillId="0" borderId="37" applyAlignment="1" pivotButton="0" quotePrefix="0" xfId="0">
      <alignment horizontal="center" vertical="center"/>
    </xf>
    <xf numFmtId="49" fontId="21" fillId="0" borderId="38" applyAlignment="1" pivotButton="0" quotePrefix="0" xfId="0">
      <alignment horizontal="center" vertical="center"/>
    </xf>
    <xf numFmtId="49" fontId="21" fillId="0" borderId="16" applyAlignment="1" pivotButton="0" quotePrefix="0" xfId="0">
      <alignment horizontal="center" vertical="center"/>
    </xf>
    <xf numFmtId="49" fontId="21" fillId="0" borderId="14" applyAlignment="1" pivotButton="0" quotePrefix="0" xfId="0">
      <alignment horizontal="center" vertical="center"/>
    </xf>
    <xf numFmtId="49" fontId="21" fillId="0" borderId="23" applyAlignment="1" pivotButton="0" quotePrefix="0" xfId="0">
      <alignment horizontal="center" vertical="center"/>
    </xf>
    <xf numFmtId="49" fontId="22" fillId="0" borderId="42" applyAlignment="1" pivotButton="0" quotePrefix="0" xfId="0">
      <alignment horizontal="center" vertical="center" textRotation="255"/>
    </xf>
    <xf numFmtId="49" fontId="22" fillId="0" borderId="19" applyAlignment="1" pivotButton="0" quotePrefix="0" xfId="0">
      <alignment horizontal="center" vertical="center" textRotation="255"/>
    </xf>
    <xf numFmtId="49" fontId="22" fillId="0" borderId="43" applyAlignment="1" pivotButton="0" quotePrefix="0" xfId="0">
      <alignment horizontal="center" vertical="center" textRotation="255"/>
    </xf>
    <xf numFmtId="49" fontId="22" fillId="0" borderId="28" applyAlignment="1" pivotButton="0" quotePrefix="0" xfId="0">
      <alignment horizontal="center" vertical="center" textRotation="255"/>
    </xf>
    <xf numFmtId="49" fontId="22" fillId="0" borderId="66" applyAlignment="1" pivotButton="0" quotePrefix="0" xfId="0">
      <alignment horizontal="center" vertical="center" textRotation="255"/>
    </xf>
    <xf numFmtId="49" fontId="22" fillId="0" borderId="22" applyAlignment="1" pivotButton="0" quotePrefix="0" xfId="0">
      <alignment horizontal="center" vertical="center" textRotation="255"/>
    </xf>
    <xf numFmtId="49" fontId="21" fillId="0" borderId="18" applyAlignment="1" pivotButton="0" quotePrefix="0" xfId="0">
      <alignment horizontal="center" vertical="center"/>
    </xf>
    <xf numFmtId="49" fontId="21" fillId="0" borderId="12" applyAlignment="1" pivotButton="0" quotePrefix="0" xfId="0">
      <alignment horizontal="center" vertical="center"/>
    </xf>
    <xf numFmtId="49" fontId="21" fillId="0" borderId="19" applyAlignment="1" pivotButton="0" quotePrefix="0" xfId="0">
      <alignment horizontal="center" vertical="center"/>
    </xf>
    <xf numFmtId="49" fontId="21" fillId="0" borderId="27" applyAlignment="1" pivotButton="0" quotePrefix="0" xfId="0">
      <alignment horizontal="center" vertical="center"/>
    </xf>
    <xf numFmtId="49" fontId="21" fillId="0" borderId="28" applyAlignment="1" pivotButton="0" quotePrefix="0" xfId="0">
      <alignment horizontal="center" vertical="center"/>
    </xf>
    <xf numFmtId="49" fontId="21" fillId="0" borderId="20" applyAlignment="1" pivotButton="0" quotePrefix="0" xfId="0">
      <alignment horizontal="center" vertical="center"/>
    </xf>
    <xf numFmtId="49" fontId="21" fillId="0" borderId="21" applyAlignment="1" pivotButton="0" quotePrefix="0" xfId="0">
      <alignment horizontal="center" vertical="center"/>
    </xf>
    <xf numFmtId="49" fontId="21" fillId="0" borderId="22" applyAlignment="1" pivotButton="0" quotePrefix="0" xfId="0">
      <alignment horizontal="center" vertical="center"/>
    </xf>
    <xf numFmtId="49" fontId="21" fillId="0" borderId="18" applyAlignment="1" pivotButton="0" quotePrefix="0" xfId="0">
      <alignment horizontal="distributed" vertical="center"/>
    </xf>
    <xf numFmtId="49" fontId="21" fillId="0" borderId="12" applyAlignment="1" pivotButton="0" quotePrefix="0" xfId="0">
      <alignment horizontal="distributed" vertical="center"/>
    </xf>
    <xf numFmtId="49" fontId="21" fillId="0" borderId="19" applyAlignment="1" pivotButton="0" quotePrefix="0" xfId="0">
      <alignment horizontal="distributed" vertical="center"/>
    </xf>
    <xf numFmtId="49" fontId="21" fillId="0" borderId="20" applyAlignment="1" pivotButton="0" quotePrefix="0" xfId="0">
      <alignment horizontal="distributed" vertical="center"/>
    </xf>
    <xf numFmtId="49" fontId="21" fillId="0" borderId="21" applyAlignment="1" pivotButton="0" quotePrefix="0" xfId="0">
      <alignment horizontal="distributed" vertical="center"/>
    </xf>
    <xf numFmtId="49" fontId="21" fillId="0" borderId="22" applyAlignment="1" pivotButton="0" quotePrefix="0" xfId="0">
      <alignment horizontal="distributed" vertical="center"/>
    </xf>
    <xf numFmtId="49" fontId="21" fillId="0" borderId="27" applyAlignment="1" pivotButton="0" quotePrefix="0" xfId="0">
      <alignment vertical="center" shrinkToFit="1"/>
    </xf>
    <xf numFmtId="49" fontId="21" fillId="0" borderId="0" applyAlignment="1" pivotButton="0" quotePrefix="0" xfId="0">
      <alignment vertical="center" shrinkToFit="1"/>
    </xf>
    <xf numFmtId="49" fontId="21" fillId="0" borderId="48" applyAlignment="1" pivotButton="0" quotePrefix="0" xfId="0">
      <alignment vertical="center" shrinkToFit="1"/>
    </xf>
    <xf numFmtId="49" fontId="21" fillId="0" borderId="20" applyAlignment="1" pivotButton="0" quotePrefix="0" xfId="0">
      <alignment vertical="center" shrinkToFit="1"/>
    </xf>
    <xf numFmtId="49" fontId="21" fillId="0" borderId="21" applyAlignment="1" pivotButton="0" quotePrefix="0" xfId="0">
      <alignment vertical="center" shrinkToFit="1"/>
    </xf>
    <xf numFmtId="49" fontId="21" fillId="0" borderId="49" applyAlignment="1" pivotButton="0" quotePrefix="0" xfId="0">
      <alignment vertical="center" shrinkToFit="1"/>
    </xf>
    <xf numFmtId="49" fontId="21" fillId="0" borderId="32" applyAlignment="1" pivotButton="0" quotePrefix="0" xfId="0">
      <alignment horizontal="center" vertical="center" shrinkToFit="1"/>
    </xf>
    <xf numFmtId="49" fontId="21" fillId="0" borderId="35" applyAlignment="1" pivotButton="0" quotePrefix="0" xfId="0">
      <alignment horizontal="center" vertical="center" shrinkToFit="1"/>
    </xf>
    <xf numFmtId="49" fontId="21" fillId="0" borderId="32" applyAlignment="1" pivotButton="0" quotePrefix="0" xfId="0">
      <alignment horizontal="center" vertical="center"/>
    </xf>
    <xf numFmtId="49" fontId="21" fillId="0" borderId="74" applyAlignment="1" pivotButton="0" quotePrefix="0" xfId="0">
      <alignment horizontal="center" vertical="center"/>
    </xf>
    <xf numFmtId="49" fontId="21" fillId="0" borderId="35" applyAlignment="1" pivotButton="0" quotePrefix="0" xfId="0">
      <alignment horizontal="center" vertical="center"/>
    </xf>
    <xf numFmtId="49" fontId="21" fillId="0" borderId="36" applyAlignment="1" pivotButton="0" quotePrefix="0" xfId="0">
      <alignment horizontal="center" vertical="center"/>
    </xf>
    <xf numFmtId="49" fontId="20" fillId="24" borderId="62" applyAlignment="1" pivotButton="0" quotePrefix="0" xfId="0">
      <alignment horizontal="center" vertical="center"/>
    </xf>
    <xf numFmtId="49" fontId="20" fillId="24" borderId="63" applyAlignment="1" pivotButton="0" quotePrefix="0" xfId="0">
      <alignment horizontal="center" vertical="center"/>
    </xf>
    <xf numFmtId="49" fontId="21" fillId="0" borderId="64" applyAlignment="1" pivotButton="0" quotePrefix="0" xfId="0">
      <alignment horizontal="center" vertical="center" textRotation="255"/>
    </xf>
    <xf numFmtId="49" fontId="21" fillId="0" borderId="65" applyAlignment="1" pivotButton="0" quotePrefix="0" xfId="0">
      <alignment horizontal="center" vertical="center" textRotation="255"/>
    </xf>
    <xf numFmtId="49" fontId="21" fillId="0" borderId="43" applyAlignment="1" pivotButton="0" quotePrefix="0" xfId="0">
      <alignment horizontal="center" vertical="center" textRotation="255"/>
    </xf>
    <xf numFmtId="49" fontId="21" fillId="0" borderId="0" applyAlignment="1" pivotButton="0" quotePrefix="0" xfId="0">
      <alignment horizontal="center" vertical="center" textRotation="255"/>
    </xf>
    <xf numFmtId="49" fontId="21" fillId="0" borderId="66" applyAlignment="1" pivotButton="0" quotePrefix="0" xfId="0">
      <alignment horizontal="center" vertical="center" textRotation="255"/>
    </xf>
    <xf numFmtId="49" fontId="21" fillId="0" borderId="21" applyAlignment="1" pivotButton="0" quotePrefix="0" xfId="0">
      <alignment horizontal="center" vertical="center" textRotation="255"/>
    </xf>
    <xf numFmtId="49" fontId="21" fillId="0" borderId="67" applyAlignment="1" pivotButton="0" quotePrefix="0" xfId="0">
      <alignment horizontal="center" vertical="center" shrinkToFit="1"/>
    </xf>
    <xf numFmtId="49" fontId="21" fillId="0" borderId="68" applyAlignment="1" pivotButton="0" quotePrefix="0" xfId="0">
      <alignment horizontal="center" vertical="center" shrinkToFit="1"/>
    </xf>
    <xf numFmtId="49" fontId="21" fillId="0" borderId="69" applyAlignment="1" pivotButton="0" quotePrefix="0" xfId="0">
      <alignment horizontal="center" vertical="center" shrinkToFit="1"/>
    </xf>
    <xf numFmtId="49" fontId="21" fillId="0" borderId="67" applyAlignment="1" pivotButton="0" quotePrefix="0" xfId="0">
      <alignment horizontal="left" vertical="center" shrinkToFit="1"/>
    </xf>
    <xf numFmtId="49" fontId="21" fillId="0" borderId="68" applyAlignment="1" pivotButton="0" quotePrefix="0" xfId="0">
      <alignment horizontal="left" vertical="center" shrinkToFit="1"/>
    </xf>
    <xf numFmtId="49" fontId="21" fillId="0" borderId="21" applyAlignment="1" pivotButton="0" quotePrefix="0" xfId="0">
      <alignment horizontal="left" vertical="center" shrinkToFit="1"/>
    </xf>
    <xf numFmtId="49" fontId="21" fillId="0" borderId="70" applyAlignment="1" pivotButton="0" quotePrefix="0" xfId="0">
      <alignment horizontal="left" vertical="center" shrinkToFit="1"/>
    </xf>
    <xf numFmtId="49" fontId="21" fillId="0" borderId="18" applyAlignment="1" pivotButton="0" quotePrefix="0" xfId="0">
      <alignment horizontal="center" vertical="center" shrinkToFit="1"/>
    </xf>
    <xf numFmtId="49" fontId="21" fillId="0" borderId="12" applyAlignment="1" pivotButton="0" quotePrefix="0" xfId="0">
      <alignment horizontal="center" vertical="center" shrinkToFit="1"/>
    </xf>
    <xf numFmtId="49" fontId="21" fillId="0" borderId="19" applyAlignment="1" pivotButton="0" quotePrefix="0" xfId="0">
      <alignment horizontal="center" vertical="center" shrinkToFit="1"/>
    </xf>
    <xf numFmtId="49" fontId="21" fillId="0" borderId="20" applyAlignment="1" pivotButton="0" quotePrefix="0" xfId="0">
      <alignment horizontal="center" vertical="center" shrinkToFit="1"/>
    </xf>
    <xf numFmtId="49" fontId="21" fillId="0" borderId="21" applyAlignment="1" pivotButton="0" quotePrefix="0" xfId="0">
      <alignment horizontal="center" vertical="center" shrinkToFit="1"/>
    </xf>
    <xf numFmtId="49" fontId="21" fillId="0" borderId="22" applyAlignment="1" pivotButton="0" quotePrefix="0" xfId="0">
      <alignment horizontal="center" vertical="center" shrinkToFit="1"/>
    </xf>
    <xf numFmtId="49" fontId="20" fillId="0" borderId="18" applyAlignment="1" pivotButton="0" quotePrefix="0" xfId="0">
      <alignment horizontal="left" vertical="center" wrapText="1"/>
    </xf>
    <xf numFmtId="49" fontId="20" fillId="0" borderId="12" applyAlignment="1" pivotButton="0" quotePrefix="0" xfId="0">
      <alignment horizontal="left" vertical="center" wrapText="1"/>
    </xf>
    <xf numFmtId="49" fontId="20" fillId="0" borderId="13" applyAlignment="1" pivotButton="0" quotePrefix="0" xfId="0">
      <alignment horizontal="left" vertical="center" wrapText="1"/>
    </xf>
    <xf numFmtId="49" fontId="20" fillId="0" borderId="20" applyAlignment="1" pivotButton="0" quotePrefix="0" xfId="0">
      <alignment horizontal="left" vertical="center" wrapText="1"/>
    </xf>
    <xf numFmtId="49" fontId="20" fillId="0" borderId="21" applyAlignment="1" pivotButton="0" quotePrefix="0" xfId="0">
      <alignment horizontal="left" vertical="center" wrapText="1"/>
    </xf>
    <xf numFmtId="49" fontId="20" fillId="0" borderId="49" applyAlignment="1" pivotButton="0" quotePrefix="0" xfId="0">
      <alignment horizontal="left" vertical="center" wrapText="1"/>
    </xf>
    <xf numFmtId="49" fontId="21" fillId="0" borderId="14" applyAlignment="1" pivotButton="0" quotePrefix="0" xfId="0">
      <alignment horizontal="left" vertical="center"/>
    </xf>
    <xf numFmtId="49" fontId="21" fillId="0" borderId="23" applyAlignment="1" pivotButton="0" quotePrefix="0" xfId="0">
      <alignment horizontal="left" vertical="center"/>
    </xf>
    <xf numFmtId="49" fontId="21" fillId="0" borderId="16" applyAlignment="1" pivotButton="0" quotePrefix="0" xfId="0">
      <alignment horizontal="distributed" vertical="center"/>
    </xf>
    <xf numFmtId="49" fontId="21" fillId="0" borderId="14" applyAlignment="1" pivotButton="0" quotePrefix="0" xfId="0">
      <alignment horizontal="distributed" vertical="center"/>
    </xf>
    <xf numFmtId="49" fontId="21" fillId="0" borderId="23" applyAlignment="1" pivotButton="0" quotePrefix="0" xfId="0">
      <alignment horizontal="distributed" vertical="center"/>
    </xf>
    <xf numFmtId="49" fontId="21" fillId="0" borderId="16" applyAlignment="1" pivotButton="0" quotePrefix="0" xfId="0">
      <alignment horizontal="right" vertical="center"/>
    </xf>
    <xf numFmtId="49" fontId="21" fillId="0" borderId="14" applyAlignment="1" pivotButton="0" quotePrefix="0" xfId="0">
      <alignment horizontal="right" vertical="center"/>
    </xf>
    <xf numFmtId="49" fontId="21" fillId="0" borderId="15" applyAlignment="1" pivotButton="0" quotePrefix="0" xfId="0">
      <alignment horizontal="left" vertical="center"/>
    </xf>
    <xf numFmtId="49" fontId="23" fillId="0" borderId="16" applyAlignment="1" pivotButton="0" quotePrefix="0" xfId="0">
      <alignment horizontal="center" vertical="center"/>
    </xf>
    <xf numFmtId="49" fontId="23" fillId="0" borderId="14" applyAlignment="1" pivotButton="0" quotePrefix="0" xfId="0">
      <alignment horizontal="center" vertical="center"/>
    </xf>
    <xf numFmtId="49" fontId="23" fillId="0" borderId="23" applyAlignment="1" pivotButton="0" quotePrefix="0" xfId="0">
      <alignment horizontal="center" vertical="center"/>
    </xf>
    <xf numFmtId="0" fontId="30" fillId="0" borderId="16" applyAlignment="1" pivotButton="0" quotePrefix="0" xfId="0">
      <alignment horizontal="center" vertical="center"/>
    </xf>
    <xf numFmtId="0" fontId="30" fillId="0" borderId="14" applyAlignment="1" pivotButton="0" quotePrefix="0" xfId="0">
      <alignment horizontal="center" vertical="center"/>
    </xf>
    <xf numFmtId="0" fontId="30" fillId="0" borderId="15" applyAlignment="1" pivotButton="0" quotePrefix="0" xfId="0">
      <alignment horizontal="center" vertical="center"/>
    </xf>
    <xf numFmtId="49" fontId="21" fillId="0" borderId="27" applyAlignment="1" pivotButton="0" quotePrefix="0" xfId="0">
      <alignment horizontal="center" vertical="center" shrinkToFit="1"/>
    </xf>
    <xf numFmtId="49" fontId="21" fillId="0" borderId="0" applyAlignment="1" pivotButton="0" quotePrefix="0" xfId="0">
      <alignment horizontal="center" vertical="center" shrinkToFit="1"/>
    </xf>
    <xf numFmtId="49" fontId="21" fillId="0" borderId="28" applyAlignment="1" pivotButton="0" quotePrefix="0" xfId="0">
      <alignment horizontal="center" vertical="center" shrinkToFit="1"/>
    </xf>
    <xf numFmtId="49" fontId="23" fillId="0" borderId="12" applyAlignment="1" pivotButton="0" quotePrefix="0" xfId="0">
      <alignment vertical="center"/>
    </xf>
    <xf numFmtId="49" fontId="23" fillId="0" borderId="14" applyAlignment="1" pivotButton="0" quotePrefix="0" xfId="0">
      <alignment horizontal="distributed" vertical="center"/>
    </xf>
    <xf numFmtId="49" fontId="23" fillId="0" borderId="23" applyAlignment="1" pivotButton="0" quotePrefix="0" xfId="0">
      <alignment horizontal="distributed" vertical="center"/>
    </xf>
    <xf numFmtId="49" fontId="21" fillId="0" borderId="42" applyAlignment="1" pivotButton="0" quotePrefix="0" xfId="0">
      <alignment horizontal="center" vertical="center" textRotation="255"/>
    </xf>
    <xf numFmtId="49" fontId="21" fillId="0" borderId="19" applyAlignment="1" pivotButton="0" quotePrefix="0" xfId="0">
      <alignment horizontal="center" vertical="center" textRotation="255"/>
    </xf>
    <xf numFmtId="49" fontId="21" fillId="0" borderId="28" applyAlignment="1" pivotButton="0" quotePrefix="0" xfId="0">
      <alignment horizontal="center" vertical="center" textRotation="255"/>
    </xf>
    <xf numFmtId="49" fontId="23" fillId="0" borderId="18" applyAlignment="1" pivotButton="0" quotePrefix="0" xfId="0">
      <alignment horizontal="distributed" vertical="center" wrapText="1"/>
    </xf>
    <xf numFmtId="49" fontId="23" fillId="0" borderId="12" applyAlignment="1" pivotButton="0" quotePrefix="0" xfId="0">
      <alignment horizontal="distributed" vertical="center" wrapText="1"/>
    </xf>
    <xf numFmtId="49" fontId="23" fillId="0" borderId="27" applyAlignment="1" pivotButton="0" quotePrefix="0" xfId="0">
      <alignment horizontal="distributed" vertical="center" wrapText="1"/>
    </xf>
    <xf numFmtId="49" fontId="23" fillId="0" borderId="0" applyAlignment="1" pivotButton="0" quotePrefix="0" xfId="0">
      <alignment horizontal="distributed" vertical="center" wrapText="1"/>
    </xf>
    <xf numFmtId="49" fontId="23" fillId="0" borderId="20" applyAlignment="1" pivotButton="0" quotePrefix="0" xfId="0">
      <alignment horizontal="distributed" vertical="center" wrapText="1"/>
    </xf>
    <xf numFmtId="49" fontId="23" fillId="0" borderId="21" applyAlignment="1" pivotButton="0" quotePrefix="0" xfId="0">
      <alignment horizontal="distributed" vertical="center" wrapText="1"/>
    </xf>
    <xf numFmtId="49" fontId="22" fillId="0" borderId="12" applyAlignment="1" pivotButton="0" quotePrefix="0" xfId="0">
      <alignment horizontal="left" vertical="center"/>
    </xf>
    <xf numFmtId="49" fontId="21" fillId="0" borderId="18" applyAlignment="1" pivotButton="0" quotePrefix="0" xfId="0">
      <alignment horizontal="left" vertical="center" wrapText="1"/>
    </xf>
    <xf numFmtId="49" fontId="21" fillId="0" borderId="12" applyAlignment="1" pivotButton="0" quotePrefix="0" xfId="0">
      <alignment horizontal="left" vertical="center" wrapText="1"/>
    </xf>
    <xf numFmtId="49" fontId="21" fillId="0" borderId="19" applyAlignment="1" pivotButton="0" quotePrefix="0" xfId="0">
      <alignment horizontal="left" vertical="center" wrapText="1"/>
    </xf>
    <xf numFmtId="49" fontId="21" fillId="0" borderId="20" applyAlignment="1" pivotButton="0" quotePrefix="0" xfId="0">
      <alignment horizontal="left" vertical="center" wrapText="1"/>
    </xf>
    <xf numFmtId="49" fontId="21" fillId="0" borderId="21" applyAlignment="1" pivotButton="0" quotePrefix="0" xfId="0">
      <alignment horizontal="left" vertical="center" wrapText="1"/>
    </xf>
    <xf numFmtId="49" fontId="21" fillId="0" borderId="22" applyAlignment="1" pivotButton="0" quotePrefix="0" xfId="0">
      <alignment horizontal="left" vertical="center" wrapText="1"/>
    </xf>
    <xf numFmtId="49" fontId="21" fillId="0" borderId="12" applyAlignment="1" pivotButton="0" quotePrefix="0" xfId="0">
      <alignment horizontal="left" vertical="center"/>
    </xf>
    <xf numFmtId="49" fontId="21" fillId="0" borderId="13" applyAlignment="1" pivotButton="0" quotePrefix="0" xfId="0">
      <alignment horizontal="left" vertical="center"/>
    </xf>
    <xf numFmtId="49" fontId="21" fillId="0" borderId="21" applyAlignment="1" pivotButton="0" quotePrefix="0" xfId="0">
      <alignment horizontal="left" vertical="center"/>
    </xf>
    <xf numFmtId="49" fontId="21" fillId="0" borderId="49" applyAlignment="1" pivotButton="0" quotePrefix="0" xfId="0">
      <alignment horizontal="left" vertical="center"/>
    </xf>
    <xf numFmtId="49" fontId="22" fillId="0" borderId="61" applyAlignment="1" pivotButton="0" quotePrefix="0" xfId="0">
      <alignment horizontal="distributed" vertical="center"/>
    </xf>
    <xf numFmtId="49" fontId="22" fillId="0" borderId="14" applyAlignment="1" pivotButton="0" quotePrefix="0" xfId="0">
      <alignment horizontal="distributed" vertical="center"/>
    </xf>
    <xf numFmtId="49" fontId="22" fillId="0" borderId="23" applyAlignment="1" pivotButton="0" quotePrefix="0" xfId="0">
      <alignment horizontal="distributed" vertical="center"/>
    </xf>
    <xf numFmtId="49" fontId="21" fillId="0" borderId="14" applyAlignment="1" pivotButton="0" quotePrefix="0" xfId="0">
      <alignment horizontal="center" vertical="center"/>
    </xf>
    <xf numFmtId="49" fontId="21" fillId="0" borderId="14" applyAlignment="1" pivotButton="0" quotePrefix="0" xfId="0">
      <alignment horizontal="distributed" vertical="center"/>
    </xf>
    <xf numFmtId="49" fontId="22" fillId="0" borderId="12" applyAlignment="1" pivotButton="0" quotePrefix="0" xfId="0">
      <alignment vertical="center"/>
    </xf>
    <xf numFmtId="49" fontId="21" fillId="0" borderId="18" applyAlignment="1" pivotButton="0" quotePrefix="0" xfId="0">
      <alignment vertical="center" wrapText="1"/>
    </xf>
    <xf numFmtId="49" fontId="21" fillId="0" borderId="12" applyAlignment="1" pivotButton="0" quotePrefix="0" xfId="0">
      <alignment vertical="center" wrapText="1"/>
    </xf>
    <xf numFmtId="49" fontId="21" fillId="0" borderId="13" applyAlignment="1" pivotButton="0" quotePrefix="0" xfId="0">
      <alignment vertical="center" wrapText="1"/>
    </xf>
    <xf numFmtId="49" fontId="21" fillId="0" borderId="27" applyAlignment="1" pivotButton="0" quotePrefix="0" xfId="0">
      <alignment vertical="center" wrapText="1"/>
    </xf>
    <xf numFmtId="49" fontId="21" fillId="0" borderId="0" applyAlignment="1" pivotButton="0" quotePrefix="0" xfId="0">
      <alignment vertical="center" wrapText="1"/>
    </xf>
    <xf numFmtId="49" fontId="21" fillId="0" borderId="48" applyAlignment="1" pivotButton="0" quotePrefix="0" xfId="0">
      <alignment vertical="center" wrapText="1"/>
    </xf>
    <xf numFmtId="49" fontId="21" fillId="0" borderId="20" applyAlignment="1" pivotButton="0" quotePrefix="0" xfId="0">
      <alignment vertical="center" wrapText="1"/>
    </xf>
    <xf numFmtId="49" fontId="21" fillId="0" borderId="21" applyAlignment="1" pivotButton="0" quotePrefix="0" xfId="0">
      <alignment vertical="center" wrapText="1"/>
    </xf>
    <xf numFmtId="49" fontId="21" fillId="0" borderId="49" applyAlignment="1" pivotButton="0" quotePrefix="0" xfId="0">
      <alignment vertical="center" wrapText="1"/>
    </xf>
    <xf numFmtId="49" fontId="21" fillId="0" borderId="18" applyAlignment="1" pivotButton="0" quotePrefix="0" xfId="0">
      <alignment horizontal="left" vertical="center"/>
    </xf>
    <xf numFmtId="49" fontId="21" fillId="0" borderId="12" applyAlignment="1" pivotButton="0" quotePrefix="0" xfId="0">
      <alignment horizontal="left" vertical="center"/>
    </xf>
    <xf numFmtId="49" fontId="21" fillId="0" borderId="19" applyAlignment="1" pivotButton="0" quotePrefix="0" xfId="0">
      <alignment horizontal="left" vertical="center"/>
    </xf>
    <xf numFmtId="49" fontId="21" fillId="0" borderId="27" applyAlignment="1" pivotButton="0" quotePrefix="0" xfId="0">
      <alignment horizontal="left" vertical="center"/>
    </xf>
    <xf numFmtId="49" fontId="21" fillId="0" borderId="0" applyAlignment="1" pivotButton="0" quotePrefix="0" xfId="0">
      <alignment horizontal="left" vertical="center"/>
    </xf>
    <xf numFmtId="49" fontId="21" fillId="0" borderId="28" applyAlignment="1" pivotButton="0" quotePrefix="0" xfId="0">
      <alignment horizontal="left" vertical="center"/>
    </xf>
    <xf numFmtId="49" fontId="21" fillId="0" borderId="20" applyAlignment="1" pivotButton="0" quotePrefix="0" xfId="0">
      <alignment horizontal="left" vertical="center"/>
    </xf>
    <xf numFmtId="49" fontId="21" fillId="0" borderId="21" applyAlignment="1" pivotButton="0" quotePrefix="0" xfId="0">
      <alignment horizontal="left" vertical="center"/>
    </xf>
    <xf numFmtId="49" fontId="21" fillId="0" borderId="22" applyAlignment="1" pivotButton="0" quotePrefix="0" xfId="0">
      <alignment horizontal="left" vertical="center"/>
    </xf>
    <xf numFmtId="49" fontId="21" fillId="0" borderId="18" applyAlignment="1" pivotButton="0" quotePrefix="0" xfId="0">
      <alignment horizontal="center" vertical="center" wrapText="1"/>
    </xf>
    <xf numFmtId="49" fontId="21" fillId="0" borderId="19" applyAlignment="1" pivotButton="0" quotePrefix="0" xfId="0">
      <alignment horizontal="center" vertical="center" wrapText="1"/>
    </xf>
    <xf numFmtId="49" fontId="21" fillId="0" borderId="27" applyAlignment="1" pivotButton="0" quotePrefix="0" xfId="0">
      <alignment horizontal="center" vertical="center" wrapText="1"/>
    </xf>
    <xf numFmtId="49" fontId="21" fillId="0" borderId="28" applyAlignment="1" pivotButton="0" quotePrefix="0" xfId="0">
      <alignment horizontal="center" vertical="center" wrapText="1"/>
    </xf>
    <xf numFmtId="49" fontId="21" fillId="0" borderId="20" applyAlignment="1" pivotButton="0" quotePrefix="0" xfId="0">
      <alignment horizontal="center" vertical="center" wrapText="1"/>
    </xf>
    <xf numFmtId="49" fontId="21" fillId="0" borderId="22" applyAlignment="1" pivotButton="0" quotePrefix="0" xfId="0">
      <alignment horizontal="center" vertical="center" wrapText="1"/>
    </xf>
    <xf numFmtId="49" fontId="23" fillId="0" borderId="27" applyAlignment="1" pivotButton="0" quotePrefix="0" xfId="0">
      <alignment vertical="center" wrapText="1"/>
    </xf>
    <xf numFmtId="49" fontId="23" fillId="0" borderId="0" applyAlignment="1" pivotButton="0" quotePrefix="0" xfId="0">
      <alignment vertical="center" wrapText="1"/>
    </xf>
    <xf numFmtId="49" fontId="23" fillId="0" borderId="28" applyAlignment="1" pivotButton="0" quotePrefix="0" xfId="0">
      <alignment vertical="center" wrapText="1"/>
    </xf>
    <xf numFmtId="49" fontId="23" fillId="0" borderId="20" applyAlignment="1" pivotButton="0" quotePrefix="0" xfId="0">
      <alignment vertical="center" wrapText="1"/>
    </xf>
    <xf numFmtId="49" fontId="23" fillId="0" borderId="21" applyAlignment="1" pivotButton="0" quotePrefix="0" xfId="0">
      <alignment vertical="center" wrapText="1"/>
    </xf>
    <xf numFmtId="49" fontId="23" fillId="0" borderId="22" applyAlignment="1" pivotButton="0" quotePrefix="0" xfId="0">
      <alignment vertical="center" wrapText="1"/>
    </xf>
    <xf numFmtId="49" fontId="21" fillId="0" borderId="18" applyAlignment="1" pivotButton="0" quotePrefix="0" xfId="0">
      <alignment horizontal="left" vertical="center"/>
    </xf>
    <xf numFmtId="49" fontId="21" fillId="0" borderId="14" applyAlignment="1" pivotButton="0" quotePrefix="0" xfId="0">
      <alignment horizontal="left" vertical="center"/>
    </xf>
    <xf numFmtId="49" fontId="21" fillId="0" borderId="15" applyAlignment="1" pivotButton="0" quotePrefix="0" xfId="0">
      <alignment horizontal="left" vertical="center"/>
    </xf>
    <xf numFmtId="49" fontId="21" fillId="0" borderId="33" applyAlignment="1" pivotButton="0" quotePrefix="0" xfId="0">
      <alignment horizontal="center" vertical="center" wrapText="1"/>
    </xf>
    <xf numFmtId="49" fontId="21" fillId="0" borderId="34" applyAlignment="1" pivotButton="0" quotePrefix="0" xfId="0">
      <alignment horizontal="center" vertical="center" wrapText="1"/>
    </xf>
    <xf numFmtId="49" fontId="21" fillId="0" borderId="18" applyAlignment="1" pivotButton="0" quotePrefix="0" xfId="0">
      <alignment horizontal="center" vertical="center"/>
    </xf>
    <xf numFmtId="49" fontId="21" fillId="0" borderId="19" applyAlignment="1" pivotButton="0" quotePrefix="0" xfId="0">
      <alignment horizontal="center" vertical="center"/>
    </xf>
    <xf numFmtId="49" fontId="21" fillId="0" borderId="20" applyAlignment="1" pivotButton="0" quotePrefix="0" xfId="0">
      <alignment horizontal="center" vertical="center"/>
    </xf>
    <xf numFmtId="49" fontId="21" fillId="0" borderId="22" applyAlignment="1" pivotButton="0" quotePrefix="0" xfId="0">
      <alignment horizontal="center" vertical="center"/>
    </xf>
    <xf numFmtId="49" fontId="21" fillId="0" borderId="13" applyAlignment="1" pivotButton="0" quotePrefix="0" xfId="0">
      <alignment horizontal="left" vertical="center" wrapText="1"/>
    </xf>
    <xf numFmtId="49" fontId="21" fillId="0" borderId="49" applyAlignment="1" pivotButton="0" quotePrefix="0" xfId="0">
      <alignment horizontal="left" vertical="center" wrapText="1"/>
    </xf>
    <xf numFmtId="49" fontId="21" fillId="0" borderId="27" applyAlignment="1" pivotButton="0" quotePrefix="0" xfId="0">
      <alignment horizontal="left" vertical="center" wrapText="1"/>
    </xf>
    <xf numFmtId="49" fontId="21" fillId="0" borderId="0" applyAlignment="1" pivotButton="0" quotePrefix="0" xfId="0">
      <alignment horizontal="left" vertical="center" wrapText="1"/>
    </xf>
    <xf numFmtId="49" fontId="21" fillId="0" borderId="20" applyAlignment="1" pivotButton="0" quotePrefix="0" xfId="0">
      <alignment horizontal="left" vertical="center"/>
    </xf>
    <xf numFmtId="49" fontId="21" fillId="0" borderId="16" applyAlignment="1" pivotButton="0" quotePrefix="0" xfId="0">
      <alignment horizontal="center" vertical="center"/>
    </xf>
    <xf numFmtId="49" fontId="21" fillId="0" borderId="23" applyAlignment="1" pivotButton="0" quotePrefix="0" xfId="0">
      <alignment horizontal="center" vertical="center"/>
    </xf>
    <xf numFmtId="49" fontId="21" fillId="0" borderId="16" applyAlignment="1" pivotButton="0" quotePrefix="0" xfId="0">
      <alignment vertical="center"/>
    </xf>
    <xf numFmtId="49" fontId="21" fillId="0" borderId="14" applyAlignment="1" pivotButton="0" quotePrefix="0" xfId="0">
      <alignment vertical="center"/>
    </xf>
    <xf numFmtId="49" fontId="21" fillId="0" borderId="23" applyAlignment="1" pivotButton="0" quotePrefix="0" xfId="0">
      <alignment vertical="center"/>
    </xf>
    <xf numFmtId="49" fontId="21" fillId="0" borderId="18" applyAlignment="1" pivotButton="0" quotePrefix="0" xfId="0">
      <alignment vertical="center"/>
    </xf>
    <xf numFmtId="49" fontId="21" fillId="0" borderId="12" applyAlignment="1" pivotButton="0" quotePrefix="0" xfId="0">
      <alignment vertical="center"/>
    </xf>
    <xf numFmtId="49" fontId="21" fillId="0" borderId="19" applyAlignment="1" pivotButton="0" quotePrefix="0" xfId="0">
      <alignment vertical="center"/>
    </xf>
    <xf numFmtId="49" fontId="22" fillId="0" borderId="50" applyAlignment="1" pivotButton="0" quotePrefix="0" xfId="0">
      <alignment horizontal="center" vertical="center" wrapText="1"/>
    </xf>
    <xf numFmtId="49" fontId="22" fillId="0" borderId="51" applyAlignment="1" pivotButton="0" quotePrefix="0" xfId="0">
      <alignment horizontal="center" vertical="center" wrapText="1"/>
    </xf>
    <xf numFmtId="49" fontId="22" fillId="0" borderId="59" applyAlignment="1" pivotButton="0" quotePrefix="0" xfId="0">
      <alignment horizontal="center" vertical="center" wrapText="1"/>
    </xf>
    <xf numFmtId="49" fontId="22" fillId="0" borderId="56" applyAlignment="1" pivotButton="0" quotePrefix="0" xfId="0">
      <alignment horizontal="center" vertical="center" wrapText="1"/>
    </xf>
    <xf numFmtId="49" fontId="22" fillId="0" borderId="57" applyAlignment="1" pivotButton="0" quotePrefix="0" xfId="0">
      <alignment horizontal="center" vertical="center" wrapText="1"/>
    </xf>
    <xf numFmtId="49" fontId="22" fillId="0" borderId="60" applyAlignment="1" pivotButton="0" quotePrefix="0" xfId="0">
      <alignment horizontal="center" vertical="center" wrapText="1"/>
    </xf>
    <xf numFmtId="49" fontId="21" fillId="0" borderId="12" applyAlignment="1" pivotButton="0" quotePrefix="0" xfId="0">
      <alignment horizontal="center" vertical="center"/>
    </xf>
    <xf numFmtId="49" fontId="20" fillId="0" borderId="27" applyAlignment="1" pivotButton="0" quotePrefix="0" xfId="0">
      <alignment horizontal="left" vertical="center"/>
    </xf>
    <xf numFmtId="49" fontId="20" fillId="0" borderId="0" applyAlignment="1" pivotButton="0" quotePrefix="0" xfId="0">
      <alignment horizontal="left" vertical="center"/>
    </xf>
    <xf numFmtId="49" fontId="20" fillId="0" borderId="48" applyAlignment="1" pivotButton="0" quotePrefix="0" xfId="0">
      <alignment horizontal="left" vertical="center"/>
    </xf>
    <xf numFmtId="49" fontId="20" fillId="0" borderId="20" applyAlignment="1" pivotButton="0" quotePrefix="0" xfId="0">
      <alignment horizontal="left" vertical="center"/>
    </xf>
    <xf numFmtId="49" fontId="20" fillId="0" borderId="21" applyAlignment="1" pivotButton="0" quotePrefix="0" xfId="0">
      <alignment horizontal="left" vertical="center"/>
    </xf>
    <xf numFmtId="49" fontId="20" fillId="0" borderId="49" applyAlignment="1" pivotButton="0" quotePrefix="0" xfId="0">
      <alignment horizontal="left" vertical="center"/>
    </xf>
    <xf numFmtId="49" fontId="21" fillId="0" borderId="32" applyAlignment="1" pivotButton="0" quotePrefix="0" xfId="0">
      <alignment horizontal="center" vertical="center"/>
    </xf>
    <xf numFmtId="49" fontId="21" fillId="0" borderId="33" applyAlignment="1" pivotButton="0" quotePrefix="0" xfId="0">
      <alignment horizontal="center" vertical="center"/>
    </xf>
    <xf numFmtId="49" fontId="21" fillId="0" borderId="34" applyAlignment="1" pivotButton="0" quotePrefix="0" xfId="0">
      <alignment horizontal="center" vertical="center"/>
    </xf>
    <xf numFmtId="49" fontId="21" fillId="0" borderId="12" applyAlignment="1" pivotButton="0" quotePrefix="0" xfId="0">
      <alignment vertical="center"/>
    </xf>
    <xf numFmtId="49" fontId="21" fillId="0" borderId="13" applyAlignment="1" pivotButton="0" quotePrefix="0" xfId="0">
      <alignment vertical="center"/>
    </xf>
    <xf numFmtId="49" fontId="21" fillId="0" borderId="0" applyAlignment="1" pivotButton="0" quotePrefix="0" xfId="0">
      <alignment vertical="center"/>
    </xf>
    <xf numFmtId="49" fontId="21" fillId="0" borderId="48" applyAlignment="1" pivotButton="0" quotePrefix="0" xfId="0">
      <alignment vertical="center"/>
    </xf>
    <xf numFmtId="49" fontId="21" fillId="0" borderId="21" applyAlignment="1" pivotButton="0" quotePrefix="0" xfId="0">
      <alignment vertical="center"/>
    </xf>
    <xf numFmtId="49" fontId="21" fillId="0" borderId="49" applyAlignment="1" pivotButton="0" quotePrefix="0" xfId="0">
      <alignment vertical="center"/>
    </xf>
    <xf numFmtId="49" fontId="23" fillId="0" borderId="16" applyAlignment="1" pivotButton="0" quotePrefix="0" xfId="0">
      <alignment horizontal="center" vertical="center"/>
    </xf>
    <xf numFmtId="49" fontId="23" fillId="0" borderId="14" applyAlignment="1" pivotButton="0" quotePrefix="0" xfId="0">
      <alignment horizontal="center" vertical="center"/>
    </xf>
    <xf numFmtId="49" fontId="23" fillId="0" borderId="23" applyAlignment="1" pivotButton="0" quotePrefix="0" xfId="0">
      <alignment horizontal="center" vertical="center"/>
    </xf>
    <xf numFmtId="49" fontId="23" fillId="0" borderId="50" applyAlignment="1" pivotButton="0" quotePrefix="0" xfId="0">
      <alignment horizontal="center" vertical="center"/>
    </xf>
    <xf numFmtId="49" fontId="23" fillId="0" borderId="51" applyAlignment="1" pivotButton="0" quotePrefix="0" xfId="0">
      <alignment horizontal="center" vertical="center"/>
    </xf>
    <xf numFmtId="49" fontId="23" fillId="0" borderId="52" applyAlignment="1" pivotButton="0" quotePrefix="0" xfId="0">
      <alignment horizontal="center" vertical="center"/>
    </xf>
    <xf numFmtId="49" fontId="23" fillId="0" borderId="53" applyAlignment="1" pivotButton="0" quotePrefix="0" xfId="0">
      <alignment horizontal="center" vertical="center"/>
    </xf>
    <xf numFmtId="49" fontId="23" fillId="0" borderId="54" applyAlignment="1" pivotButton="0" quotePrefix="0" xfId="0">
      <alignment horizontal="center" vertical="center"/>
    </xf>
    <xf numFmtId="49" fontId="23" fillId="0" borderId="55" applyAlignment="1" pivotButton="0" quotePrefix="0" xfId="0">
      <alignment horizontal="center" vertical="center"/>
    </xf>
    <xf numFmtId="49" fontId="23" fillId="0" borderId="56" applyAlignment="1" pivotButton="0" quotePrefix="0" xfId="0">
      <alignment horizontal="center" vertical="center"/>
    </xf>
    <xf numFmtId="49" fontId="23" fillId="0" borderId="57" applyAlignment="1" pivotButton="0" quotePrefix="0" xfId="0">
      <alignment horizontal="center" vertical="center"/>
    </xf>
    <xf numFmtId="49" fontId="23" fillId="0" borderId="58" applyAlignment="1" pivotButton="0" quotePrefix="0" xfId="0">
      <alignment horizontal="center" vertical="center"/>
    </xf>
    <xf numFmtId="49" fontId="29" fillId="0" borderId="12" applyAlignment="1" pivotButton="0" quotePrefix="0" xfId="0">
      <alignment horizontal="center" vertical="center" wrapText="1"/>
    </xf>
    <xf numFmtId="49" fontId="25" fillId="0" borderId="0" applyAlignment="1" pivotButton="0" quotePrefix="0" xfId="0">
      <alignment horizontal="center" vertical="center" wrapText="1"/>
    </xf>
    <xf numFmtId="49" fontId="25" fillId="0" borderId="21" applyAlignment="1" pivotButton="0" quotePrefix="0" xfId="0">
      <alignment horizontal="center" vertical="center" wrapText="1"/>
    </xf>
    <xf numFmtId="49" fontId="21" fillId="0" borderId="42" applyAlignment="1" pivotButton="0" quotePrefix="0" xfId="0">
      <alignment horizontal="center" vertical="center" textRotation="255" wrapText="1"/>
    </xf>
    <xf numFmtId="49" fontId="21" fillId="0" borderId="19" applyAlignment="1" pivotButton="0" quotePrefix="0" xfId="0">
      <alignment horizontal="center" vertical="center" textRotation="255" wrapText="1"/>
    </xf>
    <xf numFmtId="49" fontId="21" fillId="0" borderId="43" applyAlignment="1" pivotButton="0" quotePrefix="0" xfId="0">
      <alignment horizontal="center" vertical="center" textRotation="255" wrapText="1"/>
    </xf>
    <xf numFmtId="49" fontId="21" fillId="0" borderId="28" applyAlignment="1" pivotButton="0" quotePrefix="0" xfId="0">
      <alignment horizontal="center" vertical="center" textRotation="255" wrapText="1"/>
    </xf>
    <xf numFmtId="49" fontId="21" fillId="0" borderId="18" applyAlignment="1" pivotButton="0" quotePrefix="0" xfId="0">
      <alignment horizontal="left" vertical="center" wrapText="1"/>
    </xf>
    <xf numFmtId="49" fontId="21" fillId="0" borderId="12" applyAlignment="1" pivotButton="0" quotePrefix="0" xfId="0">
      <alignment horizontal="left" vertical="center" wrapText="1"/>
    </xf>
    <xf numFmtId="49" fontId="21" fillId="0" borderId="19" applyAlignment="1" pivotButton="0" quotePrefix="0" xfId="0">
      <alignment horizontal="left" vertical="center" wrapText="1"/>
    </xf>
    <xf numFmtId="49" fontId="21" fillId="0" borderId="20" applyAlignment="1" pivotButton="0" quotePrefix="0" xfId="0">
      <alignment horizontal="left" vertical="center" wrapText="1"/>
    </xf>
    <xf numFmtId="49" fontId="21" fillId="0" borderId="21" applyAlignment="1" pivotButton="0" quotePrefix="0" xfId="0">
      <alignment horizontal="left" vertical="center" wrapText="1"/>
    </xf>
    <xf numFmtId="49" fontId="21" fillId="0" borderId="22" applyAlignment="1" pivotButton="0" quotePrefix="0" xfId="0">
      <alignment horizontal="left" vertical="center" wrapText="1"/>
    </xf>
    <xf numFmtId="49" fontId="21" fillId="0" borderId="44" applyAlignment="1" pivotButton="0" quotePrefix="0" xfId="0">
      <alignment vertical="center"/>
    </xf>
    <xf numFmtId="49" fontId="21" fillId="0" borderId="45" applyAlignment="1" pivotButton="0" quotePrefix="0" xfId="0">
      <alignment vertical="center"/>
    </xf>
    <xf numFmtId="49" fontId="21" fillId="0" borderId="46" applyAlignment="1" pivotButton="0" quotePrefix="0" xfId="0">
      <alignment vertical="center"/>
    </xf>
    <xf numFmtId="49" fontId="21" fillId="0" borderId="45" applyAlignment="1" pivotButton="0" quotePrefix="0" xfId="0">
      <alignment vertical="center" wrapText="1"/>
    </xf>
    <xf numFmtId="49" fontId="21" fillId="0" borderId="47" applyAlignment="1" pivotButton="0" quotePrefix="0" xfId="0">
      <alignment vertical="center" wrapText="1"/>
    </xf>
    <xf numFmtId="49" fontId="21" fillId="0" borderId="39" applyAlignment="1" pivotButton="0" quotePrefix="0" xfId="0">
      <alignment horizontal="center" vertical="center"/>
    </xf>
    <xf numFmtId="49" fontId="21" fillId="0" borderId="40" applyAlignment="1" pivotButton="0" quotePrefix="0" xfId="0">
      <alignment horizontal="center" vertical="center"/>
    </xf>
    <xf numFmtId="49" fontId="21" fillId="0" borderId="41" applyAlignment="1" pivotButton="0" quotePrefix="0" xfId="0">
      <alignment horizontal="center" vertical="center"/>
    </xf>
    <xf numFmtId="49" fontId="23" fillId="0" borderId="18" applyAlignment="1" pivotButton="0" quotePrefix="0" xfId="0">
      <alignment horizontal="center" vertical="center" shrinkToFit="1"/>
    </xf>
    <xf numFmtId="49" fontId="23" fillId="0" borderId="19" applyAlignment="1" pivotButton="0" quotePrefix="0" xfId="0">
      <alignment horizontal="center" vertical="center" shrinkToFit="1"/>
    </xf>
    <xf numFmtId="49" fontId="22" fillId="0" borderId="18" applyAlignment="1" pivotButton="0" quotePrefix="0" xfId="0">
      <alignment vertical="center" wrapText="1"/>
    </xf>
    <xf numFmtId="49" fontId="22" fillId="0" borderId="19" applyAlignment="1" pivotButton="0" quotePrefix="0" xfId="0">
      <alignment vertical="center"/>
    </xf>
    <xf numFmtId="49" fontId="22" fillId="0" borderId="27" applyAlignment="1" pivotButton="0" quotePrefix="0" xfId="0">
      <alignment vertical="center"/>
    </xf>
    <xf numFmtId="49" fontId="22" fillId="0" borderId="28" applyAlignment="1" pivotButton="0" quotePrefix="0" xfId="0">
      <alignment vertical="center"/>
    </xf>
    <xf numFmtId="49" fontId="22" fillId="0" borderId="20" applyAlignment="1" pivotButton="0" quotePrefix="0" xfId="0">
      <alignment vertical="center"/>
    </xf>
    <xf numFmtId="49" fontId="22" fillId="0" borderId="22" applyAlignment="1" pivotButton="0" quotePrefix="0" xfId="0">
      <alignment vertical="center"/>
    </xf>
    <xf numFmtId="49" fontId="21" fillId="0" borderId="24" applyAlignment="1" pivotButton="0" quotePrefix="0" xfId="0">
      <alignment horizontal="center" vertical="center"/>
    </xf>
    <xf numFmtId="49" fontId="21" fillId="0" borderId="25" applyAlignment="1" pivotButton="0" quotePrefix="0" xfId="0">
      <alignment horizontal="center" vertical="center"/>
    </xf>
    <xf numFmtId="49" fontId="21" fillId="0" borderId="26" applyAlignment="1" pivotButton="0" quotePrefix="0" xfId="0">
      <alignment horizontal="center" vertical="center"/>
    </xf>
    <xf numFmtId="49" fontId="21" fillId="0" borderId="18" applyAlignment="1" pivotButton="0" quotePrefix="0" xfId="0">
      <alignment horizontal="center" vertical="center" wrapText="1" justifyLastLine="1"/>
    </xf>
    <xf numFmtId="49" fontId="21" fillId="0" borderId="12" applyAlignment="1" pivotButton="0" quotePrefix="0" xfId="0">
      <alignment horizontal="center" vertical="center" wrapText="1" justifyLastLine="1"/>
    </xf>
    <xf numFmtId="49" fontId="21" fillId="0" borderId="19" applyAlignment="1" pivotButton="0" quotePrefix="0" xfId="0">
      <alignment horizontal="center" vertical="center" wrapText="1" justifyLastLine="1"/>
    </xf>
    <xf numFmtId="49" fontId="23" fillId="0" borderId="18" applyAlignment="1" pivotButton="0" quotePrefix="0" xfId="0">
      <alignment horizontal="center" vertical="center" wrapText="1"/>
    </xf>
    <xf numFmtId="49" fontId="23" fillId="0" borderId="12" applyAlignment="1" pivotButton="0" quotePrefix="0" xfId="0">
      <alignment horizontal="center" vertical="center" wrapText="1"/>
    </xf>
    <xf numFmtId="49" fontId="23" fillId="0" borderId="19" applyAlignment="1" pivotButton="0" quotePrefix="0" xfId="0">
      <alignment horizontal="center" vertical="center" wrapText="1"/>
    </xf>
    <xf numFmtId="49" fontId="23" fillId="0" borderId="29" applyAlignment="1" pivotButton="0" quotePrefix="0" xfId="0">
      <alignment horizontal="center" vertical="center" wrapText="1"/>
    </xf>
    <xf numFmtId="49" fontId="23" fillId="0" borderId="30" applyAlignment="1" pivotButton="0" quotePrefix="0" xfId="0">
      <alignment horizontal="center" vertical="center" wrapText="1"/>
    </xf>
    <xf numFmtId="49" fontId="23" fillId="0" borderId="31" applyAlignment="1" pivotButton="0" quotePrefix="0" xfId="0">
      <alignment horizontal="center" vertical="center" wrapText="1"/>
    </xf>
    <xf numFmtId="49" fontId="21" fillId="0" borderId="19" applyAlignment="1" pivotButton="0" quotePrefix="0" xfId="0">
      <alignment vertical="center" wrapText="1"/>
    </xf>
    <xf numFmtId="49" fontId="21" fillId="0" borderId="22" applyAlignment="1" pivotButton="0" quotePrefix="0" xfId="0">
      <alignment vertical="center" wrapText="1"/>
    </xf>
    <xf numFmtId="49" fontId="22" fillId="0" borderId="14" applyAlignment="1" pivotButton="0" quotePrefix="0" xfId="0">
      <alignment vertical="center" wrapText="1"/>
    </xf>
    <xf numFmtId="49" fontId="22" fillId="0" borderId="23" applyAlignment="1" pivotButton="0" quotePrefix="0" xfId="0">
      <alignment vertical="center" wrapText="1"/>
    </xf>
    <xf numFmtId="49" fontId="22" fillId="0" borderId="21" applyAlignment="1" pivotButton="0" quotePrefix="0" xfId="0">
      <alignment vertical="center"/>
    </xf>
    <xf numFmtId="49" fontId="22" fillId="0" borderId="14" applyAlignment="1" pivotButton="0" quotePrefix="0" xfId="0">
      <alignment vertical="center"/>
    </xf>
    <xf numFmtId="49" fontId="22" fillId="0" borderId="15" applyAlignment="1" pivotButton="0" quotePrefix="0" xfId="0">
      <alignment vertical="center"/>
    </xf>
    <xf numFmtId="49" fontId="21" fillId="0" borderId="21" applyAlignment="1" pivotButton="0" quotePrefix="0" xfId="0">
      <alignment horizontal="center" vertical="center"/>
    </xf>
    <xf numFmtId="49" fontId="21" fillId="0" borderId="16" applyAlignment="1" pivotButton="0" quotePrefix="0" xfId="0">
      <alignment vertical="center"/>
    </xf>
    <xf numFmtId="49" fontId="21" fillId="0" borderId="14" applyAlignment="1" pivotButton="0" quotePrefix="0" xfId="0">
      <alignment vertical="center"/>
    </xf>
    <xf numFmtId="49" fontId="21" fillId="0" borderId="23" applyAlignment="1" pivotButton="0" quotePrefix="0" xfId="0">
      <alignment vertical="center"/>
    </xf>
    <xf numFmtId="49" fontId="22" fillId="0" borderId="16" applyAlignment="1" pivotButton="0" quotePrefix="0" xfId="0">
      <alignment horizontal="left" vertical="center"/>
    </xf>
    <xf numFmtId="49" fontId="22" fillId="0" borderId="14" applyAlignment="1" pivotButton="0" quotePrefix="0" xfId="0">
      <alignment horizontal="left" vertical="center"/>
    </xf>
    <xf numFmtId="49" fontId="22" fillId="0" borderId="15" applyAlignment="1" pivotButton="0" quotePrefix="0" xfId="0">
      <alignment horizontal="left" vertical="center"/>
    </xf>
    <xf numFmtId="49" fontId="21" fillId="0" borderId="15" applyAlignment="1" pivotButton="0" quotePrefix="0" xfId="0">
      <alignment vertical="center"/>
    </xf>
    <xf numFmtId="49" fontId="22" fillId="0" borderId="15" applyAlignment="1" pivotButton="0" quotePrefix="0" xfId="0">
      <alignment vertical="center" wrapText="1"/>
    </xf>
    <xf numFmtId="0" fontId="21" fillId="0" borderId="35" applyAlignment="1" pivotButton="0" quotePrefix="0" xfId="0">
      <alignment horizontal="center" vertical="center" wrapText="1"/>
    </xf>
    <xf numFmtId="0" fontId="21" fillId="0" borderId="36" applyAlignment="1" pivotButton="0" quotePrefix="0" xfId="0">
      <alignment horizontal="center" vertical="center" wrapText="1"/>
    </xf>
    <xf numFmtId="49" fontId="22" fillId="0" borderId="18" applyAlignment="1" pivotButton="0" quotePrefix="0" xfId="0">
      <alignment vertical="center" wrapText="1"/>
    </xf>
    <xf numFmtId="49" fontId="22" fillId="0" borderId="12" applyAlignment="1" pivotButton="0" quotePrefix="0" xfId="0">
      <alignment vertical="center" wrapText="1"/>
    </xf>
    <xf numFmtId="49" fontId="22" fillId="0" borderId="19" applyAlignment="1" pivotButton="0" quotePrefix="0" xfId="0">
      <alignment vertical="center" wrapText="1"/>
    </xf>
    <xf numFmtId="49" fontId="22" fillId="0" borderId="20" applyAlignment="1" pivotButton="0" quotePrefix="0" xfId="0">
      <alignment vertical="center" wrapText="1"/>
    </xf>
    <xf numFmtId="49" fontId="22" fillId="0" borderId="21" applyAlignment="1" pivotButton="0" quotePrefix="0" xfId="0">
      <alignment vertical="center" wrapText="1"/>
    </xf>
    <xf numFmtId="49" fontId="22" fillId="0" borderId="22" applyAlignment="1" pivotButton="0" quotePrefix="0" xfId="0">
      <alignment vertical="center" wrapText="1"/>
    </xf>
    <xf numFmtId="49" fontId="23" fillId="0" borderId="18" applyAlignment="1" pivotButton="0" quotePrefix="0" xfId="0">
      <alignment vertical="center" wrapText="1"/>
    </xf>
    <xf numFmtId="49" fontId="23" fillId="0" borderId="12" applyAlignment="1" pivotButton="0" quotePrefix="0" xfId="0">
      <alignment vertical="center" wrapText="1"/>
    </xf>
    <xf numFmtId="49" fontId="23" fillId="0" borderId="19" applyAlignment="1" pivotButton="0" quotePrefix="0" xfId="0">
      <alignment vertical="center" wrapText="1"/>
    </xf>
    <xf numFmtId="49" fontId="23" fillId="0" borderId="27" applyAlignment="1" pivotButton="0" quotePrefix="0" xfId="0">
      <alignment vertical="center" wrapText="1"/>
    </xf>
    <xf numFmtId="49" fontId="23" fillId="0" borderId="0" applyAlignment="1" pivotButton="0" quotePrefix="0" xfId="0">
      <alignment vertical="center" wrapText="1"/>
    </xf>
    <xf numFmtId="49" fontId="23" fillId="0" borderId="28" applyAlignment="1" pivotButton="0" quotePrefix="0" xfId="0">
      <alignment vertical="center" wrapText="1"/>
    </xf>
    <xf numFmtId="49" fontId="23" fillId="0" borderId="20" applyAlignment="1" pivotButton="0" quotePrefix="0" xfId="0">
      <alignment vertical="center" wrapText="1"/>
    </xf>
    <xf numFmtId="49" fontId="23" fillId="0" borderId="21" applyAlignment="1" pivotButton="0" quotePrefix="0" xfId="0">
      <alignment vertical="center" wrapText="1"/>
    </xf>
    <xf numFmtId="49" fontId="23" fillId="0" borderId="22" applyAlignment="1" pivotButton="0" quotePrefix="0" xfId="0">
      <alignment vertical="center" wrapText="1"/>
    </xf>
    <xf numFmtId="0" fontId="30" fillId="0" borderId="23" applyAlignment="1" pivotButton="0" quotePrefix="0" xfId="0">
      <alignment horizontal="center" vertical="center"/>
    </xf>
    <xf numFmtId="49" fontId="21" fillId="0" borderId="16" applyAlignment="1" pivotButton="0" quotePrefix="0" xfId="0">
      <alignment horizontal="left" vertical="center"/>
    </xf>
    <xf numFmtId="49" fontId="21" fillId="0" borderId="13" applyAlignment="1" pivotButton="0" quotePrefix="0" xfId="0">
      <alignment horizontal="center" vertical="center" shrinkToFit="1"/>
    </xf>
    <xf numFmtId="49" fontId="21" fillId="0" borderId="35" applyAlignment="1" pivotButton="0" quotePrefix="0" xfId="0">
      <alignment horizontal="center" vertical="center" wrapText="1"/>
    </xf>
    <xf numFmtId="49" fontId="36" fillId="0" borderId="14" applyAlignment="1" pivotButton="0" quotePrefix="0" xfId="0">
      <alignment vertical="center" wrapText="1"/>
    </xf>
    <xf numFmtId="0" fontId="37" fillId="0" borderId="14" applyAlignment="1" pivotButton="0" quotePrefix="0" xfId="0">
      <alignment vertical="center" wrapText="1"/>
    </xf>
    <xf numFmtId="0" fontId="37" fillId="0" borderId="23" applyAlignment="1" pivotButton="0" quotePrefix="0" xfId="0">
      <alignment vertical="center" wrapText="1"/>
    </xf>
    <xf numFmtId="49" fontId="36" fillId="0" borderId="14" applyAlignment="1" pivotButton="0" quotePrefix="0" xfId="0">
      <alignment vertical="center"/>
    </xf>
    <xf numFmtId="49" fontId="36" fillId="0" borderId="23" applyAlignment="1" pivotButton="0" quotePrefix="0" xfId="0">
      <alignment vertical="center"/>
    </xf>
    <xf numFmtId="49" fontId="36" fillId="0" borderId="15" applyAlignment="1" pivotButton="0" quotePrefix="0" xfId="0">
      <alignment vertical="center"/>
    </xf>
    <xf numFmtId="49" fontId="36" fillId="0" borderId="16" applyAlignment="1" pivotButton="0" quotePrefix="0" xfId="0">
      <alignment horizontal="left" vertical="center"/>
    </xf>
    <xf numFmtId="49" fontId="36" fillId="0" borderId="14" applyAlignment="1" pivotButton="0" quotePrefix="0" xfId="0">
      <alignment horizontal="left" vertical="center"/>
    </xf>
    <xf numFmtId="49" fontId="36" fillId="0" borderId="15" applyAlignment="1" pivotButton="0" quotePrefix="0" xfId="0">
      <alignment horizontal="left" vertical="center"/>
    </xf>
    <xf numFmtId="49" fontId="32" fillId="0" borderId="16" applyAlignment="1" pivotButton="0" quotePrefix="0" xfId="0">
      <alignment vertical="center"/>
    </xf>
    <xf numFmtId="49" fontId="32" fillId="0" borderId="14" applyAlignment="1" pivotButton="0" quotePrefix="0" xfId="0">
      <alignment vertical="center"/>
    </xf>
    <xf numFmtId="49" fontId="32" fillId="0" borderId="15" applyAlignment="1" pivotButton="0" quotePrefix="0" xfId="0">
      <alignment vertical="center"/>
    </xf>
    <xf numFmtId="49" fontId="32" fillId="0" borderId="20" applyAlignment="1" pivotButton="0" quotePrefix="0" xfId="0">
      <alignment horizontal="center" vertical="center"/>
    </xf>
    <xf numFmtId="49" fontId="32" fillId="0" borderId="21" applyAlignment="1" pivotButton="0" quotePrefix="0" xfId="0">
      <alignment horizontal="center" vertical="center"/>
    </xf>
    <xf numFmtId="49" fontId="32" fillId="0" borderId="22" applyAlignment="1" pivotButton="0" quotePrefix="0" xfId="0">
      <alignment horizontal="center" vertical="center"/>
    </xf>
    <xf numFmtId="49" fontId="36" fillId="0" borderId="23" applyAlignment="1" pivotButton="0" quotePrefix="0" xfId="0">
      <alignment vertical="center" wrapText="1"/>
    </xf>
    <xf numFmtId="49" fontId="36" fillId="0" borderId="20" applyAlignment="1" pivotButton="0" quotePrefix="0" xfId="0">
      <alignment vertical="center"/>
    </xf>
    <xf numFmtId="49" fontId="36" fillId="0" borderId="21" applyAlignment="1" pivotButton="0" quotePrefix="0" xfId="0">
      <alignment vertical="center"/>
    </xf>
    <xf numFmtId="49" fontId="32" fillId="0" borderId="37" applyAlignment="1" pivotButton="0" quotePrefix="0" xfId="0">
      <alignment horizontal="center" vertical="center"/>
    </xf>
    <xf numFmtId="49" fontId="32" fillId="0" borderId="18" applyAlignment="1" pivotButton="0" quotePrefix="0" xfId="0">
      <alignment vertical="center" wrapText="1"/>
    </xf>
    <xf numFmtId="49" fontId="32" fillId="0" borderId="12" applyAlignment="1" pivotButton="0" quotePrefix="0" xfId="0">
      <alignment vertical="center" wrapText="1"/>
    </xf>
    <xf numFmtId="49" fontId="32" fillId="0" borderId="13" applyAlignment="1" pivotButton="0" quotePrefix="0" xfId="0">
      <alignment vertical="center" wrapText="1"/>
    </xf>
    <xf numFmtId="49" fontId="32" fillId="0" borderId="27" applyAlignment="1" pivotButton="0" quotePrefix="0" xfId="0">
      <alignment vertical="center" wrapText="1"/>
    </xf>
    <xf numFmtId="49" fontId="32" fillId="0" borderId="0" applyAlignment="1" pivotButton="0" quotePrefix="0" xfId="0">
      <alignment vertical="center" wrapText="1"/>
    </xf>
    <xf numFmtId="49" fontId="32" fillId="0" borderId="48" applyAlignment="1" pivotButton="0" quotePrefix="0" xfId="0">
      <alignment vertical="center" wrapText="1"/>
    </xf>
    <xf numFmtId="49" fontId="32" fillId="0" borderId="20" applyAlignment="1" pivotButton="0" quotePrefix="0" xfId="0">
      <alignment vertical="center" wrapText="1"/>
    </xf>
    <xf numFmtId="49" fontId="32" fillId="0" borderId="21" applyAlignment="1" pivotButton="0" quotePrefix="0" xfId="0">
      <alignment vertical="center" wrapText="1"/>
    </xf>
    <xf numFmtId="49" fontId="32" fillId="0" borderId="49" applyAlignment="1" pivotButton="0" quotePrefix="0" xfId="0">
      <alignment vertical="center" wrapText="1"/>
    </xf>
    <xf numFmtId="49" fontId="33" fillId="0" borderId="27" applyAlignment="1" pivotButton="0" quotePrefix="0" xfId="0">
      <alignment vertical="center" wrapText="1"/>
    </xf>
    <xf numFmtId="49" fontId="33" fillId="0" borderId="0" applyAlignment="1" pivotButton="0" quotePrefix="0" xfId="0">
      <alignment vertical="center" wrapText="1"/>
    </xf>
    <xf numFmtId="49" fontId="33" fillId="0" borderId="28" applyAlignment="1" pivotButton="0" quotePrefix="0" xfId="0">
      <alignment vertical="center" wrapText="1"/>
    </xf>
    <xf numFmtId="49" fontId="33" fillId="0" borderId="20" applyAlignment="1" pivotButton="0" quotePrefix="0" xfId="0">
      <alignment vertical="center" wrapText="1"/>
    </xf>
    <xf numFmtId="49" fontId="33" fillId="0" borderId="21" applyAlignment="1" pivotButton="0" quotePrefix="0" xfId="0">
      <alignment vertical="center" wrapText="1"/>
    </xf>
    <xf numFmtId="49" fontId="33" fillId="0" borderId="22" applyAlignment="1" pivotButton="0" quotePrefix="0" xfId="0">
      <alignment vertical="center" wrapText="1"/>
    </xf>
    <xf numFmtId="49" fontId="32" fillId="0" borderId="33" applyAlignment="1" pivotButton="0" quotePrefix="0" xfId="0">
      <alignment horizontal="center" vertical="center"/>
    </xf>
    <xf numFmtId="49" fontId="32" fillId="0" borderId="34" applyAlignment="1" pivotButton="0" quotePrefix="0" xfId="0">
      <alignment horizontal="center" vertical="center"/>
    </xf>
    <xf numFmtId="49" fontId="32" fillId="0" borderId="12" applyAlignment="1" pivotButton="0" quotePrefix="0" xfId="0">
      <alignment vertical="center"/>
    </xf>
    <xf numFmtId="49" fontId="32" fillId="0" borderId="13" applyAlignment="1" pivotButton="0" quotePrefix="0" xfId="0">
      <alignment vertical="center"/>
    </xf>
    <xf numFmtId="49" fontId="32" fillId="0" borderId="0" applyAlignment="1" pivotButton="0" quotePrefix="0" xfId="0">
      <alignment vertical="center"/>
    </xf>
    <xf numFmtId="49" fontId="32" fillId="0" borderId="48" applyAlignment="1" pivotButton="0" quotePrefix="0" xfId="0">
      <alignment vertical="center"/>
    </xf>
    <xf numFmtId="49" fontId="32" fillId="0" borderId="24" applyAlignment="1" pivotButton="0" quotePrefix="0" xfId="0">
      <alignment horizontal="center" vertical="center"/>
    </xf>
    <xf numFmtId="49" fontId="32" fillId="0" borderId="25" applyAlignment="1" pivotButton="0" quotePrefix="0" xfId="0">
      <alignment horizontal="center" vertical="center"/>
    </xf>
    <xf numFmtId="49" fontId="32" fillId="0" borderId="26" applyAlignment="1" pivotButton="0" quotePrefix="0" xfId="0">
      <alignment horizontal="center" vertical="center"/>
    </xf>
    <xf numFmtId="49" fontId="32" fillId="0" borderId="38" applyAlignment="1" pivotButton="0" quotePrefix="0" xfId="0">
      <alignment horizontal="center" vertical="center"/>
    </xf>
    <xf numFmtId="49" fontId="32" fillId="0" borderId="18" applyAlignment="1" pivotButton="0" quotePrefix="0" xfId="0">
      <alignment horizontal="center" vertical="center" shrinkToFit="1"/>
    </xf>
    <xf numFmtId="49" fontId="32" fillId="0" borderId="12" applyAlignment="1" pivotButton="0" quotePrefix="0" xfId="0">
      <alignment horizontal="center" vertical="center" shrinkToFit="1"/>
    </xf>
    <xf numFmtId="49" fontId="32" fillId="0" borderId="19" applyAlignment="1" pivotButton="0" quotePrefix="0" xfId="0">
      <alignment horizontal="center" vertical="center" shrinkToFit="1"/>
    </xf>
    <xf numFmtId="49" fontId="32" fillId="0" borderId="16" applyAlignment="1" pivotButton="0" quotePrefix="0" xfId="0">
      <alignment horizontal="left" vertical="center"/>
    </xf>
    <xf numFmtId="49" fontId="32" fillId="0" borderId="14" applyAlignment="1" pivotButton="0" quotePrefix="0" xfId="0">
      <alignment horizontal="left" vertical="center"/>
    </xf>
    <xf numFmtId="49" fontId="32" fillId="0" borderId="15" applyAlignment="1" pivotButton="0" quotePrefix="0" xfId="0">
      <alignment horizontal="left" vertical="center"/>
    </xf>
    <xf numFmtId="49" fontId="21" fillId="0" borderId="66" applyAlignment="1" pivotButton="0" quotePrefix="0" xfId="0">
      <alignment horizontal="center" vertical="center" textRotation="255" wrapText="1"/>
    </xf>
    <xf numFmtId="49" fontId="21" fillId="0" borderId="22" applyAlignment="1" pivotButton="0" quotePrefix="0" xfId="0">
      <alignment horizontal="center" vertical="center" textRotation="255" wrapText="1"/>
    </xf>
    <xf numFmtId="49" fontId="32" fillId="0" borderId="18" applyAlignment="1" pivotButton="0" quotePrefix="0" xfId="0">
      <alignment horizontal="left" vertical="center" wrapText="1"/>
    </xf>
    <xf numFmtId="49" fontId="32" fillId="0" borderId="12" applyAlignment="1" pivotButton="0" quotePrefix="0" xfId="0">
      <alignment horizontal="left" vertical="center" wrapText="1"/>
    </xf>
    <xf numFmtId="49" fontId="32" fillId="0" borderId="13" applyAlignment="1" pivotButton="0" quotePrefix="0" xfId="0">
      <alignment horizontal="left" vertical="center" wrapText="1"/>
    </xf>
    <xf numFmtId="49" fontId="32" fillId="0" borderId="20" applyAlignment="1" pivotButton="0" quotePrefix="0" xfId="0">
      <alignment horizontal="left" vertical="center" wrapText="1"/>
    </xf>
    <xf numFmtId="49" fontId="32" fillId="0" borderId="21" applyAlignment="1" pivotButton="0" quotePrefix="0" xfId="0">
      <alignment horizontal="left" vertical="center" wrapText="1"/>
    </xf>
    <xf numFmtId="49" fontId="32" fillId="0" borderId="49" applyAlignment="1" pivotButton="0" quotePrefix="0" xfId="0">
      <alignment horizontal="left" vertical="center" wrapText="1"/>
    </xf>
    <xf numFmtId="49" fontId="32" fillId="0" borderId="16" applyAlignment="1" pivotButton="0" quotePrefix="0" xfId="0">
      <alignment horizontal="center" vertical="center"/>
    </xf>
    <xf numFmtId="49" fontId="32" fillId="0" borderId="14" applyAlignment="1" pivotButton="0" quotePrefix="0" xfId="0">
      <alignment horizontal="center" vertical="center"/>
    </xf>
    <xf numFmtId="49" fontId="32" fillId="0" borderId="23" applyAlignment="1" pivotButton="0" quotePrefix="0" xfId="0">
      <alignment horizontal="center" vertical="center"/>
    </xf>
    <xf numFmtId="49" fontId="36" fillId="0" borderId="12" applyAlignment="1" pivotButton="0" quotePrefix="0" xfId="0">
      <alignment vertical="center"/>
    </xf>
    <xf numFmtId="49" fontId="24" fillId="0" borderId="16" applyAlignment="1" pivotButton="0" quotePrefix="0" xfId="0">
      <alignment horizontal="center" vertical="center"/>
    </xf>
    <xf numFmtId="49" fontId="24" fillId="0" borderId="14" applyAlignment="1" pivotButton="0" quotePrefix="0" xfId="0">
      <alignment horizontal="center" vertical="center"/>
    </xf>
    <xf numFmtId="49" fontId="24" fillId="0" borderId="23" applyAlignment="1" pivotButton="0" quotePrefix="0" xfId="0">
      <alignment horizontal="center" vertical="center"/>
    </xf>
    <xf numFmtId="49" fontId="24" fillId="0" borderId="18" applyAlignment="1" pivotButton="0" quotePrefix="0" xfId="0">
      <alignment horizontal="center" vertical="center"/>
    </xf>
    <xf numFmtId="49" fontId="24" fillId="0" borderId="12" applyAlignment="1" pivotButton="0" quotePrefix="0" xfId="0">
      <alignment horizontal="center" vertical="center"/>
    </xf>
    <xf numFmtId="49" fontId="24" fillId="0" borderId="19" applyAlignment="1" pivotButton="0" quotePrefix="0" xfId="0">
      <alignment horizontal="center" vertical="center"/>
    </xf>
    <xf numFmtId="49" fontId="24" fillId="0" borderId="27" applyAlignment="1" pivotButton="0" quotePrefix="0" xfId="0">
      <alignment horizontal="center" vertical="center"/>
    </xf>
    <xf numFmtId="49" fontId="24" fillId="0" borderId="0" applyAlignment="1" pivotButton="0" quotePrefix="0" xfId="0">
      <alignment horizontal="center" vertical="center"/>
    </xf>
    <xf numFmtId="49" fontId="24" fillId="0" borderId="28" applyAlignment="1" pivotButton="0" quotePrefix="0" xfId="0">
      <alignment horizontal="center" vertical="center"/>
    </xf>
    <xf numFmtId="49" fontId="24" fillId="0" borderId="20" applyAlignment="1" pivotButton="0" quotePrefix="0" xfId="0">
      <alignment horizontal="center" vertical="center"/>
    </xf>
    <xf numFmtId="49" fontId="24" fillId="0" borderId="21" applyAlignment="1" pivotButton="0" quotePrefix="0" xfId="0">
      <alignment horizontal="center" vertical="center"/>
    </xf>
    <xf numFmtId="49" fontId="24" fillId="0" borderId="22" applyAlignment="1" pivotButton="0" quotePrefix="0" xfId="0">
      <alignment horizontal="center" vertical="center"/>
    </xf>
    <xf numFmtId="49" fontId="32" fillId="0" borderId="18" applyAlignment="1" pivotButton="0" quotePrefix="0" xfId="0">
      <alignment horizontal="center" vertical="center"/>
    </xf>
    <xf numFmtId="49" fontId="32" fillId="0" borderId="12" applyAlignment="1" pivotButton="0" quotePrefix="0" xfId="0">
      <alignment horizontal="center" vertical="center"/>
    </xf>
    <xf numFmtId="49" fontId="32" fillId="0" borderId="19" applyAlignment="1" pivotButton="0" quotePrefix="0" xfId="0">
      <alignment horizontal="center" vertical="center"/>
    </xf>
    <xf numFmtId="49" fontId="32" fillId="0" borderId="27" applyAlignment="1" pivotButton="0" quotePrefix="0" xfId="0">
      <alignment horizontal="center" vertical="center"/>
    </xf>
    <xf numFmtId="49" fontId="32" fillId="0" borderId="0" applyAlignment="1" pivotButton="0" quotePrefix="0" xfId="0">
      <alignment horizontal="center" vertical="center"/>
    </xf>
    <xf numFmtId="49" fontId="32" fillId="0" borderId="28" applyAlignment="1" pivotButton="0" quotePrefix="0" xfId="0">
      <alignment horizontal="center" vertical="center"/>
    </xf>
    <xf numFmtId="49" fontId="32" fillId="0" borderId="20" applyAlignment="1" pivotButton="0" quotePrefix="0" xfId="0">
      <alignment horizontal="center" vertical="center"/>
    </xf>
    <xf numFmtId="49" fontId="32" fillId="0" borderId="21" applyAlignment="1" pivotButton="0" quotePrefix="0" xfId="0">
      <alignment horizontal="center" vertical="center"/>
    </xf>
    <xf numFmtId="49" fontId="32" fillId="0" borderId="22" applyAlignment="1" pivotButton="0" quotePrefix="0" xfId="0">
      <alignment horizontal="center" vertical="center"/>
    </xf>
    <xf numFmtId="49" fontId="32" fillId="0" borderId="18" applyAlignment="1" pivotButton="0" quotePrefix="0" xfId="0">
      <alignment horizontal="center" vertical="center"/>
    </xf>
    <xf numFmtId="49" fontId="32" fillId="0" borderId="12" applyAlignment="1" pivotButton="0" quotePrefix="0" xfId="0">
      <alignment horizontal="center" vertical="center"/>
    </xf>
    <xf numFmtId="49" fontId="32" fillId="0" borderId="19" applyAlignment="1" pivotButton="0" quotePrefix="0" xfId="0">
      <alignment horizontal="center" vertical="center"/>
    </xf>
    <xf numFmtId="49" fontId="32" fillId="0" borderId="14" applyAlignment="1" pivotButton="0" quotePrefix="0" xfId="0">
      <alignment horizontal="left" vertical="center"/>
    </xf>
    <xf numFmtId="49" fontId="32" fillId="0" borderId="23" applyAlignment="1" pivotButton="0" quotePrefix="0" xfId="0">
      <alignment horizontal="left" vertical="center"/>
    </xf>
    <xf numFmtId="49" fontId="36" fillId="0" borderId="12" applyAlignment="1" pivotButton="0" quotePrefix="0" xfId="0">
      <alignment horizontal="left" vertical="center"/>
    </xf>
    <xf numFmtId="49" fontId="32" fillId="0" borderId="16" applyAlignment="1" pivotButton="0" quotePrefix="0" xfId="0">
      <alignment horizontal="right" vertical="center"/>
    </xf>
    <xf numFmtId="49" fontId="32" fillId="0" borderId="14" applyAlignment="1" pivotButton="0" quotePrefix="0" xfId="0">
      <alignment horizontal="right" vertical="center"/>
    </xf>
    <xf numFmtId="49" fontId="32" fillId="0" borderId="67" applyAlignment="1" pivotButton="0" quotePrefix="0" xfId="0">
      <alignment horizontal="left" vertical="center" shrinkToFit="1"/>
    </xf>
    <xf numFmtId="49" fontId="32" fillId="0" borderId="68" applyAlignment="1" pivotButton="0" quotePrefix="0" xfId="0">
      <alignment horizontal="left" vertical="center" shrinkToFit="1"/>
    </xf>
    <xf numFmtId="49" fontId="32" fillId="0" borderId="21" applyAlignment="1" pivotButton="0" quotePrefix="0" xfId="0">
      <alignment horizontal="left" vertical="center" shrinkToFit="1"/>
    </xf>
    <xf numFmtId="49" fontId="32" fillId="0" borderId="70" applyAlignment="1" pivotButton="0" quotePrefix="0" xfId="0">
      <alignment horizontal="left" vertical="center" shrinkToFit="1"/>
    </xf>
    <xf numFmtId="49" fontId="34" fillId="0" borderId="18" applyAlignment="1" pivotButton="0" quotePrefix="0" xfId="0">
      <alignment horizontal="left" vertical="center" wrapText="1"/>
    </xf>
    <xf numFmtId="49" fontId="34" fillId="0" borderId="12" applyAlignment="1" pivotButton="0" quotePrefix="0" xfId="0">
      <alignment horizontal="left" vertical="center" wrapText="1"/>
    </xf>
    <xf numFmtId="49" fontId="34" fillId="0" borderId="13" applyAlignment="1" pivotButton="0" quotePrefix="0" xfId="0">
      <alignment horizontal="left" vertical="center" wrapText="1"/>
    </xf>
    <xf numFmtId="49" fontId="34" fillId="0" borderId="20" applyAlignment="1" pivotButton="0" quotePrefix="0" xfId="0">
      <alignment horizontal="left" vertical="center" wrapText="1"/>
    </xf>
    <xf numFmtId="49" fontId="34" fillId="0" borderId="21" applyAlignment="1" pivotButton="0" quotePrefix="0" xfId="0">
      <alignment horizontal="left" vertical="center" wrapText="1"/>
    </xf>
    <xf numFmtId="49" fontId="34" fillId="0" borderId="49" applyAlignment="1" pivotButton="0" quotePrefix="0" xfId="0">
      <alignment horizontal="left" vertical="center" wrapText="1"/>
    </xf>
    <xf numFmtId="49" fontId="32" fillId="0" borderId="12" applyAlignment="1" pivotButton="0" quotePrefix="0" xfId="0">
      <alignment horizontal="left" vertical="center"/>
    </xf>
    <xf numFmtId="49" fontId="32" fillId="0" borderId="13" applyAlignment="1" pivotButton="0" quotePrefix="0" xfId="0">
      <alignment horizontal="left" vertical="center"/>
    </xf>
    <xf numFmtId="49" fontId="32" fillId="0" borderId="21" applyAlignment="1" pivotButton="0" quotePrefix="0" xfId="0">
      <alignment horizontal="left" vertical="center"/>
    </xf>
    <xf numFmtId="49" fontId="32" fillId="0" borderId="49" applyAlignment="1" pivotButton="0" quotePrefix="0" xfId="0">
      <alignment horizontal="left" vertical="center"/>
    </xf>
    <xf numFmtId="49" fontId="34" fillId="0" borderId="27" applyAlignment="1" pivotButton="0" quotePrefix="0" xfId="0">
      <alignment horizontal="left" vertical="center"/>
    </xf>
    <xf numFmtId="49" fontId="34" fillId="0" borderId="0" applyAlignment="1" pivotButton="0" quotePrefix="0" xfId="0">
      <alignment horizontal="left" vertical="center"/>
    </xf>
    <xf numFmtId="49" fontId="34" fillId="0" borderId="48" applyAlignment="1" pivotButton="0" quotePrefix="0" xfId="0">
      <alignment horizontal="left" vertical="center"/>
    </xf>
    <xf numFmtId="49" fontId="34" fillId="0" borderId="20" applyAlignment="1" pivotButton="0" quotePrefix="0" xfId="0">
      <alignment horizontal="left" vertical="center"/>
    </xf>
    <xf numFmtId="49" fontId="34" fillId="0" borderId="21" applyAlignment="1" pivotButton="0" quotePrefix="0" xfId="0">
      <alignment horizontal="left" vertical="center"/>
    </xf>
    <xf numFmtId="49" fontId="34" fillId="0" borderId="49" applyAlignment="1" pivotButton="0" quotePrefix="0" xfId="0">
      <alignment horizontal="left" vertical="center"/>
    </xf>
    <xf numFmtId="49" fontId="33" fillId="0" borderId="12" applyAlignment="1" pivotButton="0" quotePrefix="0" xfId="0">
      <alignment vertical="center"/>
    </xf>
    <xf numFmtId="0" fontId="35" fillId="0" borderId="16" applyAlignment="1" pivotButton="0" quotePrefix="0" xfId="0">
      <alignment horizontal="center" vertical="center"/>
    </xf>
    <xf numFmtId="0" fontId="35" fillId="0" borderId="14" applyAlignment="1" pivotButton="0" quotePrefix="0" xfId="0">
      <alignment horizontal="center" vertical="center"/>
    </xf>
    <xf numFmtId="0" fontId="35" fillId="0" borderId="15" applyAlignment="1" pivotButton="0" quotePrefix="0" xfId="0">
      <alignment horizontal="center" vertical="center"/>
    </xf>
    <xf numFmtId="49" fontId="32" fillId="0" borderId="14" applyAlignment="1" pivotButton="0" quotePrefix="0" xfId="0">
      <alignment horizontal="center" vertical="center"/>
    </xf>
    <xf numFmtId="49" fontId="21" fillId="0" borderId="75" applyAlignment="1" pivotButton="0" quotePrefix="0" xfId="0">
      <alignment horizontal="center" vertical="center"/>
    </xf>
    <xf numFmtId="0" fontId="30" fillId="0" borderId="76" applyAlignment="1" pivotButton="0" quotePrefix="0" xfId="0">
      <alignment vertical="center"/>
    </xf>
    <xf numFmtId="0" fontId="30" fillId="0" borderId="77" applyAlignment="1" pivotButton="0" quotePrefix="0" xfId="0">
      <alignment vertical="center"/>
    </xf>
    <xf numFmtId="49" fontId="23" fillId="0" borderId="75" applyAlignment="1" pivotButton="0" quotePrefix="0" xfId="0">
      <alignment horizontal="distributed" vertical="center"/>
    </xf>
    <xf numFmtId="49" fontId="23" fillId="0" borderId="76" applyAlignment="1" pivotButton="0" quotePrefix="0" xfId="0">
      <alignment horizontal="distributed" vertical="center"/>
    </xf>
    <xf numFmtId="49" fontId="23" fillId="0" borderId="77" applyAlignment="1" pivotButton="0" quotePrefix="0" xfId="0">
      <alignment horizontal="distributed" vertical="center"/>
    </xf>
    <xf numFmtId="49" fontId="21" fillId="0" borderId="75" applyAlignment="1" pivotButton="0" quotePrefix="0" xfId="0">
      <alignment horizontal="left" vertical="center"/>
    </xf>
    <xf numFmtId="49" fontId="21" fillId="0" borderId="76" applyAlignment="1" pivotButton="0" quotePrefix="0" xfId="0">
      <alignment horizontal="left" vertical="center"/>
    </xf>
    <xf numFmtId="49" fontId="21" fillId="0" borderId="77" applyAlignment="1" pivotButton="0" quotePrefix="0" xfId="0">
      <alignment horizontal="left" vertical="center"/>
    </xf>
    <xf numFmtId="49" fontId="32" fillId="0" borderId="15" applyAlignment="1" pivotButton="0" quotePrefix="0" xfId="0">
      <alignment horizontal="left" vertical="center"/>
    </xf>
    <xf numFmtId="49" fontId="38" fillId="0" borderId="0" applyAlignment="1" pivotButton="0" quotePrefix="0" xfId="0">
      <alignment horizontal="left" vertical="center"/>
    </xf>
    <xf numFmtId="49" fontId="40" fillId="24" borderId="64" applyAlignment="1" pivotButton="0" quotePrefix="0" xfId="0">
      <alignment horizontal="center" vertical="center"/>
    </xf>
    <xf numFmtId="49" fontId="40" fillId="24" borderId="65" applyAlignment="1" pivotButton="0" quotePrefix="0" xfId="0">
      <alignment horizontal="center" vertical="center"/>
    </xf>
    <xf numFmtId="49" fontId="40" fillId="24" borderId="71" applyAlignment="1" pivotButton="0" quotePrefix="0" xfId="0">
      <alignment horizontal="center" vertical="center"/>
    </xf>
    <xf numFmtId="49" fontId="40" fillId="24" borderId="72" applyAlignment="1" pivotButton="0" quotePrefix="0" xfId="0">
      <alignment horizontal="center" vertical="center"/>
    </xf>
    <xf numFmtId="49" fontId="40" fillId="24" borderId="17" applyAlignment="1" pivotButton="0" quotePrefix="0" xfId="0">
      <alignment horizontal="center" vertical="center"/>
    </xf>
    <xf numFmtId="49" fontId="40" fillId="24" borderId="73" applyAlignment="1" pivotButton="0" quotePrefix="0" xfId="0">
      <alignment horizontal="center" vertical="center"/>
    </xf>
    <xf numFmtId="49" fontId="40" fillId="0" borderId="64" applyAlignment="1" pivotButton="0" quotePrefix="0" xfId="0">
      <alignment horizontal="center" vertical="center" textRotation="255"/>
    </xf>
    <xf numFmtId="49" fontId="40" fillId="0" borderId="65" applyAlignment="1" pivotButton="0" quotePrefix="0" xfId="0">
      <alignment horizontal="center" vertical="center" textRotation="255"/>
    </xf>
    <xf numFmtId="49" fontId="40" fillId="0" borderId="43" applyAlignment="1" pivotButton="0" quotePrefix="0" xfId="0">
      <alignment horizontal="center" vertical="center" textRotation="255"/>
    </xf>
    <xf numFmtId="49" fontId="40" fillId="0" borderId="0" applyAlignment="1" pivotButton="0" quotePrefix="0" xfId="0">
      <alignment horizontal="center" vertical="center" textRotation="255"/>
    </xf>
    <xf numFmtId="49" fontId="40" fillId="0" borderId="66" applyAlignment="1" pivotButton="0" quotePrefix="0" xfId="0">
      <alignment horizontal="center" vertical="center" textRotation="255"/>
    </xf>
    <xf numFmtId="49" fontId="40" fillId="0" borderId="21" applyAlignment="1" pivotButton="0" quotePrefix="0" xfId="0">
      <alignment horizontal="center" vertical="center" textRotation="255"/>
    </xf>
    <xf numFmtId="49" fontId="40" fillId="0" borderId="67" applyAlignment="1" pivotButton="0" quotePrefix="0" xfId="0">
      <alignment horizontal="center" vertical="center" shrinkToFit="1"/>
    </xf>
    <xf numFmtId="49" fontId="40" fillId="0" borderId="68" applyAlignment="1" pivotButton="0" quotePrefix="0" xfId="0">
      <alignment horizontal="center" vertical="center" shrinkToFit="1"/>
    </xf>
    <xf numFmtId="49" fontId="40" fillId="0" borderId="69" applyAlignment="1" pivotButton="0" quotePrefix="0" xfId="0">
      <alignment horizontal="center" vertical="center" shrinkToFit="1"/>
    </xf>
    <xf numFmtId="49" fontId="40" fillId="0" borderId="18" applyAlignment="1" pivotButton="0" quotePrefix="0" xfId="0">
      <alignment horizontal="center" vertical="center" shrinkToFit="1"/>
    </xf>
    <xf numFmtId="49" fontId="40" fillId="0" borderId="12" applyAlignment="1" pivotButton="0" quotePrefix="0" xfId="0">
      <alignment horizontal="center" vertical="center" shrinkToFit="1"/>
    </xf>
    <xf numFmtId="49" fontId="40" fillId="0" borderId="19" applyAlignment="1" pivotButton="0" quotePrefix="0" xfId="0">
      <alignment horizontal="center" vertical="center" shrinkToFit="1"/>
    </xf>
    <xf numFmtId="49" fontId="40" fillId="0" borderId="20" applyAlignment="1" pivotButton="0" quotePrefix="0" xfId="0">
      <alignment horizontal="center" vertical="center" shrinkToFit="1"/>
    </xf>
    <xf numFmtId="49" fontId="40" fillId="0" borderId="21" applyAlignment="1" pivotButton="0" quotePrefix="0" xfId="0">
      <alignment horizontal="center" vertical="center" shrinkToFit="1"/>
    </xf>
    <xf numFmtId="49" fontId="40" fillId="0" borderId="22" applyAlignment="1" pivotButton="0" quotePrefix="0" xfId="0">
      <alignment horizontal="center" vertical="center" shrinkToFit="1"/>
    </xf>
    <xf numFmtId="49" fontId="41" fillId="0" borderId="18" applyAlignment="1" pivotButton="0" quotePrefix="0" xfId="0">
      <alignment horizontal="left" vertical="center" wrapText="1"/>
    </xf>
    <xf numFmtId="49" fontId="41" fillId="0" borderId="12" applyAlignment="1" pivotButton="0" quotePrefix="0" xfId="0">
      <alignment horizontal="left" vertical="center" wrapText="1"/>
    </xf>
    <xf numFmtId="49" fontId="41" fillId="0" borderId="13" applyAlignment="1" pivotButton="0" quotePrefix="0" xfId="0">
      <alignment horizontal="left" vertical="center" wrapText="1"/>
    </xf>
    <xf numFmtId="49" fontId="41" fillId="0" borderId="20" applyAlignment="1" pivotButton="0" quotePrefix="0" xfId="0">
      <alignment horizontal="left" vertical="center" wrapText="1"/>
    </xf>
    <xf numFmtId="49" fontId="41" fillId="0" borderId="21" applyAlignment="1" pivotButton="0" quotePrefix="0" xfId="0">
      <alignment horizontal="left" vertical="center" wrapText="1"/>
    </xf>
    <xf numFmtId="49" fontId="41" fillId="0" borderId="49" applyAlignment="1" pivotButton="0" quotePrefix="0" xfId="0">
      <alignment horizontal="left" vertical="center" wrapText="1"/>
    </xf>
    <xf numFmtId="49" fontId="40" fillId="0" borderId="27" applyAlignment="1" pivotButton="0" quotePrefix="0" xfId="0">
      <alignment horizontal="center" vertical="center" shrinkToFit="1"/>
    </xf>
    <xf numFmtId="49" fontId="40" fillId="0" borderId="0" applyAlignment="1" pivotButton="0" quotePrefix="0" xfId="0">
      <alignment horizontal="center" vertical="center" shrinkToFit="1"/>
    </xf>
    <xf numFmtId="49" fontId="40" fillId="0" borderId="28" applyAlignment="1" pivotButton="0" quotePrefix="0" xfId="0">
      <alignment horizontal="center" vertical="center" shrinkToFit="1"/>
    </xf>
    <xf numFmtId="49" fontId="40" fillId="0" borderId="18" applyAlignment="1" pivotButton="0" quotePrefix="0" xfId="0">
      <alignment horizontal="distributed" vertical="center"/>
    </xf>
    <xf numFmtId="49" fontId="40" fillId="0" borderId="12" applyAlignment="1" pivotButton="0" quotePrefix="0" xfId="0">
      <alignment horizontal="distributed" vertical="center"/>
    </xf>
    <xf numFmtId="49" fontId="23" fillId="0" borderId="12" applyAlignment="1" pivotButton="0" quotePrefix="0" xfId="0">
      <alignment vertical="center"/>
    </xf>
    <xf numFmtId="49" fontId="21" fillId="0" borderId="12" applyAlignment="1" pivotButton="0" quotePrefix="0" xfId="0">
      <alignment horizontal="left" wrapText="1"/>
    </xf>
    <xf numFmtId="49" fontId="21" fillId="0" borderId="13" applyAlignment="1" pivotButton="0" quotePrefix="0" xfId="0">
      <alignment horizontal="left" wrapText="1"/>
    </xf>
    <xf numFmtId="49" fontId="21" fillId="0" borderId="0" applyAlignment="1" pivotButton="0" quotePrefix="0" xfId="0">
      <alignment horizontal="left" wrapText="1"/>
    </xf>
    <xf numFmtId="49" fontId="21" fillId="0" borderId="48" applyAlignment="1" pivotButton="0" quotePrefix="0" xfId="0">
      <alignment horizontal="left" wrapText="1"/>
    </xf>
    <xf numFmtId="49" fontId="21" fillId="0" borderId="21" applyAlignment="1" pivotButton="0" quotePrefix="0" xfId="0">
      <alignment horizontal="left" wrapText="1"/>
    </xf>
    <xf numFmtId="49" fontId="21" fillId="0" borderId="49" applyAlignment="1" pivotButton="0" quotePrefix="0" xfId="0">
      <alignment horizontal="left" wrapText="1"/>
    </xf>
    <xf numFmtId="49" fontId="42" fillId="0" borderId="27" applyAlignment="1" pivotButton="0" quotePrefix="0" xfId="0">
      <alignment horizontal="left" vertical="center"/>
    </xf>
    <xf numFmtId="49" fontId="42" fillId="0" borderId="0" applyAlignment="1" pivotButton="0" quotePrefix="0" xfId="0">
      <alignment horizontal="left" vertical="center"/>
    </xf>
    <xf numFmtId="49" fontId="42" fillId="0" borderId="20" applyAlignment="1" pivotButton="0" quotePrefix="0" xfId="0">
      <alignment horizontal="left" vertical="center"/>
    </xf>
    <xf numFmtId="49" fontId="42" fillId="0" borderId="21" applyAlignment="1" pivotButton="0" quotePrefix="0" xfId="0">
      <alignment horizontal="left" vertical="center"/>
    </xf>
    <xf numFmtId="49" fontId="20" fillId="0" borderId="0" applyAlignment="1" pivotButton="0" quotePrefix="0" xfId="0">
      <alignment horizontal="right" vertical="center"/>
    </xf>
    <xf numFmtId="49" fontId="20" fillId="0" borderId="21" applyAlignment="1" pivotButton="0" quotePrefix="0" xfId="0">
      <alignment horizontal="right" vertical="center"/>
    </xf>
    <xf numFmtId="49" fontId="42" fillId="0" borderId="0" applyAlignment="1" pivotButton="0" quotePrefix="0" xfId="0">
      <alignment horizontal="center" vertical="center"/>
    </xf>
    <xf numFmtId="49" fontId="42" fillId="0" borderId="21" applyAlignment="1" pivotButton="0" quotePrefix="0" xfId="0">
      <alignment horizontal="center" vertical="center"/>
    </xf>
    <xf numFmtId="49" fontId="43" fillId="0" borderId="14" applyAlignment="1" pivotButton="0" quotePrefix="0" xfId="0">
      <alignment horizontal="distributed" vertical="center"/>
    </xf>
    <xf numFmtId="49" fontId="43" fillId="0" borderId="23" applyAlignment="1" pivotButton="0" quotePrefix="0" xfId="0">
      <alignment horizontal="distributed" vertical="center"/>
    </xf>
    <xf numFmtId="49" fontId="40" fillId="0" borderId="16" applyAlignment="1" pivotButton="0" quotePrefix="0" xfId="0">
      <alignment horizontal="distributed" vertical="center"/>
    </xf>
    <xf numFmtId="49" fontId="40" fillId="0" borderId="14" applyAlignment="1" pivotButton="0" quotePrefix="0" xfId="0">
      <alignment horizontal="distributed" vertical="center"/>
    </xf>
    <xf numFmtId="49" fontId="40" fillId="0" borderId="23" applyAlignment="1" pivotButton="0" quotePrefix="0" xfId="0">
      <alignment horizontal="distributed" vertical="center"/>
    </xf>
    <xf numFmtId="49" fontId="43" fillId="0" borderId="16" applyAlignment="1" pivotButton="0" quotePrefix="0" xfId="0">
      <alignment horizontal="center" vertical="center"/>
    </xf>
    <xf numFmtId="49" fontId="43" fillId="0" borderId="14" applyAlignment="1" pivotButton="0" quotePrefix="0" xfId="0">
      <alignment horizontal="center" vertical="center"/>
    </xf>
    <xf numFmtId="49" fontId="43" fillId="0" borderId="23" applyAlignment="1" pivotButton="0" quotePrefix="0" xfId="0">
      <alignment horizontal="center" vertical="center"/>
    </xf>
    <xf numFmtId="0" fontId="38" fillId="0" borderId="16" applyAlignment="1" pivotButton="0" quotePrefix="0" xfId="0">
      <alignment horizontal="center" vertical="center"/>
    </xf>
    <xf numFmtId="0" fontId="38" fillId="0" borderId="14" applyAlignment="1" pivotButton="0" quotePrefix="0" xfId="0">
      <alignment horizontal="center" vertical="center"/>
    </xf>
    <xf numFmtId="0" fontId="38" fillId="0" borderId="15" applyAlignment="1" pivotButton="0" quotePrefix="0" xfId="0">
      <alignment horizontal="center" vertical="center"/>
    </xf>
    <xf numFmtId="49" fontId="44" fillId="0" borderId="61" applyAlignment="1" pivotButton="0" quotePrefix="0" xfId="0">
      <alignment horizontal="distributed" vertical="center"/>
    </xf>
    <xf numFmtId="49" fontId="44" fillId="0" borderId="14" applyAlignment="1" pivotButton="0" quotePrefix="0" xfId="0">
      <alignment horizontal="distributed" vertical="center"/>
    </xf>
    <xf numFmtId="49" fontId="44" fillId="0" borderId="23" applyAlignment="1" pivotButton="0" quotePrefix="0" xfId="0">
      <alignment horizontal="distributed" vertical="center"/>
    </xf>
    <xf numFmtId="49" fontId="40" fillId="0" borderId="42" applyAlignment="1" pivotButton="0" quotePrefix="0" xfId="0">
      <alignment horizontal="center" vertical="center" textRotation="255"/>
    </xf>
    <xf numFmtId="49" fontId="40" fillId="0" borderId="19" applyAlignment="1" pivotButton="0" quotePrefix="0" xfId="0">
      <alignment horizontal="center" vertical="center" textRotation="255"/>
    </xf>
    <xf numFmtId="49" fontId="40" fillId="0" borderId="28" applyAlignment="1" pivotButton="0" quotePrefix="0" xfId="0">
      <alignment horizontal="center" vertical="center" textRotation="255"/>
    </xf>
    <xf numFmtId="49" fontId="21" fillId="0" borderId="78" applyAlignment="1" pivotButton="0" quotePrefix="0" xfId="0">
      <alignment horizontal="center" vertical="center"/>
    </xf>
    <xf numFmtId="49" fontId="21" fillId="0" borderId="79" applyAlignment="1" pivotButton="0" quotePrefix="0" xfId="0">
      <alignment horizontal="center" vertical="center"/>
    </xf>
    <xf numFmtId="49" fontId="21" fillId="0" borderId="80" applyAlignment="1" pivotButton="0" quotePrefix="0" xfId="0">
      <alignment horizontal="center" vertical="center"/>
    </xf>
    <xf numFmtId="49" fontId="43" fillId="0" borderId="18" applyAlignment="1" pivotButton="0" quotePrefix="0" xfId="0">
      <alignment horizontal="center" vertical="center"/>
    </xf>
    <xf numFmtId="49" fontId="43" fillId="0" borderId="19" applyAlignment="1" pivotButton="0" quotePrefix="0" xfId="0">
      <alignment horizontal="center" vertical="center"/>
    </xf>
    <xf numFmtId="49" fontId="43" fillId="0" borderId="27" applyAlignment="1" pivotButton="0" quotePrefix="0" xfId="0">
      <alignment horizontal="center" vertical="center"/>
    </xf>
    <xf numFmtId="49" fontId="43" fillId="0" borderId="28" applyAlignment="1" pivotButton="0" quotePrefix="0" xfId="0">
      <alignment horizontal="center" vertical="center"/>
    </xf>
    <xf numFmtId="49" fontId="43" fillId="0" borderId="20" applyAlignment="1" pivotButton="0" quotePrefix="0" xfId="0">
      <alignment horizontal="center" vertical="center"/>
    </xf>
    <xf numFmtId="49" fontId="43" fillId="0" borderId="22" applyAlignment="1" pivotButton="0" quotePrefix="0" xfId="0">
      <alignment horizontal="center" vertical="center"/>
    </xf>
    <xf numFmtId="49" fontId="23" fillId="0" borderId="12" applyAlignment="1" pivotButton="0" quotePrefix="0" xfId="0">
      <alignment horizontal="left" vertical="center"/>
    </xf>
    <xf numFmtId="49" fontId="40" fillId="0" borderId="19" applyAlignment="1" pivotButton="0" quotePrefix="0" xfId="0">
      <alignment horizontal="distributed" vertical="center"/>
    </xf>
    <xf numFmtId="49" fontId="40" fillId="0" borderId="27" applyAlignment="1" pivotButton="0" quotePrefix="0" xfId="0">
      <alignment horizontal="distributed" vertical="center"/>
    </xf>
    <xf numFmtId="49" fontId="40" fillId="0" borderId="0" applyAlignment="1" pivotButton="0" quotePrefix="0" xfId="0">
      <alignment horizontal="distributed" vertical="center"/>
    </xf>
    <xf numFmtId="49" fontId="40" fillId="0" borderId="28" applyAlignment="1" pivotButton="0" quotePrefix="0" xfId="0">
      <alignment horizontal="distributed" vertical="center"/>
    </xf>
    <xf numFmtId="49" fontId="40" fillId="0" borderId="20" applyAlignment="1" pivotButton="0" quotePrefix="0" xfId="0">
      <alignment horizontal="distributed" vertical="center"/>
    </xf>
    <xf numFmtId="49" fontId="40" fillId="0" borderId="21" applyAlignment="1" pivotButton="0" quotePrefix="0" xfId="0">
      <alignment horizontal="distributed" vertical="center"/>
    </xf>
    <xf numFmtId="49" fontId="40" fillId="0" borderId="22" applyAlignment="1" pivotButton="0" quotePrefix="0" xfId="0">
      <alignment horizontal="distributed" vertical="center"/>
    </xf>
    <xf numFmtId="49" fontId="40" fillId="0" borderId="20" applyAlignment="1" pivotButton="0" quotePrefix="0" xfId="0">
      <alignment horizontal="left" vertical="center"/>
    </xf>
    <xf numFmtId="49" fontId="40" fillId="0" borderId="21" applyAlignment="1" pivotButton="0" quotePrefix="0" xfId="0">
      <alignment horizontal="left" vertical="center"/>
    </xf>
    <xf numFmtId="49" fontId="40" fillId="0" borderId="22" applyAlignment="1" pivotButton="0" quotePrefix="0" xfId="0">
      <alignment horizontal="left" vertical="center"/>
    </xf>
    <xf numFmtId="49" fontId="21" fillId="0" borderId="21" applyAlignment="1" pivotButton="0" quotePrefix="0" xfId="0">
      <alignment horizontal="center" vertical="center" wrapText="1"/>
    </xf>
    <xf numFmtId="49" fontId="21" fillId="0" borderId="49" applyAlignment="1" pivotButton="0" quotePrefix="0" xfId="0">
      <alignment horizontal="center" vertical="center" wrapText="1"/>
    </xf>
    <xf numFmtId="49" fontId="40" fillId="0" borderId="16" applyAlignment="1" pivotButton="0" quotePrefix="0" xfId="0">
      <alignment horizontal="center" vertical="center" wrapText="1"/>
    </xf>
    <xf numFmtId="49" fontId="40" fillId="0" borderId="14" applyAlignment="1" pivotButton="0" quotePrefix="0" xfId="0">
      <alignment horizontal="center" vertical="center"/>
    </xf>
    <xf numFmtId="49" fontId="40" fillId="0" borderId="15" applyAlignment="1" pivotButton="0" quotePrefix="0" xfId="0">
      <alignment horizontal="center" vertical="center"/>
    </xf>
    <xf numFmtId="49" fontId="40" fillId="0" borderId="90" applyAlignment="1" pivotButton="0" quotePrefix="0" xfId="0">
      <alignment horizontal="center" vertical="center"/>
    </xf>
    <xf numFmtId="49" fontId="40" fillId="0" borderId="91" applyAlignment="1" pivotButton="0" quotePrefix="0" xfId="0">
      <alignment horizontal="center" vertical="center"/>
    </xf>
    <xf numFmtId="49" fontId="21" fillId="0" borderId="91" applyAlignment="1" pivotButton="0" quotePrefix="0" xfId="0">
      <alignment horizontal="center" vertical="center" wrapText="1"/>
    </xf>
    <xf numFmtId="49" fontId="21" fillId="0" borderId="92" applyAlignment="1" pivotButton="0" quotePrefix="0" xfId="0">
      <alignment horizontal="center" vertical="center" wrapText="1"/>
    </xf>
    <xf numFmtId="49" fontId="21" fillId="0" borderId="81" applyAlignment="1" pivotButton="0" quotePrefix="0" xfId="0">
      <alignment horizontal="center" vertical="center"/>
    </xf>
    <xf numFmtId="49" fontId="21" fillId="0" borderId="82" applyAlignment="1" pivotButton="0" quotePrefix="0" xfId="0">
      <alignment horizontal="center" vertical="center"/>
    </xf>
    <xf numFmtId="49" fontId="21" fillId="0" borderId="84" applyAlignment="1" pivotButton="0" quotePrefix="0" xfId="0">
      <alignment horizontal="center" vertical="center"/>
    </xf>
    <xf numFmtId="49" fontId="21" fillId="0" borderId="85" applyAlignment="1" pivotButton="0" quotePrefix="0" xfId="0">
      <alignment horizontal="center" vertical="center"/>
    </xf>
    <xf numFmtId="49" fontId="21" fillId="0" borderId="87" applyAlignment="1" pivotButton="0" quotePrefix="0" xfId="0">
      <alignment horizontal="center" vertical="center"/>
    </xf>
    <xf numFmtId="49" fontId="21" fillId="0" borderId="88" applyAlignment="1" pivotButton="0" quotePrefix="0" xfId="0">
      <alignment horizontal="center" vertical="center"/>
    </xf>
    <xf numFmtId="49" fontId="21" fillId="0" borderId="83" applyAlignment="1" pivotButton="0" quotePrefix="0" xfId="0">
      <alignment horizontal="center" vertical="center"/>
    </xf>
    <xf numFmtId="49" fontId="21" fillId="0" borderId="86" applyAlignment="1" pivotButton="0" quotePrefix="0" xfId="0">
      <alignment horizontal="center" vertical="center"/>
    </xf>
    <xf numFmtId="49" fontId="21" fillId="0" borderId="89" applyAlignment="1" pivotButton="0" quotePrefix="0" xfId="0">
      <alignment horizontal="center" vertical="center"/>
    </xf>
    <xf numFmtId="49" fontId="21" fillId="0" borderId="27" applyAlignment="1" pivotButton="0" quotePrefix="0" xfId="0">
      <alignment horizontal="right" vertical="center" shrinkToFit="1"/>
    </xf>
    <xf numFmtId="49" fontId="21" fillId="0" borderId="0" applyAlignment="1" pivotButton="0" quotePrefix="0" xfId="0">
      <alignment horizontal="right" vertical="center" shrinkToFit="1"/>
    </xf>
    <xf numFmtId="49" fontId="21" fillId="0" borderId="20" applyAlignment="1" pivotButton="0" quotePrefix="0" xfId="0">
      <alignment horizontal="right" vertical="center" shrinkToFit="1"/>
    </xf>
    <xf numFmtId="49" fontId="21" fillId="0" borderId="21" applyAlignment="1" pivotButton="0" quotePrefix="0" xfId="0">
      <alignment horizontal="right" vertical="center" shrinkToFit="1"/>
    </xf>
    <xf numFmtId="49" fontId="22" fillId="0" borderId="0" applyAlignment="1" pivotButton="0" quotePrefix="0" xfId="0">
      <alignment horizontal="left" vertical="center" wrapText="1"/>
    </xf>
    <xf numFmtId="49" fontId="22" fillId="0" borderId="48" applyAlignment="1" pivotButton="0" quotePrefix="0" xfId="0">
      <alignment horizontal="left" vertical="center" wrapText="1"/>
    </xf>
    <xf numFmtId="49" fontId="40" fillId="0" borderId="18" applyAlignment="1" pivotButton="0" quotePrefix="0" xfId="0">
      <alignment horizontal="center" vertical="center"/>
    </xf>
    <xf numFmtId="49" fontId="40" fillId="0" borderId="12" applyAlignment="1" pivotButton="0" quotePrefix="0" xfId="0">
      <alignment horizontal="center" vertical="center"/>
    </xf>
    <xf numFmtId="49" fontId="40" fillId="0" borderId="27" applyAlignment="1" pivotButton="0" quotePrefix="0" xfId="0">
      <alignment horizontal="center" vertical="center"/>
    </xf>
    <xf numFmtId="49" fontId="40" fillId="0" borderId="0" applyAlignment="1" pivotButton="0" quotePrefix="0" xfId="0">
      <alignment horizontal="center" vertical="center"/>
    </xf>
    <xf numFmtId="49" fontId="40" fillId="0" borderId="20" applyAlignment="1" pivotButton="0" quotePrefix="0" xfId="0">
      <alignment horizontal="center" vertical="center"/>
    </xf>
    <xf numFmtId="49" fontId="40" fillId="0" borderId="21" applyAlignment="1" pivotButton="0" quotePrefix="0" xfId="0">
      <alignment horizontal="center" vertical="center"/>
    </xf>
    <xf numFmtId="49" fontId="40" fillId="0" borderId="18" applyAlignment="1" pivotButton="0" quotePrefix="0" xfId="0">
      <alignment horizontal="left" vertical="center"/>
    </xf>
    <xf numFmtId="49" fontId="40" fillId="0" borderId="12" applyAlignment="1" pivotButton="0" quotePrefix="0" xfId="0">
      <alignment horizontal="left" vertical="center"/>
    </xf>
    <xf numFmtId="49" fontId="40" fillId="0" borderId="19" applyAlignment="1" pivotButton="0" quotePrefix="0" xfId="0">
      <alignment horizontal="left" vertical="center"/>
    </xf>
    <xf numFmtId="49" fontId="40" fillId="0" borderId="19" applyAlignment="1" pivotButton="0" quotePrefix="0" xfId="0">
      <alignment horizontal="center" vertical="center"/>
    </xf>
    <xf numFmtId="49" fontId="40" fillId="0" borderId="28" applyAlignment="1" pivotButton="0" quotePrefix="0" xfId="0">
      <alignment horizontal="center" vertical="center"/>
    </xf>
    <xf numFmtId="49" fontId="40" fillId="0" borderId="22" applyAlignment="1" pivotButton="0" quotePrefix="0" xfId="0">
      <alignment horizontal="center" vertical="center"/>
    </xf>
    <xf numFmtId="49" fontId="21" fillId="0" borderId="12" applyAlignment="1" pivotButton="0" quotePrefix="0" xfId="0">
      <alignment horizontal="center" vertical="center" wrapText="1"/>
    </xf>
    <xf numFmtId="49" fontId="21" fillId="0" borderId="13" applyAlignment="1" pivotButton="0" quotePrefix="0" xfId="0">
      <alignment horizontal="center" vertical="center" wrapText="1"/>
    </xf>
    <xf numFmtId="49" fontId="24" fillId="0" borderId="27" applyAlignment="1" pivotButton="0" quotePrefix="0" xfId="0">
      <alignment horizontal="left" vertical="center" shrinkToFit="1"/>
    </xf>
    <xf numFmtId="49" fontId="24" fillId="0" borderId="0" applyAlignment="1" pivotButton="0" quotePrefix="0" xfId="0">
      <alignment horizontal="left" vertical="center" shrinkToFit="1"/>
    </xf>
    <xf numFmtId="49" fontId="24" fillId="0" borderId="48" applyAlignment="1" pivotButton="0" quotePrefix="0" xfId="0">
      <alignment horizontal="left" vertical="center" shrinkToFit="1"/>
    </xf>
    <xf numFmtId="49" fontId="40" fillId="0" borderId="94" applyAlignment="1" pivotButton="0" quotePrefix="0" xfId="0">
      <alignment horizontal="center" vertical="center"/>
    </xf>
    <xf numFmtId="49" fontId="40" fillId="0" borderId="95" applyAlignment="1" pivotButton="0" quotePrefix="0" xfId="0">
      <alignment horizontal="center" vertical="center"/>
    </xf>
    <xf numFmtId="49" fontId="21" fillId="0" borderId="95" applyAlignment="1" pivotButton="0" quotePrefix="0" xfId="0">
      <alignment horizontal="center" vertical="center" wrapText="1"/>
    </xf>
    <xf numFmtId="49" fontId="21" fillId="0" borderId="96" applyAlignment="1" pivotButton="0" quotePrefix="0" xfId="0">
      <alignment horizontal="center" vertical="center" wrapText="1"/>
    </xf>
    <xf numFmtId="49" fontId="40" fillId="0" borderId="97" applyAlignment="1" pivotButton="0" quotePrefix="0" xfId="0">
      <alignment horizontal="center" vertical="center"/>
    </xf>
    <xf numFmtId="49" fontId="40" fillId="0" borderId="98" applyAlignment="1" pivotButton="0" quotePrefix="0" xfId="0">
      <alignment horizontal="center" vertical="center"/>
    </xf>
    <xf numFmtId="49" fontId="21" fillId="0" borderId="98" applyAlignment="1" pivotButton="0" quotePrefix="0" xfId="0">
      <alignment horizontal="center" vertical="center" wrapText="1"/>
    </xf>
    <xf numFmtId="49" fontId="21" fillId="0" borderId="99" applyAlignment="1" pivotButton="0" quotePrefix="0" xfId="0">
      <alignment horizontal="center" vertical="center" wrapText="1"/>
    </xf>
    <xf numFmtId="49" fontId="40" fillId="0" borderId="81" applyAlignment="1" pivotButton="0" quotePrefix="0" xfId="0">
      <alignment horizontal="center" vertical="center"/>
    </xf>
    <xf numFmtId="49" fontId="40" fillId="0" borderId="82" applyAlignment="1" pivotButton="0" quotePrefix="0" xfId="0">
      <alignment horizontal="center" vertical="center"/>
    </xf>
    <xf numFmtId="49" fontId="21" fillId="0" borderId="82" applyAlignment="1" pivotButton="0" quotePrefix="0" xfId="0">
      <alignment horizontal="center" vertical="center" wrapText="1"/>
    </xf>
    <xf numFmtId="49" fontId="21" fillId="0" borderId="93" applyAlignment="1" pivotButton="0" quotePrefix="0" xfId="0">
      <alignment horizontal="center" vertical="center" wrapText="1"/>
    </xf>
    <xf numFmtId="49" fontId="22" fillId="0" borderId="18" applyAlignment="1" pivotButton="0" quotePrefix="0" xfId="0">
      <alignment horizontal="center" vertical="center" shrinkToFit="1"/>
    </xf>
    <xf numFmtId="49" fontId="22" fillId="0" borderId="12" applyAlignment="1" pivotButton="0" quotePrefix="0" xfId="0">
      <alignment horizontal="center" vertical="center" shrinkToFit="1"/>
    </xf>
    <xf numFmtId="49" fontId="22" fillId="0" borderId="13" applyAlignment="1" pivotButton="0" quotePrefix="0" xfId="0">
      <alignment horizontal="center" vertical="center" shrinkToFit="1"/>
    </xf>
    <xf numFmtId="49" fontId="40" fillId="0" borderId="27" applyAlignment="1" pivotButton="0" quotePrefix="0" xfId="0">
      <alignment horizontal="left" vertical="center"/>
    </xf>
    <xf numFmtId="49" fontId="40" fillId="0" borderId="0" applyAlignment="1" pivotButton="0" quotePrefix="0" xfId="0">
      <alignment horizontal="left" vertical="center"/>
    </xf>
    <xf numFmtId="49" fontId="40" fillId="0" borderId="28" applyAlignment="1" pivotButton="0" quotePrefix="0" xfId="0">
      <alignment horizontal="left" vertical="center"/>
    </xf>
    <xf numFmtId="49" fontId="21" fillId="0" borderId="104" applyAlignment="1" pivotButton="0" quotePrefix="0" xfId="0">
      <alignment horizontal="left" vertical="center"/>
    </xf>
    <xf numFmtId="49" fontId="21" fillId="0" borderId="106" applyAlignment="1" pivotButton="0" quotePrefix="0" xfId="0">
      <alignment horizontal="left" vertical="center"/>
    </xf>
    <xf numFmtId="49" fontId="21" fillId="0" borderId="108" applyAlignment="1" pivotButton="0" quotePrefix="0" xfId="0">
      <alignment horizontal="left" vertical="center"/>
    </xf>
    <xf numFmtId="49" fontId="21" fillId="0" borderId="105" applyAlignment="1" pivotButton="0" quotePrefix="0" xfId="0">
      <alignment horizontal="left" vertical="center"/>
    </xf>
    <xf numFmtId="49" fontId="21" fillId="0" borderId="107" applyAlignment="1" pivotButton="0" quotePrefix="0" xfId="0">
      <alignment horizontal="left" vertical="center"/>
    </xf>
    <xf numFmtId="49" fontId="21" fillId="0" borderId="109" applyAlignment="1" pivotButton="0" quotePrefix="0" xfId="0">
      <alignment horizontal="left" vertical="center"/>
    </xf>
    <xf numFmtId="49" fontId="25" fillId="0" borderId="0" applyAlignment="1" pivotButton="0" quotePrefix="0" xfId="0">
      <alignment horizontal="left" vertical="center" wrapText="1"/>
    </xf>
    <xf numFmtId="49" fontId="25" fillId="0" borderId="28" applyAlignment="1" pivotButton="0" quotePrefix="0" xfId="0">
      <alignment horizontal="left" vertical="center" wrapText="1"/>
    </xf>
    <xf numFmtId="49" fontId="25" fillId="0" borderId="21" applyAlignment="1" pivotButton="0" quotePrefix="0" xfId="0">
      <alignment horizontal="left" vertical="center" wrapText="1"/>
    </xf>
    <xf numFmtId="49" fontId="25" fillId="0" borderId="22" applyAlignment="1" pivotButton="0" quotePrefix="0" xfId="0">
      <alignment horizontal="left" vertical="center" wrapText="1"/>
    </xf>
    <xf numFmtId="49" fontId="21" fillId="0" borderId="16" applyAlignment="1" pivotButton="0" quotePrefix="0" xfId="0">
      <alignment horizontal="left" vertical="center"/>
    </xf>
    <xf numFmtId="49" fontId="21" fillId="0" borderId="101" applyAlignment="1" pivotButton="0" quotePrefix="0" xfId="0">
      <alignment horizontal="left" vertical="center"/>
    </xf>
    <xf numFmtId="49" fontId="21" fillId="0" borderId="102" applyAlignment="1" pivotButton="0" quotePrefix="0" xfId="0">
      <alignment horizontal="left" vertical="center"/>
    </xf>
    <xf numFmtId="49" fontId="39" fillId="0" borderId="18" applyAlignment="1" pivotButton="0" quotePrefix="0" xfId="0">
      <alignment horizontal="center" vertical="center"/>
    </xf>
    <xf numFmtId="49" fontId="39" fillId="0" borderId="19" applyAlignment="1" pivotButton="0" quotePrefix="0" xfId="0">
      <alignment horizontal="center" vertical="center"/>
    </xf>
    <xf numFmtId="49" fontId="39" fillId="0" borderId="27" applyAlignment="1" pivotButton="0" quotePrefix="0" xfId="0">
      <alignment horizontal="center" vertical="center"/>
    </xf>
    <xf numFmtId="49" fontId="39" fillId="0" borderId="28" applyAlignment="1" pivotButton="0" quotePrefix="0" xfId="0">
      <alignment horizontal="center" vertical="center"/>
    </xf>
    <xf numFmtId="49" fontId="39" fillId="0" borderId="20" applyAlignment="1" pivotButton="0" quotePrefix="0" xfId="0">
      <alignment horizontal="center" vertical="center"/>
    </xf>
    <xf numFmtId="49" fontId="39" fillId="0" borderId="22" applyAlignment="1" pivotButton="0" quotePrefix="0" xfId="0">
      <alignment horizontal="center" vertical="center"/>
    </xf>
    <xf numFmtId="49" fontId="22" fillId="0" borderId="27" applyAlignment="1" pivotButton="0" quotePrefix="0" xfId="0">
      <alignment horizontal="center" vertical="center" shrinkToFit="1"/>
    </xf>
    <xf numFmtId="49" fontId="22" fillId="0" borderId="0" applyAlignment="1" pivotButton="0" quotePrefix="0" xfId="0">
      <alignment horizontal="center" vertical="center" shrinkToFit="1"/>
    </xf>
    <xf numFmtId="49" fontId="22" fillId="0" borderId="48" applyAlignment="1" pivotButton="0" quotePrefix="0" xfId="0">
      <alignment horizontal="center" vertical="center" shrinkToFit="1"/>
    </xf>
    <xf numFmtId="49" fontId="22" fillId="0" borderId="20" applyAlignment="1" pivotButton="0" quotePrefix="0" xfId="0">
      <alignment horizontal="center" vertical="center" shrinkToFit="1"/>
    </xf>
    <xf numFmtId="49" fontId="22" fillId="0" borderId="21" applyAlignment="1" pivotButton="0" quotePrefix="0" xfId="0">
      <alignment horizontal="center" vertical="center" shrinkToFit="1"/>
    </xf>
    <xf numFmtId="49" fontId="22" fillId="0" borderId="49" applyAlignment="1" pivotButton="0" quotePrefix="0" xfId="0">
      <alignment horizontal="center" vertical="center" shrinkToFit="1"/>
    </xf>
    <xf numFmtId="49" fontId="44" fillId="0" borderId="35" applyAlignment="1" pivotButton="0" quotePrefix="0" xfId="0">
      <alignment horizontal="distributed" vertical="center"/>
    </xf>
    <xf numFmtId="49" fontId="44" fillId="0" borderId="33" applyAlignment="1" pivotButton="0" quotePrefix="0" xfId="0">
      <alignment horizontal="distributed" vertical="center"/>
    </xf>
    <xf numFmtId="49" fontId="44" fillId="0" borderId="34" applyAlignment="1" pivotButton="0" quotePrefix="0" xfId="0">
      <alignment horizontal="distributed" vertical="center"/>
    </xf>
    <xf numFmtId="49" fontId="40" fillId="0" borderId="35" applyAlignment="1" pivotButton="0" quotePrefix="0" xfId="0">
      <alignment horizontal="left" vertical="center" textRotation="255" wrapText="1"/>
    </xf>
    <xf numFmtId="49" fontId="40" fillId="0" borderId="33" applyAlignment="1" pivotButton="0" quotePrefix="0" xfId="0">
      <alignment horizontal="left" vertical="center" textRotation="255" wrapText="1"/>
    </xf>
    <xf numFmtId="49" fontId="40" fillId="0" borderId="34" applyAlignment="1" pivotButton="0" quotePrefix="0" xfId="0">
      <alignment horizontal="left" vertical="center" textRotation="255" wrapText="1"/>
    </xf>
    <xf numFmtId="49" fontId="21" fillId="0" borderId="0" applyAlignment="1" pivotButton="0" quotePrefix="0" xfId="0">
      <alignment horizontal="right" vertical="center"/>
    </xf>
    <xf numFmtId="49" fontId="21" fillId="0" borderId="21" applyAlignment="1" pivotButton="0" quotePrefix="0" xfId="0">
      <alignment horizontal="right" vertical="center"/>
    </xf>
    <xf numFmtId="49" fontId="40" fillId="0" borderId="22" applyAlignment="1" pivotButton="0" quotePrefix="0" xfId="0">
      <alignment horizontal="center" vertical="center" textRotation="255"/>
    </xf>
    <xf numFmtId="49" fontId="40" fillId="0" borderId="0" applyAlignment="1" pivotButton="0" quotePrefix="0" xfId="0">
      <alignment horizontal="distributed" vertical="center" wrapText="1"/>
    </xf>
    <xf numFmtId="49" fontId="38" fillId="0" borderId="28" applyAlignment="1" pivotButton="0" quotePrefix="0" xfId="0">
      <alignment vertical="center"/>
    </xf>
    <xf numFmtId="49" fontId="40" fillId="0" borderId="16" applyAlignment="1" pivotButton="0" quotePrefix="0" xfId="0">
      <alignment horizontal="center" vertical="center"/>
    </xf>
    <xf numFmtId="49" fontId="40" fillId="0" borderId="23" applyAlignment="1" pivotButton="0" quotePrefix="0" xfId="0">
      <alignment horizontal="center" vertical="center"/>
    </xf>
    <xf numFmtId="49" fontId="44" fillId="0" borderId="100" applyAlignment="1" pivotButton="0" quotePrefix="0" xfId="0">
      <alignment horizontal="center" vertical="center" textRotation="255"/>
    </xf>
    <xf numFmtId="49" fontId="44" fillId="0" borderId="103" applyAlignment="1" pivotButton="0" quotePrefix="0" xfId="0">
      <alignment horizontal="center" vertical="center" textRotation="255"/>
    </xf>
    <xf numFmtId="49" fontId="21" fillId="0" borderId="16" applyAlignment="1" pivotButton="0" quotePrefix="0" xfId="0">
      <alignment horizontal="center" vertical="center" shrinkToFit="1"/>
    </xf>
    <xf numFmtId="49" fontId="21" fillId="0" borderId="14" applyAlignment="1" pivotButton="0" quotePrefix="0" xfId="0">
      <alignment horizontal="center" vertical="center" shrinkToFit="1"/>
    </xf>
    <xf numFmtId="49" fontId="21" fillId="0" borderId="23" applyAlignment="1" pivotButton="0" quotePrefix="0" xfId="0">
      <alignment horizontal="center" vertical="center" shrinkToFit="1"/>
    </xf>
    <xf numFmtId="49" fontId="21" fillId="0" borderId="15" applyAlignment="1" pivotButton="0" quotePrefix="0" xfId="0">
      <alignment horizontal="distributed" vertical="center"/>
    </xf>
    <xf numFmtId="49" fontId="21" fillId="0" borderId="15" applyAlignment="1" pivotButton="0" quotePrefix="0" xfId="0">
      <alignment horizontal="center" vertical="center"/>
    </xf>
    <xf numFmtId="49" fontId="40" fillId="0" borderId="12" applyAlignment="1" pivotButton="0" quotePrefix="0" xfId="0">
      <alignment horizontal="distributed" vertical="center" wrapText="1"/>
    </xf>
    <xf numFmtId="49" fontId="38" fillId="0" borderId="19" applyAlignment="1" pivotButton="0" quotePrefix="0" xfId="0">
      <alignment vertical="center"/>
    </xf>
    <xf numFmtId="49" fontId="38" fillId="0" borderId="22" applyAlignment="1" pivotButton="0" quotePrefix="0" xfId="0">
      <alignment vertical="center"/>
    </xf>
    <xf numFmtId="49" fontId="22" fillId="0" borderId="16" applyAlignment="1" pivotButton="0" quotePrefix="0" xfId="0">
      <alignment horizontal="left" vertical="center" wrapText="1"/>
    </xf>
    <xf numFmtId="49" fontId="22" fillId="0" borderId="14" applyAlignment="1" pivotButton="0" quotePrefix="0" xfId="0">
      <alignment horizontal="left" vertical="center" wrapText="1"/>
    </xf>
    <xf numFmtId="49" fontId="22" fillId="0" borderId="15" applyAlignment="1" pivotButton="0" quotePrefix="0" xfId="0">
      <alignment horizontal="left" vertical="center" wrapText="1"/>
    </xf>
    <xf numFmtId="49" fontId="23" fillId="0" borderId="16" applyAlignment="1" pivotButton="0" quotePrefix="0" xfId="0">
      <alignment horizontal="left" vertical="center" wrapText="1"/>
    </xf>
    <xf numFmtId="49" fontId="23" fillId="0" borderId="14" applyAlignment="1" pivotButton="0" quotePrefix="0" xfId="0">
      <alignment horizontal="left" vertical="center" wrapText="1"/>
    </xf>
    <xf numFmtId="49" fontId="23" fillId="0" borderId="15" applyAlignment="1" pivotButton="0" quotePrefix="0" xfId="0">
      <alignment horizontal="left" vertical="center" wrapText="1"/>
    </xf>
    <xf numFmtId="49" fontId="40" fillId="0" borderId="18" applyAlignment="1" pivotButton="0" quotePrefix="0" xfId="0">
      <alignment horizontal="center" vertical="center" wrapText="1"/>
    </xf>
    <xf numFmtId="49" fontId="40" fillId="0" borderId="20" applyAlignment="1" pivotButton="0" quotePrefix="0" xfId="0">
      <alignment horizontal="center" vertical="center" wrapText="1"/>
    </xf>
    <xf numFmtId="49" fontId="40" fillId="0" borderId="21" applyAlignment="1" pivotButton="0" quotePrefix="0" xfId="0">
      <alignment horizontal="distributed" vertical="center" wrapText="1"/>
    </xf>
    <xf numFmtId="49" fontId="40" fillId="0" borderId="19" applyAlignment="1" pivotButton="0" quotePrefix="0" xfId="0">
      <alignment horizontal="center" vertical="center" wrapText="1"/>
    </xf>
    <xf numFmtId="49" fontId="40" fillId="0" borderId="22" applyAlignment="1" pivotButton="0" quotePrefix="0" xfId="0">
      <alignment horizontal="center" vertical="center" wrapText="1"/>
    </xf>
    <xf numFmtId="49" fontId="25" fillId="0" borderId="16" applyAlignment="1" pivotButton="0" quotePrefix="0" xfId="0">
      <alignment horizontal="left" vertical="center"/>
    </xf>
    <xf numFmtId="49" fontId="25" fillId="0" borderId="14" applyAlignment="1" pivotButton="0" quotePrefix="0" xfId="0">
      <alignment horizontal="left" vertical="center"/>
    </xf>
    <xf numFmtId="49" fontId="25" fillId="0" borderId="15" applyAlignment="1" pivotButton="0" quotePrefix="0" xfId="0">
      <alignment horizontal="left" vertical="center"/>
    </xf>
    <xf numFmtId="49" fontId="21" fillId="0" borderId="13" applyAlignment="1" pivotButton="0" quotePrefix="0" xfId="0">
      <alignment horizontal="left" vertical="center"/>
    </xf>
    <xf numFmtId="49" fontId="40" fillId="0" borderId="12" applyAlignment="1" pivotButton="0" quotePrefix="0" xfId="0">
      <alignment horizontal="distributed" vertical="center" wrapText="1" justifyLastLine="1"/>
    </xf>
    <xf numFmtId="49" fontId="40" fillId="0" borderId="21" applyAlignment="1" pivotButton="0" quotePrefix="0" xfId="0">
      <alignment horizontal="distributed" vertical="center" wrapText="1" justifyLastLine="1"/>
    </xf>
    <xf numFmtId="49" fontId="40" fillId="0" borderId="35" applyAlignment="1" pivotButton="0" quotePrefix="0" xfId="0">
      <alignment horizontal="left" vertical="center" textRotation="255"/>
    </xf>
    <xf numFmtId="49" fontId="40" fillId="0" borderId="34" applyAlignment="1" pivotButton="0" quotePrefix="0" xfId="0">
      <alignment horizontal="left" vertical="center" textRotation="255"/>
    </xf>
    <xf numFmtId="49" fontId="21" fillId="0" borderId="13" applyAlignment="1" pivotButton="0" quotePrefix="0" xfId="0">
      <alignment horizontal="left" vertical="center" wrapText="1"/>
    </xf>
    <xf numFmtId="49" fontId="21" fillId="0" borderId="49" applyAlignment="1" pivotButton="0" quotePrefix="0" xfId="0">
      <alignment horizontal="left" vertical="center" wrapText="1"/>
    </xf>
    <xf numFmtId="49" fontId="40" fillId="0" borderId="44" applyAlignment="1" pivotButton="0" quotePrefix="0" xfId="0">
      <alignment horizontal="center" vertical="center"/>
    </xf>
    <xf numFmtId="49" fontId="40" fillId="0" borderId="45" applyAlignment="1" pivotButton="0" quotePrefix="0" xfId="0">
      <alignment horizontal="center" vertical="center"/>
    </xf>
    <xf numFmtId="49" fontId="40" fillId="0" borderId="46" applyAlignment="1" pivotButton="0" quotePrefix="0" xfId="0">
      <alignment horizontal="center" vertical="center"/>
    </xf>
    <xf numFmtId="49" fontId="40" fillId="0" borderId="110" applyAlignment="1" pivotButton="0" quotePrefix="0" xfId="0">
      <alignment vertical="center" wrapText="1"/>
    </xf>
    <xf numFmtId="49" fontId="40" fillId="0" borderId="45" applyAlignment="1" pivotButton="0" quotePrefix="0" xfId="0">
      <alignment vertical="center" wrapText="1"/>
    </xf>
    <xf numFmtId="49" fontId="40" fillId="0" borderId="47" applyAlignment="1" pivotButton="0" quotePrefix="0" xfId="0">
      <alignment vertical="center" wrapText="1"/>
    </xf>
    <xf numFmtId="49" fontId="43" fillId="0" borderId="0" applyAlignment="1" pivotButton="0" quotePrefix="0" xfId="0">
      <alignment horizontal="distributed" vertical="center"/>
    </xf>
    <xf numFmtId="49" fontId="43" fillId="0" borderId="12" applyAlignment="1" pivotButton="0" quotePrefix="0" xfId="0">
      <alignment horizontal="center" vertical="center" wrapText="1"/>
    </xf>
    <xf numFmtId="49" fontId="43" fillId="0" borderId="19" applyAlignment="1" pivotButton="0" quotePrefix="0" xfId="0">
      <alignment horizontal="center" vertical="center" wrapText="1"/>
    </xf>
    <xf numFmtId="49" fontId="43" fillId="0" borderId="21" applyAlignment="1" pivotButton="0" quotePrefix="0" xfId="0">
      <alignment horizontal="center" vertical="center" wrapText="1"/>
    </xf>
    <xf numFmtId="49" fontId="43" fillId="0" borderId="22" applyAlignment="1" pivotButton="0" quotePrefix="0" xfId="0">
      <alignment horizontal="center" vertical="center" wrapText="1"/>
    </xf>
    <xf numFmtId="49" fontId="43" fillId="0" borderId="16" applyAlignment="1" pivotButton="0" quotePrefix="0" xfId="0">
      <alignment horizontal="center" vertical="center" wrapText="1"/>
    </xf>
    <xf numFmtId="49" fontId="43" fillId="0" borderId="14" applyAlignment="1" pivotButton="0" quotePrefix="0" xfId="0">
      <alignment horizontal="center" vertical="center" wrapText="1"/>
    </xf>
    <xf numFmtId="49" fontId="43" fillId="0" borderId="23" applyAlignment="1" pivotButton="0" quotePrefix="0" xfId="0">
      <alignment horizontal="center" vertical="center" wrapText="1"/>
    </xf>
    <xf numFmtId="0" fontId="21" fillId="0" borderId="14" applyAlignment="1" pivotButton="0" quotePrefix="0" xfId="0">
      <alignment horizontal="left" vertical="center"/>
    </xf>
    <xf numFmtId="0" fontId="21" fillId="0" borderId="15" applyAlignment="1" pivotButton="0" quotePrefix="0" xfId="0">
      <alignment horizontal="left" vertical="center"/>
    </xf>
    <xf numFmtId="49" fontId="24" fillId="0" borderId="16" applyAlignment="1" pivotButton="0" quotePrefix="0" xfId="0">
      <alignment horizontal="left" vertical="center" wrapText="1"/>
    </xf>
    <xf numFmtId="49" fontId="24" fillId="0" borderId="14" applyAlignment="1" pivotButton="0" quotePrefix="0" xfId="0">
      <alignment horizontal="left" vertical="center" wrapText="1"/>
    </xf>
    <xf numFmtId="49" fontId="24" fillId="0" borderId="23" applyAlignment="1" pivotButton="0" quotePrefix="0" xfId="0">
      <alignment horizontal="left" vertical="center" wrapText="1"/>
    </xf>
    <xf numFmtId="49" fontId="43" fillId="0" borderId="18" applyAlignment="1" pivotButton="0" quotePrefix="0" xfId="0">
      <alignment horizontal="center" vertical="center" textRotation="255" wrapText="1"/>
    </xf>
    <xf numFmtId="49" fontId="43" fillId="0" borderId="19" applyAlignment="1" pivotButton="0" quotePrefix="0" xfId="0">
      <alignment horizontal="center" vertical="center" textRotation="255" wrapText="1"/>
    </xf>
    <xf numFmtId="49" fontId="43" fillId="0" borderId="27" applyAlignment="1" pivotButton="0" quotePrefix="0" xfId="0">
      <alignment horizontal="center" vertical="center" textRotation="255" wrapText="1"/>
    </xf>
    <xf numFmtId="49" fontId="43" fillId="0" borderId="28" applyAlignment="1" pivotButton="0" quotePrefix="0" xfId="0">
      <alignment horizontal="center" vertical="center" textRotation="255" wrapText="1"/>
    </xf>
    <xf numFmtId="49" fontId="43" fillId="0" borderId="20" applyAlignment="1" pivotButton="0" quotePrefix="0" xfId="0">
      <alignment horizontal="center" vertical="center" textRotation="255" wrapText="1"/>
    </xf>
    <xf numFmtId="49" fontId="43" fillId="0" borderId="22" applyAlignment="1" pivotButton="0" quotePrefix="0" xfId="0">
      <alignment horizontal="center" vertical="center" textRotation="255" wrapText="1"/>
    </xf>
    <xf numFmtId="49" fontId="44" fillId="0" borderId="12" applyAlignment="1" pivotButton="0" quotePrefix="0" xfId="0">
      <alignment horizontal="center" vertical="center"/>
    </xf>
    <xf numFmtId="49" fontId="44" fillId="0" borderId="19" applyAlignment="1" pivotButton="0" quotePrefix="0" xfId="0">
      <alignment horizontal="center" vertical="center"/>
    </xf>
    <xf numFmtId="49" fontId="44" fillId="0" borderId="0" applyAlignment="1" pivotButton="0" quotePrefix="0" xfId="0">
      <alignment horizontal="center" vertical="center"/>
    </xf>
    <xf numFmtId="49" fontId="44" fillId="0" borderId="28" applyAlignment="1" pivotButton="0" quotePrefix="0" xfId="0">
      <alignment horizontal="center" vertical="center"/>
    </xf>
    <xf numFmtId="49" fontId="44" fillId="0" borderId="21" applyAlignment="1" pivotButton="0" quotePrefix="0" xfId="0">
      <alignment horizontal="center" vertical="center"/>
    </xf>
    <xf numFmtId="49" fontId="44" fillId="0" borderId="22" applyAlignment="1" pivotButton="0" quotePrefix="0" xfId="0">
      <alignment horizontal="center" vertical="center"/>
    </xf>
    <xf numFmtId="49" fontId="21" fillId="0" borderId="0" applyAlignment="1" pivotButton="0" quotePrefix="0" xfId="0">
      <alignment vertical="center" wrapText="1"/>
    </xf>
    <xf numFmtId="49" fontId="44" fillId="0" borderId="0" applyAlignment="1" pivotButton="0" quotePrefix="0" xfId="0">
      <alignment horizontal="distributed" vertical="center"/>
    </xf>
    <xf numFmtId="49" fontId="25" fillId="24" borderId="16" applyAlignment="1" pivotButton="0" quotePrefix="0" xfId="0">
      <alignment horizontal="left" vertical="center"/>
    </xf>
    <xf numFmtId="49" fontId="25" fillId="24" borderId="14" applyAlignment="1" pivotButton="0" quotePrefix="0" xfId="0">
      <alignment horizontal="left" vertical="center"/>
    </xf>
    <xf numFmtId="49" fontId="25" fillId="24" borderId="15" applyAlignment="1" pivotButton="0" quotePrefix="0" xfId="0">
      <alignment horizontal="left" vertical="center"/>
    </xf>
    <xf numFmtId="49" fontId="24" fillId="0" borderId="67" applyAlignment="1" pivotButton="0" quotePrefix="0" xfId="0">
      <alignment horizontal="left" vertical="center" shrinkToFit="1"/>
    </xf>
    <xf numFmtId="49" fontId="24" fillId="0" borderId="68" applyAlignment="1" pivotButton="0" quotePrefix="0" xfId="0">
      <alignment horizontal="left" vertical="center" shrinkToFit="1"/>
    </xf>
    <xf numFmtId="49" fontId="24" fillId="0" borderId="70" applyAlignment="1" pivotButton="0" quotePrefix="0" xfId="0">
      <alignment horizontal="left" vertical="center" shrinkToFit="1"/>
    </xf>
    <xf numFmtId="49" fontId="45" fillId="0" borderId="18" applyAlignment="1" pivotButton="0" quotePrefix="0" xfId="0">
      <alignment horizontal="left" vertical="center" wrapText="1"/>
    </xf>
    <xf numFmtId="49" fontId="45" fillId="0" borderId="12" applyAlignment="1" pivotButton="0" quotePrefix="0" xfId="0">
      <alignment horizontal="left" vertical="center" wrapText="1"/>
    </xf>
    <xf numFmtId="49" fontId="45" fillId="0" borderId="13" applyAlignment="1" pivotButton="0" quotePrefix="0" xfId="0">
      <alignment horizontal="left" vertical="center" wrapText="1"/>
    </xf>
    <xf numFmtId="49" fontId="45" fillId="0" borderId="20" applyAlignment="1" pivotButton="0" quotePrefix="0" xfId="0">
      <alignment horizontal="left" vertical="center" wrapText="1"/>
    </xf>
    <xf numFmtId="49" fontId="45" fillId="0" borderId="21" applyAlignment="1" pivotButton="0" quotePrefix="0" xfId="0">
      <alignment horizontal="left" vertical="center" wrapText="1"/>
    </xf>
    <xf numFmtId="49" fontId="45" fillId="0" borderId="49" applyAlignment="1" pivotButton="0" quotePrefix="0" xfId="0">
      <alignment horizontal="left" vertical="center" wrapText="1"/>
    </xf>
    <xf numFmtId="49" fontId="35" fillId="0" borderId="12" applyAlignment="1" pivotButton="0" quotePrefix="0" xfId="0">
      <alignment horizontal="left" wrapText="1"/>
    </xf>
    <xf numFmtId="49" fontId="35" fillId="0" borderId="13" applyAlignment="1" pivotButton="0" quotePrefix="0" xfId="0">
      <alignment horizontal="left" wrapText="1"/>
    </xf>
    <xf numFmtId="49" fontId="35" fillId="0" borderId="0" applyAlignment="1" pivotButton="0" quotePrefix="0" xfId="0">
      <alignment horizontal="left" wrapText="1"/>
    </xf>
    <xf numFmtId="49" fontId="35" fillId="0" borderId="48" applyAlignment="1" pivotButton="0" quotePrefix="0" xfId="0">
      <alignment horizontal="left" wrapText="1"/>
    </xf>
    <xf numFmtId="49" fontId="35" fillId="0" borderId="21" applyAlignment="1" pivotButton="0" quotePrefix="0" xfId="0">
      <alignment horizontal="left" wrapText="1"/>
    </xf>
    <xf numFmtId="49" fontId="35" fillId="0" borderId="49" applyAlignment="1" pivotButton="0" quotePrefix="0" xfId="0">
      <alignment horizontal="left" wrapText="1"/>
    </xf>
    <xf numFmtId="49" fontId="34" fillId="0" borderId="0" applyAlignment="1" pivotButton="0" quotePrefix="0" xfId="0">
      <alignment horizontal="right" vertical="center"/>
    </xf>
    <xf numFmtId="49" fontId="34" fillId="0" borderId="21" applyAlignment="1" pivotButton="0" quotePrefix="0" xfId="0">
      <alignment horizontal="right" vertical="center"/>
    </xf>
    <xf numFmtId="49" fontId="24" fillId="0" borderId="16" applyAlignment="1" pivotButton="0" quotePrefix="0" xfId="0">
      <alignment horizontal="right" vertical="center"/>
    </xf>
    <xf numFmtId="49" fontId="24" fillId="0" borderId="14" applyAlignment="1" pivotButton="0" quotePrefix="0" xfId="0">
      <alignment horizontal="right" vertical="center"/>
    </xf>
    <xf numFmtId="49" fontId="24" fillId="0" borderId="14" applyAlignment="1" pivotButton="0" quotePrefix="0" xfId="0">
      <alignment horizontal="left" vertical="center"/>
    </xf>
    <xf numFmtId="49" fontId="24" fillId="0" borderId="23" applyAlignment="1" pivotButton="0" quotePrefix="0" xfId="0">
      <alignment horizontal="left" vertical="center"/>
    </xf>
    <xf numFmtId="49" fontId="24" fillId="0" borderId="15" applyAlignment="1" pivotButton="0" quotePrefix="0" xfId="0">
      <alignment horizontal="left" vertical="center"/>
    </xf>
    <xf numFmtId="0" fontId="46" fillId="0" borderId="16" applyAlignment="1" pivotButton="0" quotePrefix="0" xfId="0">
      <alignment horizontal="center" vertical="center"/>
    </xf>
    <xf numFmtId="0" fontId="46" fillId="0" borderId="14" applyAlignment="1" pivotButton="0" quotePrefix="0" xfId="0">
      <alignment horizontal="center" vertical="center"/>
    </xf>
    <xf numFmtId="0" fontId="46" fillId="0" borderId="15" applyAlignment="1" pivotButton="0" quotePrefix="0" xfId="0">
      <alignment horizontal="center" vertical="center"/>
    </xf>
    <xf numFmtId="49" fontId="24" fillId="0" borderId="78" applyAlignment="1" pivotButton="0" quotePrefix="0" xfId="0">
      <alignment horizontal="center" vertical="center"/>
    </xf>
    <xf numFmtId="49" fontId="24" fillId="0" borderId="79" applyAlignment="1" pivotButton="0" quotePrefix="0" xfId="0">
      <alignment horizontal="center" vertical="center"/>
    </xf>
    <xf numFmtId="49" fontId="24" fillId="0" borderId="80" applyAlignment="1" pivotButton="0" quotePrefix="0" xfId="0">
      <alignment horizontal="center" vertical="center"/>
    </xf>
    <xf numFmtId="49" fontId="47" fillId="0" borderId="12" applyAlignment="1" pivotButton="0" quotePrefix="0" xfId="0">
      <alignment vertical="center"/>
    </xf>
    <xf numFmtId="49" fontId="39" fillId="0" borderId="16" applyAlignment="1" pivotButton="0" quotePrefix="0" xfId="0">
      <alignment horizontal="center" vertical="center"/>
    </xf>
    <xf numFmtId="49" fontId="39" fillId="0" borderId="14" applyAlignment="1" pivotButton="0" quotePrefix="0" xfId="0">
      <alignment horizontal="center" vertical="center"/>
    </xf>
    <xf numFmtId="49" fontId="39" fillId="0" borderId="112" applyAlignment="1" pivotButton="0" quotePrefix="0" xfId="0">
      <alignment horizontal="center" vertical="center"/>
    </xf>
    <xf numFmtId="49" fontId="39" fillId="0" borderId="113" applyAlignment="1" pivotButton="0" quotePrefix="0" xfId="0">
      <alignment horizontal="center" vertical="center"/>
    </xf>
    <xf numFmtId="49" fontId="39" fillId="0" borderId="113" applyAlignment="1" pivotButton="0" quotePrefix="0" xfId="0">
      <alignment horizontal="center" vertical="center" wrapText="1"/>
    </xf>
    <xf numFmtId="49" fontId="39" fillId="0" borderId="14" applyAlignment="1" pivotButton="0" quotePrefix="0" xfId="0">
      <alignment horizontal="center" vertical="center" wrapText="1"/>
    </xf>
    <xf numFmtId="49" fontId="39" fillId="0" borderId="15" applyAlignment="1" pivotButton="0" quotePrefix="0" xfId="0">
      <alignment horizontal="center" vertical="center" wrapText="1"/>
    </xf>
    <xf numFmtId="49" fontId="24" fillId="0" borderId="81" applyAlignment="1" pivotButton="0" quotePrefix="0" xfId="0">
      <alignment horizontal="center" vertical="center"/>
    </xf>
    <xf numFmtId="49" fontId="24" fillId="0" borderId="82" applyAlignment="1" pivotButton="0" quotePrefix="0" xfId="0">
      <alignment horizontal="center" vertical="center"/>
    </xf>
    <xf numFmtId="49" fontId="24" fillId="0" borderId="84" applyAlignment="1" pivotButton="0" quotePrefix="0" xfId="0">
      <alignment horizontal="center" vertical="center"/>
    </xf>
    <xf numFmtId="49" fontId="24" fillId="0" borderId="85" applyAlignment="1" pivotButton="0" quotePrefix="0" xfId="0">
      <alignment horizontal="center" vertical="center"/>
    </xf>
    <xf numFmtId="49" fontId="24" fillId="0" borderId="87" applyAlignment="1" pivotButton="0" quotePrefix="0" xfId="0">
      <alignment horizontal="center" vertical="center"/>
    </xf>
    <xf numFmtId="49" fontId="24" fillId="0" borderId="88" applyAlignment="1" pivotButton="0" quotePrefix="0" xfId="0">
      <alignment horizontal="center" vertical="center"/>
    </xf>
    <xf numFmtId="49" fontId="24" fillId="0" borderId="83" applyAlignment="1" pivotButton="0" quotePrefix="0" xfId="0">
      <alignment horizontal="center" vertical="center"/>
    </xf>
    <xf numFmtId="49" fontId="24" fillId="0" borderId="86" applyAlignment="1" pivotButton="0" quotePrefix="0" xfId="0">
      <alignment horizontal="center" vertical="center"/>
    </xf>
    <xf numFmtId="49" fontId="24" fillId="0" borderId="89" applyAlignment="1" pivotButton="0" quotePrefix="0" xfId="0">
      <alignment horizontal="center" vertical="center"/>
    </xf>
    <xf numFmtId="49" fontId="24" fillId="0" borderId="27" applyAlignment="1" pivotButton="0" quotePrefix="0" xfId="0">
      <alignment horizontal="right" vertical="center" shrinkToFit="1"/>
    </xf>
    <xf numFmtId="49" fontId="24" fillId="0" borderId="0" applyAlignment="1" pivotButton="0" quotePrefix="0" xfId="0">
      <alignment horizontal="right" vertical="center" shrinkToFit="1"/>
    </xf>
    <xf numFmtId="49" fontId="24" fillId="0" borderId="20" applyAlignment="1" pivotButton="0" quotePrefix="0" xfId="0">
      <alignment horizontal="right" vertical="center" shrinkToFit="1"/>
    </xf>
    <xf numFmtId="49" fontId="24" fillId="0" borderId="21" applyAlignment="1" pivotButton="0" quotePrefix="0" xfId="0">
      <alignment horizontal="right" vertical="center" shrinkToFit="1"/>
    </xf>
    <xf numFmtId="49" fontId="48" fillId="0" borderId="0" applyAlignment="1" pivotButton="0" quotePrefix="0" xfId="0">
      <alignment horizontal="left" vertical="center" wrapText="1"/>
    </xf>
    <xf numFmtId="49" fontId="48" fillId="0" borderId="48" applyAlignment="1" pivotButton="0" quotePrefix="0" xfId="0">
      <alignment horizontal="left" vertical="center" wrapText="1"/>
    </xf>
    <xf numFmtId="49" fontId="40" fillId="0" borderId="117" applyAlignment="1" pivotButton="0" quotePrefix="0" xfId="0">
      <alignment horizontal="center" vertical="center"/>
    </xf>
    <xf numFmtId="49" fontId="40" fillId="0" borderId="118" applyAlignment="1" pivotButton="0" quotePrefix="0" xfId="0">
      <alignment horizontal="center" vertical="center"/>
    </xf>
    <xf numFmtId="49" fontId="40" fillId="0" borderId="119" applyAlignment="1" pivotButton="0" quotePrefix="0" xfId="0">
      <alignment horizontal="center" vertical="center"/>
    </xf>
    <xf numFmtId="49" fontId="40" fillId="0" borderId="120" applyAlignment="1" pivotButton="0" quotePrefix="0" xfId="0">
      <alignment horizontal="center" vertical="center"/>
    </xf>
    <xf numFmtId="49" fontId="21" fillId="0" borderId="120" applyAlignment="1" pivotButton="0" quotePrefix="0" xfId="0">
      <alignment horizontal="center" vertical="center" wrapText="1"/>
    </xf>
    <xf numFmtId="49" fontId="21" fillId="0" borderId="118" applyAlignment="1" pivotButton="0" quotePrefix="0" xfId="0">
      <alignment horizontal="center" vertical="center" wrapText="1"/>
    </xf>
    <xf numFmtId="49" fontId="21" fillId="0" borderId="121" applyAlignment="1" pivotButton="0" quotePrefix="0" xfId="0">
      <alignment horizontal="center" vertical="center" wrapText="1"/>
    </xf>
    <xf numFmtId="49" fontId="40" fillId="0" borderId="24" applyAlignment="1" pivotButton="0" quotePrefix="0" xfId="0">
      <alignment horizontal="center" vertical="center"/>
    </xf>
    <xf numFmtId="49" fontId="40" fillId="0" borderId="25" applyAlignment="1" pivotButton="0" quotePrefix="0" xfId="0">
      <alignment horizontal="center" vertical="center"/>
    </xf>
    <xf numFmtId="49" fontId="40" fillId="0" borderId="122" applyAlignment="1" pivotButton="0" quotePrefix="0" xfId="0">
      <alignment horizontal="center" vertical="center"/>
    </xf>
    <xf numFmtId="49" fontId="40" fillId="0" borderId="123" applyAlignment="1" pivotButton="0" quotePrefix="0" xfId="0">
      <alignment horizontal="center" vertical="center"/>
    </xf>
    <xf numFmtId="49" fontId="21" fillId="0" borderId="123" applyAlignment="1" pivotButton="0" quotePrefix="0" xfId="0">
      <alignment horizontal="center" vertical="center" wrapText="1"/>
    </xf>
    <xf numFmtId="49" fontId="21" fillId="0" borderId="25" applyAlignment="1" pivotButton="0" quotePrefix="0" xfId="0">
      <alignment horizontal="center" vertical="center" wrapText="1"/>
    </xf>
    <xf numFmtId="49" fontId="21" fillId="0" borderId="124" applyAlignment="1" pivotButton="0" quotePrefix="0" xfId="0">
      <alignment horizontal="center" vertical="center" wrapText="1"/>
    </xf>
    <xf numFmtId="49" fontId="49" fillId="0" borderId="39" applyAlignment="1" pivotButton="0" quotePrefix="0" xfId="0">
      <alignment horizontal="center" vertical="center"/>
    </xf>
    <xf numFmtId="49" fontId="49" fillId="0" borderId="40" applyAlignment="1" pivotButton="0" quotePrefix="0" xfId="0">
      <alignment horizontal="center" vertical="center"/>
    </xf>
    <xf numFmtId="49" fontId="49" fillId="0" borderId="114" applyAlignment="1" pivotButton="0" quotePrefix="0" xfId="0">
      <alignment horizontal="center" vertical="center"/>
    </xf>
    <xf numFmtId="49" fontId="49" fillId="0" borderId="115" applyAlignment="1" pivotButton="0" quotePrefix="0" xfId="0">
      <alignment horizontal="center" vertical="center"/>
    </xf>
    <xf numFmtId="49" fontId="49" fillId="0" borderId="115" applyAlignment="1" pivotButton="0" quotePrefix="0" xfId="0">
      <alignment horizontal="center" vertical="center" wrapText="1"/>
    </xf>
    <xf numFmtId="49" fontId="49" fillId="0" borderId="40" applyAlignment="1" pivotButton="0" quotePrefix="0" xfId="0">
      <alignment horizontal="center" vertical="center" wrapText="1"/>
    </xf>
    <xf numFmtId="49" fontId="49" fillId="0" borderId="116" applyAlignment="1" pivotButton="0" quotePrefix="0" xfId="0">
      <alignment horizontal="center" vertical="center" wrapText="1"/>
    </xf>
    <xf numFmtId="49" fontId="48" fillId="0" borderId="18" applyAlignment="1" pivotButton="0" quotePrefix="0" xfId="0">
      <alignment horizontal="center" vertical="center" shrinkToFit="1"/>
    </xf>
    <xf numFmtId="49" fontId="48" fillId="0" borderId="12" applyAlignment="1" pivotButton="0" quotePrefix="0" xfId="0">
      <alignment horizontal="center" vertical="center" shrinkToFit="1"/>
    </xf>
    <xf numFmtId="49" fontId="48" fillId="0" borderId="13" applyAlignment="1" pivotButton="0" quotePrefix="0" xfId="0">
      <alignment horizontal="center" vertical="center" shrinkToFit="1"/>
    </xf>
    <xf numFmtId="49" fontId="24" fillId="0" borderId="104" applyAlignment="1" pivotButton="0" quotePrefix="0" xfId="0">
      <alignment horizontal="center" vertical="center"/>
    </xf>
    <xf numFmtId="49" fontId="24" fillId="0" borderId="0" applyAlignment="1" pivotButton="0" quotePrefix="0" xfId="0">
      <alignment horizontal="center" vertical="center"/>
    </xf>
    <xf numFmtId="49" fontId="24" fillId="0" borderId="106" applyAlignment="1" pivotButton="0" quotePrefix="0" xfId="0">
      <alignment horizontal="center" vertical="center"/>
    </xf>
    <xf numFmtId="49" fontId="24" fillId="0" borderId="108" applyAlignment="1" pivotButton="0" quotePrefix="0" xfId="0">
      <alignment horizontal="center" vertical="center"/>
    </xf>
    <xf numFmtId="49" fontId="24" fillId="0" borderId="105" applyAlignment="1" pivotButton="0" quotePrefix="0" xfId="0">
      <alignment horizontal="center" vertical="center"/>
    </xf>
    <xf numFmtId="49" fontId="24" fillId="0" borderId="107" applyAlignment="1" pivotButton="0" quotePrefix="0" xfId="0">
      <alignment horizontal="center" vertical="center"/>
    </xf>
    <xf numFmtId="49" fontId="24" fillId="0" borderId="109" applyAlignment="1" pivotButton="0" quotePrefix="0" xfId="0">
      <alignment horizontal="center" vertical="center"/>
    </xf>
    <xf numFmtId="49" fontId="50" fillId="0" borderId="0" applyAlignment="1" pivotButton="0" quotePrefix="0" xfId="0">
      <alignment horizontal="left" vertical="center" wrapText="1"/>
    </xf>
    <xf numFmtId="49" fontId="50" fillId="0" borderId="28" applyAlignment="1" pivotButton="0" quotePrefix="0" xfId="0">
      <alignment horizontal="left" vertical="center" wrapText="1"/>
    </xf>
    <xf numFmtId="49" fontId="50" fillId="0" borderId="21" applyAlignment="1" pivotButton="0" quotePrefix="0" xfId="0">
      <alignment horizontal="left" vertical="center" wrapText="1"/>
    </xf>
    <xf numFmtId="49" fontId="50" fillId="0" borderId="22" applyAlignment="1" pivotButton="0" quotePrefix="0" xfId="0">
      <alignment horizontal="left" vertical="center" wrapText="1"/>
    </xf>
    <xf numFmtId="49" fontId="24" fillId="0" borderId="101" applyAlignment="1" pivotButton="0" quotePrefix="0" xfId="0">
      <alignment horizontal="center" vertical="center"/>
    </xf>
    <xf numFmtId="49" fontId="24" fillId="0" borderId="102" applyAlignment="1" pivotButton="0" quotePrefix="0" xfId="0">
      <alignment horizontal="center" vertical="center"/>
    </xf>
    <xf numFmtId="49" fontId="22" fillId="0" borderId="28" applyAlignment="1" pivotButton="0" quotePrefix="0" xfId="0">
      <alignment horizontal="left" vertical="center" wrapText="1"/>
    </xf>
    <xf numFmtId="49" fontId="22" fillId="0" borderId="21" applyAlignment="1" pivotButton="0" quotePrefix="0" xfId="0">
      <alignment horizontal="left" vertical="center" wrapText="1"/>
    </xf>
    <xf numFmtId="49" fontId="22" fillId="0" borderId="22" applyAlignment="1" pivotButton="0" quotePrefix="0" xfId="0">
      <alignment horizontal="left" vertical="center" wrapText="1"/>
    </xf>
    <xf numFmtId="49" fontId="24" fillId="0" borderId="16" applyAlignment="1" pivotButton="0" quotePrefix="0" xfId="0">
      <alignment horizontal="center" vertical="center" shrinkToFit="1"/>
    </xf>
    <xf numFmtId="49" fontId="24" fillId="0" borderId="14" applyAlignment="1" pivotButton="0" quotePrefix="0" xfId="0">
      <alignment horizontal="center" vertical="center" shrinkToFit="1"/>
    </xf>
    <xf numFmtId="49" fontId="24" fillId="0" borderId="23" applyAlignment="1" pivotButton="0" quotePrefix="0" xfId="0">
      <alignment horizontal="center" vertical="center" shrinkToFit="1"/>
    </xf>
    <xf numFmtId="49" fontId="24" fillId="0" borderId="16" applyAlignment="1" pivotButton="0" quotePrefix="0" xfId="0">
      <alignment horizontal="left" vertical="center"/>
    </xf>
    <xf numFmtId="49" fontId="24" fillId="0" borderId="16" applyAlignment="1" pivotButton="0" quotePrefix="0" xfId="0">
      <alignment horizontal="distributed" vertical="center"/>
    </xf>
    <xf numFmtId="49" fontId="24" fillId="0" borderId="14" applyAlignment="1" pivotButton="0" quotePrefix="0" xfId="0">
      <alignment horizontal="distributed" vertical="center"/>
    </xf>
    <xf numFmtId="49" fontId="24" fillId="0" borderId="15" applyAlignment="1" pivotButton="0" quotePrefix="0" xfId="0">
      <alignment horizontal="distributed" vertical="center"/>
    </xf>
    <xf numFmtId="49" fontId="24" fillId="0" borderId="15" applyAlignment="1" pivotButton="0" quotePrefix="0" xfId="0">
      <alignment horizontal="center" vertical="center"/>
    </xf>
    <xf numFmtId="49" fontId="48" fillId="0" borderId="16" applyAlignment="1" pivotButton="0" quotePrefix="0" xfId="0">
      <alignment horizontal="left" vertical="center" wrapText="1"/>
    </xf>
    <xf numFmtId="49" fontId="48" fillId="0" borderId="14" applyAlignment="1" pivotButton="0" quotePrefix="0" xfId="0">
      <alignment horizontal="left" vertical="center" wrapText="1"/>
    </xf>
    <xf numFmtId="49" fontId="48" fillId="0" borderId="15" applyAlignment="1" pivotButton="0" quotePrefix="0" xfId="0">
      <alignment horizontal="left" vertical="center" wrapText="1"/>
    </xf>
    <xf numFmtId="49" fontId="47" fillId="0" borderId="16" applyAlignment="1" pivotButton="0" quotePrefix="0" xfId="0">
      <alignment horizontal="left" vertical="center" wrapText="1"/>
    </xf>
    <xf numFmtId="49" fontId="47" fillId="0" borderId="14" applyAlignment="1" pivotButton="0" quotePrefix="0" xfId="0">
      <alignment horizontal="left" vertical="center" wrapText="1"/>
    </xf>
    <xf numFmtId="49" fontId="47" fillId="0" borderId="15" applyAlignment="1" pivotButton="0" quotePrefix="0" xfId="0">
      <alignment horizontal="left" vertical="center" wrapText="1"/>
    </xf>
    <xf numFmtId="49" fontId="50" fillId="0" borderId="16" applyAlignment="1" pivotButton="0" quotePrefix="0" xfId="0">
      <alignment horizontal="left" vertical="center"/>
    </xf>
    <xf numFmtId="49" fontId="50" fillId="0" borderId="14" applyAlignment="1" pivotButton="0" quotePrefix="0" xfId="0">
      <alignment horizontal="left" vertical="center"/>
    </xf>
    <xf numFmtId="49" fontId="50" fillId="0" borderId="15" applyAlignment="1" pivotButton="0" quotePrefix="0" xfId="0">
      <alignment horizontal="left" vertical="center"/>
    </xf>
    <xf numFmtId="49" fontId="24" fillId="0" borderId="18" applyAlignment="1" pivotButton="0" quotePrefix="0" xfId="0">
      <alignment horizontal="left" vertical="center"/>
    </xf>
    <xf numFmtId="49" fontId="24" fillId="0" borderId="12" applyAlignment="1" pivotButton="0" quotePrefix="0" xfId="0">
      <alignment horizontal="left" vertical="center"/>
    </xf>
    <xf numFmtId="49" fontId="24" fillId="0" borderId="13" applyAlignment="1" pivotButton="0" quotePrefix="0" xfId="0">
      <alignment horizontal="left" vertical="center"/>
    </xf>
    <xf numFmtId="49" fontId="43" fillId="0" borderId="125" applyAlignment="1" pivotButton="0" quotePrefix="0" xfId="0">
      <alignment horizontal="distributed" vertical="center"/>
    </xf>
    <xf numFmtId="49" fontId="43" fillId="0" borderId="126" applyAlignment="1" pivotButton="0" quotePrefix="0" xfId="0">
      <alignment horizontal="distributed" vertical="center"/>
    </xf>
    <xf numFmtId="49" fontId="43" fillId="0" borderId="127" applyAlignment="1" pivotButton="0" quotePrefix="0" xfId="0">
      <alignment horizontal="distributed" vertical="center"/>
    </xf>
    <xf numFmtId="0" fontId="24" fillId="0" borderId="14" applyAlignment="1" pivotButton="0" quotePrefix="0" xfId="0">
      <alignment horizontal="left" vertical="center"/>
    </xf>
    <xf numFmtId="0" fontId="24" fillId="0" borderId="15" applyAlignment="1" pivotButton="0" quotePrefix="0" xfId="0">
      <alignment horizontal="left" vertical="center"/>
    </xf>
    <xf numFmtId="49" fontId="40" fillId="0" borderId="137" applyAlignment="1" pivotButton="0" quotePrefix="0" xfId="0">
      <alignment horizontal="center" vertical="center"/>
    </xf>
    <xf numFmtId="49" fontId="40" fillId="0" borderId="133" applyAlignment="1" pivotButton="0" quotePrefix="0" xfId="0">
      <alignment horizontal="center" vertical="center"/>
    </xf>
    <xf numFmtId="49" fontId="20" fillId="0" borderId="0" applyAlignment="1" pivotButton="0" quotePrefix="0" xfId="0">
      <alignment horizontal="center" vertical="center"/>
    </xf>
    <xf numFmtId="49" fontId="21" fillId="0" borderId="146" applyAlignment="1" pivotButton="0" quotePrefix="0" xfId="0">
      <alignment vertical="center"/>
    </xf>
    <xf numFmtId="49" fontId="21" fillId="0" borderId="145" applyAlignment="1" pivotButton="0" quotePrefix="0" xfId="0">
      <alignment vertical="center"/>
    </xf>
    <xf numFmtId="49" fontId="40" fillId="0" borderId="145" applyAlignment="1" pivotButton="0" quotePrefix="0" xfId="0">
      <alignment horizontal="center" vertical="center"/>
    </xf>
    <xf numFmtId="49" fontId="40" fillId="0" borderId="145" applyAlignment="1" pivotButton="0" quotePrefix="0" xfId="0">
      <alignment horizontal="distributed" vertical="center"/>
    </xf>
    <xf numFmtId="49" fontId="40" fillId="0" borderId="30" applyAlignment="1" pivotButton="0" quotePrefix="0" xfId="0">
      <alignment horizontal="center" vertical="center"/>
    </xf>
    <xf numFmtId="49" fontId="20" fillId="0" borderId="150" applyAlignment="1" pivotButton="0" quotePrefix="0" xfId="0">
      <alignment horizontal="right" vertical="center"/>
    </xf>
    <xf numFmtId="49" fontId="20" fillId="0" borderId="30" applyAlignment="1" pivotButton="0" quotePrefix="0" xfId="0">
      <alignment horizontal="right" vertical="center"/>
    </xf>
    <xf numFmtId="49" fontId="20" fillId="0" borderId="130" applyAlignment="1" pivotButton="0" quotePrefix="0" xfId="0">
      <alignment horizontal="right" vertical="center"/>
    </xf>
    <xf numFmtId="49" fontId="20" fillId="0" borderId="134" applyAlignment="1" pivotButton="0" quotePrefix="0" xfId="0">
      <alignment horizontal="right" vertical="center"/>
    </xf>
    <xf numFmtId="49" fontId="40" fillId="0" borderId="138" applyAlignment="1" pivotButton="0" quotePrefix="0" xfId="0">
      <alignment vertical="center"/>
    </xf>
    <xf numFmtId="49" fontId="40" fillId="0" borderId="12" applyAlignment="1" pivotButton="0" quotePrefix="0" xfId="0">
      <alignment vertical="center"/>
    </xf>
    <xf numFmtId="49" fontId="40" fillId="0" borderId="136" applyAlignment="1" pivotButton="0" quotePrefix="0" xfId="0">
      <alignment horizontal="center" vertical="center"/>
    </xf>
    <xf numFmtId="49" fontId="40" fillId="0" borderId="132" applyAlignment="1" pivotButton="0" quotePrefix="0" xfId="0">
      <alignment horizontal="center" vertical="center"/>
    </xf>
    <xf numFmtId="49" fontId="40" fillId="0" borderId="81" applyAlignment="1" pivotButton="0" quotePrefix="0" xfId="0">
      <alignment horizontal="right" vertical="center" textRotation="255"/>
    </xf>
    <xf numFmtId="49" fontId="40" fillId="0" borderId="84" applyAlignment="1" pivotButton="0" quotePrefix="0" xfId="0">
      <alignment horizontal="right" vertical="center" textRotation="255"/>
    </xf>
    <xf numFmtId="49" fontId="40" fillId="0" borderId="87" applyAlignment="1" pivotButton="0" quotePrefix="0" xfId="0">
      <alignment horizontal="right" vertical="center" textRotation="255"/>
    </xf>
    <xf numFmtId="49" fontId="40" fillId="0" borderId="30" applyAlignment="1" pivotButton="0" quotePrefix="0" xfId="0">
      <alignment vertical="center"/>
    </xf>
    <xf numFmtId="168" fontId="21" fillId="0" borderId="78" applyAlignment="1" pivotButton="0" quotePrefix="0" xfId="0">
      <alignment horizontal="center" vertical="center"/>
    </xf>
    <xf numFmtId="168" fontId="21" fillId="0" borderId="79" applyAlignment="1" pivotButton="0" quotePrefix="0" xfId="0">
      <alignment horizontal="center" vertical="center"/>
    </xf>
    <xf numFmtId="49" fontId="20" fillId="24" borderId="16" applyAlignment="1" pivotButton="0" quotePrefix="0" xfId="0">
      <alignment horizontal="center" vertical="center"/>
    </xf>
    <xf numFmtId="49" fontId="20" fillId="24" borderId="14" applyAlignment="1" pivotButton="0" quotePrefix="0" xfId="0">
      <alignment horizontal="center" vertical="center"/>
    </xf>
    <xf numFmtId="49" fontId="20" fillId="24" borderId="15" applyAlignment="1" pivotButton="0" quotePrefix="0" xfId="0">
      <alignment horizontal="center" vertical="center"/>
    </xf>
    <xf numFmtId="49" fontId="43" fillId="0" borderId="79" applyAlignment="1" pivotButton="0" quotePrefix="0" xfId="0">
      <alignment horizontal="center" vertical="center"/>
    </xf>
    <xf numFmtId="49" fontId="43" fillId="0" borderId="80" applyAlignment="1" pivotButton="0" quotePrefix="0" xfId="0">
      <alignment horizontal="center" vertical="center"/>
    </xf>
    <xf numFmtId="168" fontId="21" fillId="0" borderId="80" applyAlignment="1" pivotButton="0" quotePrefix="0" xfId="0">
      <alignment horizontal="center" vertical="center"/>
    </xf>
    <xf numFmtId="169" fontId="21" fillId="0" borderId="16" applyAlignment="1" pivotButton="0" quotePrefix="0" xfId="0">
      <alignment horizontal="center" vertical="center"/>
    </xf>
    <xf numFmtId="169" fontId="21" fillId="0" borderId="14" applyAlignment="1" pivotButton="0" quotePrefix="0" xfId="0">
      <alignment horizontal="center" vertical="center"/>
    </xf>
    <xf numFmtId="169" fontId="21" fillId="0" borderId="23" applyAlignment="1" pivotButton="0" quotePrefix="0" xfId="0">
      <alignment horizontal="center" vertical="center"/>
    </xf>
    <xf numFmtId="49" fontId="51" fillId="0" borderId="0" applyAlignment="1" pivotButton="0" quotePrefix="0" xfId="0">
      <alignment horizontal="distributed" vertical="center" wrapText="1"/>
    </xf>
    <xf numFmtId="49" fontId="51" fillId="0" borderId="21" applyAlignment="1" pivotButton="0" quotePrefix="0" xfId="0">
      <alignment horizontal="distributed" vertical="center" wrapText="1"/>
    </xf>
    <xf numFmtId="49" fontId="52" fillId="0" borderId="12" applyAlignment="1" pivotButton="0" quotePrefix="0" xfId="0">
      <alignment horizontal="distributed" vertical="center" wrapText="1"/>
    </xf>
    <xf numFmtId="49" fontId="40" fillId="0" borderId="135" applyAlignment="1" pivotButton="0" quotePrefix="0" xfId="0">
      <alignment horizontal="center" vertical="center"/>
    </xf>
    <xf numFmtId="49" fontId="40" fillId="0" borderId="131" applyAlignment="1" pivotButton="0" quotePrefix="0" xfId="0">
      <alignment horizontal="center" vertical="center"/>
    </xf>
    <xf numFmtId="49" fontId="44" fillId="0" borderId="16" applyAlignment="1" pivotButton="0" quotePrefix="0" xfId="0">
      <alignment horizontal="center" vertical="center" wrapText="1" shrinkToFit="1"/>
    </xf>
    <xf numFmtId="49" fontId="44" fillId="0" borderId="14" applyAlignment="1" pivotButton="0" quotePrefix="0" xfId="0">
      <alignment horizontal="center" vertical="center" wrapText="1" shrinkToFit="1"/>
    </xf>
    <xf numFmtId="49" fontId="44" fillId="0" borderId="23" applyAlignment="1" pivotButton="0" quotePrefix="0" xfId="0">
      <alignment horizontal="center" vertical="center" wrapText="1" shrinkToFit="1"/>
    </xf>
    <xf numFmtId="49" fontId="43" fillId="0" borderId="78" applyAlignment="1" pivotButton="0" quotePrefix="0" xfId="0">
      <alignment horizontal="center" vertical="center"/>
    </xf>
    <xf numFmtId="49" fontId="40" fillId="0" borderId="45" applyAlignment="1" pivotButton="0" quotePrefix="0" xfId="0">
      <alignment horizontal="distributed" vertical="center"/>
    </xf>
    <xf numFmtId="49" fontId="40" fillId="0" borderId="35" applyAlignment="1" pivotButton="0" quotePrefix="0" xfId="0">
      <alignment horizontal="center" vertical="center" textRotation="255"/>
    </xf>
    <xf numFmtId="49" fontId="40" fillId="0" borderId="33" applyAlignment="1" pivotButton="0" quotePrefix="0" xfId="0">
      <alignment horizontal="center" vertical="center" textRotation="255"/>
    </xf>
    <xf numFmtId="49" fontId="40" fillId="0" borderId="34" applyAlignment="1" pivotButton="0" quotePrefix="0" xfId="0">
      <alignment horizontal="center" vertical="center" textRotation="255"/>
    </xf>
    <xf numFmtId="49" fontId="23" fillId="0" borderId="12" applyAlignment="1" pivotButton="0" quotePrefix="0" xfId="0">
      <alignment horizontal="center" vertical="center"/>
    </xf>
    <xf numFmtId="49" fontId="40" fillId="0" borderId="42" applyAlignment="1" pivotButton="0" quotePrefix="0" xfId="0">
      <alignment horizontal="center" vertical="center" textRotation="255" wrapText="1"/>
    </xf>
    <xf numFmtId="49" fontId="43" fillId="0" borderId="16" applyAlignment="1" pivotButton="0" quotePrefix="0" xfId="0">
      <alignment horizontal="distributed" vertical="center"/>
    </xf>
    <xf numFmtId="49" fontId="21" fillId="0" borderId="152" applyAlignment="1" pivotButton="0" quotePrefix="0" xfId="0">
      <alignment horizontal="center" vertical="center"/>
    </xf>
    <xf numFmtId="49" fontId="21" fillId="0" borderId="0" applyAlignment="1" pivotButton="0" quotePrefix="0" xfId="0">
      <alignment horizontal="center" vertical="center"/>
    </xf>
    <xf numFmtId="49" fontId="21" fillId="0" borderId="143" applyAlignment="1" pivotButton="0" quotePrefix="0" xfId="0">
      <alignment horizontal="center" vertical="center"/>
    </xf>
    <xf numFmtId="49" fontId="21" fillId="0" borderId="142" applyAlignment="1" pivotButton="0" quotePrefix="0" xfId="0">
      <alignment horizontal="center" vertical="center"/>
    </xf>
    <xf numFmtId="49" fontId="21" fillId="0" borderId="112" applyAlignment="1" pivotButton="0" quotePrefix="0" xfId="0">
      <alignment horizontal="center" vertical="center"/>
    </xf>
    <xf numFmtId="49" fontId="40" fillId="0" borderId="152" applyAlignment="1" pivotButton="0" quotePrefix="0" xfId="0">
      <alignment horizontal="distributed" vertical="center"/>
    </xf>
    <xf numFmtId="49" fontId="40" fillId="0" borderId="143" applyAlignment="1" pivotButton="0" quotePrefix="0" xfId="0">
      <alignment horizontal="distributed" vertical="center"/>
    </xf>
    <xf numFmtId="49" fontId="40" fillId="0" borderId="29" applyAlignment="1" pivotButton="0" quotePrefix="0" xfId="0">
      <alignment horizontal="distributed" vertical="center"/>
    </xf>
    <xf numFmtId="49" fontId="40" fillId="0" borderId="30" applyAlignment="1" pivotButton="0" quotePrefix="0" xfId="0">
      <alignment horizontal="distributed" vertical="center"/>
    </xf>
    <xf numFmtId="49" fontId="40" fillId="0" borderId="151" applyAlignment="1" pivotButton="0" quotePrefix="0" xfId="0">
      <alignment horizontal="distributed" vertical="center"/>
    </xf>
    <xf numFmtId="49" fontId="44" fillId="0" borderId="158" applyAlignment="1" pivotButton="0" quotePrefix="0" xfId="0">
      <alignment horizontal="left" vertical="center" wrapText="1"/>
    </xf>
    <xf numFmtId="49" fontId="44" fillId="0" borderId="157" applyAlignment="1" pivotButton="0" quotePrefix="0" xfId="0">
      <alignment horizontal="left" vertical="center" wrapText="1"/>
    </xf>
    <xf numFmtId="49" fontId="44" fillId="0" borderId="156" applyAlignment="1" pivotButton="0" quotePrefix="0" xfId="0">
      <alignment horizontal="left" vertical="center" wrapText="1"/>
    </xf>
    <xf numFmtId="49" fontId="44" fillId="0" borderId="155" applyAlignment="1" pivotButton="0" quotePrefix="0" xfId="0">
      <alignment horizontal="left" vertical="center" wrapText="1"/>
    </xf>
    <xf numFmtId="49" fontId="44" fillId="0" borderId="154" applyAlignment="1" pivotButton="0" quotePrefix="0" xfId="0">
      <alignment horizontal="left" vertical="center" wrapText="1"/>
    </xf>
    <xf numFmtId="49" fontId="44" fillId="0" borderId="153" applyAlignment="1" pivotButton="0" quotePrefix="0" xfId="0">
      <alignment horizontal="left" vertical="center" wrapText="1"/>
    </xf>
    <xf numFmtId="49" fontId="40" fillId="0" borderId="91" applyAlignment="1" pivotButton="0" quotePrefix="0" xfId="0">
      <alignment horizontal="center" vertical="center" wrapText="1"/>
    </xf>
    <xf numFmtId="49" fontId="40" fillId="0" borderId="92" applyAlignment="1" pivotButton="0" quotePrefix="0" xfId="0">
      <alignment horizontal="center" vertical="center" wrapText="1"/>
    </xf>
    <xf numFmtId="49" fontId="43" fillId="0" borderId="12" applyAlignment="1" pivotButton="0" quotePrefix="0" xfId="0">
      <alignment horizontal="distributed" vertical="center"/>
    </xf>
    <xf numFmtId="49" fontId="20" fillId="0" borderId="16" applyAlignment="1" pivotButton="0" quotePrefix="0" xfId="0">
      <alignment horizontal="center" vertical="center"/>
    </xf>
    <xf numFmtId="49" fontId="20" fillId="0" borderId="14" applyAlignment="1" pivotButton="0" quotePrefix="0" xfId="0">
      <alignment horizontal="center" vertical="center"/>
    </xf>
    <xf numFmtId="49" fontId="40" fillId="0" borderId="148" applyAlignment="1" pivotButton="0" quotePrefix="0" xfId="0">
      <alignment horizontal="distributed" vertical="center"/>
    </xf>
    <xf numFmtId="49" fontId="40" fillId="0" borderId="147" applyAlignment="1" pivotButton="0" quotePrefix="0" xfId="0">
      <alignment horizontal="distributed" vertical="center"/>
    </xf>
    <xf numFmtId="49" fontId="43" fillId="0" borderId="148" applyAlignment="1" pivotButton="0" quotePrefix="0" xfId="0">
      <alignment horizontal="distributed" vertical="center"/>
    </xf>
    <xf numFmtId="49" fontId="43" fillId="0" borderId="145" applyAlignment="1" pivotButton="0" quotePrefix="0" xfId="0">
      <alignment horizontal="distributed" vertical="center"/>
    </xf>
    <xf numFmtId="49" fontId="43" fillId="0" borderId="147" applyAlignment="1" pivotButton="0" quotePrefix="0" xfId="0">
      <alignment horizontal="distributed" vertical="center"/>
    </xf>
    <xf numFmtId="49" fontId="43" fillId="0" borderId="27" applyAlignment="1" pivotButton="0" quotePrefix="0" xfId="0">
      <alignment horizontal="distributed" vertical="center"/>
    </xf>
    <xf numFmtId="49" fontId="43" fillId="0" borderId="143" applyAlignment="1" pivotButton="0" quotePrefix="0" xfId="0">
      <alignment horizontal="distributed" vertical="center"/>
    </xf>
    <xf numFmtId="49" fontId="43" fillId="0" borderId="20" applyAlignment="1" pivotButton="0" quotePrefix="0" xfId="0">
      <alignment horizontal="distributed" vertical="center"/>
    </xf>
    <xf numFmtId="49" fontId="43" fillId="0" borderId="21" applyAlignment="1" pivotButton="0" quotePrefix="0" xfId="0">
      <alignment horizontal="distributed" vertical="center"/>
    </xf>
    <xf numFmtId="49" fontId="43" fillId="0" borderId="142" applyAlignment="1" pivotButton="0" quotePrefix="0" xfId="0">
      <alignment horizontal="distributed" vertical="center"/>
    </xf>
    <xf numFmtId="49" fontId="21" fillId="0" borderId="27" applyAlignment="1" pivotButton="0" quotePrefix="0" xfId="0">
      <alignment horizontal="right" vertical="center"/>
    </xf>
    <xf numFmtId="49" fontId="39" fillId="0" borderId="27" applyAlignment="1" pivotButton="0" quotePrefix="0" xfId="0">
      <alignment vertical="center"/>
    </xf>
    <xf numFmtId="49" fontId="39" fillId="0" borderId="0" applyAlignment="1" pivotButton="0" quotePrefix="0" xfId="0">
      <alignment vertical="center"/>
    </xf>
    <xf numFmtId="49" fontId="39" fillId="0" borderId="48" applyAlignment="1" pivotButton="0" quotePrefix="0" xfId="0">
      <alignment vertical="center"/>
    </xf>
    <xf numFmtId="49" fontId="39" fillId="0" borderId="18" applyAlignment="1" pivotButton="0" quotePrefix="0" xfId="0">
      <alignment vertical="center"/>
    </xf>
    <xf numFmtId="49" fontId="39" fillId="0" borderId="12" applyAlignment="1" pivotButton="0" quotePrefix="0" xfId="0">
      <alignment vertical="center"/>
    </xf>
    <xf numFmtId="49" fontId="39" fillId="0" borderId="13" applyAlignment="1" pivotButton="0" quotePrefix="0" xfId="0">
      <alignment vertical="center"/>
    </xf>
    <xf numFmtId="49" fontId="21" fillId="0" borderId="37" applyAlignment="1" pivotButton="0" quotePrefix="0" xfId="0">
      <alignment horizontal="center" vertical="center"/>
    </xf>
    <xf numFmtId="49" fontId="21" fillId="0" borderId="24" applyAlignment="1" pivotButton="0" quotePrefix="0" xfId="0">
      <alignment horizontal="center" vertical="center"/>
    </xf>
    <xf numFmtId="49" fontId="21" fillId="0" borderId="25" applyAlignment="1" pivotButton="0" quotePrefix="0" xfId="0">
      <alignment horizontal="center" vertical="center"/>
    </xf>
    <xf numFmtId="49" fontId="21" fillId="0" borderId="124" applyAlignment="1" pivotButton="0" quotePrefix="0" xfId="0">
      <alignment horizontal="center" vertical="center"/>
    </xf>
    <xf numFmtId="49" fontId="39" fillId="0" borderId="0" applyAlignment="1" pivotButton="0" quotePrefix="0" xfId="0">
      <alignment horizontal="left" vertical="center"/>
    </xf>
    <xf numFmtId="49" fontId="39" fillId="0" borderId="48" applyAlignment="1" pivotButton="0" quotePrefix="0" xfId="0">
      <alignment horizontal="left" vertical="center"/>
    </xf>
    <xf numFmtId="49" fontId="40" fillId="0" borderId="129" applyAlignment="1" pivotButton="0" quotePrefix="0" xfId="0">
      <alignment horizontal="center" vertical="center"/>
    </xf>
    <xf numFmtId="49" fontId="40" fillId="0" borderId="129" applyAlignment="1" pivotButton="0" quotePrefix="0" xfId="0">
      <alignment horizontal="center" vertical="center" wrapText="1"/>
    </xf>
    <xf numFmtId="0" fontId="39" fillId="0" borderId="129" applyAlignment="1" pivotButton="0" quotePrefix="0" xfId="0">
      <alignment horizontal="center" vertical="center" wrapText="1"/>
    </xf>
    <xf numFmtId="0" fontId="39" fillId="0" borderId="128" applyAlignment="1" pivotButton="0" quotePrefix="0" xfId="0">
      <alignment horizontal="center" vertical="center" wrapText="1"/>
    </xf>
    <xf numFmtId="49" fontId="40" fillId="0" borderId="81" applyAlignment="1" pivotButton="0" quotePrefix="0" xfId="0">
      <alignment horizontal="left" vertical="center" textRotation="255"/>
    </xf>
    <xf numFmtId="49" fontId="40" fillId="0" borderId="84" applyAlignment="1" pivotButton="0" quotePrefix="0" xfId="0">
      <alignment horizontal="left" vertical="center" textRotation="255"/>
    </xf>
    <xf numFmtId="49" fontId="40" fillId="0" borderId="87" applyAlignment="1" pivotButton="0" quotePrefix="0" xfId="0">
      <alignment horizontal="left" vertical="center" textRotation="255"/>
    </xf>
    <xf numFmtId="49" fontId="21" fillId="0" borderId="138" applyAlignment="1" pivotButton="0" quotePrefix="0" xfId="0">
      <alignment horizontal="left" vertical="center" wrapText="1"/>
    </xf>
    <xf numFmtId="49" fontId="21" fillId="0" borderId="134" applyAlignment="1" pivotButton="0" quotePrefix="0" xfId="0">
      <alignment horizontal="left" vertical="center" wrapText="1"/>
    </xf>
    <xf numFmtId="49" fontId="21" fillId="0" borderId="0" applyAlignment="1" pivotButton="0" quotePrefix="0" xfId="0">
      <alignment horizontal="left" vertical="center" wrapText="1"/>
    </xf>
    <xf numFmtId="49" fontId="21" fillId="0" borderId="48" applyAlignment="1" pivotButton="0" quotePrefix="0" xfId="0">
      <alignment horizontal="left" vertical="center" wrapText="1"/>
    </xf>
    <xf numFmtId="49" fontId="21" fillId="0" borderId="130" applyAlignment="1" pivotButton="0" quotePrefix="0" xfId="0">
      <alignment horizontal="left" vertical="center" wrapText="1"/>
    </xf>
    <xf numFmtId="49" fontId="40" fillId="0" borderId="145" applyAlignment="1" pivotButton="0" quotePrefix="0" xfId="0">
      <alignment vertical="center"/>
    </xf>
    <xf numFmtId="49" fontId="22" fillId="0" borderId="18" applyAlignment="1" pivotButton="0" quotePrefix="0" xfId="0">
      <alignment horizontal="left" vertical="center" wrapText="1"/>
    </xf>
    <xf numFmtId="49" fontId="22" fillId="0" borderId="12" applyAlignment="1" pivotButton="0" quotePrefix="0" xfId="0">
      <alignment horizontal="left" vertical="center" wrapText="1"/>
    </xf>
    <xf numFmtId="49" fontId="22" fillId="0" borderId="13" applyAlignment="1" pivotButton="0" quotePrefix="0" xfId="0">
      <alignment horizontal="left" vertical="center" wrapText="1"/>
    </xf>
    <xf numFmtId="49" fontId="22" fillId="0" borderId="20" applyAlignment="1" pivotButton="0" quotePrefix="0" xfId="0">
      <alignment horizontal="left" vertical="center" wrapText="1"/>
    </xf>
    <xf numFmtId="49" fontId="22" fillId="0" borderId="49" applyAlignment="1" pivotButton="0" quotePrefix="0" xfId="0">
      <alignment horizontal="left" vertical="center" wrapText="1"/>
    </xf>
    <xf numFmtId="49" fontId="40" fillId="0" borderId="21" applyAlignment="1" pivotButton="0" quotePrefix="0" xfId="0">
      <alignment vertical="center"/>
    </xf>
    <xf numFmtId="49" fontId="21" fillId="0" borderId="16" applyAlignment="1" pivotButton="0" quotePrefix="0" xfId="0">
      <alignment horizontal="left" vertical="center" wrapText="1"/>
    </xf>
    <xf numFmtId="49" fontId="21" fillId="0" borderId="14" applyAlignment="1" pivotButton="0" quotePrefix="0" xfId="0">
      <alignment horizontal="left" vertical="center" wrapText="1"/>
    </xf>
    <xf numFmtId="49" fontId="21" fillId="0" borderId="23" applyAlignment="1" pivotButton="0" quotePrefix="0" xfId="0">
      <alignment horizontal="left" vertical="center" wrapText="1"/>
    </xf>
    <xf numFmtId="49" fontId="48" fillId="0" borderId="18" applyAlignment="1" pivotButton="0" quotePrefix="0" xfId="0">
      <alignment horizontal="left" vertical="center" wrapText="1"/>
    </xf>
    <xf numFmtId="49" fontId="48" fillId="0" borderId="12" applyAlignment="1" pivotButton="0" quotePrefix="0" xfId="0">
      <alignment horizontal="left" vertical="center" wrapText="1"/>
    </xf>
    <xf numFmtId="49" fontId="48" fillId="0" borderId="13" applyAlignment="1" pivotButton="0" quotePrefix="0" xfId="0">
      <alignment horizontal="left" vertical="center" wrapText="1"/>
    </xf>
    <xf numFmtId="49" fontId="48" fillId="0" borderId="20" applyAlignment="1" pivotButton="0" quotePrefix="0" xfId="0">
      <alignment horizontal="left" vertical="center" wrapText="1"/>
    </xf>
    <xf numFmtId="49" fontId="48" fillId="0" borderId="21" applyAlignment="1" pivotButton="0" quotePrefix="0" xfId="0">
      <alignment horizontal="left" vertical="center" wrapText="1"/>
    </xf>
    <xf numFmtId="49" fontId="48" fillId="0" borderId="49" applyAlignment="1" pivotButton="0" quotePrefix="0" xfId="0">
      <alignment horizontal="left" vertical="center" wrapText="1"/>
    </xf>
    <xf numFmtId="49" fontId="54" fillId="0" borderId="24" applyAlignment="1" pivotButton="0" quotePrefix="0" xfId="0">
      <alignment horizontal="center" vertical="center"/>
    </xf>
    <xf numFmtId="49" fontId="54" fillId="0" borderId="25" applyAlignment="1" pivotButton="0" quotePrefix="0" xfId="0">
      <alignment horizontal="center" vertical="center"/>
    </xf>
    <xf numFmtId="49" fontId="54" fillId="0" borderId="124" applyAlignment="1" pivotButton="0" quotePrefix="0" xfId="0">
      <alignment horizontal="center" vertical="center"/>
    </xf>
    <xf numFmtId="49" fontId="55" fillId="0" borderId="136" applyAlignment="1" pivotButton="0" quotePrefix="0" xfId="0">
      <alignment horizontal="center" vertical="center"/>
    </xf>
    <xf numFmtId="49" fontId="55" fillId="0" borderId="132" applyAlignment="1" pivotButton="0" quotePrefix="0" xfId="0">
      <alignment horizontal="center" vertical="center"/>
    </xf>
    <xf numFmtId="49" fontId="24" fillId="0" borderId="152" applyAlignment="1" pivotButton="0" quotePrefix="0" xfId="0">
      <alignment horizontal="center" vertical="center"/>
    </xf>
    <xf numFmtId="49" fontId="24" fillId="0" borderId="143" applyAlignment="1" pivotButton="0" quotePrefix="0" xfId="0">
      <alignment horizontal="center" vertical="center"/>
    </xf>
    <xf numFmtId="49" fontId="24" fillId="0" borderId="142" applyAlignment="1" pivotButton="0" quotePrefix="0" xfId="0">
      <alignment horizontal="center" vertical="center"/>
    </xf>
    <xf numFmtId="49" fontId="54" fillId="0" borderId="37" applyAlignment="1" pivotButton="0" quotePrefix="0" xfId="0">
      <alignment horizontal="center" vertical="center"/>
    </xf>
    <xf numFmtId="49" fontId="24" fillId="0" borderId="27" applyAlignment="1" pivotButton="0" quotePrefix="0" xfId="0">
      <alignment horizontal="right" vertical="center"/>
    </xf>
    <xf numFmtId="49" fontId="24" fillId="0" borderId="0" applyAlignment="1" pivotButton="0" quotePrefix="0" xfId="0">
      <alignment horizontal="right" vertical="center"/>
    </xf>
    <xf numFmtId="49" fontId="24" fillId="0" borderId="138" applyAlignment="1" pivotButton="0" quotePrefix="0" xfId="0">
      <alignment horizontal="left" vertical="center" wrapText="1"/>
    </xf>
    <xf numFmtId="49" fontId="24" fillId="0" borderId="12" applyAlignment="1" pivotButton="0" quotePrefix="0" xfId="0">
      <alignment horizontal="left" vertical="center" wrapText="1"/>
    </xf>
    <xf numFmtId="49" fontId="24" fillId="0" borderId="13" applyAlignment="1" pivotButton="0" quotePrefix="0" xfId="0">
      <alignment horizontal="left" vertical="center" wrapText="1"/>
    </xf>
    <xf numFmtId="49" fontId="24" fillId="0" borderId="134" applyAlignment="1" pivotButton="0" quotePrefix="0" xfId="0">
      <alignment horizontal="left" vertical="center" wrapText="1"/>
    </xf>
    <xf numFmtId="49" fontId="24" fillId="0" borderId="0" applyAlignment="1" pivotButton="0" quotePrefix="0" xfId="0">
      <alignment horizontal="left" vertical="center" wrapText="1"/>
    </xf>
    <xf numFmtId="49" fontId="24" fillId="0" borderId="48" applyAlignment="1" pivotButton="0" quotePrefix="0" xfId="0">
      <alignment horizontal="left" vertical="center" wrapText="1"/>
    </xf>
    <xf numFmtId="49" fontId="24" fillId="0" borderId="130" applyAlignment="1" pivotButton="0" quotePrefix="0" xfId="0">
      <alignment horizontal="left" vertical="center" wrapText="1"/>
    </xf>
    <xf numFmtId="49" fontId="24" fillId="0" borderId="21" applyAlignment="1" pivotButton="0" quotePrefix="0" xfId="0">
      <alignment horizontal="left" vertical="center" wrapText="1"/>
    </xf>
    <xf numFmtId="49" fontId="24" fillId="0" borderId="49" applyAlignment="1" pivotButton="0" quotePrefix="0" xfId="0">
      <alignment horizontal="left" vertical="center" wrapText="1"/>
    </xf>
    <xf numFmtId="49" fontId="24" fillId="0" borderId="19" applyAlignment="1" pivotButton="0" quotePrefix="0" xfId="0">
      <alignment horizontal="left" vertical="center"/>
    </xf>
    <xf numFmtId="49" fontId="47" fillId="0" borderId="12" applyAlignment="1" pivotButton="0" quotePrefix="0" xfId="0">
      <alignment horizontal="center" vertical="center"/>
    </xf>
    <xf numFmtId="168" fontId="57" fillId="0" borderId="79" applyAlignment="1" pivotButton="0" quotePrefix="0" xfId="0">
      <alignment horizontal="center" vertical="center"/>
    </xf>
    <xf numFmtId="168" fontId="57" fillId="0" borderId="80" applyAlignment="1" pivotButton="0" quotePrefix="0" xfId="0">
      <alignment horizontal="center" vertical="center"/>
    </xf>
    <xf numFmtId="168" fontId="24" fillId="0" borderId="78" applyAlignment="1" pivotButton="0" quotePrefix="0" xfId="0">
      <alignment horizontal="center" vertical="center"/>
    </xf>
    <xf numFmtId="168" fontId="24" fillId="0" borderId="79" applyAlignment="1" pivotButton="0" quotePrefix="0" xfId="0">
      <alignment horizontal="center" vertical="center"/>
    </xf>
    <xf numFmtId="49" fontId="55" fillId="0" borderId="137" applyAlignment="1" pivotButton="0" quotePrefix="0" xfId="0">
      <alignment horizontal="center" vertical="center"/>
    </xf>
    <xf numFmtId="49" fontId="55" fillId="0" borderId="133" applyAlignment="1" pivotButton="0" quotePrefix="0" xfId="0">
      <alignment horizontal="center" vertical="center"/>
    </xf>
    <xf numFmtId="49" fontId="40" fillId="0" borderId="144" applyAlignment="1" pivotButton="0" quotePrefix="0" xfId="0">
      <alignment vertical="center"/>
    </xf>
    <xf numFmtId="49" fontId="40" fillId="0" borderId="48" applyAlignment="1" pivotButton="0" quotePrefix="0" xfId="0">
      <alignment vertical="center"/>
    </xf>
    <xf numFmtId="49" fontId="40" fillId="0" borderId="149" applyAlignment="1" pivotButton="0" quotePrefix="0" xfId="0">
      <alignment vertical="center"/>
    </xf>
    <xf numFmtId="49" fontId="56" fillId="0" borderId="16" applyAlignment="1" pivotButton="0" quotePrefix="0" xfId="0">
      <alignment horizontal="center" vertical="center"/>
    </xf>
    <xf numFmtId="49" fontId="56" fillId="0" borderId="14" applyAlignment="1" pivotButton="0" quotePrefix="0" xfId="0">
      <alignment horizontal="center" vertical="center"/>
    </xf>
    <xf numFmtId="49" fontId="55" fillId="0" borderId="135" applyAlignment="1" pivotButton="0" quotePrefix="0" xfId="0">
      <alignment horizontal="center" vertical="center"/>
    </xf>
    <xf numFmtId="49" fontId="55" fillId="0" borderId="131" applyAlignment="1" pivotButton="0" quotePrefix="0" xfId="0">
      <alignment horizontal="center" vertical="center"/>
    </xf>
    <xf numFmtId="49" fontId="56" fillId="0" borderId="0" applyAlignment="1" pivotButton="0" quotePrefix="0" xfId="0">
      <alignment horizontal="center" vertical="center"/>
    </xf>
    <xf numFmtId="49" fontId="56" fillId="0" borderId="134" applyAlignment="1" pivotButton="0" quotePrefix="0" xfId="0">
      <alignment horizontal="right" vertical="center"/>
    </xf>
    <xf numFmtId="49" fontId="56" fillId="0" borderId="0" applyAlignment="1" pivotButton="0" quotePrefix="0" xfId="0">
      <alignment horizontal="right" vertical="center"/>
    </xf>
    <xf numFmtId="49" fontId="24" fillId="0" borderId="112" applyAlignment="1" pivotButton="0" quotePrefix="0" xfId="0">
      <alignment horizontal="center" vertical="center"/>
    </xf>
    <xf numFmtId="169" fontId="57" fillId="0" borderId="16" applyAlignment="1" pivotButton="0" quotePrefix="0" xfId="0">
      <alignment horizontal="center" vertical="center"/>
    </xf>
    <xf numFmtId="169" fontId="57" fillId="0" borderId="14" applyAlignment="1" pivotButton="0" quotePrefix="0" xfId="0">
      <alignment horizontal="center" vertical="center"/>
    </xf>
    <xf numFmtId="169" fontId="57" fillId="0" borderId="23" applyAlignment="1" pivotButton="0" quotePrefix="0" xfId="0">
      <alignment horizontal="center" vertical="center"/>
    </xf>
    <xf numFmtId="49" fontId="58" fillId="0" borderId="16" applyAlignment="1" pivotButton="0" quotePrefix="0" xfId="0">
      <alignment horizontal="center" vertical="center" wrapText="1" shrinkToFit="1"/>
    </xf>
    <xf numFmtId="49" fontId="58" fillId="0" borderId="14" applyAlignment="1" pivotButton="0" quotePrefix="0" xfId="0">
      <alignment horizontal="center" vertical="center" wrapText="1" shrinkToFit="1"/>
    </xf>
    <xf numFmtId="49" fontId="58" fillId="0" borderId="23" applyAlignment="1" pivotButton="0" quotePrefix="0" xfId="0">
      <alignment horizontal="center" vertical="center" wrapText="1" shrinkToFit="1"/>
    </xf>
    <xf numFmtId="49" fontId="47" fillId="0" borderId="12" applyAlignment="1" pivotButton="0" quotePrefix="0" xfId="0">
      <alignment horizontal="left" vertical="center"/>
    </xf>
    <xf numFmtId="49" fontId="24" fillId="0" borderId="0" applyAlignment="1" pivotButton="0" quotePrefix="0" xfId="0">
      <alignment horizontal="left" vertical="center"/>
    </xf>
    <xf numFmtId="49" fontId="24" fillId="0" borderId="28" applyAlignment="1" pivotButton="0" quotePrefix="0" xfId="0">
      <alignment horizontal="left" vertical="center"/>
    </xf>
    <xf numFmtId="49" fontId="40" fillId="0" borderId="13" applyAlignment="1" pivotButton="0" quotePrefix="0" xfId="0">
      <alignment vertical="center"/>
    </xf>
    <xf numFmtId="49" fontId="40" fillId="0" borderId="14" applyAlignment="1" pivotButton="0" quotePrefix="0" xfId="0">
      <alignment horizontal="center" vertical="center" wrapText="1"/>
    </xf>
    <xf numFmtId="49" fontId="40" fillId="0" borderId="15" applyAlignment="1" pivotButton="0" quotePrefix="0" xfId="0">
      <alignment horizontal="center" vertical="center" wrapText="1"/>
    </xf>
    <xf numFmtId="49" fontId="40" fillId="0" borderId="49" applyAlignment="1" pivotButton="0" quotePrefix="0" xfId="0">
      <alignment vertical="center"/>
    </xf>
    <xf numFmtId="169" fontId="24" fillId="0" borderId="16" applyAlignment="1" pivotButton="0" quotePrefix="0" xfId="0">
      <alignment horizontal="center" vertical="center"/>
    </xf>
    <xf numFmtId="169" fontId="24" fillId="0" borderId="14" applyAlignment="1" pivotButton="0" quotePrefix="0" xfId="0">
      <alignment horizontal="center" vertical="center"/>
    </xf>
    <xf numFmtId="169" fontId="24" fillId="0" borderId="23" applyAlignment="1" pivotButton="0" quotePrefix="0" xfId="0">
      <alignment horizontal="center" vertical="center"/>
    </xf>
    <xf numFmtId="49" fontId="55" fillId="0" borderId="0" applyAlignment="1" pivotButton="0" quotePrefix="0" xfId="0">
      <alignment horizontal="center" vertical="center"/>
    </xf>
    <xf numFmtId="49" fontId="21" fillId="0" borderId="17" applyAlignment="1" pivotButton="0" quotePrefix="0" xfId="0">
      <alignment horizontal="distributed" vertical="center"/>
    </xf>
    <xf numFmtId="49" fontId="40" fillId="0" borderId="17" applyAlignment="1" pivotButton="0" quotePrefix="0" xfId="0">
      <alignment horizontal="distributed" vertical="center"/>
    </xf>
    <xf numFmtId="49" fontId="40" fillId="0" borderId="17" applyAlignment="1" pivotButton="0" quotePrefix="0" xfId="0">
      <alignment horizontal="left" vertical="center"/>
    </xf>
    <xf numFmtId="49" fontId="20" fillId="0" borderId="12" applyAlignment="1" pivotButton="0" quotePrefix="0" xfId="0">
      <alignment horizontal="left" wrapText="1"/>
    </xf>
    <xf numFmtId="49" fontId="20" fillId="0" borderId="13" applyAlignment="1" pivotButton="0" quotePrefix="0" xfId="0">
      <alignment horizontal="left" wrapText="1"/>
    </xf>
    <xf numFmtId="49" fontId="20" fillId="0" borderId="0" applyAlignment="1" pivotButton="0" quotePrefix="0" xfId="0">
      <alignment horizontal="left" wrapText="1"/>
    </xf>
    <xf numFmtId="49" fontId="20" fillId="0" borderId="48" applyAlignment="1" pivotButton="0" quotePrefix="0" xfId="0">
      <alignment horizontal="left" wrapText="1"/>
    </xf>
    <xf numFmtId="49" fontId="20" fillId="0" borderId="21" applyAlignment="1" pivotButton="0" quotePrefix="0" xfId="0">
      <alignment horizontal="left" wrapText="1"/>
    </xf>
    <xf numFmtId="49" fontId="20" fillId="0" borderId="49" applyAlignment="1" pivotButton="0" quotePrefix="0" xfId="0">
      <alignment horizontal="left" wrapText="1"/>
    </xf>
    <xf numFmtId="49" fontId="20" fillId="0" borderId="0" applyAlignment="1" pivotButton="0" quotePrefix="0" xfId="0">
      <alignment horizontal="left" vertical="center"/>
    </xf>
    <xf numFmtId="49" fontId="21" fillId="0" borderId="27" applyAlignment="1" pivotButton="0" quotePrefix="0" xfId="0">
      <alignment horizontal="left" vertical="center" shrinkToFit="1"/>
    </xf>
    <xf numFmtId="49" fontId="21" fillId="0" borderId="0" applyAlignment="1" pivotButton="0" quotePrefix="0" xfId="0">
      <alignment horizontal="left" vertical="center" shrinkToFit="1"/>
    </xf>
    <xf numFmtId="49" fontId="21" fillId="0" borderId="48" applyAlignment="1" pivotButton="0" quotePrefix="0" xfId="0">
      <alignment horizontal="left" vertical="center" shrinkToFit="1"/>
    </xf>
    <xf numFmtId="49" fontId="51" fillId="0" borderId="100" applyAlignment="1" pivotButton="0" quotePrefix="0" xfId="0">
      <alignment horizontal="center" vertical="center" textRotation="255" wrapText="1"/>
    </xf>
    <xf numFmtId="49" fontId="51" fillId="0" borderId="103" applyAlignment="1" pivotButton="0" quotePrefix="0" xfId="0">
      <alignment horizontal="center" vertical="center" textRotation="255" wrapText="1"/>
    </xf>
    <xf numFmtId="49" fontId="51" fillId="0" borderId="19" applyAlignment="1" pivotButton="0" quotePrefix="0" xfId="0">
      <alignment horizontal="center" vertical="distributed" textRotation="255" wrapText="1"/>
    </xf>
    <xf numFmtId="49" fontId="51" fillId="0" borderId="28" applyAlignment="1" pivotButton="0" quotePrefix="0" xfId="0">
      <alignment horizontal="center" vertical="distributed" textRotation="255" wrapText="1"/>
    </xf>
    <xf numFmtId="49" fontId="44" fillId="0" borderId="0" applyAlignment="1" pivotButton="0" quotePrefix="0" xfId="0">
      <alignment horizontal="distributed" vertical="center" wrapText="1"/>
    </xf>
    <xf numFmtId="49" fontId="40" fillId="0" borderId="160" applyAlignment="1" pivotButton="0" quotePrefix="0" xfId="0">
      <alignment horizontal="center" vertical="center" wrapText="1"/>
    </xf>
    <xf numFmtId="49" fontId="40" fillId="0" borderId="161" applyAlignment="1" pivotButton="0" quotePrefix="0" xfId="0">
      <alignment horizontal="center" vertical="center" wrapText="1"/>
    </xf>
    <xf numFmtId="49" fontId="40" fillId="0" borderId="162" applyAlignment="1" pivotButton="0" quotePrefix="0" xfId="0">
      <alignment horizontal="center" vertical="center" wrapText="1"/>
    </xf>
    <xf numFmtId="49" fontId="40" fillId="0" borderId="164" applyAlignment="1" pivotButton="0" quotePrefix="0" xfId="0">
      <alignment horizontal="center" vertical="center" wrapText="1"/>
    </xf>
    <xf numFmtId="49" fontId="40" fillId="0" borderId="165" applyAlignment="1" pivotButton="0" quotePrefix="0" xfId="0">
      <alignment horizontal="center" vertical="center" wrapText="1"/>
    </xf>
    <xf numFmtId="49" fontId="40" fillId="0" borderId="166" applyAlignment="1" pivotButton="0" quotePrefix="0" xfId="0">
      <alignment horizontal="center" vertical="center" wrapText="1"/>
    </xf>
    <xf numFmtId="49" fontId="43" fillId="0" borderId="27" applyAlignment="1" pivotButton="0" quotePrefix="0" xfId="0">
      <alignment horizontal="distributed" vertical="center" wrapText="1"/>
    </xf>
    <xf numFmtId="49" fontId="43" fillId="0" borderId="0" applyAlignment="1" pivotButton="0" quotePrefix="0" xfId="0">
      <alignment horizontal="distributed" vertical="center" wrapText="1"/>
    </xf>
    <xf numFmtId="49" fontId="43" fillId="0" borderId="28" applyAlignment="1" pivotButton="0" quotePrefix="0" xfId="0">
      <alignment horizontal="distributed" vertical="center" wrapText="1"/>
    </xf>
    <xf numFmtId="49" fontId="51" fillId="0" borderId="27" applyAlignment="1" pivotButton="0" quotePrefix="0" xfId="0">
      <alignment horizontal="center" vertical="center"/>
    </xf>
    <xf numFmtId="49" fontId="51" fillId="0" borderId="0" applyAlignment="1" pivotButton="0" quotePrefix="0" xfId="0">
      <alignment horizontal="center" vertical="center"/>
    </xf>
    <xf numFmtId="49" fontId="51" fillId="0" borderId="28" applyAlignment="1" pivotButton="0" quotePrefix="0" xfId="0">
      <alignment horizontal="center" vertical="center"/>
    </xf>
    <xf numFmtId="49" fontId="44" fillId="0" borderId="0" applyAlignment="1" pivotButton="0" quotePrefix="0" xfId="0">
      <alignment horizontal="distributed" vertical="center" shrinkToFit="1"/>
    </xf>
    <xf numFmtId="49" fontId="43" fillId="0" borderId="18" applyAlignment="1" pivotButton="0" quotePrefix="0" xfId="0">
      <alignment horizontal="distributed" vertical="center" wrapText="1"/>
    </xf>
    <xf numFmtId="49" fontId="43" fillId="0" borderId="12" applyAlignment="1" pivotButton="0" quotePrefix="0" xfId="0">
      <alignment horizontal="distributed" vertical="center" wrapText="1"/>
    </xf>
    <xf numFmtId="49" fontId="43" fillId="0" borderId="20" applyAlignment="1" pivotButton="0" quotePrefix="0" xfId="0">
      <alignment horizontal="distributed" vertical="center" wrapText="1"/>
    </xf>
    <xf numFmtId="49" fontId="43" fillId="0" borderId="21" applyAlignment="1" pivotButton="0" quotePrefix="0" xfId="0">
      <alignment horizontal="distributed" vertical="center" wrapText="1"/>
    </xf>
    <xf numFmtId="49" fontId="43" fillId="0" borderId="19" applyAlignment="1" pivotButton="0" quotePrefix="0" xfId="0">
      <alignment horizontal="distributed" vertical="center" wrapText="1"/>
    </xf>
    <xf numFmtId="49" fontId="43" fillId="0" borderId="22" applyAlignment="1" pivotButton="0" quotePrefix="0" xfId="0">
      <alignment horizontal="distributed" vertical="center" wrapText="1"/>
    </xf>
    <xf numFmtId="49" fontId="23" fillId="0" borderId="27" applyAlignment="1" pivotButton="0" quotePrefix="0" xfId="0">
      <alignment horizontal="left" vertical="center" shrinkToFit="1"/>
    </xf>
    <xf numFmtId="49" fontId="23" fillId="0" borderId="0" applyAlignment="1" pivotButton="0" quotePrefix="0" xfId="0">
      <alignment horizontal="left" vertical="center" shrinkToFit="1"/>
    </xf>
    <xf numFmtId="49" fontId="43" fillId="0" borderId="27" applyAlignment="1" pivotButton="0" quotePrefix="0" xfId="0">
      <alignment horizontal="center" vertical="center" shrinkToFit="1"/>
    </xf>
    <xf numFmtId="49" fontId="43" fillId="0" borderId="0" applyAlignment="1" pivotButton="0" quotePrefix="0" xfId="0">
      <alignment horizontal="center" vertical="center" shrinkToFit="1"/>
    </xf>
    <xf numFmtId="49" fontId="43" fillId="0" borderId="28" applyAlignment="1" pivotButton="0" quotePrefix="0" xfId="0">
      <alignment horizontal="center" vertical="center" shrinkToFit="1"/>
    </xf>
    <xf numFmtId="49" fontId="40" fillId="0" borderId="27" applyAlignment="1" pivotButton="0" quotePrefix="0" xfId="0">
      <alignment horizontal="center" vertical="center" wrapText="1"/>
    </xf>
    <xf numFmtId="49" fontId="40" fillId="0" borderId="0" applyAlignment="1" pivotButton="0" quotePrefix="0" xfId="0">
      <alignment horizontal="center" vertical="center" wrapText="1"/>
    </xf>
    <xf numFmtId="49" fontId="40" fillId="0" borderId="28" applyAlignment="1" pivotButton="0" quotePrefix="0" xfId="0">
      <alignment horizontal="center" vertical="center" wrapText="1"/>
    </xf>
    <xf numFmtId="49" fontId="40" fillId="0" borderId="12" applyAlignment="1" pivotButton="0" quotePrefix="0" xfId="0">
      <alignment horizontal="center" vertical="center" wrapText="1"/>
    </xf>
    <xf numFmtId="49" fontId="43" fillId="0" borderId="168" applyAlignment="1" pivotButton="0" quotePrefix="0" xfId="0">
      <alignment horizontal="center" vertical="center"/>
    </xf>
    <xf numFmtId="167" fontId="21" fillId="0" borderId="78" applyAlignment="1" pivotButton="0" quotePrefix="0" xfId="0">
      <alignment horizontal="center" vertical="center"/>
    </xf>
    <xf numFmtId="167" fontId="21" fillId="0" borderId="79" applyAlignment="1" pivotButton="0" quotePrefix="0" xfId="0">
      <alignment horizontal="center" vertical="center"/>
    </xf>
    <xf numFmtId="167" fontId="21" fillId="0" borderId="80" applyAlignment="1" pivotButton="0" quotePrefix="0" xfId="0">
      <alignment horizontal="center" vertical="center"/>
    </xf>
    <xf numFmtId="49" fontId="43" fillId="0" borderId="12" applyAlignment="1" pivotButton="0" quotePrefix="0" xfId="0">
      <alignment horizontal="center" vertical="center"/>
    </xf>
    <xf numFmtId="49" fontId="43" fillId="0" borderId="13" applyAlignment="1" pivotButton="0" quotePrefix="0" xfId="0">
      <alignment horizontal="center" vertical="center"/>
    </xf>
    <xf numFmtId="167" fontId="21" fillId="0" borderId="168" applyAlignment="1" pivotButton="0" quotePrefix="0" xfId="0">
      <alignment horizontal="center" vertical="center"/>
    </xf>
    <xf numFmtId="164" fontId="23" fillId="0" borderId="16" applyAlignment="1" pivotButton="0" quotePrefix="0" xfId="0">
      <alignment horizontal="center" vertical="center" shrinkToFit="1"/>
    </xf>
    <xf numFmtId="164" fontId="23" fillId="0" borderId="14" applyAlignment="1" pivotButton="0" quotePrefix="0" xfId="0">
      <alignment horizontal="center" vertical="center" shrinkToFit="1"/>
    </xf>
    <xf numFmtId="164" fontId="23" fillId="0" borderId="23" applyAlignment="1" pivotButton="0" quotePrefix="0" xfId="0">
      <alignment horizontal="center" vertical="center" shrinkToFit="1"/>
    </xf>
    <xf numFmtId="164" fontId="23" fillId="0" borderId="15" applyAlignment="1" pivotButton="0" quotePrefix="0" xfId="0">
      <alignment horizontal="center" vertical="center" shrinkToFit="1"/>
    </xf>
    <xf numFmtId="49" fontId="43" fillId="0" borderId="21" applyAlignment="1" pivotButton="0" quotePrefix="0" xfId="0">
      <alignment horizontal="center" vertical="center"/>
    </xf>
    <xf numFmtId="164" fontId="43" fillId="0" borderId="18" applyAlignment="1" pivotButton="0" quotePrefix="0" xfId="0">
      <alignment horizontal="center" vertical="center" wrapText="1" shrinkToFit="1"/>
    </xf>
    <xf numFmtId="164" fontId="43" fillId="0" borderId="12" applyAlignment="1" pivotButton="0" quotePrefix="0" xfId="0">
      <alignment horizontal="center" vertical="center" shrinkToFit="1"/>
    </xf>
    <xf numFmtId="164" fontId="43" fillId="0" borderId="19" applyAlignment="1" pivotButton="0" quotePrefix="0" xfId="0">
      <alignment horizontal="center" vertical="center" shrinkToFit="1"/>
    </xf>
    <xf numFmtId="164" fontId="43" fillId="0" borderId="27" applyAlignment="1" pivotButton="0" quotePrefix="0" xfId="0">
      <alignment horizontal="center" vertical="center" shrinkToFit="1"/>
    </xf>
    <xf numFmtId="164" fontId="43" fillId="0" borderId="0" applyAlignment="1" pivotButton="0" quotePrefix="0" xfId="0">
      <alignment horizontal="center" vertical="center" shrinkToFit="1"/>
    </xf>
    <xf numFmtId="164" fontId="43" fillId="0" borderId="28" applyAlignment="1" pivotButton="0" quotePrefix="0" xfId="0">
      <alignment horizontal="center" vertical="center" shrinkToFit="1"/>
    </xf>
    <xf numFmtId="164" fontId="43" fillId="0" borderId="20" applyAlignment="1" pivotButton="0" quotePrefix="0" xfId="0">
      <alignment horizontal="center" vertical="center" shrinkToFit="1"/>
    </xf>
    <xf numFmtId="164" fontId="43" fillId="0" borderId="21" applyAlignment="1" pivotButton="0" quotePrefix="0" xfId="0">
      <alignment horizontal="center" vertical="center" shrinkToFit="1"/>
    </xf>
    <xf numFmtId="164" fontId="43" fillId="0" borderId="22" applyAlignment="1" pivotButton="0" quotePrefix="0" xfId="0">
      <alignment horizontal="center" vertical="center" shrinkToFit="1"/>
    </xf>
    <xf numFmtId="49" fontId="23" fillId="0" borderId="18" applyAlignment="1" pivotButton="0" quotePrefix="0" xfId="0">
      <alignment horizontal="right" vertical="center" shrinkToFit="1"/>
    </xf>
    <xf numFmtId="49" fontId="23" fillId="0" borderId="12" applyAlignment="1" pivotButton="0" quotePrefix="0" xfId="0">
      <alignment horizontal="right" vertical="center" shrinkToFit="1"/>
    </xf>
    <xf numFmtId="49" fontId="23" fillId="0" borderId="27" applyAlignment="1" pivotButton="0" quotePrefix="0" xfId="0">
      <alignment horizontal="right" vertical="center" shrinkToFit="1"/>
    </xf>
    <xf numFmtId="49" fontId="23" fillId="0" borderId="0" applyAlignment="1" pivotButton="0" quotePrefix="0" xfId="0">
      <alignment horizontal="right" vertical="center" shrinkToFit="1"/>
    </xf>
    <xf numFmtId="49" fontId="23" fillId="0" borderId="20" applyAlignment="1" pivotButton="0" quotePrefix="0" xfId="0">
      <alignment horizontal="right" vertical="center" shrinkToFit="1"/>
    </xf>
    <xf numFmtId="49" fontId="23" fillId="0" borderId="21" applyAlignment="1" pivotButton="0" quotePrefix="0" xfId="0">
      <alignment horizontal="right" vertical="center" shrinkToFit="1"/>
    </xf>
    <xf numFmtId="49" fontId="43" fillId="0" borderId="16" applyAlignment="1" pivotButton="0" quotePrefix="0" xfId="0">
      <alignment horizontal="distributed" vertical="center" wrapText="1"/>
    </xf>
    <xf numFmtId="49" fontId="43" fillId="0" borderId="14" applyAlignment="1" pivotButton="0" quotePrefix="0" xfId="0">
      <alignment horizontal="distributed" vertical="center" wrapText="1"/>
    </xf>
    <xf numFmtId="49" fontId="43" fillId="0" borderId="23" applyAlignment="1" pivotButton="0" quotePrefix="0" xfId="0">
      <alignment horizontal="distributed" vertical="center" wrapText="1"/>
    </xf>
    <xf numFmtId="49" fontId="40" fillId="25" borderId="0" applyAlignment="1" pivotButton="0" quotePrefix="0" xfId="0">
      <alignment horizontal="center" vertical="center"/>
    </xf>
    <xf numFmtId="164" fontId="43" fillId="0" borderId="12" applyAlignment="1" pivotButton="0" quotePrefix="0" xfId="0">
      <alignment horizontal="left" vertical="center" shrinkToFit="1"/>
    </xf>
    <xf numFmtId="164" fontId="43" fillId="0" borderId="13" applyAlignment="1" pivotButton="0" quotePrefix="0" xfId="0">
      <alignment horizontal="left" vertical="center" shrinkToFit="1"/>
    </xf>
    <xf numFmtId="164" fontId="43" fillId="0" borderId="0" applyAlignment="1" pivotButton="0" quotePrefix="0" xfId="0">
      <alignment horizontal="left" vertical="center" shrinkToFit="1"/>
    </xf>
    <xf numFmtId="164" fontId="43" fillId="0" borderId="48" applyAlignment="1" pivotButton="0" quotePrefix="0" xfId="0">
      <alignment horizontal="left" vertical="center" shrinkToFit="1"/>
    </xf>
    <xf numFmtId="164" fontId="43" fillId="0" borderId="21" applyAlignment="1" pivotButton="0" quotePrefix="0" xfId="0">
      <alignment horizontal="left" vertical="center" shrinkToFit="1"/>
    </xf>
    <xf numFmtId="164" fontId="43" fillId="0" borderId="49" applyAlignment="1" pivotButton="0" quotePrefix="0" xfId="0">
      <alignment horizontal="left" vertical="center" shrinkToFit="1"/>
    </xf>
    <xf numFmtId="49" fontId="43" fillId="0" borderId="43" applyAlignment="1" pivotButton="0" quotePrefix="0" xfId="0">
      <alignment horizontal="distributed" vertical="center" wrapText="1" indent="1"/>
    </xf>
    <xf numFmtId="49" fontId="43" fillId="0" borderId="0" applyAlignment="1" pivotButton="0" quotePrefix="0" xfId="0">
      <alignment horizontal="distributed" vertical="center" wrapText="1" indent="1"/>
    </xf>
    <xf numFmtId="49" fontId="43" fillId="0" borderId="28" applyAlignment="1" pivotButton="0" quotePrefix="0" xfId="0">
      <alignment horizontal="distributed" vertical="center" wrapText="1" indent="1"/>
    </xf>
    <xf numFmtId="49" fontId="43" fillId="0" borderId="42" applyAlignment="1" pivotButton="0" quotePrefix="0" xfId="0">
      <alignment horizontal="center" vertical="center" textRotation="255" wrapText="1"/>
    </xf>
    <xf numFmtId="49" fontId="43" fillId="0" borderId="43" applyAlignment="1" pivotButton="0" quotePrefix="0" xfId="0">
      <alignment horizontal="center" vertical="center" textRotation="255" wrapText="1"/>
    </xf>
    <xf numFmtId="49" fontId="43" fillId="0" borderId="12" applyAlignment="1" pivotButton="0" quotePrefix="0" xfId="0">
      <alignment horizontal="center" vertical="center" textRotation="255" wrapText="1"/>
    </xf>
    <xf numFmtId="170" fontId="21" fillId="0" borderId="16" applyAlignment="1" pivotButton="0" quotePrefix="0" xfId="0">
      <alignment horizontal="right" vertical="center" wrapText="1"/>
    </xf>
    <xf numFmtId="170" fontId="21" fillId="0" borderId="14" applyAlignment="1" pivotButton="0" quotePrefix="0" xfId="0">
      <alignment horizontal="right" vertical="center" wrapText="1"/>
    </xf>
    <xf numFmtId="165" fontId="21" fillId="0" borderId="16" applyAlignment="1" pivotButton="0" quotePrefix="0" xfId="0">
      <alignment horizontal="right" vertical="center" wrapText="1"/>
    </xf>
    <xf numFmtId="165" fontId="21" fillId="0" borderId="14" applyAlignment="1" pivotButton="0" quotePrefix="0" xfId="0">
      <alignment horizontal="right" vertical="center" wrapText="1"/>
    </xf>
    <xf numFmtId="171" fontId="21" fillId="0" borderId="16" applyAlignment="1" pivotButton="0" quotePrefix="0" xfId="0">
      <alignment horizontal="right" vertical="center" wrapText="1"/>
    </xf>
    <xf numFmtId="171" fontId="21" fillId="0" borderId="14" applyAlignment="1" pivotButton="0" quotePrefix="0" xfId="0">
      <alignment horizontal="right" vertical="center" wrapText="1"/>
    </xf>
    <xf numFmtId="49" fontId="44" fillId="0" borderId="42" applyAlignment="1" pivotButton="0" quotePrefix="0" xfId="0">
      <alignment horizontal="center" vertical="center"/>
    </xf>
    <xf numFmtId="49" fontId="44" fillId="0" borderId="43" applyAlignment="1" pivotButton="0" quotePrefix="0" xfId="0">
      <alignment horizontal="center" vertical="center"/>
    </xf>
    <xf numFmtId="49" fontId="40" fillId="25" borderId="18" applyAlignment="1" pivotButton="0" quotePrefix="0" xfId="0">
      <alignment horizontal="left" vertical="center"/>
    </xf>
    <xf numFmtId="49" fontId="40" fillId="25" borderId="27" applyAlignment="1" pivotButton="0" quotePrefix="0" xfId="0">
      <alignment horizontal="left" vertical="center"/>
    </xf>
    <xf numFmtId="49" fontId="40" fillId="25" borderId="12" applyAlignment="1" pivotButton="0" quotePrefix="0" xfId="0">
      <alignment horizontal="center" vertical="center"/>
    </xf>
    <xf numFmtId="49" fontId="40" fillId="25" borderId="19" applyAlignment="1" pivotButton="0" quotePrefix="0" xfId="0">
      <alignment horizontal="center" vertical="center"/>
    </xf>
    <xf numFmtId="49" fontId="40" fillId="25" borderId="28" applyAlignment="1" pivotButton="0" quotePrefix="0" xfId="0">
      <alignment horizontal="center" vertical="center"/>
    </xf>
    <xf numFmtId="49" fontId="43" fillId="0" borderId="18" applyAlignment="1" pivotButton="0" quotePrefix="0" xfId="0">
      <alignment horizontal="distributed" vertical="center"/>
    </xf>
    <xf numFmtId="49" fontId="43" fillId="0" borderId="19" applyAlignment="1" pivotButton="0" quotePrefix="0" xfId="0">
      <alignment horizontal="distributed" vertical="center"/>
    </xf>
    <xf numFmtId="49" fontId="43" fillId="0" borderId="28" applyAlignment="1" pivotButton="0" quotePrefix="0" xfId="0">
      <alignment horizontal="distributed" vertical="center"/>
    </xf>
    <xf numFmtId="49" fontId="40" fillId="0" borderId="42" applyAlignment="1" pivotButton="0" quotePrefix="0" xfId="0">
      <alignment horizontal="distributed" vertical="center" wrapText="1"/>
    </xf>
    <xf numFmtId="49" fontId="40" fillId="0" borderId="19" applyAlignment="1" pivotButton="0" quotePrefix="0" xfId="0">
      <alignment horizontal="distributed" vertical="center" wrapText="1"/>
    </xf>
    <xf numFmtId="49" fontId="40" fillId="0" borderId="43" applyAlignment="1" pivotButton="0" quotePrefix="0" xfId="0">
      <alignment horizontal="distributed" vertical="center" wrapText="1"/>
    </xf>
    <xf numFmtId="49" fontId="40" fillId="0" borderId="28" applyAlignment="1" pivotButton="0" quotePrefix="0" xfId="0">
      <alignment horizontal="distributed" vertical="center" wrapText="1"/>
    </xf>
    <xf numFmtId="49" fontId="40" fillId="0" borderId="66" applyAlignment="1" pivotButton="0" quotePrefix="0" xfId="0">
      <alignment horizontal="distributed" vertical="center" wrapText="1"/>
    </xf>
    <xf numFmtId="49" fontId="40" fillId="0" borderId="22" applyAlignment="1" pivotButton="0" quotePrefix="0" xfId="0">
      <alignment horizontal="distributed" vertical="center" wrapText="1"/>
    </xf>
    <xf numFmtId="49" fontId="40" fillId="0" borderId="16" applyAlignment="1" pivotButton="0" quotePrefix="0" xfId="0">
      <alignment horizontal="center" vertical="center" shrinkToFit="1"/>
    </xf>
    <xf numFmtId="49" fontId="40" fillId="0" borderId="14" applyAlignment="1" pivotButton="0" quotePrefix="0" xfId="0">
      <alignment horizontal="center" vertical="center" shrinkToFit="1"/>
    </xf>
    <xf numFmtId="49" fontId="40" fillId="0" borderId="23" applyAlignment="1" pivotButton="0" quotePrefix="0" xfId="0">
      <alignment horizontal="center" vertical="center" shrinkToFit="1"/>
    </xf>
    <xf numFmtId="49" fontId="40" fillId="24" borderId="18" applyAlignment="1" pivotButton="0" quotePrefix="0" xfId="0">
      <alignment horizontal="center" vertical="center" shrinkToFit="1"/>
    </xf>
    <xf numFmtId="49" fontId="40" fillId="24" borderId="12" applyAlignment="1" pivotButton="0" quotePrefix="0" xfId="0">
      <alignment horizontal="center" vertical="center" shrinkToFit="1"/>
    </xf>
    <xf numFmtId="49" fontId="40" fillId="24" borderId="13" applyAlignment="1" pivotButton="0" quotePrefix="0" xfId="0">
      <alignment horizontal="center" vertical="center" shrinkToFit="1"/>
    </xf>
    <xf numFmtId="49" fontId="40" fillId="24" borderId="27" applyAlignment="1" pivotButton="0" quotePrefix="0" xfId="0">
      <alignment horizontal="center" vertical="center" shrinkToFit="1"/>
    </xf>
    <xf numFmtId="49" fontId="40" fillId="24" borderId="0" applyAlignment="1" pivotButton="0" quotePrefix="0" xfId="0">
      <alignment horizontal="center" vertical="center" shrinkToFit="1"/>
    </xf>
    <xf numFmtId="49" fontId="40" fillId="24" borderId="48" applyAlignment="1" pivotButton="0" quotePrefix="0" xfId="0">
      <alignment horizontal="center" vertical="center" shrinkToFit="1"/>
    </xf>
    <xf numFmtId="49" fontId="40" fillId="24" borderId="20" applyAlignment="1" pivotButton="0" quotePrefix="0" xfId="0">
      <alignment horizontal="center" vertical="center" shrinkToFit="1"/>
    </xf>
    <xf numFmtId="49" fontId="40" fillId="24" borderId="21" applyAlignment="1" pivotButton="0" quotePrefix="0" xfId="0">
      <alignment horizontal="center" vertical="center" shrinkToFit="1"/>
    </xf>
    <xf numFmtId="49" fontId="40" fillId="24" borderId="49" applyAlignment="1" pivotButton="0" quotePrefix="0" xfId="0">
      <alignment horizontal="center" vertical="center" shrinkToFit="1"/>
    </xf>
    <xf numFmtId="49" fontId="40" fillId="0" borderId="169" applyAlignment="1" pivotButton="0" quotePrefix="0" xfId="0">
      <alignment horizontal="center" vertical="center" textRotation="255"/>
    </xf>
    <xf numFmtId="49" fontId="40" fillId="0" borderId="65" applyAlignment="1" pivotButton="0" quotePrefix="0" xfId="0">
      <alignment horizontal="distributed" vertical="center"/>
    </xf>
    <xf numFmtId="49" fontId="39" fillId="0" borderId="67" applyAlignment="1" pivotButton="0" quotePrefix="0" xfId="0">
      <alignment horizontal="right" vertical="center" indent="1"/>
    </xf>
    <xf numFmtId="49" fontId="39" fillId="0" borderId="68" applyAlignment="1" pivotButton="0" quotePrefix="0" xfId="0">
      <alignment horizontal="right" vertical="center" indent="1"/>
    </xf>
    <xf numFmtId="49" fontId="43" fillId="0" borderId="67" applyAlignment="1" pivotButton="0" quotePrefix="0" xfId="0">
      <alignment horizontal="distributed" vertical="center"/>
    </xf>
    <xf numFmtId="49" fontId="43" fillId="0" borderId="68" applyAlignment="1" pivotButton="0" quotePrefix="0" xfId="0">
      <alignment horizontal="distributed" vertical="center"/>
    </xf>
    <xf numFmtId="49" fontId="43" fillId="0" borderId="171" applyAlignment="1" pivotButton="0" quotePrefix="0" xfId="0">
      <alignment horizontal="distributed" vertical="center"/>
    </xf>
    <xf numFmtId="49" fontId="38" fillId="0" borderId="64" applyAlignment="1" pivotButton="0" quotePrefix="0" xfId="0">
      <alignment horizontal="left" vertical="center"/>
    </xf>
    <xf numFmtId="49" fontId="38" fillId="0" borderId="65" applyAlignment="1" pivotButton="0" quotePrefix="0" xfId="0">
      <alignment horizontal="left" vertical="center"/>
    </xf>
    <xf numFmtId="49" fontId="21" fillId="0" borderId="172" applyAlignment="1" pivotButton="0" quotePrefix="0" xfId="0">
      <alignment horizontal="distributed" vertical="center"/>
    </xf>
    <xf numFmtId="49" fontId="40" fillId="0" borderId="172" applyAlignment="1" pivotButton="0" quotePrefix="0" xfId="0">
      <alignment horizontal="distributed" vertical="center"/>
    </xf>
    <xf numFmtId="49" fontId="40" fillId="0" borderId="172" applyAlignment="1" pivotButton="0" quotePrefix="0" xfId="0">
      <alignment horizontal="left" vertical="center"/>
    </xf>
    <xf numFmtId="49" fontId="40" fillId="0" borderId="173" applyAlignment="1" pivotButton="0" quotePrefix="0" xfId="0">
      <alignment horizontal="left" vertical="center"/>
    </xf>
    <xf numFmtId="49" fontId="39" fillId="0" borderId="0" applyAlignment="1" pivotButton="0" quotePrefix="0" xfId="0">
      <alignment horizontal="distributed" vertical="center"/>
    </xf>
    <xf numFmtId="49" fontId="44" fillId="0" borderId="42" applyAlignment="1" pivotButton="0" quotePrefix="0" xfId="0">
      <alignment horizontal="center" vertical="center" textRotation="255" wrapText="1"/>
    </xf>
    <xf numFmtId="49" fontId="44" fillId="0" borderId="19" applyAlignment="1" pivotButton="0" quotePrefix="0" xfId="0">
      <alignment horizontal="center" vertical="center" textRotation="255" wrapText="1"/>
    </xf>
    <xf numFmtId="49" fontId="44" fillId="0" borderId="43" applyAlignment="1" pivotButton="0" quotePrefix="0" xfId="0">
      <alignment horizontal="center" vertical="center" textRotation="255" wrapText="1"/>
    </xf>
    <xf numFmtId="49" fontId="44" fillId="0" borderId="28" applyAlignment="1" pivotButton="0" quotePrefix="0" xfId="0">
      <alignment horizontal="center" vertical="center" textRotation="255" wrapText="1"/>
    </xf>
    <xf numFmtId="49" fontId="44" fillId="0" borderId="66" applyAlignment="1" pivotButton="0" quotePrefix="0" xfId="0">
      <alignment horizontal="center" vertical="center" textRotation="255" wrapText="1"/>
    </xf>
    <xf numFmtId="49" fontId="44" fillId="0" borderId="22" applyAlignment="1" pivotButton="0" quotePrefix="0" xfId="0">
      <alignment horizontal="center" vertical="center" textRotation="255" wrapText="1"/>
    </xf>
    <xf numFmtId="49" fontId="51" fillId="0" borderId="158" applyAlignment="1" pivotButton="0" quotePrefix="0" xfId="0">
      <alignment horizontal="left" vertical="center" wrapText="1"/>
    </xf>
    <xf numFmtId="49" fontId="51" fillId="0" borderId="157" applyAlignment="1" pivotButton="0" quotePrefix="0" xfId="0">
      <alignment horizontal="left" vertical="center" wrapText="1"/>
    </xf>
    <xf numFmtId="49" fontId="51" fillId="0" borderId="156" applyAlignment="1" pivotButton="0" quotePrefix="0" xfId="0">
      <alignment horizontal="left" vertical="center" wrapText="1"/>
    </xf>
    <xf numFmtId="49" fontId="51" fillId="0" borderId="155" applyAlignment="1" pivotButton="0" quotePrefix="0" xfId="0">
      <alignment horizontal="left" vertical="center" wrapText="1"/>
    </xf>
    <xf numFmtId="49" fontId="51" fillId="0" borderId="154" applyAlignment="1" pivotButton="0" quotePrefix="0" xfId="0">
      <alignment horizontal="left" vertical="center" wrapText="1"/>
    </xf>
    <xf numFmtId="49" fontId="51" fillId="0" borderId="153" applyAlignment="1" pivotButton="0" quotePrefix="0" xfId="0">
      <alignment horizontal="left" vertical="center" wrapText="1"/>
    </xf>
    <xf numFmtId="49" fontId="43" fillId="0" borderId="15" applyAlignment="1" pivotButton="0" quotePrefix="0" xfId="0">
      <alignment horizontal="center" vertical="center"/>
    </xf>
    <xf numFmtId="49" fontId="43" fillId="0" borderId="112" applyAlignment="1" pivotButton="0" quotePrefix="0" xfId="0">
      <alignment horizontal="center" vertical="center"/>
    </xf>
    <xf numFmtId="49" fontId="43" fillId="0" borderId="113" applyAlignment="1" pivotButton="0" quotePrefix="0" xfId="0">
      <alignment horizontal="center" vertical="center"/>
    </xf>
    <xf numFmtId="167" fontId="21" fillId="0" borderId="16" applyAlignment="1" pivotButton="0" quotePrefix="0" xfId="0">
      <alignment horizontal="center" vertical="center"/>
    </xf>
    <xf numFmtId="167" fontId="21" fillId="0" borderId="14" applyAlignment="1" pivotButton="0" quotePrefix="0" xfId="0">
      <alignment horizontal="center" vertical="center"/>
    </xf>
    <xf numFmtId="167" fontId="21" fillId="0" borderId="112" applyAlignment="1" pivotButton="0" quotePrefix="0" xfId="0">
      <alignment horizontal="center" vertical="center"/>
    </xf>
    <xf numFmtId="167" fontId="21" fillId="0" borderId="113" applyAlignment="1" pivotButton="0" quotePrefix="0" xfId="0">
      <alignment horizontal="center" vertical="center"/>
    </xf>
    <xf numFmtId="167" fontId="21" fillId="0" borderId="23" applyAlignment="1" pivotButton="0" quotePrefix="0" xfId="0">
      <alignment horizontal="center" vertical="center"/>
    </xf>
    <xf numFmtId="167" fontId="21" fillId="0" borderId="15" applyAlignment="1" pivotButton="0" quotePrefix="0" xfId="0">
      <alignment horizontal="center" vertical="center"/>
    </xf>
    <xf numFmtId="164" fontId="23" fillId="0" borderId="18" applyAlignment="1" pivotButton="0" quotePrefix="0" xfId="0">
      <alignment horizontal="center" vertical="center" shrinkToFit="1"/>
    </xf>
    <xf numFmtId="164" fontId="23" fillId="0" borderId="12" applyAlignment="1" pivotButton="0" quotePrefix="0" xfId="0">
      <alignment horizontal="center" vertical="center" shrinkToFit="1"/>
    </xf>
    <xf numFmtId="164" fontId="23" fillId="0" borderId="19" applyAlignment="1" pivotButton="0" quotePrefix="0" xfId="0">
      <alignment horizontal="center" vertical="center" shrinkToFit="1"/>
    </xf>
    <xf numFmtId="164" fontId="23" fillId="0" borderId="13" applyAlignment="1" pivotButton="0" quotePrefix="0" xfId="0">
      <alignment horizontal="center" vertical="center" shrinkToFit="1"/>
    </xf>
    <xf numFmtId="167" fontId="43" fillId="0" borderId="16" applyAlignment="1" pivotButton="0" quotePrefix="0" xfId="0">
      <alignment horizontal="center" vertical="center"/>
    </xf>
    <xf numFmtId="167" fontId="43" fillId="0" borderId="14" applyAlignment="1" pivotButton="0" quotePrefix="0" xfId="0">
      <alignment horizontal="center" vertical="center"/>
    </xf>
    <xf numFmtId="167" fontId="43" fillId="0" borderId="112" applyAlignment="1" pivotButton="0" quotePrefix="0" xfId="0">
      <alignment horizontal="center" vertical="center"/>
    </xf>
    <xf numFmtId="167" fontId="43" fillId="0" borderId="113" applyAlignment="1" pivotButton="0" quotePrefix="0" xfId="0">
      <alignment horizontal="center" vertical="center"/>
    </xf>
    <xf numFmtId="167" fontId="43" fillId="0" borderId="23" applyAlignment="1" pivotButton="0" quotePrefix="0" xfId="0">
      <alignment horizontal="center" vertical="center"/>
    </xf>
    <xf numFmtId="167" fontId="43" fillId="0" borderId="20" applyAlignment="1" pivotButton="0" quotePrefix="0" xfId="0">
      <alignment horizontal="center" vertical="center"/>
    </xf>
    <xf numFmtId="167" fontId="43" fillId="0" borderId="21" applyAlignment="1" pivotButton="0" quotePrefix="0" xfId="0">
      <alignment horizontal="center" vertical="center"/>
    </xf>
    <xf numFmtId="167" fontId="43" fillId="0" borderId="142" applyAlignment="1" pivotButton="0" quotePrefix="0" xfId="0">
      <alignment horizontal="center" vertical="center"/>
    </xf>
    <xf numFmtId="167" fontId="43" fillId="0" borderId="130" applyAlignment="1" pivotButton="0" quotePrefix="0" xfId="0">
      <alignment horizontal="center" vertical="center"/>
    </xf>
    <xf numFmtId="167" fontId="43" fillId="0" borderId="49" applyAlignment="1" pivotButton="0" quotePrefix="0" xfId="0">
      <alignment horizontal="center" vertical="center"/>
    </xf>
    <xf numFmtId="49" fontId="51" fillId="0" borderId="174" applyAlignment="1" pivotButton="0" quotePrefix="0" xfId="0">
      <alignment horizontal="left" vertical="center" wrapText="1"/>
    </xf>
    <xf numFmtId="49" fontId="51" fillId="0" borderId="175" applyAlignment="1" pivotButton="0" quotePrefix="0" xfId="0">
      <alignment horizontal="left" vertical="center" wrapText="1"/>
    </xf>
    <xf numFmtId="49" fontId="51" fillId="0" borderId="176" applyAlignment="1" pivotButton="0" quotePrefix="0" xfId="0">
      <alignment horizontal="left" vertical="center" wrapText="1"/>
    </xf>
    <xf numFmtId="49" fontId="51" fillId="0" borderId="181" applyAlignment="1" pivotButton="0" quotePrefix="0" xfId="0">
      <alignment horizontal="left" vertical="center" wrapText="1"/>
    </xf>
    <xf numFmtId="49" fontId="51" fillId="0" borderId="182" applyAlignment="1" pivotButton="0" quotePrefix="0" xfId="0">
      <alignment horizontal="left" vertical="center" wrapText="1"/>
    </xf>
    <xf numFmtId="49" fontId="51" fillId="0" borderId="183" applyAlignment="1" pivotButton="0" quotePrefix="0" xfId="0">
      <alignment horizontal="left" vertical="center" wrapText="1"/>
    </xf>
    <xf numFmtId="167" fontId="43" fillId="0" borderId="177" applyAlignment="1" pivotButton="0" quotePrefix="0" xfId="0">
      <alignment horizontal="center" vertical="center" shrinkToFit="1"/>
    </xf>
    <xf numFmtId="167" fontId="43" fillId="0" borderId="178" applyAlignment="1" pivotButton="0" quotePrefix="0" xfId="0">
      <alignment horizontal="center" vertical="center" shrinkToFit="1"/>
    </xf>
    <xf numFmtId="167" fontId="43" fillId="0" borderId="179" applyAlignment="1" pivotButton="0" quotePrefix="0" xfId="0">
      <alignment horizontal="center" vertical="center" shrinkToFit="1"/>
    </xf>
    <xf numFmtId="167" fontId="43" fillId="0" borderId="180" applyAlignment="1" pivotButton="0" quotePrefix="0" xfId="0">
      <alignment horizontal="center" vertical="center" shrinkToFit="1"/>
    </xf>
    <xf numFmtId="167" fontId="43" fillId="0" borderId="16" applyAlignment="1" pivotButton="0" quotePrefix="0" xfId="0">
      <alignment horizontal="center" vertical="center" shrinkToFit="1"/>
    </xf>
    <xf numFmtId="167" fontId="43" fillId="0" borderId="14" applyAlignment="1" pivotButton="0" quotePrefix="0" xfId="0">
      <alignment horizontal="center" vertical="center" shrinkToFit="1"/>
    </xf>
    <xf numFmtId="167" fontId="43" fillId="0" borderId="23" applyAlignment="1" pivotButton="0" quotePrefix="0" xfId="0">
      <alignment horizontal="center" vertical="center" shrinkToFit="1"/>
    </xf>
    <xf numFmtId="167" fontId="43" fillId="0" borderId="15" applyAlignment="1" pivotButton="0" quotePrefix="0" xfId="0">
      <alignment horizontal="center" vertical="center" shrinkToFit="1"/>
    </xf>
    <xf numFmtId="167" fontId="43" fillId="0" borderId="78" applyAlignment="1" pivotButton="0" quotePrefix="0" xfId="0">
      <alignment horizontal="center" vertical="center"/>
    </xf>
    <xf numFmtId="167" fontId="43" fillId="0" borderId="79" applyAlignment="1" pivotButton="0" quotePrefix="0" xfId="0">
      <alignment horizontal="center" vertical="center"/>
    </xf>
    <xf numFmtId="167" fontId="43" fillId="0" borderId="80" applyAlignment="1" pivotButton="0" quotePrefix="0" xfId="0">
      <alignment horizontal="center" vertical="center"/>
    </xf>
    <xf numFmtId="167" fontId="43" fillId="0" borderId="87" applyAlignment="1" pivotButton="0" quotePrefix="0" xfId="0">
      <alignment horizontal="center" vertical="center"/>
    </xf>
    <xf numFmtId="167" fontId="43" fillId="0" borderId="88" applyAlignment="1" pivotButton="0" quotePrefix="0" xfId="0">
      <alignment horizontal="center" vertical="center"/>
    </xf>
    <xf numFmtId="167" fontId="43" fillId="0" borderId="184" applyAlignment="1" pivotButton="0" quotePrefix="0" xfId="0">
      <alignment horizontal="center" vertical="center"/>
    </xf>
    <xf numFmtId="167" fontId="59" fillId="0" borderId="16" applyAlignment="1" pivotButton="0" quotePrefix="0" xfId="0">
      <alignment horizontal="center" vertical="center" shrinkToFit="1"/>
    </xf>
    <xf numFmtId="167" fontId="59" fillId="0" borderId="14" applyAlignment="1" pivotButton="0" quotePrefix="0" xfId="0">
      <alignment horizontal="center" vertical="center" shrinkToFit="1"/>
    </xf>
    <xf numFmtId="167" fontId="59" fillId="0" borderId="23" applyAlignment="1" pivotButton="0" quotePrefix="0" xfId="0">
      <alignment horizontal="center" vertical="center" shrinkToFit="1"/>
    </xf>
    <xf numFmtId="167" fontId="59" fillId="0" borderId="15" applyAlignment="1" pivotButton="0" quotePrefix="0" xfId="0">
      <alignment horizontal="center" vertical="center" shrinkToFit="1"/>
    </xf>
    <xf numFmtId="167" fontId="43" fillId="0" borderId="168" applyAlignment="1" pivotButton="0" quotePrefix="0" xfId="0">
      <alignment horizontal="center" vertical="center"/>
    </xf>
    <xf numFmtId="49" fontId="44" fillId="0" borderId="174" applyAlignment="1" pivotButton="0" quotePrefix="0" xfId="0">
      <alignment horizontal="left" vertical="center" wrapText="1"/>
    </xf>
    <xf numFmtId="49" fontId="44" fillId="0" borderId="175" applyAlignment="1" pivotButton="0" quotePrefix="0" xfId="0">
      <alignment horizontal="left" vertical="center" wrapText="1"/>
    </xf>
    <xf numFmtId="49" fontId="44" fillId="0" borderId="176" applyAlignment="1" pivotButton="0" quotePrefix="0" xfId="0">
      <alignment horizontal="left" vertical="center" wrapText="1"/>
    </xf>
    <xf numFmtId="167" fontId="23" fillId="0" borderId="177" applyAlignment="1" pivotButton="0" quotePrefix="0" xfId="0">
      <alignment horizontal="center" vertical="center" shrinkToFit="1"/>
    </xf>
    <xf numFmtId="167" fontId="23" fillId="0" borderId="178" applyAlignment="1" pivotButton="0" quotePrefix="0" xfId="0">
      <alignment horizontal="center" vertical="center" shrinkToFit="1"/>
    </xf>
    <xf numFmtId="167" fontId="23" fillId="0" borderId="185" applyAlignment="1" pivotButton="0" quotePrefix="0" xfId="0">
      <alignment horizontal="center" vertical="center" shrinkToFit="1"/>
    </xf>
    <xf numFmtId="167" fontId="23" fillId="0" borderId="186" applyAlignment="1" pivotButton="0" quotePrefix="0" xfId="0">
      <alignment horizontal="center" vertical="center" shrinkToFit="1"/>
    </xf>
    <xf numFmtId="167" fontId="23" fillId="0" borderId="179" applyAlignment="1" pivotButton="0" quotePrefix="0" xfId="0">
      <alignment horizontal="center" vertical="center" shrinkToFit="1"/>
    </xf>
    <xf numFmtId="167" fontId="23" fillId="0" borderId="187" applyAlignment="1" pivotButton="0" quotePrefix="0" xfId="0">
      <alignment horizontal="center" vertical="center" shrinkToFit="1"/>
    </xf>
    <xf numFmtId="167" fontId="23" fillId="0" borderId="180" applyAlignment="1" pivotButton="0" quotePrefix="0" xfId="0">
      <alignment horizontal="center" vertical="center" shrinkToFit="1"/>
    </xf>
    <xf numFmtId="49" fontId="44" fillId="24" borderId="18" applyAlignment="1" pivotButton="0" quotePrefix="0" xfId="0">
      <alignment horizontal="left" wrapText="1"/>
    </xf>
    <xf numFmtId="49" fontId="44" fillId="24" borderId="12" applyAlignment="1" pivotButton="0" quotePrefix="0" xfId="0">
      <alignment horizontal="left" wrapText="1"/>
    </xf>
    <xf numFmtId="49" fontId="44" fillId="24" borderId="13" applyAlignment="1" pivotButton="0" quotePrefix="0" xfId="0">
      <alignment horizontal="left" wrapText="1"/>
    </xf>
    <xf numFmtId="49" fontId="40" fillId="0" borderId="23" applyAlignment="1" pivotButton="0" quotePrefix="0" xfId="0">
      <alignment horizontal="center" vertical="center" wrapText="1"/>
    </xf>
    <xf numFmtId="49" fontId="44" fillId="24" borderId="20" applyAlignment="1" pivotButton="0" quotePrefix="0" xfId="0">
      <alignment horizontal="left" vertical="center" shrinkToFit="1"/>
    </xf>
    <xf numFmtId="49" fontId="44" fillId="24" borderId="21" applyAlignment="1" pivotButton="0" quotePrefix="0" xfId="0">
      <alignment horizontal="left" vertical="center" shrinkToFit="1"/>
    </xf>
    <xf numFmtId="49" fontId="44" fillId="24" borderId="49" applyAlignment="1" pivotButton="0" quotePrefix="0" xfId="0">
      <alignment horizontal="left" vertical="center" shrinkToFit="1"/>
    </xf>
    <xf numFmtId="0" fontId="0" fillId="0" borderId="12" applyAlignment="1" pivotButton="0" quotePrefix="0" xfId="0">
      <alignment vertical="center"/>
    </xf>
    <xf numFmtId="0" fontId="0" fillId="0" borderId="19" applyAlignment="1" pivotButton="0" quotePrefix="0" xfId="0">
      <alignment vertical="center"/>
    </xf>
    <xf numFmtId="164" fontId="43" fillId="0" borderId="18" applyAlignment="1" pivotButton="0" quotePrefix="0" xfId="0">
      <alignment horizontal="center" vertical="center" shrinkToFit="1"/>
    </xf>
    <xf numFmtId="0" fontId="0" fillId="0" borderId="27" applyAlignment="1" pivotButton="0" quotePrefix="0" xfId="0">
      <alignment vertical="center"/>
    </xf>
    <xf numFmtId="0" fontId="0" fillId="0" borderId="0" applyAlignment="1" pivotButton="0" quotePrefix="0" xfId="0">
      <alignment vertical="center"/>
    </xf>
    <xf numFmtId="0" fontId="0" fillId="0" borderId="28" applyAlignment="1" pivotButton="0" quotePrefix="0" xfId="0">
      <alignment vertical="center"/>
    </xf>
    <xf numFmtId="0" fontId="0" fillId="0" borderId="20" applyAlignment="1" pivotButton="0" quotePrefix="0" xfId="0">
      <alignment vertical="center"/>
    </xf>
    <xf numFmtId="0" fontId="0" fillId="0" borderId="21" applyAlignment="1" pivotButton="0" quotePrefix="0" xfId="0">
      <alignment vertical="center"/>
    </xf>
    <xf numFmtId="0" fontId="0" fillId="0" borderId="22" applyAlignment="1" pivotButton="0" quotePrefix="0" xfId="0">
      <alignment vertical="center"/>
    </xf>
    <xf numFmtId="167" fontId="23" fillId="0" borderId="18" applyAlignment="1" pivotButton="0" quotePrefix="0" xfId="0">
      <alignment horizontal="right" vertical="center" shrinkToFit="1"/>
    </xf>
    <xf numFmtId="164" fontId="43" fillId="24" borderId="18" applyAlignment="1" pivotButton="0" quotePrefix="0" xfId="0">
      <alignment horizontal="center" vertical="center" wrapText="1"/>
    </xf>
    <xf numFmtId="0" fontId="0" fillId="24" borderId="12" applyAlignment="1" pivotButton="0" quotePrefix="0" xfId="0">
      <alignment vertical="center"/>
    </xf>
    <xf numFmtId="0" fontId="0" fillId="24" borderId="13" applyAlignment="1" pivotButton="0" quotePrefix="0" xfId="0">
      <alignment vertical="center"/>
    </xf>
    <xf numFmtId="0" fontId="0" fillId="24" borderId="27" applyAlignment="1" pivotButton="0" quotePrefix="0" xfId="0">
      <alignment vertical="center"/>
    </xf>
    <xf numFmtId="0" fontId="0" fillId="24" borderId="0" applyAlignment="1" pivotButton="0" quotePrefix="0" xfId="0">
      <alignment vertical="center"/>
    </xf>
    <xf numFmtId="0" fontId="0" fillId="24" borderId="48" applyAlignment="1" pivotButton="0" quotePrefix="0" xfId="0">
      <alignment vertical="center"/>
    </xf>
    <xf numFmtId="0" fontId="0" fillId="24" borderId="20" applyAlignment="1" pivotButton="0" quotePrefix="0" xfId="0">
      <alignment vertical="center"/>
    </xf>
    <xf numFmtId="0" fontId="0" fillId="24" borderId="21" applyAlignment="1" pivotButton="0" quotePrefix="0" xfId="0">
      <alignment vertical="center"/>
    </xf>
    <xf numFmtId="0" fontId="0" fillId="24" borderId="49" applyAlignment="1" pivotButton="0" quotePrefix="0" xfId="0">
      <alignment vertical="center"/>
    </xf>
    <xf numFmtId="49" fontId="43" fillId="0" borderId="42" applyAlignment="1" pivotButton="0" quotePrefix="0" xfId="0">
      <alignment horizontal="center" vertical="center" wrapText="1"/>
    </xf>
    <xf numFmtId="49" fontId="43" fillId="0" borderId="72" applyAlignment="1" pivotButton="0" quotePrefix="0" xfId="0">
      <alignment horizontal="center" vertical="center" wrapText="1"/>
    </xf>
    <xf numFmtId="49" fontId="43" fillId="0" borderId="17" applyAlignment="1" pivotButton="0" quotePrefix="0" xfId="0">
      <alignment horizontal="center" vertical="center" wrapText="1"/>
    </xf>
    <xf numFmtId="49" fontId="43" fillId="0" borderId="188" applyAlignment="1" pivotButton="0" quotePrefix="0" xfId="0">
      <alignment horizontal="center" vertical="center" wrapText="1"/>
    </xf>
    <xf numFmtId="49" fontId="44" fillId="0" borderId="16" applyAlignment="1" pivotButton="0" quotePrefix="0" xfId="0">
      <alignment horizontal="center" vertical="center" shrinkToFit="1"/>
    </xf>
    <xf numFmtId="49" fontId="44" fillId="0" borderId="14" applyAlignment="1" pivotButton="0" quotePrefix="0" xfId="0">
      <alignment horizontal="center" vertical="center" shrinkToFit="1"/>
    </xf>
    <xf numFmtId="49" fontId="44" fillId="0" borderId="23" applyAlignment="1" pivotButton="0" quotePrefix="0" xfId="0">
      <alignment horizontal="center" vertical="center" shrinkToFit="1"/>
    </xf>
    <xf numFmtId="49" fontId="40" fillId="0" borderId="110" applyAlignment="1" pivotButton="0" quotePrefix="0" xfId="0">
      <alignment horizontal="center" vertical="center" wrapText="1"/>
    </xf>
    <xf numFmtId="49" fontId="40" fillId="0" borderId="45" applyAlignment="1" pivotButton="0" quotePrefix="0" xfId="0">
      <alignment horizontal="center" vertical="center" wrapText="1"/>
    </xf>
    <xf numFmtId="49" fontId="40" fillId="0" borderId="46" applyAlignment="1" pivotButton="0" quotePrefix="0" xfId="0">
      <alignment horizontal="center" vertical="center" wrapText="1"/>
    </xf>
    <xf numFmtId="49" fontId="40" fillId="0" borderId="42" applyAlignment="1" pivotButton="0" quotePrefix="0" xfId="0">
      <alignment horizontal="center" vertical="center" wrapText="1"/>
    </xf>
    <xf numFmtId="49" fontId="40" fillId="0" borderId="66" applyAlignment="1" pivotButton="0" quotePrefix="0" xfId="0">
      <alignment horizontal="center" vertical="center" wrapText="1"/>
    </xf>
    <xf numFmtId="49" fontId="40" fillId="0" borderId="21" applyAlignment="1" pivotButton="0" quotePrefix="0" xfId="0">
      <alignment horizontal="center" vertical="center" wrapText="1"/>
    </xf>
    <xf numFmtId="49" fontId="40" fillId="0" borderId="190" applyAlignment="1" pivotButton="0" quotePrefix="0" xfId="0">
      <alignment horizontal="center" vertical="center"/>
    </xf>
    <xf numFmtId="49" fontId="40" fillId="0" borderId="67" applyAlignment="1" pivotButton="0" quotePrefix="0" xfId="0">
      <alignment horizontal="center" vertical="center"/>
    </xf>
    <xf numFmtId="49" fontId="40" fillId="0" borderId="68" applyAlignment="1" pivotButton="0" quotePrefix="0" xfId="0">
      <alignment horizontal="distributed" vertical="center"/>
    </xf>
    <xf numFmtId="49" fontId="44" fillId="0" borderId="191" applyAlignment="1" pivotButton="0" quotePrefix="0" xfId="0">
      <alignment vertical="center" textRotation="255" shrinkToFit="1"/>
    </xf>
    <xf numFmtId="49" fontId="44" fillId="0" borderId="69" applyAlignment="1" pivotButton="0" quotePrefix="0" xfId="0">
      <alignment vertical="center" textRotation="255" shrinkToFit="1"/>
    </xf>
    <xf numFmtId="49" fontId="40" fillId="0" borderId="195" applyAlignment="1" pivotButton="0" quotePrefix="0" xfId="0">
      <alignment horizontal="right" vertical="center" textRotation="255"/>
    </xf>
    <xf numFmtId="49" fontId="40" fillId="0" borderId="199" applyAlignment="1" pivotButton="0" quotePrefix="0" xfId="0">
      <alignment horizontal="right" vertical="center" textRotation="255"/>
    </xf>
    <xf numFmtId="49" fontId="52" fillId="0" borderId="196" applyAlignment="1" pivotButton="0" quotePrefix="0" xfId="0">
      <alignment horizontal="distributed" vertical="center" wrapText="1"/>
    </xf>
    <xf numFmtId="49" fontId="52" fillId="0" borderId="65" applyAlignment="1" pivotButton="0" quotePrefix="0" xfId="0">
      <alignment horizontal="distributed" vertical="center" wrapText="1"/>
    </xf>
    <xf numFmtId="49" fontId="51" fillId="0" borderId="134" applyAlignment="1" pivotButton="0" quotePrefix="0" xfId="0">
      <alignment horizontal="distributed" vertical="center" wrapText="1"/>
    </xf>
    <xf numFmtId="49" fontId="40" fillId="0" borderId="35" applyAlignment="1" pivotButton="0" quotePrefix="0" xfId="0">
      <alignment horizontal="distributed" vertical="center" wrapText="1"/>
    </xf>
    <xf numFmtId="49" fontId="40" fillId="0" borderId="34" applyAlignment="1" pivotButton="0" quotePrefix="0" xfId="0">
      <alignment horizontal="distributed" vertical="center" wrapText="1"/>
    </xf>
    <xf numFmtId="49" fontId="40" fillId="0" borderId="18" applyAlignment="1" pivotButton="0" quotePrefix="0" xfId="0">
      <alignment horizontal="distributed" vertical="center" wrapText="1"/>
    </xf>
    <xf numFmtId="49" fontId="40" fillId="0" borderId="20" applyAlignment="1" pivotButton="0" quotePrefix="0" xfId="0">
      <alignment horizontal="distributed" vertical="center" wrapText="1"/>
    </xf>
    <xf numFmtId="49" fontId="21" fillId="0" borderId="65" applyAlignment="1" pivotButton="0" quotePrefix="0" xfId="0">
      <alignment horizontal="left" vertical="center"/>
    </xf>
    <xf numFmtId="49" fontId="21" fillId="0" borderId="169" applyAlignment="1" pivotButton="0" quotePrefix="0" xfId="0">
      <alignment horizontal="left" vertical="center"/>
    </xf>
    <xf numFmtId="49" fontId="40" fillId="0" borderId="197" applyAlignment="1" pivotButton="0" quotePrefix="0" xfId="0">
      <alignment horizontal="left" vertical="center" textRotation="255"/>
    </xf>
    <xf numFmtId="49" fontId="40" fillId="0" borderId="198" applyAlignment="1" pivotButton="0" quotePrefix="0" xfId="0">
      <alignment horizontal="left" vertical="center" textRotation="255"/>
    </xf>
    <xf numFmtId="49" fontId="40" fillId="0" borderId="133" applyAlignment="1" pivotButton="0" quotePrefix="0" xfId="0">
      <alignment horizontal="left" vertical="center" textRotation="255"/>
    </xf>
    <xf numFmtId="49" fontId="40" fillId="0" borderId="137" applyAlignment="1" pivotButton="0" quotePrefix="0" xfId="0">
      <alignment horizontal="center" vertical="center" textRotation="255"/>
    </xf>
    <xf numFmtId="49" fontId="40" fillId="0" borderId="198" applyAlignment="1" pivotButton="0" quotePrefix="0" xfId="0">
      <alignment horizontal="center" vertical="center" textRotation="255"/>
    </xf>
    <xf numFmtId="49" fontId="40" fillId="0" borderId="133" applyAlignment="1" pivotButton="0" quotePrefix="0" xfId="0">
      <alignment horizontal="center" vertical="center" textRotation="255"/>
    </xf>
    <xf numFmtId="49" fontId="40" fillId="0" borderId="13" applyAlignment="1" pivotButton="0" quotePrefix="0" xfId="0">
      <alignment horizontal="center" vertical="center" wrapText="1"/>
    </xf>
    <xf numFmtId="49" fontId="40" fillId="0" borderId="48" applyAlignment="1" pivotButton="0" quotePrefix="0" xfId="0">
      <alignment horizontal="center" vertical="center" wrapText="1"/>
    </xf>
    <xf numFmtId="49" fontId="40" fillId="0" borderId="49" applyAlignment="1" pivotButton="0" quotePrefix="0" xfId="0">
      <alignment horizontal="center" vertical="center" wrapText="1"/>
    </xf>
    <xf numFmtId="49" fontId="51" fillId="0" borderId="130" applyAlignment="1" pivotButton="0" quotePrefix="0" xfId="0">
      <alignment horizontal="distributed" vertical="center" wrapText="1"/>
    </xf>
    <xf numFmtId="49" fontId="21" fillId="0" borderId="65" applyAlignment="1" pivotButton="0" quotePrefix="0" xfId="0">
      <alignment horizontal="left" vertical="center" wrapText="1"/>
    </xf>
    <xf numFmtId="49" fontId="21" fillId="0" borderId="71" applyAlignment="1" pivotButton="0" quotePrefix="0" xfId="0">
      <alignment horizontal="left" vertical="center" wrapText="1"/>
    </xf>
    <xf numFmtId="49" fontId="44" fillId="0" borderId="19" applyAlignment="1" pivotButton="0" quotePrefix="0" xfId="0">
      <alignment vertical="center" textRotation="255" shrinkToFit="1"/>
    </xf>
    <xf numFmtId="49" fontId="44" fillId="0" borderId="28" applyAlignment="1" pivotButton="0" quotePrefix="0" xfId="0">
      <alignment vertical="center" textRotation="255" shrinkToFit="1"/>
    </xf>
    <xf numFmtId="49" fontId="44" fillId="0" borderId="22" applyAlignment="1" pivotButton="0" quotePrefix="0" xfId="0">
      <alignment vertical="center" textRotation="255" shrinkToFit="1"/>
    </xf>
    <xf numFmtId="49" fontId="40" fillId="0" borderId="137" applyAlignment="1" pivotButton="0" quotePrefix="0" xfId="0">
      <alignment horizontal="left" vertical="center" textRotation="255"/>
    </xf>
    <xf numFmtId="49" fontId="21" fillId="24" borderId="22" applyAlignment="1" pivotButton="0" quotePrefix="0" xfId="0">
      <alignment horizontal="center" vertical="center"/>
    </xf>
    <xf numFmtId="49" fontId="21" fillId="24" borderId="34" applyAlignment="1" pivotButton="0" quotePrefix="0" xfId="0">
      <alignment horizontal="center" vertical="center"/>
    </xf>
    <xf numFmtId="49" fontId="21" fillId="24" borderId="20" applyAlignment="1" pivotButton="0" quotePrefix="0" xfId="0">
      <alignment horizontal="center" vertical="center"/>
    </xf>
    <xf numFmtId="49" fontId="21" fillId="24" borderId="200" applyAlignment="1" pivotButton="0" quotePrefix="0" xfId="0">
      <alignment horizontal="center" vertical="center"/>
    </xf>
    <xf numFmtId="49" fontId="44" fillId="0" borderId="35" applyAlignment="1" pivotButton="0" quotePrefix="0" xfId="0">
      <alignment horizontal="distributed" vertical="center" wrapText="1"/>
    </xf>
    <xf numFmtId="49" fontId="44" fillId="0" borderId="34" applyAlignment="1" pivotButton="0" quotePrefix="0" xfId="0">
      <alignment horizontal="distributed" vertical="center" wrapText="1"/>
    </xf>
    <xf numFmtId="49" fontId="40" fillId="24" borderId="12" applyAlignment="1" pivotButton="0" quotePrefix="0" xfId="0">
      <alignment horizontal="distributed" vertical="center" wrapText="1"/>
    </xf>
    <xf numFmtId="49" fontId="40" fillId="24" borderId="0" applyAlignment="1" pivotButton="0" quotePrefix="0" xfId="0">
      <alignment horizontal="distributed" vertical="center" wrapText="1"/>
    </xf>
    <xf numFmtId="49" fontId="40" fillId="24" borderId="13" applyAlignment="1" pivotButton="0" quotePrefix="0" xfId="0">
      <alignment horizontal="distributed" vertical="center" wrapText="1"/>
    </xf>
    <xf numFmtId="49" fontId="40" fillId="24" borderId="48" applyAlignment="1" pivotButton="0" quotePrefix="0" xfId="0">
      <alignment horizontal="distributed" vertical="center" wrapText="1"/>
    </xf>
    <xf numFmtId="49" fontId="21" fillId="0" borderId="16" applyAlignment="1" pivotButton="0" quotePrefix="0" xfId="0">
      <alignment horizontal="right" vertical="center" indent="1"/>
    </xf>
    <xf numFmtId="49" fontId="21" fillId="0" borderId="14" applyAlignment="1" pivotButton="0" quotePrefix="0" xfId="0">
      <alignment horizontal="right" vertical="center" indent="1"/>
    </xf>
    <xf numFmtId="49" fontId="43" fillId="0" borderId="101" applyAlignment="1" pivotButton="0" quotePrefix="0" xfId="0">
      <alignment horizontal="distributed" vertical="center"/>
    </xf>
    <xf numFmtId="49" fontId="23" fillId="0" borderId="102" applyAlignment="1" pivotButton="0" quotePrefix="0" xfId="0">
      <alignment horizontal="right" vertical="center" indent="1"/>
    </xf>
    <xf numFmtId="49" fontId="23" fillId="0" borderId="14" applyAlignment="1" pivotButton="0" quotePrefix="0" xfId="0">
      <alignment horizontal="right" vertical="center" indent="1"/>
    </xf>
    <xf numFmtId="49" fontId="39" fillId="24" borderId="16" applyAlignment="1" pivotButton="0" quotePrefix="0" xfId="0">
      <alignment horizontal="left" vertical="center"/>
    </xf>
    <xf numFmtId="49" fontId="39" fillId="24" borderId="14" applyAlignment="1" pivotButton="0" quotePrefix="0" xfId="0">
      <alignment horizontal="left" vertical="center"/>
    </xf>
    <xf numFmtId="49" fontId="39" fillId="24" borderId="15" applyAlignment="1" pivotButton="0" quotePrefix="0" xfId="0">
      <alignment horizontal="left" vertical="center"/>
    </xf>
    <xf numFmtId="49" fontId="43" fillId="0" borderId="12" applyAlignment="1" pivotButton="0" quotePrefix="0" xfId="0">
      <alignment horizontal="distributed" vertical="center" wrapText="1" shrinkToFit="1"/>
    </xf>
    <xf numFmtId="49" fontId="43" fillId="0" borderId="12" applyAlignment="1" pivotButton="0" quotePrefix="0" xfId="0">
      <alignment horizontal="distributed" vertical="center" shrinkToFit="1"/>
    </xf>
    <xf numFmtId="49" fontId="43" fillId="0" borderId="0" applyAlignment="1" pivotButton="0" quotePrefix="0" xfId="0">
      <alignment horizontal="distributed" vertical="center" shrinkToFit="1"/>
    </xf>
    <xf numFmtId="49" fontId="43" fillId="0" borderId="21" applyAlignment="1" pivotButton="0" quotePrefix="0" xfId="0">
      <alignment horizontal="distributed" vertical="center" shrinkToFit="1"/>
    </xf>
    <xf numFmtId="49" fontId="39" fillId="0" borderId="18" applyAlignment="1" pivotButton="0" quotePrefix="0" xfId="0">
      <alignment horizontal="left" vertical="center"/>
    </xf>
    <xf numFmtId="49" fontId="39" fillId="0" borderId="27" applyAlignment="1" pivotButton="0" quotePrefix="0" xfId="0">
      <alignment horizontal="left" vertical="center"/>
    </xf>
    <xf numFmtId="49" fontId="39" fillId="0" borderId="20" applyAlignment="1" pivotButton="0" quotePrefix="0" xfId="0">
      <alignment horizontal="left" vertical="center"/>
    </xf>
    <xf numFmtId="49" fontId="39" fillId="0" borderId="12" applyAlignment="1" pivotButton="0" quotePrefix="0" xfId="0">
      <alignment horizontal="center" vertical="center"/>
    </xf>
    <xf numFmtId="49" fontId="21" fillId="0" borderId="0" applyAlignment="1" pivotButton="0" quotePrefix="0" xfId="0">
      <alignment horizontal="left" vertical="top" shrinkToFit="1"/>
    </xf>
    <xf numFmtId="49" fontId="21" fillId="0" borderId="48" applyAlignment="1" pivotButton="0" quotePrefix="0" xfId="0">
      <alignment horizontal="left" vertical="top" shrinkToFit="1"/>
    </xf>
    <xf numFmtId="49" fontId="39" fillId="0" borderId="21" applyAlignment="1" pivotButton="0" quotePrefix="0" xfId="0">
      <alignment horizontal="center" vertical="center"/>
    </xf>
    <xf numFmtId="49" fontId="60" fillId="0" borderId="18" applyAlignment="1" pivotButton="0" quotePrefix="0" xfId="0">
      <alignment horizontal="distributed" vertical="center" wrapText="1"/>
    </xf>
    <xf numFmtId="49" fontId="60" fillId="0" borderId="12" applyAlignment="1" pivotButton="0" quotePrefix="0" xfId="0">
      <alignment horizontal="distributed" vertical="center" wrapText="1"/>
    </xf>
    <xf numFmtId="49" fontId="60" fillId="0" borderId="152" applyAlignment="1" pivotButton="0" quotePrefix="0" xfId="0">
      <alignment horizontal="distributed" vertical="center" wrapText="1"/>
    </xf>
    <xf numFmtId="49" fontId="60" fillId="0" borderId="27" applyAlignment="1" pivotButton="0" quotePrefix="0" xfId="0">
      <alignment horizontal="distributed" vertical="center" wrapText="1"/>
    </xf>
    <xf numFmtId="49" fontId="60" fillId="0" borderId="0" applyAlignment="1" pivotButton="0" quotePrefix="0" xfId="0">
      <alignment horizontal="distributed" vertical="center" wrapText="1"/>
    </xf>
    <xf numFmtId="49" fontId="60" fillId="0" borderId="143" applyAlignment="1" pivotButton="0" quotePrefix="0" xfId="0">
      <alignment horizontal="distributed" vertical="center" wrapText="1"/>
    </xf>
    <xf numFmtId="49" fontId="60" fillId="0" borderId="20" applyAlignment="1" pivotButton="0" quotePrefix="0" xfId="0">
      <alignment horizontal="distributed" vertical="center" wrapText="1"/>
    </xf>
    <xf numFmtId="49" fontId="60" fillId="0" borderId="21" applyAlignment="1" pivotButton="0" quotePrefix="0" xfId="0">
      <alignment horizontal="distributed" vertical="center" wrapText="1"/>
    </xf>
    <xf numFmtId="49" fontId="60" fillId="0" borderId="142" applyAlignment="1" pivotButton="0" quotePrefix="0" xfId="0">
      <alignment horizontal="distributed" vertical="center" wrapText="1"/>
    </xf>
    <xf numFmtId="49" fontId="39" fillId="0" borderId="0" applyAlignment="1" pivotButton="0" quotePrefix="0" xfId="0">
      <alignment horizontal="center" vertical="center"/>
    </xf>
    <xf numFmtId="49" fontId="39" fillId="0" borderId="23" applyAlignment="1" pivotButton="0" quotePrefix="0" xfId="0">
      <alignment horizontal="center" vertical="center"/>
    </xf>
    <xf numFmtId="49" fontId="40" fillId="0" borderId="42" applyAlignment="1" pivotButton="0" quotePrefix="0" xfId="0">
      <alignment horizontal="center" vertical="center"/>
    </xf>
    <xf numFmtId="49" fontId="40" fillId="0" borderId="66" applyAlignment="1" pivotButton="0" quotePrefix="0" xfId="0">
      <alignment horizontal="center" vertical="center"/>
    </xf>
    <xf numFmtId="49" fontId="21" fillId="0" borderId="19" applyAlignment="1" pivotButton="0" quotePrefix="0" xfId="0">
      <alignment horizontal="left" vertical="center" shrinkToFit="1"/>
    </xf>
    <xf numFmtId="49" fontId="21" fillId="0" borderId="22" applyAlignment="1" pivotButton="0" quotePrefix="0" xfId="0">
      <alignment horizontal="left" vertical="center" shrinkToFit="1"/>
    </xf>
    <xf numFmtId="49" fontId="21" fillId="0" borderId="16" applyAlignment="1" pivotButton="0" quotePrefix="0" xfId="0">
      <alignment horizontal="left" vertical="center" shrinkToFit="1"/>
    </xf>
    <xf numFmtId="49" fontId="21" fillId="0" borderId="14" applyAlignment="1" pivotButton="0" quotePrefix="0" xfId="0">
      <alignment horizontal="left" vertical="center" shrinkToFit="1"/>
    </xf>
    <xf numFmtId="49" fontId="21" fillId="0" borderId="23" applyAlignment="1" pivotButton="0" quotePrefix="0" xfId="0">
      <alignment horizontal="left" vertical="center" shrinkToFit="1"/>
    </xf>
    <xf numFmtId="49" fontId="59" fillId="0" borderId="12" applyAlignment="1" pivotButton="0" quotePrefix="0" xfId="0">
      <alignment horizontal="center" vertical="center" wrapText="1"/>
    </xf>
    <xf numFmtId="49" fontId="59" fillId="0" borderId="19" applyAlignment="1" pivotButton="0" quotePrefix="0" xfId="0">
      <alignment horizontal="center" vertical="center" wrapText="1"/>
    </xf>
    <xf numFmtId="49" fontId="59" fillId="0" borderId="21" applyAlignment="1" pivotButton="0" quotePrefix="0" xfId="0">
      <alignment horizontal="center" vertical="center" wrapText="1"/>
    </xf>
    <xf numFmtId="49" fontId="59" fillId="0" borderId="22" applyAlignment="1" pivotButton="0" quotePrefix="0" xfId="0">
      <alignment horizontal="center" vertical="center" wrapText="1"/>
    </xf>
    <xf numFmtId="49" fontId="24" fillId="0" borderId="17" applyAlignment="1" pivotButton="0" quotePrefix="0" xfId="0">
      <alignment horizontal="distributed" vertical="center"/>
    </xf>
    <xf numFmtId="49" fontId="39" fillId="0" borderId="125" applyAlignment="1" pivotButton="0" quotePrefix="0" xfId="0">
      <alignment horizontal="distributed" vertical="center"/>
    </xf>
    <xf numFmtId="49" fontId="39" fillId="0" borderId="126" applyAlignment="1" pivotButton="0" quotePrefix="0" xfId="0">
      <alignment horizontal="distributed" vertical="center"/>
    </xf>
    <xf numFmtId="49" fontId="39" fillId="0" borderId="127" applyAlignment="1" pivotButton="0" quotePrefix="0" xfId="0">
      <alignment horizontal="distributed" vertical="center"/>
    </xf>
    <xf numFmtId="49" fontId="34" fillId="0" borderId="12" applyAlignment="1" pivotButton="0" quotePrefix="0" xfId="0">
      <alignment horizontal="left" wrapText="1"/>
    </xf>
    <xf numFmtId="49" fontId="34" fillId="0" borderId="13" applyAlignment="1" pivotButton="0" quotePrefix="0" xfId="0">
      <alignment horizontal="left" wrapText="1"/>
    </xf>
    <xf numFmtId="49" fontId="34" fillId="0" borderId="0" applyAlignment="1" pivotButton="0" quotePrefix="0" xfId="0">
      <alignment horizontal="left" wrapText="1"/>
    </xf>
    <xf numFmtId="49" fontId="34" fillId="0" borderId="48" applyAlignment="1" pivotButton="0" quotePrefix="0" xfId="0">
      <alignment horizontal="left" wrapText="1"/>
    </xf>
    <xf numFmtId="49" fontId="34" fillId="0" borderId="21" applyAlignment="1" pivotButton="0" quotePrefix="0" xfId="0">
      <alignment horizontal="left" wrapText="1"/>
    </xf>
    <xf numFmtId="49" fontId="34" fillId="0" borderId="49" applyAlignment="1" pivotButton="0" quotePrefix="0" xfId="0">
      <alignment horizontal="left" wrapText="1"/>
    </xf>
    <xf numFmtId="49" fontId="34" fillId="0" borderId="0" applyAlignment="1" pivotButton="0" quotePrefix="0" xfId="0">
      <alignment horizontal="center" vertical="center"/>
    </xf>
    <xf numFmtId="49" fontId="34" fillId="0" borderId="21" applyAlignment="1" pivotButton="0" quotePrefix="0" xfId="0">
      <alignment horizontal="center" vertical="center"/>
    </xf>
    <xf numFmtId="49" fontId="61" fillId="0" borderId="12" applyAlignment="1" pivotButton="0" quotePrefix="0" xfId="0">
      <alignment horizontal="left" vertical="center"/>
    </xf>
    <xf numFmtId="49" fontId="24" fillId="0" borderId="101" applyAlignment="1" pivotButton="0" quotePrefix="0" xfId="0">
      <alignment horizontal="left" vertical="center"/>
    </xf>
    <xf numFmtId="49" fontId="24" fillId="0" borderId="102" applyAlignment="1" pivotButton="0" quotePrefix="0" xfId="0">
      <alignment horizontal="left" vertical="center"/>
    </xf>
    <xf numFmtId="49" fontId="24" fillId="0" borderId="104" applyAlignment="1" pivotButton="0" quotePrefix="0" xfId="0">
      <alignment horizontal="left" vertical="center"/>
    </xf>
    <xf numFmtId="49" fontId="24" fillId="0" borderId="27" applyAlignment="1" pivotButton="0" quotePrefix="0" xfId="0">
      <alignment horizontal="left" vertical="center"/>
    </xf>
    <xf numFmtId="49" fontId="24" fillId="0" borderId="106" applyAlignment="1" pivotButton="0" quotePrefix="0" xfId="0">
      <alignment horizontal="left" vertical="center"/>
    </xf>
    <xf numFmtId="49" fontId="24" fillId="0" borderId="20" applyAlignment="1" pivotButton="0" quotePrefix="0" xfId="0">
      <alignment horizontal="left" vertical="center"/>
    </xf>
    <xf numFmtId="49" fontId="24" fillId="0" borderId="21" applyAlignment="1" pivotButton="0" quotePrefix="0" xfId="0">
      <alignment horizontal="left" vertical="center"/>
    </xf>
    <xf numFmtId="49" fontId="24" fillId="0" borderId="108" applyAlignment="1" pivotButton="0" quotePrefix="0" xfId="0">
      <alignment horizontal="left" vertical="center"/>
    </xf>
    <xf numFmtId="49" fontId="24" fillId="0" borderId="105" applyAlignment="1" pivotButton="0" quotePrefix="0" xfId="0">
      <alignment horizontal="left" vertical="center"/>
    </xf>
    <xf numFmtId="49" fontId="24" fillId="0" borderId="107" applyAlignment="1" pivotButton="0" quotePrefix="0" xfId="0">
      <alignment horizontal="left" vertical="center"/>
    </xf>
    <xf numFmtId="49" fontId="24" fillId="0" borderId="109" applyAlignment="1" pivotButton="0" quotePrefix="0" xfId="0">
      <alignment horizontal="left" vertical="center"/>
    </xf>
    <xf numFmtId="49" fontId="24" fillId="0" borderId="22" applyAlignment="1" pivotButton="0" quotePrefix="0" xfId="0">
      <alignment horizontal="left" vertical="center"/>
    </xf>
    <xf numFmtId="49" fontId="24" fillId="0" borderId="21" applyAlignment="1" pivotButton="0" quotePrefix="0" xfId="0">
      <alignment horizontal="right" vertical="center"/>
    </xf>
    <xf numFmtId="49" fontId="24" fillId="0" borderId="113" applyAlignment="1" pivotButton="0" quotePrefix="0" xfId="0">
      <alignment horizontal="center" vertical="center"/>
    </xf>
    <xf numFmtId="49" fontId="47" fillId="0" borderId="18" applyAlignment="1" pivotButton="0" quotePrefix="0" xfId="0">
      <alignment horizontal="center" vertical="center" shrinkToFit="1"/>
    </xf>
    <xf numFmtId="49" fontId="47" fillId="0" borderId="12" applyAlignment="1" pivotButton="0" quotePrefix="0" xfId="0">
      <alignment horizontal="center" vertical="center" shrinkToFit="1"/>
    </xf>
    <xf numFmtId="49" fontId="47" fillId="0" borderId="19" applyAlignment="1" pivotButton="0" quotePrefix="0" xfId="0">
      <alignment horizontal="center" vertical="center" shrinkToFit="1"/>
    </xf>
    <xf numFmtId="49" fontId="47" fillId="0" borderId="13" applyAlignment="1" pivotButton="0" quotePrefix="0" xfId="0">
      <alignment horizontal="center" vertical="center" shrinkToFit="1"/>
    </xf>
    <xf numFmtId="49" fontId="43" fillId="0" borderId="177" applyAlignment="1" pivotButton="0" quotePrefix="0" xfId="0">
      <alignment horizontal="center" vertical="center" shrinkToFit="1"/>
    </xf>
    <xf numFmtId="49" fontId="43" fillId="0" borderId="178" applyAlignment="1" pivotButton="0" quotePrefix="0" xfId="0">
      <alignment horizontal="center" vertical="center" shrinkToFit="1"/>
    </xf>
    <xf numFmtId="49" fontId="43" fillId="0" borderId="202" applyAlignment="1" pivotButton="0" quotePrefix="0" xfId="0">
      <alignment horizontal="center" vertical="center" shrinkToFit="1"/>
    </xf>
    <xf numFmtId="49" fontId="43" fillId="0" borderId="16" applyAlignment="1" pivotButton="0" quotePrefix="0" xfId="0">
      <alignment horizontal="center" vertical="center" shrinkToFit="1"/>
    </xf>
    <xf numFmtId="49" fontId="43" fillId="0" borderId="14" applyAlignment="1" pivotButton="0" quotePrefix="0" xfId="0">
      <alignment horizontal="center" vertical="center" shrinkToFit="1"/>
    </xf>
    <xf numFmtId="49" fontId="43" fillId="0" borderId="23" applyAlignment="1" pivotButton="0" quotePrefix="0" xfId="0">
      <alignment horizontal="center" vertical="center" shrinkToFit="1"/>
    </xf>
    <xf numFmtId="49" fontId="43" fillId="0" borderId="15" applyAlignment="1" pivotButton="0" quotePrefix="0" xfId="0">
      <alignment horizontal="center" vertical="center" shrinkToFit="1"/>
    </xf>
    <xf numFmtId="49" fontId="43" fillId="0" borderId="203" applyAlignment="1" pivotButton="0" quotePrefix="0" xfId="0">
      <alignment horizontal="center" vertical="center"/>
    </xf>
    <xf numFmtId="49" fontId="43" fillId="0" borderId="204" applyAlignment="1" pivotButton="0" quotePrefix="0" xfId="0">
      <alignment horizontal="center" vertical="center"/>
    </xf>
    <xf numFmtId="49" fontId="43" fillId="0" borderId="205" applyAlignment="1" pivotButton="0" quotePrefix="0" xfId="0">
      <alignment horizontal="center" vertical="center"/>
    </xf>
    <xf numFmtId="49" fontId="47" fillId="0" borderId="203" applyAlignment="1" pivotButton="0" quotePrefix="0" xfId="0">
      <alignment horizontal="center" vertical="center" shrinkToFit="1"/>
    </xf>
    <xf numFmtId="49" fontId="47" fillId="0" borderId="204" applyAlignment="1" pivotButton="0" quotePrefix="0" xfId="0">
      <alignment horizontal="center" vertical="center" shrinkToFit="1"/>
    </xf>
    <xf numFmtId="49" fontId="47" fillId="0" borderId="205" applyAlignment="1" pivotButton="0" quotePrefix="0" xfId="0">
      <alignment horizontal="center" vertical="center" shrinkToFit="1"/>
    </xf>
    <xf numFmtId="49" fontId="47" fillId="0" borderId="206" applyAlignment="1" pivotButton="0" quotePrefix="0" xfId="0">
      <alignment horizontal="center" vertical="center" shrinkToFit="1"/>
    </xf>
    <xf numFmtId="49" fontId="43" fillId="0" borderId="20" applyAlignment="1" pivotButton="0" quotePrefix="0" xfId="0">
      <alignment horizontal="center" vertical="center" shrinkToFit="1"/>
    </xf>
    <xf numFmtId="49" fontId="43" fillId="0" borderId="21" applyAlignment="1" pivotButton="0" quotePrefix="0" xfId="0">
      <alignment horizontal="center" vertical="center" shrinkToFit="1"/>
    </xf>
    <xf numFmtId="49" fontId="43" fillId="0" borderId="49" applyAlignment="1" pivotButton="0" quotePrefix="0" xfId="0">
      <alignment horizontal="center" vertical="center" shrinkToFit="1"/>
    </xf>
    <xf numFmtId="49" fontId="59" fillId="0" borderId="16" applyAlignment="1" pivotButton="0" quotePrefix="0" xfId="0">
      <alignment horizontal="center" vertical="center" shrinkToFit="1"/>
    </xf>
    <xf numFmtId="49" fontId="59" fillId="0" borderId="14" applyAlignment="1" pivotButton="0" quotePrefix="0" xfId="0">
      <alignment horizontal="center" vertical="center" shrinkToFit="1"/>
    </xf>
    <xf numFmtId="49" fontId="59" fillId="0" borderId="23" applyAlignment="1" pivotButton="0" quotePrefix="0" xfId="0">
      <alignment horizontal="center" vertical="center" shrinkToFit="1"/>
    </xf>
    <xf numFmtId="49" fontId="59" fillId="0" borderId="15" applyAlignment="1" pivotButton="0" quotePrefix="0" xfId="0">
      <alignment horizontal="center" vertical="center" shrinkToFit="1"/>
    </xf>
    <xf numFmtId="49" fontId="24" fillId="0" borderId="168" applyAlignment="1" pivotButton="0" quotePrefix="0" xfId="0">
      <alignment horizontal="center" vertical="center"/>
    </xf>
    <xf numFmtId="49" fontId="47" fillId="0" borderId="177" applyAlignment="1" pivotButton="0" quotePrefix="0" xfId="0">
      <alignment horizontal="center" vertical="center" shrinkToFit="1"/>
    </xf>
    <xf numFmtId="49" fontId="47" fillId="0" borderId="178" applyAlignment="1" pivotButton="0" quotePrefix="0" xfId="0">
      <alignment horizontal="center" vertical="center" shrinkToFit="1"/>
    </xf>
    <xf numFmtId="49" fontId="47" fillId="0" borderId="185" applyAlignment="1" pivotButton="0" quotePrefix="0" xfId="0">
      <alignment horizontal="center" vertical="center" shrinkToFit="1"/>
    </xf>
    <xf numFmtId="49" fontId="47" fillId="0" borderId="186" applyAlignment="1" pivotButton="0" quotePrefix="0" xfId="0">
      <alignment horizontal="center" vertical="center" shrinkToFit="1"/>
    </xf>
    <xf numFmtId="49" fontId="47" fillId="0" borderId="179" applyAlignment="1" pivotButton="0" quotePrefix="0" xfId="0">
      <alignment horizontal="center" vertical="center" shrinkToFit="1"/>
    </xf>
    <xf numFmtId="49" fontId="47" fillId="0" borderId="187" applyAlignment="1" pivotButton="0" quotePrefix="0" xfId="0">
      <alignment horizontal="center" vertical="center" shrinkToFit="1"/>
    </xf>
    <xf numFmtId="49" fontId="23" fillId="0" borderId="186" applyAlignment="1" pivotButton="0" quotePrefix="0" xfId="0">
      <alignment horizontal="center" vertical="center" shrinkToFit="1"/>
    </xf>
    <xf numFmtId="49" fontId="23" fillId="0" borderId="179" applyAlignment="1" pivotButton="0" quotePrefix="0" xfId="0">
      <alignment horizontal="center" vertical="center" shrinkToFit="1"/>
    </xf>
    <xf numFmtId="49" fontId="23" fillId="0" borderId="180" applyAlignment="1" pivotButton="0" quotePrefix="0" xfId="0">
      <alignment horizontal="center" vertical="center" shrinkToFit="1"/>
    </xf>
    <xf numFmtId="49" fontId="58" fillId="0" borderId="16" applyAlignment="1" pivotButton="0" quotePrefix="0" xfId="0">
      <alignment horizontal="center" vertical="center" wrapText="1"/>
    </xf>
    <xf numFmtId="49" fontId="58" fillId="0" borderId="14" applyAlignment="1" pivotButton="0" quotePrefix="0" xfId="0">
      <alignment horizontal="center" vertical="center" wrapText="1"/>
    </xf>
    <xf numFmtId="49" fontId="58" fillId="0" borderId="23" applyAlignment="1" pivotButton="0" quotePrefix="0" xfId="0">
      <alignment horizontal="center" vertical="center" wrapText="1"/>
    </xf>
    <xf numFmtId="49" fontId="40" fillId="0" borderId="110" applyAlignment="1" pivotButton="0" quotePrefix="0" xfId="0">
      <alignment horizontal="center" vertical="center"/>
    </xf>
    <xf numFmtId="49" fontId="44" fillId="0" borderId="46" applyAlignment="1" pivotButton="0" quotePrefix="0" xfId="0">
      <alignment vertical="center" textRotation="255" shrinkToFit="1"/>
    </xf>
    <xf numFmtId="49" fontId="40" fillId="0" borderId="207" applyAlignment="1" pivotButton="0" quotePrefix="0" xfId="0">
      <alignment horizontal="right" vertical="center" textRotation="255"/>
    </xf>
    <xf numFmtId="49" fontId="52" fillId="0" borderId="138" applyAlignment="1" pivotButton="0" quotePrefix="0" xfId="0">
      <alignment horizontal="distributed" vertical="center" wrapText="1"/>
    </xf>
    <xf numFmtId="49" fontId="62" fillId="0" borderId="37" applyAlignment="1" pivotButton="0" quotePrefix="0" xfId="0">
      <alignment horizontal="center" vertical="center"/>
    </xf>
    <xf numFmtId="49" fontId="62" fillId="0" borderId="32" applyAlignment="1" pivotButton="0" quotePrefix="0" xfId="0">
      <alignment horizontal="center" vertical="center"/>
    </xf>
    <xf numFmtId="49" fontId="24" fillId="0" borderId="16" applyAlignment="1" pivotButton="0" quotePrefix="0" xfId="0">
      <alignment horizontal="right" vertical="center" indent="1"/>
    </xf>
    <xf numFmtId="49" fontId="24" fillId="0" borderId="14" applyAlignment="1" pivotButton="0" quotePrefix="0" xfId="0">
      <alignment horizontal="right" vertical="center" indent="1"/>
    </xf>
    <xf numFmtId="49" fontId="47" fillId="0" borderId="102" applyAlignment="1" pivotButton="0" quotePrefix="0" xfId="0">
      <alignment horizontal="right" vertical="center" indent="1"/>
    </xf>
    <xf numFmtId="49" fontId="47" fillId="0" borderId="14" applyAlignment="1" pivotButton="0" quotePrefix="0" xfId="0">
      <alignment horizontal="right" vertical="center" indent="1"/>
    </xf>
    <xf numFmtId="49" fontId="39" fillId="0" borderId="208" applyAlignment="1" pivotButton="0" quotePrefix="0" xfId="0">
      <alignment horizontal="center" vertical="center"/>
    </xf>
    <xf numFmtId="49" fontId="39" fillId="0" borderId="209" applyAlignment="1" pivotButton="0" quotePrefix="0" xfId="0">
      <alignment horizontal="center" vertical="center"/>
    </xf>
    <xf numFmtId="49" fontId="24" fillId="0" borderId="0" applyAlignment="1" pivotButton="0" quotePrefix="0" xfId="0">
      <alignment horizontal="left" vertical="top" shrinkToFit="1"/>
    </xf>
    <xf numFmtId="49" fontId="24" fillId="0" borderId="16" applyAlignment="1" pivotButton="0" quotePrefix="0" xfId="0">
      <alignment horizontal="left" vertical="center" shrinkToFit="1"/>
    </xf>
    <xf numFmtId="49" fontId="24" fillId="0" borderId="14" applyAlignment="1" pivotButton="0" quotePrefix="0" xfId="0">
      <alignment horizontal="left" vertical="center" shrinkToFit="1"/>
    </xf>
    <xf numFmtId="49" fontId="24" fillId="0" borderId="23" applyAlignment="1" pivotButton="0" quotePrefix="0" xfId="0">
      <alignment horizontal="left" vertical="center" shrinkToFit="1"/>
    </xf>
    <xf numFmtId="49" fontId="40" fillId="0" borderId="32" applyAlignment="1" pivotButton="0" quotePrefix="0" xfId="0">
      <alignment horizontal="center" vertical="center"/>
    </xf>
    <xf numFmtId="49" fontId="39" fillId="0" borderId="32" applyAlignment="1" pivotButton="0" quotePrefix="0" xfId="0">
      <alignment horizontal="center" vertical="center"/>
    </xf>
    <xf numFmtId="49" fontId="40" fillId="0" borderId="32" applyAlignment="1" pivotButton="0" quotePrefix="0" xfId="0">
      <alignment horizontal="center" vertical="center" wrapText="1"/>
    </xf>
    <xf numFmtId="49" fontId="40" fillId="0" borderId="74" applyAlignment="1" pivotButton="0" quotePrefix="0" xfId="0">
      <alignment horizontal="center" vertical="center" wrapText="1"/>
    </xf>
    <xf numFmtId="49" fontId="40" fillId="0" borderId="211" applyAlignment="1" pivotButton="0" quotePrefix="0" xfId="0">
      <alignment horizontal="center" vertical="center"/>
    </xf>
    <xf numFmtId="49" fontId="21" fillId="0" borderId="211" applyAlignment="1" pivotButton="0" quotePrefix="0" xfId="0">
      <alignment horizontal="center" vertical="center"/>
    </xf>
    <xf numFmtId="49" fontId="22" fillId="0" borderId="211" applyAlignment="1" pivotButton="0" quotePrefix="0" xfId="0">
      <alignment horizontal="center" vertical="center" wrapText="1"/>
    </xf>
    <xf numFmtId="49" fontId="22" fillId="0" borderId="212" applyAlignment="1" pivotButton="0" quotePrefix="0" xfId="0">
      <alignment horizontal="center" vertical="center" wrapText="1"/>
    </xf>
    <xf numFmtId="49" fontId="40" fillId="0" borderId="213" applyAlignment="1" pivotButton="0" quotePrefix="0" xfId="0">
      <alignment horizontal="center" vertical="center"/>
    </xf>
    <xf numFmtId="49" fontId="40" fillId="0" borderId="214" applyAlignment="1" pivotButton="0" quotePrefix="0" xfId="0">
      <alignment horizontal="center" vertical="center"/>
    </xf>
    <xf numFmtId="49" fontId="21" fillId="0" borderId="213" applyAlignment="1" pivotButton="0" quotePrefix="0" xfId="0">
      <alignment horizontal="center" vertical="center"/>
    </xf>
    <xf numFmtId="49" fontId="21" fillId="0" borderId="214" applyAlignment="1" pivotButton="0" quotePrefix="0" xfId="0">
      <alignment horizontal="center" vertical="center"/>
    </xf>
    <xf numFmtId="49" fontId="21" fillId="0" borderId="215" applyAlignment="1" pivotButton="0" quotePrefix="0" xfId="0">
      <alignment horizontal="center" vertical="center"/>
    </xf>
    <xf numFmtId="49" fontId="22" fillId="0" borderId="214" applyAlignment="1" pivotButton="0" quotePrefix="0" xfId="0">
      <alignment horizontal="center" vertical="center" wrapText="1"/>
    </xf>
    <xf numFmtId="49" fontId="22" fillId="0" borderId="216" applyAlignment="1" pivotButton="0" quotePrefix="0" xfId="0">
      <alignment horizontal="center" vertical="center" wrapText="1"/>
    </xf>
    <xf numFmtId="49" fontId="40" fillId="0" borderId="35" applyAlignment="1" pivotButton="0" quotePrefix="0" xfId="0">
      <alignment horizontal="center" vertical="center"/>
    </xf>
    <xf numFmtId="49" fontId="21" fillId="0" borderId="35" applyAlignment="1" pivotButton="0" quotePrefix="0" xfId="0">
      <alignment horizontal="center" vertical="center"/>
    </xf>
    <xf numFmtId="49" fontId="22" fillId="0" borderId="35" applyAlignment="1" pivotButton="0" quotePrefix="0" xfId="0">
      <alignment horizontal="center" vertical="center" wrapText="1"/>
    </xf>
    <xf numFmtId="49" fontId="22" fillId="0" borderId="36" applyAlignment="1" pivotButton="0" quotePrefix="0" xfId="0">
      <alignment horizontal="center" vertical="center" wrapText="1"/>
    </xf>
    <xf numFmtId="49" fontId="43" fillId="0" borderId="72" applyAlignment="1" pivotButton="0" quotePrefix="0" xfId="0">
      <alignment horizontal="center" vertical="center" textRotation="255" wrapText="1"/>
    </xf>
    <xf numFmtId="49" fontId="43" fillId="0" borderId="188" applyAlignment="1" pivotButton="0" quotePrefix="0" xfId="0">
      <alignment horizontal="center" vertical="center" textRotation="255" wrapText="1"/>
    </xf>
    <xf numFmtId="168" fontId="21" fillId="0" borderId="168" applyAlignment="1" pivotButton="0" quotePrefix="0" xfId="0">
      <alignment horizontal="center" vertical="center"/>
    </xf>
    <xf numFmtId="169" fontId="23" fillId="0" borderId="16" applyAlignment="1" pivotButton="0" quotePrefix="0" xfId="0">
      <alignment horizontal="center" vertical="center" shrinkToFit="1"/>
    </xf>
    <xf numFmtId="169" fontId="23" fillId="0" borderId="14" applyAlignment="1" pivotButton="0" quotePrefix="0" xfId="0">
      <alignment horizontal="center" vertical="center" shrinkToFit="1"/>
    </xf>
    <xf numFmtId="169" fontId="23" fillId="0" borderId="23" applyAlignment="1" pivotButton="0" quotePrefix="0" xfId="0">
      <alignment horizontal="center" vertical="center" shrinkToFit="1"/>
    </xf>
    <xf numFmtId="169" fontId="23" fillId="0" borderId="15" applyAlignment="1" pivotButton="0" quotePrefix="0" xfId="0">
      <alignment horizontal="center" vertical="center" shrinkToFit="1"/>
    </xf>
    <xf numFmtId="168" fontId="21" fillId="0" borderId="16" applyAlignment="1" pivotButton="0" quotePrefix="0" xfId="0">
      <alignment horizontal="center" vertical="center"/>
    </xf>
    <xf numFmtId="168" fontId="21" fillId="0" borderId="14" applyAlignment="1" pivotButton="0" quotePrefix="0" xfId="0">
      <alignment horizontal="center" vertical="center"/>
    </xf>
    <xf numFmtId="168" fontId="21" fillId="0" borderId="112" applyAlignment="1" pivotButton="0" quotePrefix="0" xfId="0">
      <alignment horizontal="center" vertical="center"/>
    </xf>
    <xf numFmtId="168" fontId="21" fillId="0" borderId="113" applyAlignment="1" pivotButton="0" quotePrefix="0" xfId="0">
      <alignment horizontal="center" vertical="center"/>
    </xf>
    <xf numFmtId="168" fontId="21" fillId="0" borderId="23" applyAlignment="1" pivotButton="0" quotePrefix="0" xfId="0">
      <alignment horizontal="center" vertical="center"/>
    </xf>
    <xf numFmtId="168" fontId="21" fillId="0" borderId="15" applyAlignment="1" pivotButton="0" quotePrefix="0" xfId="0">
      <alignment horizontal="center" vertical="center"/>
    </xf>
    <xf numFmtId="168" fontId="23" fillId="0" borderId="16" applyAlignment="1" pivotButton="0" quotePrefix="0" xfId="0">
      <alignment horizontal="center" vertical="center" shrinkToFit="1"/>
    </xf>
    <xf numFmtId="168" fontId="23" fillId="0" borderId="14" applyAlignment="1" pivotButton="0" quotePrefix="0" xfId="0">
      <alignment horizontal="center" vertical="center" shrinkToFit="1"/>
    </xf>
    <xf numFmtId="168" fontId="23" fillId="0" borderId="23" applyAlignment="1" pivotButton="0" quotePrefix="0" xfId="0">
      <alignment horizontal="center" vertical="center" shrinkToFit="1"/>
    </xf>
    <xf numFmtId="168" fontId="23" fillId="0" borderId="15" applyAlignment="1" pivotButton="0" quotePrefix="0" xfId="0">
      <alignment horizontal="center" vertical="center" shrinkToFit="1"/>
    </xf>
    <xf numFmtId="49" fontId="43" fillId="0" borderId="18" applyAlignment="1" pivotButton="0" quotePrefix="0" xfId="0">
      <alignment horizontal="center" vertical="center" shrinkToFit="1"/>
    </xf>
    <xf numFmtId="49" fontId="43" fillId="0" borderId="12" applyAlignment="1" pivotButton="0" quotePrefix="0" xfId="0">
      <alignment horizontal="center" vertical="center" shrinkToFit="1"/>
    </xf>
    <xf numFmtId="49" fontId="43" fillId="0" borderId="13" applyAlignment="1" pivotButton="0" quotePrefix="0" xfId="0">
      <alignment horizontal="center" vertical="center" shrinkToFit="1"/>
    </xf>
    <xf numFmtId="49" fontId="43" fillId="0" borderId="45" applyAlignment="1" pivotButton="0" quotePrefix="0" xfId="0">
      <alignment horizontal="center" vertical="center"/>
    </xf>
    <xf numFmtId="49" fontId="43" fillId="0" borderId="46" applyAlignment="1" pivotButton="0" quotePrefix="0" xfId="0">
      <alignment horizontal="center" vertical="center"/>
    </xf>
    <xf numFmtId="169" fontId="23" fillId="0" borderId="110" applyAlignment="1" pivotButton="0" quotePrefix="0" xfId="0">
      <alignment horizontal="center" vertical="center" shrinkToFit="1"/>
    </xf>
    <xf numFmtId="169" fontId="23" fillId="0" borderId="45" applyAlignment="1" pivotButton="0" quotePrefix="0" xfId="0">
      <alignment horizontal="center" vertical="center" shrinkToFit="1"/>
    </xf>
    <xf numFmtId="169" fontId="23" fillId="0" borderId="46" applyAlignment="1" pivotButton="0" quotePrefix="0" xfId="0">
      <alignment horizontal="center" vertical="center" shrinkToFit="1"/>
    </xf>
    <xf numFmtId="169" fontId="23" fillId="0" borderId="47" applyAlignment="1" pivotButton="0" quotePrefix="0" xfId="0">
      <alignment horizontal="center" vertical="center" shrinkToFit="1"/>
    </xf>
    <xf numFmtId="49" fontId="44" fillId="0" borderId="64" applyAlignment="1" pivotButton="0" quotePrefix="0" xfId="0">
      <alignment horizontal="center" vertical="center" wrapText="1" shrinkToFit="1"/>
    </xf>
    <xf numFmtId="49" fontId="44" fillId="0" borderId="65" applyAlignment="1" pivotButton="0" quotePrefix="0" xfId="0">
      <alignment horizontal="center" vertical="center" wrapText="1" shrinkToFit="1"/>
    </xf>
    <xf numFmtId="49" fontId="44" fillId="0" borderId="169" applyAlignment="1" pivotButton="0" quotePrefix="0" xfId="0">
      <alignment horizontal="center" vertical="center" wrapText="1" shrinkToFit="1"/>
    </xf>
    <xf numFmtId="49" fontId="44" fillId="0" borderId="43" applyAlignment="1" pivotButton="0" quotePrefix="0" xfId="0">
      <alignment horizontal="center" vertical="center" wrapText="1" shrinkToFit="1"/>
    </xf>
    <xf numFmtId="49" fontId="44" fillId="0" borderId="0" applyAlignment="1" pivotButton="0" quotePrefix="0" xfId="0">
      <alignment horizontal="center" vertical="center" wrapText="1" shrinkToFit="1"/>
    </xf>
    <xf numFmtId="49" fontId="44" fillId="0" borderId="28" applyAlignment="1" pivotButton="0" quotePrefix="0" xfId="0">
      <alignment horizontal="center" vertical="center" wrapText="1" shrinkToFit="1"/>
    </xf>
    <xf numFmtId="49" fontId="44" fillId="0" borderId="66" applyAlignment="1" pivotButton="0" quotePrefix="0" xfId="0">
      <alignment horizontal="center" vertical="center" wrapText="1" shrinkToFit="1"/>
    </xf>
    <xf numFmtId="49" fontId="44" fillId="0" borderId="21" applyAlignment="1" pivotButton="0" quotePrefix="0" xfId="0">
      <alignment horizontal="center" vertical="center" wrapText="1" shrinkToFit="1"/>
    </xf>
    <xf numFmtId="49" fontId="44" fillId="0" borderId="22" applyAlignment="1" pivotButton="0" quotePrefix="0" xfId="0">
      <alignment horizontal="center" vertical="center" wrapText="1" shrinkToFit="1"/>
    </xf>
    <xf numFmtId="49" fontId="40" fillId="24" borderId="67" applyAlignment="1" pivotButton="0" quotePrefix="0" xfId="0">
      <alignment horizontal="center" vertical="center"/>
    </xf>
    <xf numFmtId="49" fontId="40" fillId="24" borderId="68" applyAlignment="1" pivotButton="0" quotePrefix="0" xfId="0">
      <alignment horizontal="center" vertical="center"/>
    </xf>
    <xf numFmtId="49" fontId="40" fillId="24" borderId="70" applyAlignment="1" pivotButton="0" quotePrefix="0" xfId="0">
      <alignment horizontal="center" vertical="center"/>
    </xf>
    <xf numFmtId="49" fontId="40" fillId="24" borderId="16" applyAlignment="1" pivotButton="0" quotePrefix="0" xfId="0">
      <alignment horizontal="center" vertical="center"/>
    </xf>
    <xf numFmtId="49" fontId="40" fillId="24" borderId="14" applyAlignment="1" pivotButton="0" quotePrefix="0" xfId="0">
      <alignment horizontal="center" vertical="center"/>
    </xf>
    <xf numFmtId="49" fontId="40" fillId="24" borderId="15" applyAlignment="1" pivotButton="0" quotePrefix="0" xfId="0">
      <alignment horizontal="center" vertical="center"/>
    </xf>
    <xf numFmtId="49" fontId="43" fillId="0" borderId="61" applyAlignment="1" pivotButton="0" quotePrefix="0" xfId="0">
      <alignment horizontal="distributed" vertical="center" wrapText="1" indent="1"/>
    </xf>
    <xf numFmtId="49" fontId="43" fillId="0" borderId="14" applyAlignment="1" pivotButton="0" quotePrefix="0" xfId="0">
      <alignment horizontal="distributed" vertical="center" wrapText="1" indent="1"/>
    </xf>
    <xf numFmtId="49" fontId="43" fillId="0" borderId="23" applyAlignment="1" pivotButton="0" quotePrefix="0" xfId="0">
      <alignment horizontal="distributed" vertical="center" wrapText="1" indent="1"/>
    </xf>
    <xf numFmtId="164" fontId="43" fillId="0" borderId="16" applyAlignment="1" pivotButton="0" quotePrefix="0" xfId="0">
      <alignment horizontal="center" vertical="center" shrinkToFit="1"/>
    </xf>
    <xf numFmtId="164" fontId="43" fillId="0" borderId="14" applyAlignment="1" pivotButton="0" quotePrefix="0" xfId="0">
      <alignment horizontal="center" vertical="center" shrinkToFit="1"/>
    </xf>
    <xf numFmtId="164" fontId="43" fillId="0" borderId="23" applyAlignment="1" pivotButton="0" quotePrefix="0" xfId="0">
      <alignment horizontal="center" vertical="center" shrinkToFit="1"/>
    </xf>
    <xf numFmtId="49" fontId="23" fillId="0" borderId="16" applyAlignment="1" pivotButton="0" quotePrefix="0" xfId="0">
      <alignment horizontal="right" vertical="center" shrinkToFit="1"/>
    </xf>
    <xf numFmtId="49" fontId="23" fillId="0" borderId="14" applyAlignment="1" pivotButton="0" quotePrefix="0" xfId="0">
      <alignment horizontal="right" vertical="center" shrinkToFit="1"/>
    </xf>
    <xf numFmtId="164" fontId="43" fillId="0" borderId="14" applyAlignment="1" pivotButton="0" quotePrefix="0" xfId="0">
      <alignment horizontal="left" vertical="center" shrinkToFit="1"/>
    </xf>
    <xf numFmtId="164" fontId="43" fillId="0" borderId="23" applyAlignment="1" pivotButton="0" quotePrefix="0" xfId="0">
      <alignment horizontal="left" vertical="center" shrinkToFit="1"/>
    </xf>
    <xf numFmtId="164" fontId="23" fillId="24" borderId="16" applyAlignment="1" pivotButton="0" quotePrefix="0" xfId="0">
      <alignment horizontal="center" vertical="center" shrinkToFit="1"/>
    </xf>
    <xf numFmtId="164" fontId="23" fillId="24" borderId="14" applyAlignment="1" pivotButton="0" quotePrefix="0" xfId="0">
      <alignment horizontal="center" vertical="center" shrinkToFit="1"/>
    </xf>
    <xf numFmtId="164" fontId="23" fillId="24" borderId="15" applyAlignment="1" pivotButton="0" quotePrefix="0" xfId="0">
      <alignment horizontal="center" vertical="center" shrinkToFit="1"/>
    </xf>
    <xf numFmtId="49" fontId="40" fillId="0" borderId="195" applyAlignment="1" pivotButton="0" quotePrefix="0" xfId="0">
      <alignment horizontal="left" vertical="center" textRotation="255"/>
    </xf>
    <xf numFmtId="49" fontId="40" fillId="0" borderId="199" applyAlignment="1" pivotButton="0" quotePrefix="0" xfId="0">
      <alignment horizontal="left" vertical="center" textRotation="255"/>
    </xf>
    <xf numFmtId="49" fontId="21" fillId="0" borderId="217" applyAlignment="1" pivotButton="0" quotePrefix="0" xfId="0">
      <alignment horizontal="left" vertical="center" wrapText="1"/>
    </xf>
    <xf numFmtId="49" fontId="21" fillId="0" borderId="172" applyAlignment="1" pivotButton="0" quotePrefix="0" xfId="0">
      <alignment horizontal="left" vertical="center" wrapText="1"/>
    </xf>
    <xf numFmtId="49" fontId="21" fillId="0" borderId="173" applyAlignment="1" pivotButton="0" quotePrefix="0" xfId="0">
      <alignment horizontal="left" vertical="center" wrapText="1"/>
    </xf>
    <xf numFmtId="49" fontId="21" fillId="0" borderId="218" applyAlignment="1" pivotButton="0" quotePrefix="0" xfId="0">
      <alignment horizontal="left" vertical="center" wrapText="1"/>
    </xf>
    <xf numFmtId="49" fontId="21" fillId="0" borderId="68" applyAlignment="1" pivotButton="0" quotePrefix="0" xfId="0">
      <alignment horizontal="left" vertical="center" wrapText="1"/>
    </xf>
    <xf numFmtId="49" fontId="21" fillId="0" borderId="70" applyAlignment="1" pivotButton="0" quotePrefix="0" xfId="0">
      <alignment horizontal="left" vertical="center" wrapText="1"/>
    </xf>
    <xf numFmtId="49" fontId="40" fillId="0" borderId="141" applyAlignment="1" pivotButton="0" quotePrefix="0" xfId="0">
      <alignment horizontal="center" vertical="center"/>
    </xf>
    <xf numFmtId="49" fontId="40" fillId="0" borderId="140" applyAlignment="1" pivotButton="0" quotePrefix="0" xfId="0">
      <alignment horizontal="center" vertical="center"/>
    </xf>
    <xf numFmtId="49" fontId="40" fillId="0" borderId="44" applyAlignment="1" pivotButton="0" quotePrefix="0" xfId="0">
      <alignment horizontal="center" vertical="center" wrapText="1"/>
    </xf>
    <xf numFmtId="49" fontId="40" fillId="0" borderId="170" applyAlignment="1" pivotButton="0" quotePrefix="0" xfId="0">
      <alignment horizontal="center" vertical="center"/>
    </xf>
    <xf numFmtId="49" fontId="44" fillId="0" borderId="169" applyAlignment="1" pivotButton="0" quotePrefix="0" xfId="0">
      <alignment vertical="center" textRotation="255" shrinkToFit="1"/>
    </xf>
    <xf numFmtId="49" fontId="40" fillId="0" borderId="139" applyAlignment="1" pivotButton="0" quotePrefix="0" xfId="0">
      <alignment horizontal="center" vertical="center"/>
    </xf>
    <xf numFmtId="0" fontId="0" fillId="0" borderId="145" applyAlignment="1" pivotButton="0" quotePrefix="0" xfId="0">
      <alignment vertical="center"/>
    </xf>
    <xf numFmtId="0" fontId="0" fillId="0" borderId="144" applyAlignment="1" pivotButton="0" quotePrefix="0" xfId="0">
      <alignment vertical="center"/>
    </xf>
    <xf numFmtId="0" fontId="0" fillId="0" borderId="48" applyAlignment="1" pivotButton="0" quotePrefix="0" xfId="0">
      <alignment vertical="center"/>
    </xf>
    <xf numFmtId="0" fontId="0" fillId="0" borderId="30" applyAlignment="1" pivotButton="0" quotePrefix="0" xfId="0">
      <alignment vertical="center"/>
    </xf>
    <xf numFmtId="0" fontId="0" fillId="0" borderId="149" applyAlignment="1" pivotButton="0" quotePrefix="0" xfId="0">
      <alignment vertical="center"/>
    </xf>
    <xf numFmtId="0" fontId="0" fillId="0" borderId="13" applyAlignment="1" pivotButton="0" quotePrefix="0" xfId="0">
      <alignment vertical="center"/>
    </xf>
    <xf numFmtId="0" fontId="0" fillId="0" borderId="49" applyAlignment="1" pivotButton="0" quotePrefix="0" xfId="0">
      <alignment vertical="center"/>
    </xf>
    <xf numFmtId="49" fontId="44" fillId="0" borderId="18" applyAlignment="1" pivotButton="0" quotePrefix="0" xfId="0">
      <alignment horizontal="distributed" vertical="center" wrapText="1"/>
    </xf>
    <xf numFmtId="49" fontId="44" fillId="0" borderId="12" applyAlignment="1" pivotButton="0" quotePrefix="0" xfId="0">
      <alignment horizontal="distributed" vertical="center" wrapText="1"/>
    </xf>
    <xf numFmtId="49" fontId="44" fillId="0" borderId="19" applyAlignment="1" pivotButton="0" quotePrefix="0" xfId="0">
      <alignment horizontal="distributed" vertical="center" wrapText="1"/>
    </xf>
    <xf numFmtId="49" fontId="44" fillId="0" borderId="20" applyAlignment="1" pivotButton="0" quotePrefix="0" xfId="0">
      <alignment horizontal="distributed" vertical="center" wrapText="1"/>
    </xf>
    <xf numFmtId="49" fontId="44" fillId="0" borderId="21" applyAlignment="1" pivotButton="0" quotePrefix="0" xfId="0">
      <alignment horizontal="distributed" vertical="center" wrapText="1"/>
    </xf>
    <xf numFmtId="49" fontId="44" fillId="0" borderId="22" applyAlignment="1" pivotButton="0" quotePrefix="0" xfId="0">
      <alignment horizontal="distributed" vertical="center" wrapText="1"/>
    </xf>
    <xf numFmtId="49" fontId="21" fillId="0" borderId="18" applyAlignment="1" pivotButton="0" quotePrefix="0" xfId="0">
      <alignment horizontal="right" vertical="center" indent="1"/>
    </xf>
    <xf numFmtId="49" fontId="21" fillId="0" borderId="12" applyAlignment="1" pivotButton="0" quotePrefix="0" xfId="0">
      <alignment horizontal="right" vertical="center" indent="1"/>
    </xf>
    <xf numFmtId="49" fontId="52" fillId="0" borderId="18" applyAlignment="1" pivotButton="0" quotePrefix="0" xfId="0">
      <alignment horizontal="distributed" vertical="center"/>
    </xf>
    <xf numFmtId="49" fontId="52" fillId="0" borderId="12" applyAlignment="1" pivotButton="0" quotePrefix="0" xfId="0">
      <alignment horizontal="distributed" vertical="center"/>
    </xf>
    <xf numFmtId="49" fontId="52" fillId="0" borderId="104" applyAlignment="1" pivotButton="0" quotePrefix="0" xfId="0">
      <alignment horizontal="distributed" vertical="center"/>
    </xf>
    <xf numFmtId="49" fontId="23" fillId="0" borderId="219" applyAlignment="1" pivotButton="0" quotePrefix="0" xfId="0">
      <alignment horizontal="right" vertical="center" indent="1"/>
    </xf>
    <xf numFmtId="49" fontId="23" fillId="0" borderId="220" applyAlignment="1" pivotButton="0" quotePrefix="0" xfId="0">
      <alignment horizontal="right" vertical="center" indent="1"/>
    </xf>
    <xf numFmtId="49" fontId="39" fillId="24" borderId="18" applyAlignment="1" pivotButton="0" quotePrefix="0" xfId="0">
      <alignment horizontal="left" vertical="center"/>
    </xf>
    <xf numFmtId="49" fontId="39" fillId="24" borderId="12" applyAlignment="1" pivotButton="0" quotePrefix="0" xfId="0">
      <alignment horizontal="left" vertical="center"/>
    </xf>
    <xf numFmtId="49" fontId="39" fillId="24" borderId="13" applyAlignment="1" pivotButton="0" quotePrefix="0" xfId="0">
      <alignment horizontal="left" vertical="center"/>
    </xf>
    <xf numFmtId="49" fontId="40" fillId="25" borderId="20" applyAlignment="1" pivotButton="0" quotePrefix="0" xfId="0">
      <alignment horizontal="left" vertical="center"/>
    </xf>
    <xf numFmtId="49" fontId="40" fillId="25" borderId="22" applyAlignment="1" pivotButton="0" quotePrefix="0" xfId="0">
      <alignment horizontal="center" vertical="center"/>
    </xf>
    <xf numFmtId="49" fontId="43" fillId="24" borderId="18" applyAlignment="1" pivotButton="0" quotePrefix="0" xfId="0">
      <alignment horizontal="center" vertical="center"/>
    </xf>
    <xf numFmtId="49" fontId="43" fillId="24" borderId="12" applyAlignment="1" pivotButton="0" quotePrefix="0" xfId="0">
      <alignment horizontal="center" vertical="center"/>
    </xf>
    <xf numFmtId="49" fontId="43" fillId="24" borderId="13" applyAlignment="1" pivotButton="0" quotePrefix="0" xfId="0">
      <alignment horizontal="center" vertical="center"/>
    </xf>
    <xf numFmtId="49" fontId="43" fillId="24" borderId="27" applyAlignment="1" pivotButton="0" quotePrefix="0" xfId="0">
      <alignment horizontal="center" vertical="center"/>
    </xf>
    <xf numFmtId="49" fontId="43" fillId="24" borderId="0" applyAlignment="1" pivotButton="0" quotePrefix="0" xfId="0">
      <alignment horizontal="center" vertical="center"/>
    </xf>
    <xf numFmtId="49" fontId="43" fillId="24" borderId="48" applyAlignment="1" pivotButton="0" quotePrefix="0" xfId="0">
      <alignment horizontal="center" vertical="center"/>
    </xf>
    <xf numFmtId="49" fontId="43" fillId="24" borderId="20" applyAlignment="1" pivotButton="0" quotePrefix="0" xfId="0">
      <alignment horizontal="center" vertical="center"/>
    </xf>
    <xf numFmtId="49" fontId="43" fillId="24" borderId="21" applyAlignment="1" pivotButton="0" quotePrefix="0" xfId="0">
      <alignment horizontal="center" vertical="center"/>
    </xf>
    <xf numFmtId="49" fontId="43" fillId="24" borderId="49" applyAlignment="1" pivotButton="0" quotePrefix="0" xfId="0">
      <alignment horizontal="center" vertical="center"/>
    </xf>
    <xf numFmtId="49" fontId="40" fillId="0" borderId="0" applyAlignment="1" pivotButton="0" quotePrefix="0" xfId="0">
      <alignment horizontal="distributed" vertical="center" shrinkToFit="1"/>
    </xf>
    <xf numFmtId="49" fontId="40" fillId="25" borderId="21" applyAlignment="1" pivotButton="0" quotePrefix="0" xfId="0">
      <alignment horizontal="center" vertical="center"/>
    </xf>
    <xf numFmtId="49" fontId="21" fillId="0" borderId="18" applyAlignment="1" pivotButton="0" quotePrefix="0" xfId="0">
      <alignment horizontal="left" vertical="center" shrinkToFit="1"/>
    </xf>
    <xf numFmtId="49" fontId="21" fillId="0" borderId="12" applyAlignment="1" pivotButton="0" quotePrefix="0" xfId="0">
      <alignment horizontal="left" vertical="center" shrinkToFit="1"/>
    </xf>
    <xf numFmtId="49" fontId="21" fillId="0" borderId="13" applyAlignment="1" pivotButton="0" quotePrefix="0" xfId="0">
      <alignment horizontal="left" vertical="center" shrinkToFit="1"/>
    </xf>
    <xf numFmtId="49" fontId="21" fillId="0" borderId="20" applyAlignment="1" pivotButton="0" quotePrefix="0" xfId="0">
      <alignment horizontal="left" vertical="center" shrinkToFit="1"/>
    </xf>
    <xf numFmtId="49" fontId="21" fillId="0" borderId="49" applyAlignment="1" pivotButton="0" quotePrefix="0" xfId="0">
      <alignment horizontal="left" vertical="center" shrinkToFit="1"/>
    </xf>
    <xf numFmtId="49" fontId="44" fillId="0" borderId="42" applyAlignment="1" pivotButton="0" quotePrefix="0" xfId="0">
      <alignment horizontal="distributed" vertical="center" wrapText="1" shrinkToFit="1"/>
    </xf>
    <xf numFmtId="49" fontId="44" fillId="0" borderId="12" applyAlignment="1" pivotButton="0" quotePrefix="0" xfId="0">
      <alignment horizontal="distributed" vertical="center" wrapText="1" shrinkToFit="1"/>
    </xf>
    <xf numFmtId="49" fontId="44" fillId="0" borderId="43" applyAlignment="1" pivotButton="0" quotePrefix="0" xfId="0">
      <alignment horizontal="distributed" vertical="center" wrapText="1" shrinkToFit="1"/>
    </xf>
    <xf numFmtId="49" fontId="44" fillId="0" borderId="0" applyAlignment="1" pivotButton="0" quotePrefix="0" xfId="0">
      <alignment horizontal="distributed" vertical="center" wrapText="1" shrinkToFit="1"/>
    </xf>
    <xf numFmtId="49" fontId="21" fillId="0" borderId="0" applyAlignment="1" pivotButton="0" quotePrefix="0" xfId="0">
      <alignment horizontal="center" vertical="center" wrapText="1"/>
    </xf>
    <xf numFmtId="49" fontId="43" fillId="0" borderId="66" applyAlignment="1" pivotButton="0" quotePrefix="0" xfId="0">
      <alignment horizontal="center" vertical="center" textRotation="255" wrapText="1"/>
    </xf>
    <xf numFmtId="49" fontId="40" fillId="0" borderId="13" applyAlignment="1" pivotButton="0" quotePrefix="0" xfId="0">
      <alignment horizontal="center" vertical="center"/>
    </xf>
    <xf numFmtId="49" fontId="40" fillId="0" borderId="48" applyAlignment="1" pivotButton="0" quotePrefix="0" xfId="0">
      <alignment horizontal="center" vertical="center"/>
    </xf>
    <xf numFmtId="49" fontId="44" fillId="0" borderId="42" applyAlignment="1" pivotButton="0" quotePrefix="0" xfId="0">
      <alignment horizontal="distributed" vertical="center" shrinkToFit="1"/>
    </xf>
    <xf numFmtId="49" fontId="44" fillId="0" borderId="12" applyAlignment="1" pivotButton="0" quotePrefix="0" xfId="0">
      <alignment horizontal="distributed" vertical="center" shrinkToFit="1"/>
    </xf>
    <xf numFmtId="49" fontId="44" fillId="0" borderId="43" applyAlignment="1" pivotButton="0" quotePrefix="0" xfId="0">
      <alignment horizontal="distributed" vertical="center" shrinkToFit="1"/>
    </xf>
    <xf numFmtId="49" fontId="44" fillId="0" borderId="66" applyAlignment="1" pivotButton="0" quotePrefix="0" xfId="0">
      <alignment horizontal="distributed" vertical="center" shrinkToFit="1"/>
    </xf>
    <xf numFmtId="49" fontId="44" fillId="0" borderId="21" applyAlignment="1" pivotButton="0" quotePrefix="0" xfId="0">
      <alignment horizontal="distributed" vertical="center" shrinkToFit="1"/>
    </xf>
    <xf numFmtId="49" fontId="44" fillId="0" borderId="18" applyAlignment="1" pivotButton="0" quotePrefix="0" xfId="0">
      <alignment horizontal="center" vertical="center" wrapText="1" shrinkToFit="1"/>
    </xf>
    <xf numFmtId="49" fontId="44" fillId="0" borderId="12" applyAlignment="1" pivotButton="0" quotePrefix="0" xfId="0">
      <alignment horizontal="center" vertical="center" wrapText="1" shrinkToFit="1"/>
    </xf>
    <xf numFmtId="49" fontId="44" fillId="0" borderId="19" applyAlignment="1" pivotButton="0" quotePrefix="0" xfId="0">
      <alignment horizontal="center" vertical="center" wrapText="1" shrinkToFit="1"/>
    </xf>
    <xf numFmtId="49" fontId="44" fillId="0" borderId="27" applyAlignment="1" pivotButton="0" quotePrefix="0" xfId="0">
      <alignment horizontal="center" vertical="center" wrapText="1" shrinkToFit="1"/>
    </xf>
    <xf numFmtId="49" fontId="44" fillId="0" borderId="20" applyAlignment="1" pivotButton="0" quotePrefix="0" xfId="0">
      <alignment horizontal="center" vertical="center" wrapText="1" shrinkToFit="1"/>
    </xf>
    <xf numFmtId="164" fontId="43" fillId="0" borderId="19" applyAlignment="1" pivotButton="0" quotePrefix="0" xfId="0">
      <alignment horizontal="left" vertical="center" shrinkToFit="1"/>
    </xf>
    <xf numFmtId="164" fontId="43" fillId="0" borderId="28" applyAlignment="1" pivotButton="0" quotePrefix="0" xfId="0">
      <alignment horizontal="left" vertical="center" shrinkToFit="1"/>
    </xf>
    <xf numFmtId="164" fontId="43" fillId="0" borderId="22" applyAlignment="1" pivotButton="0" quotePrefix="0" xfId="0">
      <alignment horizontal="left" vertical="center" shrinkToFit="1"/>
    </xf>
    <xf numFmtId="164" fontId="23" fillId="24" borderId="18" applyAlignment="1" pivotButton="0" quotePrefix="0" xfId="0">
      <alignment horizontal="center" vertical="center" shrinkToFit="1"/>
    </xf>
    <xf numFmtId="164" fontId="23" fillId="24" borderId="12" applyAlignment="1" pivotButton="0" quotePrefix="0" xfId="0">
      <alignment horizontal="center" vertical="center" shrinkToFit="1"/>
    </xf>
    <xf numFmtId="164" fontId="23" fillId="24" borderId="13" applyAlignment="1" pivotButton="0" quotePrefix="0" xfId="0">
      <alignment horizontal="center" vertical="center" shrinkToFit="1"/>
    </xf>
    <xf numFmtId="164" fontId="23" fillId="24" borderId="27" applyAlignment="1" pivotButton="0" quotePrefix="0" xfId="0">
      <alignment horizontal="center" vertical="center" shrinkToFit="1"/>
    </xf>
    <xf numFmtId="164" fontId="23" fillId="24" borderId="0" applyAlignment="1" pivotButton="0" quotePrefix="0" xfId="0">
      <alignment horizontal="center" vertical="center" shrinkToFit="1"/>
    </xf>
    <xf numFmtId="164" fontId="23" fillId="24" borderId="48" applyAlignment="1" pivotButton="0" quotePrefix="0" xfId="0">
      <alignment horizontal="center" vertical="center" shrinkToFit="1"/>
    </xf>
    <xf numFmtId="164" fontId="23" fillId="24" borderId="20" applyAlignment="1" pivotButton="0" quotePrefix="0" xfId="0">
      <alignment horizontal="center" vertical="center" shrinkToFit="1"/>
    </xf>
    <xf numFmtId="164" fontId="23" fillId="24" borderId="21" applyAlignment="1" pivotButton="0" quotePrefix="0" xfId="0">
      <alignment horizontal="center" vertical="center" shrinkToFit="1"/>
    </xf>
    <xf numFmtId="164" fontId="23" fillId="24" borderId="49" applyAlignment="1" pivotButton="0" quotePrefix="0" xfId="0">
      <alignment horizontal="center" vertical="center" shrinkToFit="1"/>
    </xf>
    <xf numFmtId="49" fontId="43" fillId="0" borderId="21" applyAlignment="1" pivotButton="0" quotePrefix="0" xfId="0">
      <alignment horizontal="center" vertical="center" textRotation="255" wrapText="1"/>
    </xf>
    <xf numFmtId="49" fontId="20" fillId="0" borderId="16" applyAlignment="1" pivotButton="0" quotePrefix="0" xfId="0">
      <alignment horizontal="right" vertical="center"/>
    </xf>
    <xf numFmtId="49" fontId="20" fillId="0" borderId="14" applyAlignment="1" pivotButton="0" quotePrefix="0" xfId="0">
      <alignment horizontal="right" vertical="center"/>
    </xf>
    <xf numFmtId="49" fontId="40" fillId="0" borderId="14" applyAlignment="1" pivotButton="0" quotePrefix="0" xfId="0">
      <alignment horizontal="right" vertical="center"/>
    </xf>
    <xf numFmtId="49" fontId="40" fillId="0" borderId="14" applyAlignment="1" pivotButton="0" quotePrefix="0" xfId="0">
      <alignment horizontal="left" vertical="center"/>
    </xf>
    <xf numFmtId="49" fontId="21" fillId="0" borderId="222" applyAlignment="1" pivotButton="0" quotePrefix="0" xfId="0">
      <alignment horizontal="center" vertical="center"/>
    </xf>
    <xf numFmtId="49" fontId="21" fillId="0" borderId="26" applyAlignment="1" pivotButton="0" quotePrefix="0" xfId="0">
      <alignment horizontal="center" vertical="center"/>
    </xf>
    <xf numFmtId="49" fontId="43" fillId="0" borderId="220" applyAlignment="1" pivotButton="0" quotePrefix="0" xfId="0">
      <alignment horizontal="distributed" vertical="center"/>
    </xf>
    <xf numFmtId="49" fontId="43" fillId="0" borderId="220" applyAlignment="1" pivotButton="0" quotePrefix="0" xfId="0">
      <alignment horizontal="left" vertical="center"/>
    </xf>
    <xf numFmtId="49" fontId="43" fillId="0" borderId="201" applyAlignment="1" pivotButton="0" quotePrefix="0" xfId="0">
      <alignment horizontal="left" vertical="center"/>
    </xf>
    <xf numFmtId="49" fontId="40" fillId="0" borderId="39" applyAlignment="1" pivotButton="0" quotePrefix="0" xfId="0">
      <alignment horizontal="distributed" vertical="center" wrapText="1"/>
    </xf>
    <xf numFmtId="49" fontId="40" fillId="0" borderId="40" applyAlignment="1" pivotButton="0" quotePrefix="0" xfId="0">
      <alignment horizontal="distributed" vertical="center" wrapText="1"/>
    </xf>
    <xf numFmtId="49" fontId="40" fillId="0" borderId="221" applyAlignment="1" pivotButton="0" quotePrefix="0" xfId="0">
      <alignment horizontal="distributed" vertical="center" wrapText="1"/>
    </xf>
    <xf numFmtId="49" fontId="40" fillId="0" borderId="41" applyAlignment="1" pivotButton="0" quotePrefix="0" xfId="0">
      <alignment horizontal="distributed" vertical="center" wrapText="1"/>
    </xf>
    <xf numFmtId="49" fontId="22" fillId="0" borderId="23" applyAlignment="1" pivotButton="0" quotePrefix="0" xfId="0">
      <alignment horizontal="left" vertical="center" wrapText="1"/>
    </xf>
    <xf numFmtId="169" fontId="23" fillId="0" borderId="18" applyAlignment="1" pivotButton="0" quotePrefix="0" xfId="0">
      <alignment horizontal="center" vertical="center" shrinkToFit="1"/>
    </xf>
    <xf numFmtId="169" fontId="23" fillId="0" borderId="12" applyAlignment="1" pivotButton="0" quotePrefix="0" xfId="0">
      <alignment horizontal="center" vertical="center" shrinkToFit="1"/>
    </xf>
    <xf numFmtId="169" fontId="23" fillId="0" borderId="19" applyAlignment="1" pivotButton="0" quotePrefix="0" xfId="0">
      <alignment horizontal="center" vertical="center" shrinkToFit="1"/>
    </xf>
    <xf numFmtId="169" fontId="23" fillId="0" borderId="13" applyAlignment="1" pivotButton="0" quotePrefix="0" xfId="0">
      <alignment horizontal="center" vertical="center" shrinkToFit="1"/>
    </xf>
    <xf numFmtId="49" fontId="40" fillId="0" borderId="72" applyAlignment="1" pivotButton="0" quotePrefix="0" xfId="0">
      <alignment horizontal="center" vertical="center" textRotation="255"/>
    </xf>
    <xf numFmtId="49" fontId="40" fillId="0" borderId="188" applyAlignment="1" pivotButton="0" quotePrefix="0" xfId="0">
      <alignment horizontal="center" vertical="center" textRotation="255"/>
    </xf>
    <xf numFmtId="49" fontId="39" fillId="0" borderId="18" applyAlignment="1" pivotButton="0" quotePrefix="0" xfId="0">
      <alignment horizontal="right" vertical="center" indent="1"/>
    </xf>
    <xf numFmtId="49" fontId="39" fillId="0" borderId="12" applyAlignment="1" pivotButton="0" quotePrefix="0" xfId="0">
      <alignment horizontal="right" vertical="center" indent="1"/>
    </xf>
    <xf numFmtId="49" fontId="40" fillId="0" borderId="189" applyAlignment="1" pivotButton="0" quotePrefix="0" xfId="0">
      <alignment horizontal="center" vertical="center"/>
    </xf>
    <xf numFmtId="49" fontId="40" fillId="0" borderId="17" applyAlignment="1" pivotButton="0" quotePrefix="0" xfId="0">
      <alignment horizontal="center" vertical="center"/>
    </xf>
    <xf numFmtId="49" fontId="40" fillId="0" borderId="188" applyAlignment="1" pivotButton="0" quotePrefix="0" xfId="0">
      <alignment horizontal="center" vertical="center"/>
    </xf>
    <xf numFmtId="49" fontId="40" fillId="0" borderId="207" applyAlignment="1" pivotButton="0" quotePrefix="0" xfId="0">
      <alignment horizontal="left" vertical="center" textRotation="255"/>
    </xf>
    <xf numFmtId="49" fontId="21" fillId="0" borderId="223" applyAlignment="1" pivotButton="0" quotePrefix="0" xfId="0">
      <alignment horizontal="left" vertical="center" wrapText="1"/>
    </xf>
    <xf numFmtId="49" fontId="21" fillId="0" borderId="45" applyAlignment="1" pivotButton="0" quotePrefix="0" xfId="0">
      <alignment horizontal="left" vertical="center" wrapText="1"/>
    </xf>
    <xf numFmtId="49" fontId="21" fillId="0" borderId="47" applyAlignment="1" pivotButton="0" quotePrefix="0" xfId="0">
      <alignment horizontal="left" vertical="center" wrapText="1"/>
    </xf>
    <xf numFmtId="49" fontId="40" fillId="0" borderId="224" applyAlignment="1" pivotButton="0" quotePrefix="0" xfId="0">
      <alignment horizontal="center" vertical="center"/>
    </xf>
    <xf numFmtId="49" fontId="40" fillId="0" borderId="192" applyAlignment="1" pivotButton="0" quotePrefix="0" xfId="0">
      <alignment horizontal="center" vertical="center"/>
    </xf>
    <xf numFmtId="49" fontId="40" fillId="0" borderId="225" applyAlignment="1" pivotButton="0" quotePrefix="0" xfId="0">
      <alignment horizontal="center" vertical="center"/>
    </xf>
    <xf numFmtId="49" fontId="40" fillId="0" borderId="193" applyAlignment="1" pivotButton="0" quotePrefix="0" xfId="0">
      <alignment horizontal="center" vertical="center"/>
    </xf>
    <xf numFmtId="49" fontId="40" fillId="0" borderId="226" applyAlignment="1" pivotButton="0" quotePrefix="0" xfId="0">
      <alignment horizontal="center" vertical="center"/>
    </xf>
    <xf numFmtId="49" fontId="40" fillId="0" borderId="194" applyAlignment="1" pivotButton="0" quotePrefix="0" xfId="0">
      <alignment horizontal="center" vertical="center"/>
    </xf>
    <xf numFmtId="49" fontId="59" fillId="0" borderId="219" applyAlignment="1" pivotButton="0" quotePrefix="0" xfId="0">
      <alignment horizontal="right" vertical="center" indent="1"/>
    </xf>
    <xf numFmtId="49" fontId="59" fillId="0" borderId="220" applyAlignment="1" pivotButton="0" quotePrefix="0" xfId="0">
      <alignment horizontal="right" vertical="center" indent="1"/>
    </xf>
    <xf numFmtId="49" fontId="25" fillId="0" borderId="67" applyAlignment="1" pivotButton="0" quotePrefix="0" xfId="0">
      <alignment horizontal="left" vertical="center"/>
    </xf>
    <xf numFmtId="49" fontId="25" fillId="0" borderId="68" applyAlignment="1" pivotButton="0" quotePrefix="0" xfId="0">
      <alignment horizontal="left" vertical="center"/>
    </xf>
    <xf numFmtId="49" fontId="25" fillId="0" borderId="70" applyAlignment="1" pivotButton="0" quotePrefix="0" xfId="0">
      <alignment horizontal="left" vertical="center"/>
    </xf>
    <xf numFmtId="49" fontId="23" fillId="0" borderId="16" applyAlignment="1" pivotButton="0" quotePrefix="0" xfId="0">
      <alignment horizontal="center" vertical="center" shrinkToFit="1"/>
    </xf>
    <xf numFmtId="49" fontId="23" fillId="0" borderId="14" applyAlignment="1" pivotButton="0" quotePrefix="0" xfId="0">
      <alignment horizontal="center" vertical="center" shrinkToFit="1"/>
    </xf>
    <xf numFmtId="49" fontId="23" fillId="0" borderId="23" applyAlignment="1" pivotButton="0" quotePrefix="0" xfId="0">
      <alignment horizontal="center" vertical="center" shrinkToFit="1"/>
    </xf>
    <xf numFmtId="49" fontId="23" fillId="0" borderId="18" applyAlignment="1" pivotButton="0" quotePrefix="0" xfId="0">
      <alignment horizontal="center" vertical="center" shrinkToFit="1"/>
    </xf>
    <xf numFmtId="49" fontId="23" fillId="0" borderId="12" applyAlignment="1" pivotButton="0" quotePrefix="0" xfId="0">
      <alignment horizontal="center" vertical="center" shrinkToFit="1"/>
    </xf>
    <xf numFmtId="49" fontId="23" fillId="0" borderId="19" applyAlignment="1" pivotButton="0" quotePrefix="0" xfId="0">
      <alignment horizontal="center" vertical="center" shrinkToFit="1"/>
    </xf>
    <xf numFmtId="49" fontId="23" fillId="0" borderId="13" applyAlignment="1" pivotButton="0" quotePrefix="0" xfId="0">
      <alignment horizontal="center" vertical="center" shrinkToFit="1"/>
    </xf>
    <xf numFmtId="49" fontId="40" fillId="0" borderId="18" applyAlignment="1" pivotButton="0" quotePrefix="0" xfId="0">
      <alignment horizontal="right" vertical="center" indent="1"/>
    </xf>
    <xf numFmtId="49" fontId="40" fillId="0" borderId="12" applyAlignment="1" pivotButton="0" quotePrefix="0" xfId="0">
      <alignment horizontal="right" vertical="center" indent="1"/>
    </xf>
    <xf numFmtId="49" fontId="43" fillId="0" borderId="219" applyAlignment="1" pivotButton="0" quotePrefix="0" xfId="0">
      <alignment horizontal="right" vertical="center" indent="1"/>
    </xf>
    <xf numFmtId="49" fontId="43" fillId="0" borderId="220" applyAlignment="1" pivotButton="0" quotePrefix="0" xfId="0">
      <alignment horizontal="right" vertical="center" indent="1"/>
    </xf>
    <xf numFmtId="49" fontId="21" fillId="0" borderId="0" applyAlignment="1" pivotButton="0" quotePrefix="0" xfId="0">
      <alignment horizontal="distributed" vertical="center"/>
    </xf>
    <xf numFmtId="49" fontId="43" fillId="0" borderId="18" applyAlignment="1" pivotButton="0" quotePrefix="0" xfId="0">
      <alignment horizontal="center" vertical="center" wrapText="1"/>
    </xf>
    <xf numFmtId="49" fontId="43" fillId="0" borderId="27" applyAlignment="1" pivotButton="0" quotePrefix="0" xfId="0">
      <alignment horizontal="center" vertical="center" wrapText="1"/>
    </xf>
    <xf numFmtId="49" fontId="43" fillId="0" borderId="28" applyAlignment="1" pivotButton="0" quotePrefix="0" xfId="0">
      <alignment horizontal="center" vertical="center" wrapText="1"/>
    </xf>
    <xf numFmtId="49" fontId="43" fillId="0" borderId="20" applyAlignment="1" pivotButton="0" quotePrefix="0" xfId="0">
      <alignment horizontal="center" vertical="center" wrapText="1"/>
    </xf>
    <xf numFmtId="49" fontId="43" fillId="0" borderId="0" applyAlignment="1" pivotButton="0" quotePrefix="0" xfId="0">
      <alignment horizontal="center" vertical="center"/>
    </xf>
    <xf numFmtId="49" fontId="43" fillId="0" borderId="0" applyAlignment="1" pivotButton="0" quotePrefix="0" xfId="0">
      <alignment horizontal="center" vertical="center" wrapText="1"/>
    </xf>
    <xf numFmtId="49" fontId="52" fillId="0" borderId="18" applyAlignment="1" pivotButton="0" quotePrefix="0" xfId="0">
      <alignment horizontal="center" vertical="center" wrapText="1"/>
    </xf>
    <xf numFmtId="49" fontId="43" fillId="0" borderId="13" applyAlignment="1" pivotButton="0" quotePrefix="0" xfId="0">
      <alignment horizontal="center" vertical="center" wrapText="1"/>
    </xf>
    <xf numFmtId="49" fontId="43" fillId="0" borderId="48" applyAlignment="1" pivotButton="0" quotePrefix="0" xfId="0">
      <alignment horizontal="center" vertical="center" wrapText="1"/>
    </xf>
    <xf numFmtId="49" fontId="43" fillId="0" borderId="49" applyAlignment="1" pivotButton="0" quotePrefix="0" xfId="0">
      <alignment horizontal="center" vertical="center" wrapText="1"/>
    </xf>
    <xf numFmtId="49" fontId="23" fillId="0" borderId="15" applyAlignment="1" pivotButton="0" quotePrefix="0" xfId="0">
      <alignment horizontal="center" vertical="center"/>
    </xf>
    <xf numFmtId="49" fontId="43" fillId="0" borderId="22" applyAlignment="1" pivotButton="0" quotePrefix="0" xfId="0">
      <alignment horizontal="center" vertical="center" shrinkToFit="1"/>
    </xf>
    <xf numFmtId="49" fontId="23" fillId="0" borderId="16" applyAlignment="1" pivotButton="0" quotePrefix="0" xfId="0">
      <alignment horizontal="right" vertical="center"/>
    </xf>
    <xf numFmtId="49" fontId="23" fillId="0" borderId="14" applyAlignment="1" pivotButton="0" quotePrefix="0" xfId="0">
      <alignment horizontal="right" vertical="center"/>
    </xf>
    <xf numFmtId="49" fontId="44" fillId="0" borderId="228" applyAlignment="1" pivotButton="0" quotePrefix="0" xfId="0">
      <alignment horizontal="distributed" vertical="center" wrapText="1"/>
    </xf>
    <xf numFmtId="49" fontId="21" fillId="0" borderId="229" applyAlignment="1" pivotButton="0" quotePrefix="0" xfId="0">
      <alignment horizontal="center" vertical="center"/>
    </xf>
    <xf numFmtId="49" fontId="40" fillId="0" borderId="39" applyAlignment="1" pivotButton="0" quotePrefix="0" xfId="0">
      <alignment horizontal="center" vertical="center" wrapText="1"/>
    </xf>
    <xf numFmtId="49" fontId="40" fillId="0" borderId="40" applyAlignment="1" pivotButton="0" quotePrefix="0" xfId="0">
      <alignment horizontal="center" vertical="center" wrapText="1"/>
    </xf>
    <xf numFmtId="49" fontId="40" fillId="0" borderId="41" applyAlignment="1" pivotButton="0" quotePrefix="0" xfId="0">
      <alignment horizontal="center" vertical="center" wrapText="1"/>
    </xf>
    <xf numFmtId="49" fontId="40" fillId="0" borderId="117" applyAlignment="1" pivotButton="0" quotePrefix="0" xfId="0">
      <alignment horizontal="center" vertical="center" wrapText="1"/>
    </xf>
    <xf numFmtId="49" fontId="40" fillId="0" borderId="118" applyAlignment="1" pivotButton="0" quotePrefix="0" xfId="0">
      <alignment horizontal="center" vertical="center" wrapText="1"/>
    </xf>
    <xf numFmtId="49" fontId="40" fillId="0" borderId="227" applyAlignment="1" pivotButton="0" quotePrefix="0" xfId="0">
      <alignment horizontal="center" vertical="center" wrapText="1"/>
    </xf>
    <xf numFmtId="49" fontId="40" fillId="0" borderId="228" applyAlignment="1" pivotButton="0" quotePrefix="0" xfId="0">
      <alignment horizontal="distributed" vertical="center" wrapText="1"/>
    </xf>
    <xf numFmtId="49" fontId="40" fillId="0" borderId="29" applyAlignment="1" pivotButton="0" quotePrefix="0" xfId="0">
      <alignment horizontal="distributed" vertical="center" wrapText="1"/>
    </xf>
    <xf numFmtId="49" fontId="21" fillId="0" borderId="230" applyAlignment="1" pivotButton="0" quotePrefix="0" xfId="0">
      <alignment horizontal="center" vertical="center"/>
    </xf>
    <xf numFmtId="49" fontId="21" fillId="0" borderId="231" applyAlignment="1" pivotButton="0" quotePrefix="0" xfId="0">
      <alignment horizontal="center" vertical="center"/>
    </xf>
    <xf numFmtId="49" fontId="21" fillId="0" borderId="232" applyAlignment="1" pivotButton="0" quotePrefix="0" xfId="0">
      <alignment horizontal="center" vertical="center"/>
    </xf>
    <xf numFmtId="49" fontId="38" fillId="0" borderId="188" applyAlignment="1" pivotButton="0" quotePrefix="0" xfId="0">
      <alignment vertical="center"/>
    </xf>
    <xf numFmtId="49" fontId="21" fillId="0" borderId="48" applyAlignment="1" pivotButton="0" quotePrefix="0" xfId="0">
      <alignment horizontal="center" vertical="center" wrapText="1"/>
    </xf>
    <xf numFmtId="49" fontId="23" fillId="0" borderId="0" applyAlignment="1" pivotButton="0" quotePrefix="0" xfId="0">
      <alignment horizontal="left" vertical="center"/>
    </xf>
    <xf numFmtId="49" fontId="21" fillId="0" borderId="113" applyAlignment="1" pivotButton="0" quotePrefix="0" xfId="0">
      <alignment horizontal="center" vertical="center" wrapText="1"/>
    </xf>
    <xf numFmtId="49" fontId="21" fillId="0" borderId="14" applyAlignment="1" pivotButton="0" quotePrefix="0" xfId="0">
      <alignment horizontal="center" vertical="center" wrapText="1"/>
    </xf>
    <xf numFmtId="49" fontId="21" fillId="0" borderId="15" applyAlignment="1" pivotButton="0" quotePrefix="0" xfId="0">
      <alignment horizontal="center" vertical="center" wrapText="1"/>
    </xf>
    <xf numFmtId="49" fontId="21" fillId="0" borderId="115" applyAlignment="1" pivotButton="0" quotePrefix="0" xfId="0">
      <alignment horizontal="center" vertical="center" wrapText="1"/>
    </xf>
    <xf numFmtId="49" fontId="21" fillId="0" borderId="40" applyAlignment="1" pivotButton="0" quotePrefix="0" xfId="0">
      <alignment horizontal="center" vertical="center" wrapText="1"/>
    </xf>
    <xf numFmtId="49" fontId="21" fillId="0" borderId="116" applyAlignment="1" pivotButton="0" quotePrefix="0" xfId="0">
      <alignment horizontal="center" vertical="center" wrapText="1"/>
    </xf>
    <xf numFmtId="49" fontId="22" fillId="0" borderId="0" applyAlignment="1" pivotButton="0" quotePrefix="0" xfId="0">
      <alignment horizontal="center" vertical="center" wrapText="1"/>
    </xf>
    <xf numFmtId="49" fontId="22" fillId="0" borderId="48" applyAlignment="1" pivotButton="0" quotePrefix="0" xfId="0">
      <alignment horizontal="center" vertical="center" wrapText="1"/>
    </xf>
    <xf numFmtId="49" fontId="22" fillId="0" borderId="21" applyAlignment="1" pivotButton="0" quotePrefix="0" xfId="0">
      <alignment horizontal="center" vertical="center" wrapText="1"/>
    </xf>
    <xf numFmtId="49" fontId="22" fillId="0" borderId="49" applyAlignment="1" pivotButton="0" quotePrefix="0" xfId="0">
      <alignment horizontal="center" vertical="center" wrapText="1"/>
    </xf>
    <xf numFmtId="49" fontId="44" fillId="0" borderId="12" applyAlignment="1" pivotButton="0" quotePrefix="0" xfId="0">
      <alignment horizontal="center" vertical="center" textRotation="255" wrapText="1"/>
    </xf>
    <xf numFmtId="49" fontId="44" fillId="0" borderId="0" applyAlignment="1" pivotButton="0" quotePrefix="0" xfId="0">
      <alignment horizontal="center" vertical="center" textRotation="255" wrapText="1"/>
    </xf>
    <xf numFmtId="49" fontId="44" fillId="0" borderId="21" applyAlignment="1" pivotButton="0" quotePrefix="0" xfId="0">
      <alignment horizontal="center" vertical="center" textRotation="255" wrapText="1"/>
    </xf>
    <xf numFmtId="49" fontId="64" fillId="0" borderId="18" applyAlignment="1" pivotButton="0" quotePrefix="0" xfId="0">
      <alignment horizontal="left" vertical="center" wrapText="1"/>
    </xf>
    <xf numFmtId="49" fontId="64" fillId="0" borderId="12" applyAlignment="1" pivotButton="0" quotePrefix="0" xfId="0">
      <alignment horizontal="left" vertical="center" wrapText="1"/>
    </xf>
    <xf numFmtId="49" fontId="64" fillId="0" borderId="13" applyAlignment="1" pivotButton="0" quotePrefix="0" xfId="0">
      <alignment horizontal="left" vertical="center" wrapText="1"/>
    </xf>
    <xf numFmtId="49" fontId="64" fillId="0" borderId="20" applyAlignment="1" pivotButton="0" quotePrefix="0" xfId="0">
      <alignment horizontal="left" vertical="center" wrapText="1"/>
    </xf>
    <xf numFmtId="49" fontId="64" fillId="0" borderId="21" applyAlignment="1" pivotButton="0" quotePrefix="0" xfId="0">
      <alignment horizontal="left" vertical="center" wrapText="1"/>
    </xf>
    <xf numFmtId="49" fontId="64" fillId="0" borderId="49" applyAlignment="1" pivotButton="0" quotePrefix="0" xfId="0">
      <alignment horizontal="left" vertical="center" wrapText="1"/>
    </xf>
    <xf numFmtId="49" fontId="33" fillId="0" borderId="12" applyAlignment="1" pivotButton="0" quotePrefix="0" xfId="0">
      <alignment horizontal="left" vertical="center"/>
    </xf>
    <xf numFmtId="49" fontId="61" fillId="0" borderId="16" applyAlignment="1" pivotButton="0" quotePrefix="0" xfId="0">
      <alignment horizontal="right" vertical="center"/>
    </xf>
    <xf numFmtId="49" fontId="61" fillId="0" borderId="14" applyAlignment="1" pivotButton="0" quotePrefix="0" xfId="0">
      <alignment horizontal="right" vertical="center"/>
    </xf>
    <xf numFmtId="49" fontId="57" fillId="0" borderId="24" applyAlignment="1" pivotButton="0" quotePrefix="0" xfId="0">
      <alignment horizontal="center" vertical="center"/>
    </xf>
    <xf numFmtId="49" fontId="57" fillId="0" borderId="25" applyAlignment="1" pivotButton="0" quotePrefix="0" xfId="0">
      <alignment horizontal="center" vertical="center"/>
    </xf>
    <xf numFmtId="49" fontId="57" fillId="0" borderId="26" applyAlignment="1" pivotButton="0" quotePrefix="0" xfId="0">
      <alignment horizontal="center" vertical="center"/>
    </xf>
    <xf numFmtId="49" fontId="57" fillId="0" borderId="230" applyAlignment="1" pivotButton="0" quotePrefix="0" xfId="0">
      <alignment horizontal="center" vertical="center"/>
    </xf>
    <xf numFmtId="49" fontId="57" fillId="0" borderId="231" applyAlignment="1" pivotButton="0" quotePrefix="0" xfId="0">
      <alignment horizontal="center" vertical="center"/>
    </xf>
    <xf numFmtId="49" fontId="57" fillId="0" borderId="232" applyAlignment="1" pivotButton="0" quotePrefix="0" xfId="0">
      <alignment horizontal="center" vertical="center"/>
    </xf>
    <xf numFmtId="49" fontId="40" fillId="0" borderId="67" applyAlignment="1" pivotButton="0" quotePrefix="0" xfId="0">
      <alignment horizontal="distributed" vertical="center"/>
    </xf>
    <xf numFmtId="49" fontId="40" fillId="0" borderId="69" applyAlignment="1" pivotButton="0" quotePrefix="0" xfId="0">
      <alignment horizontal="distributed" vertical="center"/>
    </xf>
    <xf numFmtId="49" fontId="24" fillId="0" borderId="199" applyAlignment="1" pivotButton="0" quotePrefix="0" xfId="0">
      <alignment horizontal="center" vertical="center"/>
    </xf>
    <xf numFmtId="49" fontId="24" fillId="0" borderId="233" applyAlignment="1" pivotButton="0" quotePrefix="0" xfId="0">
      <alignment horizontal="center" vertical="center"/>
    </xf>
    <xf numFmtId="49" fontId="24" fillId="0" borderId="234" applyAlignment="1" pivotButton="0" quotePrefix="0" xfId="0">
      <alignment horizontal="center" vertical="center"/>
    </xf>
    <xf numFmtId="49" fontId="43" fillId="0" borderId="170" applyAlignment="1" pivotButton="0" quotePrefix="0" xfId="0">
      <alignment horizontal="center" vertical="center"/>
    </xf>
    <xf numFmtId="49" fontId="43" fillId="0" borderId="169" applyAlignment="1" pivotButton="0" quotePrefix="0" xfId="0">
      <alignment horizontal="center" vertical="center"/>
    </xf>
    <xf numFmtId="49" fontId="40" fillId="0" borderId="170" applyAlignment="1" pivotButton="0" quotePrefix="0" xfId="0">
      <alignment horizontal="distributed" vertical="center"/>
    </xf>
    <xf numFmtId="49" fontId="47" fillId="0" borderId="65" applyAlignment="1" pivotButton="0" quotePrefix="0" xfId="0">
      <alignment horizontal="left" vertical="center"/>
    </xf>
    <xf numFmtId="49" fontId="48" fillId="0" borderId="0" applyAlignment="1" pivotButton="0" quotePrefix="0" xfId="0">
      <alignment horizontal="center" vertical="center" wrapText="1"/>
    </xf>
    <xf numFmtId="49" fontId="48" fillId="0" borderId="48" applyAlignment="1" pivotButton="0" quotePrefix="0" xfId="0">
      <alignment horizontal="center" vertical="center" wrapText="1"/>
    </xf>
    <xf numFmtId="49" fontId="48" fillId="0" borderId="21" applyAlignment="1" pivotButton="0" quotePrefix="0" xfId="0">
      <alignment horizontal="center" vertical="center" wrapText="1"/>
    </xf>
    <xf numFmtId="49" fontId="48" fillId="0" borderId="49" applyAlignment="1" pivotButton="0" quotePrefix="0" xfId="0">
      <alignment horizontal="center" vertical="center" wrapText="1"/>
    </xf>
    <xf numFmtId="169" fontId="61" fillId="0" borderId="18" applyAlignment="1" pivotButton="0" quotePrefix="0" xfId="0">
      <alignment horizontal="center" vertical="center" shrinkToFit="1"/>
    </xf>
    <xf numFmtId="169" fontId="61" fillId="0" borderId="12" applyAlignment="1" pivotButton="0" quotePrefix="0" xfId="0">
      <alignment horizontal="center" vertical="center" shrinkToFit="1"/>
    </xf>
    <xf numFmtId="169" fontId="61" fillId="0" borderId="19" applyAlignment="1" pivotButton="0" quotePrefix="0" xfId="0">
      <alignment horizontal="center" vertical="center" shrinkToFit="1"/>
    </xf>
    <xf numFmtId="168" fontId="57" fillId="0" borderId="78" applyAlignment="1" pivotButton="0" quotePrefix="0" xfId="0">
      <alignment horizontal="center" vertical="center"/>
    </xf>
    <xf numFmtId="169" fontId="61" fillId="0" borderId="16" applyAlignment="1" pivotButton="0" quotePrefix="0" xfId="0">
      <alignment horizontal="center" vertical="center" shrinkToFit="1"/>
    </xf>
    <xf numFmtId="169" fontId="61" fillId="0" borderId="14" applyAlignment="1" pivotButton="0" quotePrefix="0" xfId="0">
      <alignment horizontal="center" vertical="center" shrinkToFit="1"/>
    </xf>
    <xf numFmtId="169" fontId="61" fillId="0" borderId="23" applyAlignment="1" pivotButton="0" quotePrefix="0" xfId="0">
      <alignment horizontal="center" vertical="center" shrinkToFit="1"/>
    </xf>
    <xf numFmtId="49" fontId="40" fillId="0" borderId="239" applyAlignment="1" pivotButton="0" quotePrefix="0" xfId="0">
      <alignment horizontal="center" vertical="center" shrinkToFit="1"/>
    </xf>
    <xf numFmtId="49" fontId="40" fillId="0" borderId="240" applyAlignment="1" pivotButton="0" quotePrefix="0" xfId="0">
      <alignment horizontal="center" vertical="center" shrinkToFit="1"/>
    </xf>
    <xf numFmtId="49" fontId="40" fillId="0" borderId="241" applyAlignment="1" pivotButton="0" quotePrefix="0" xfId="0">
      <alignment horizontal="center" vertical="center" shrinkToFit="1"/>
    </xf>
    <xf numFmtId="49" fontId="21" fillId="0" borderId="18" applyAlignment="1" pivotButton="0" quotePrefix="0" xfId="0">
      <alignment horizontal="right" vertical="center"/>
    </xf>
    <xf numFmtId="49" fontId="21" fillId="0" borderId="12" applyAlignment="1" pivotButton="0" quotePrefix="0" xfId="0">
      <alignment horizontal="right" vertical="center"/>
    </xf>
    <xf numFmtId="49" fontId="40" fillId="0" borderId="235" applyAlignment="1" pivotButton="0" quotePrefix="0" xfId="0">
      <alignment horizontal="center" vertical="center" shrinkToFit="1"/>
    </xf>
    <xf numFmtId="49" fontId="40" fillId="0" borderId="236" applyAlignment="1" pivotButton="0" quotePrefix="0" xfId="0">
      <alignment horizontal="center" vertical="center" shrinkToFit="1"/>
    </xf>
    <xf numFmtId="49" fontId="40" fillId="0" borderId="237" applyAlignment="1" pivotButton="0" quotePrefix="0" xfId="0">
      <alignment horizontal="center" vertical="center" shrinkToFit="1"/>
    </xf>
    <xf numFmtId="49" fontId="21" fillId="0" borderId="235" applyAlignment="1" pivotButton="0" quotePrefix="0" xfId="0">
      <alignment horizontal="left" vertical="center" shrinkToFit="1"/>
    </xf>
    <xf numFmtId="49" fontId="21" fillId="0" borderId="236" applyAlignment="1" pivotButton="0" quotePrefix="0" xfId="0">
      <alignment horizontal="left" vertical="center" shrinkToFit="1"/>
    </xf>
    <xf numFmtId="49" fontId="21" fillId="0" borderId="238" applyAlignment="1" pivotButton="0" quotePrefix="0" xfId="0">
      <alignment horizontal="left" vertical="center" shrinkToFit="1"/>
    </xf>
    <xf numFmtId="49" fontId="41" fillId="0" borderId="27" applyAlignment="1" pivotButton="0" quotePrefix="0" xfId="0">
      <alignment horizontal="left" vertical="center" wrapText="1"/>
    </xf>
    <xf numFmtId="49" fontId="41" fillId="0" borderId="0" applyAlignment="1" pivotButton="0" quotePrefix="0" xfId="0">
      <alignment horizontal="left" vertical="center" wrapText="1"/>
    </xf>
    <xf numFmtId="49" fontId="41" fillId="0" borderId="48" applyAlignment="1" pivotButton="0" quotePrefix="0" xfId="0">
      <alignment horizontal="left" vertical="center" wrapText="1"/>
    </xf>
    <xf numFmtId="0" fontId="38" fillId="0" borderId="203" applyAlignment="1" pivotButton="0" quotePrefix="0" xfId="0">
      <alignment horizontal="center" vertical="center"/>
    </xf>
    <xf numFmtId="0" fontId="38" fillId="0" borderId="204" applyAlignment="1" pivotButton="0" quotePrefix="0" xfId="0">
      <alignment horizontal="center" vertical="center"/>
    </xf>
    <xf numFmtId="0" fontId="38" fillId="0" borderId="206" applyAlignment="1" pivotButton="0" quotePrefix="0" xfId="0">
      <alignment horizontal="center" vertical="center"/>
    </xf>
    <xf numFmtId="0" fontId="43" fillId="0" borderId="32" applyAlignment="1" pivotButton="0" quotePrefix="0" xfId="0">
      <alignment horizontal="distributed" vertical="center" wrapText="1" shrinkToFit="1"/>
    </xf>
    <xf numFmtId="0" fontId="43" fillId="0" borderId="32" applyAlignment="1" pivotButton="0" quotePrefix="0" xfId="0">
      <alignment horizontal="distributed" vertical="center" shrinkToFit="1" indent="1"/>
    </xf>
    <xf numFmtId="49" fontId="23" fillId="0" borderId="113" applyAlignment="1" pivotButton="0" quotePrefix="0" xfId="0">
      <alignment horizontal="center" vertical="center"/>
    </xf>
    <xf numFmtId="49" fontId="23" fillId="0" borderId="112" applyAlignment="1" pivotButton="0" quotePrefix="0" xfId="0">
      <alignment horizontal="center" vertical="center"/>
    </xf>
    <xf numFmtId="49" fontId="23" fillId="0" borderId="16" applyAlignment="1" applyProtection="1" pivotButton="0" quotePrefix="0" xfId="0">
      <alignment horizontal="left" vertical="center"/>
      <protection locked="0" hidden="0"/>
    </xf>
    <xf numFmtId="49" fontId="23" fillId="0" borderId="14" applyAlignment="1" applyProtection="1" pivotButton="0" quotePrefix="0" xfId="0">
      <alignment horizontal="left" vertical="center"/>
      <protection locked="0" hidden="0"/>
    </xf>
    <xf numFmtId="0" fontId="43" fillId="0" borderId="130" applyAlignment="1" pivotButton="0" quotePrefix="0" xfId="0">
      <alignment horizontal="distributed" vertical="center" shrinkToFit="1"/>
    </xf>
    <xf numFmtId="0" fontId="43" fillId="0" borderId="21" applyAlignment="1" pivotButton="0" quotePrefix="0" xfId="0">
      <alignment horizontal="distributed" vertical="center" shrinkToFit="1"/>
    </xf>
    <xf numFmtId="0" fontId="43" fillId="0" borderId="49" applyAlignment="1" pivotButton="0" quotePrefix="0" xfId="0">
      <alignment horizontal="distributed" vertical="center" shrinkToFit="1"/>
    </xf>
    <xf numFmtId="49" fontId="23" fillId="0" borderId="113" applyAlignment="1" pivotButton="0" quotePrefix="0" xfId="0">
      <alignment horizontal="left" vertical="center"/>
    </xf>
    <xf numFmtId="49" fontId="23" fillId="0" borderId="14" applyAlignment="1" pivotButton="0" quotePrefix="0" xfId="0">
      <alignment horizontal="left" vertical="center"/>
    </xf>
    <xf numFmtId="0" fontId="43" fillId="0" borderId="242" applyAlignment="1" pivotButton="0" quotePrefix="0" xfId="0">
      <alignment horizontal="center" vertical="center" wrapText="1"/>
    </xf>
    <xf numFmtId="0" fontId="43" fillId="0" borderId="34" applyAlignment="1" pivotButton="0" quotePrefix="0" xfId="0">
      <alignment horizontal="center" vertical="center" wrapText="1"/>
    </xf>
    <xf numFmtId="0" fontId="44" fillId="0" borderId="20" applyAlignment="1" pivotButton="0" quotePrefix="0" xfId="0">
      <alignment horizontal="center" vertical="center" wrapText="1"/>
    </xf>
    <xf numFmtId="0" fontId="44" fillId="0" borderId="21" applyAlignment="1" pivotButton="0" quotePrefix="0" xfId="0">
      <alignment horizontal="center" vertical="center" wrapText="1"/>
    </xf>
    <xf numFmtId="0" fontId="43" fillId="0" borderId="130" applyAlignment="1" pivotButton="0" quotePrefix="0" xfId="0">
      <alignment horizontal="center" vertical="center" wrapText="1"/>
    </xf>
    <xf numFmtId="0" fontId="43" fillId="0" borderId="142" applyAlignment="1" pivotButton="0" quotePrefix="0" xfId="0">
      <alignment horizontal="center" vertical="center" wrapText="1"/>
    </xf>
    <xf numFmtId="0" fontId="43" fillId="0" borderId="22" applyAlignment="1" pivotButton="0" quotePrefix="0" xfId="0">
      <alignment horizontal="distributed" vertical="center" shrinkToFit="1"/>
    </xf>
    <xf numFmtId="0" fontId="43" fillId="0" borderId="16" applyAlignment="1" pivotButton="0" quotePrefix="0" xfId="0">
      <alignment horizontal="distributed" vertical="center" shrinkToFit="1" indent="1"/>
    </xf>
    <xf numFmtId="0" fontId="43" fillId="0" borderId="14" applyAlignment="1" pivotButton="0" quotePrefix="0" xfId="0">
      <alignment horizontal="distributed" vertical="center" shrinkToFit="1" indent="1"/>
    </xf>
    <xf numFmtId="0" fontId="43" fillId="0" borderId="23" applyAlignment="1" pivotButton="0" quotePrefix="0" xfId="0">
      <alignment horizontal="distributed" vertical="center" shrinkToFit="1" indent="1"/>
    </xf>
    <xf numFmtId="0" fontId="43" fillId="0" borderId="32" applyAlignment="1" pivotButton="0" quotePrefix="0" xfId="0">
      <alignment horizontal="center" vertical="center" wrapText="1"/>
    </xf>
    <xf numFmtId="0" fontId="43" fillId="0" borderId="12" applyAlignment="1" pivotButton="0" quotePrefix="0" xfId="0">
      <alignment horizontal="center" vertical="center"/>
    </xf>
    <xf numFmtId="0" fontId="43" fillId="0" borderId="19" applyAlignment="1" pivotButton="0" quotePrefix="0" xfId="0">
      <alignment horizontal="center" vertical="center"/>
    </xf>
    <xf numFmtId="0" fontId="43" fillId="0" borderId="32" applyAlignment="1" pivotButton="0" quotePrefix="0" xfId="0">
      <alignment horizontal="center" vertical="center" shrinkToFit="1"/>
    </xf>
    <xf numFmtId="0" fontId="43" fillId="0" borderId="18" applyAlignment="1" pivotButton="0" quotePrefix="0" xfId="0">
      <alignment horizontal="distributed" vertical="center" shrinkToFit="1" indent="1"/>
    </xf>
    <xf numFmtId="0" fontId="43" fillId="0" borderId="12" applyAlignment="1" pivotButton="0" quotePrefix="0" xfId="0">
      <alignment horizontal="distributed" vertical="center" shrinkToFit="1" indent="1"/>
    </xf>
    <xf numFmtId="0" fontId="43" fillId="0" borderId="19" applyAlignment="1" pivotButton="0" quotePrefix="0" xfId="0">
      <alignment horizontal="distributed" vertical="center" shrinkToFit="1" indent="1"/>
    </xf>
    <xf numFmtId="49" fontId="23" fillId="0" borderId="18" applyAlignment="1" pivotButton="0" quotePrefix="0" xfId="0">
      <alignment horizontal="center" vertical="center"/>
    </xf>
    <xf numFmtId="49" fontId="23" fillId="0" borderId="138" applyAlignment="1" pivotButton="0" quotePrefix="0" xfId="0">
      <alignment horizontal="center" vertical="center"/>
    </xf>
    <xf numFmtId="49" fontId="23" fillId="0" borderId="152" applyAlignment="1" pivotButton="0" quotePrefix="0" xfId="0">
      <alignment horizontal="center" vertical="center"/>
    </xf>
    <xf numFmtId="49" fontId="23" fillId="0" borderId="138" applyAlignment="1" pivotButton="0" quotePrefix="0" xfId="0">
      <alignment horizontal="left" vertical="center"/>
    </xf>
    <xf numFmtId="49" fontId="23" fillId="0" borderId="223" applyAlignment="1" pivotButton="0" quotePrefix="0" xfId="0">
      <alignment horizontal="left" vertical="center"/>
    </xf>
    <xf numFmtId="49" fontId="23" fillId="0" borderId="45" applyAlignment="1" pivotButton="0" quotePrefix="0" xfId="0">
      <alignment horizontal="left" vertical="center"/>
    </xf>
    <xf numFmtId="49" fontId="40" fillId="0" borderId="244" applyAlignment="1" pivotButton="0" quotePrefix="0" xfId="0">
      <alignment horizontal="center" vertical="center" textRotation="255"/>
    </xf>
    <xf numFmtId="49" fontId="40" fillId="0" borderId="246" applyAlignment="1" pivotButton="0" quotePrefix="0" xfId="0">
      <alignment horizontal="center" vertical="center" textRotation="255"/>
    </xf>
    <xf numFmtId="49" fontId="40" fillId="0" borderId="248" applyAlignment="1" pivotButton="0" quotePrefix="0" xfId="0">
      <alignment horizontal="center" vertical="center" textRotation="255"/>
    </xf>
    <xf numFmtId="49" fontId="40" fillId="0" borderId="245" applyAlignment="1" pivotButton="0" quotePrefix="0" xfId="0">
      <alignment horizontal="center" vertical="center" textRotation="255"/>
    </xf>
    <xf numFmtId="49" fontId="40" fillId="0" borderId="103" applyAlignment="1" pivotButton="0" quotePrefix="0" xfId="0">
      <alignment horizontal="center" vertical="center" textRotation="255"/>
    </xf>
    <xf numFmtId="49" fontId="24" fillId="0" borderId="235" applyAlignment="1" pivotButton="0" quotePrefix="0" xfId="0">
      <alignment horizontal="left" vertical="center" shrinkToFit="1"/>
    </xf>
    <xf numFmtId="49" fontId="24" fillId="0" borderId="236" applyAlignment="1" pivotButton="0" quotePrefix="0" xfId="0">
      <alignment horizontal="left" vertical="center" shrinkToFit="1"/>
    </xf>
    <xf numFmtId="49" fontId="24" fillId="0" borderId="238" applyAlignment="1" pivotButton="0" quotePrefix="0" xfId="0">
      <alignment horizontal="left" vertical="center" shrinkToFit="1"/>
    </xf>
    <xf numFmtId="49" fontId="56" fillId="0" borderId="27" applyAlignment="1" pivotButton="0" quotePrefix="0" xfId="0">
      <alignment horizontal="left" vertical="center" wrapText="1"/>
    </xf>
    <xf numFmtId="49" fontId="56" fillId="0" borderId="0" applyAlignment="1" pivotButton="0" quotePrefix="0" xfId="0">
      <alignment horizontal="left" vertical="center" wrapText="1"/>
    </xf>
    <xf numFmtId="49" fontId="56" fillId="0" borderId="48" applyAlignment="1" pivotButton="0" quotePrefix="0" xfId="0">
      <alignment horizontal="left" vertical="center" wrapText="1"/>
    </xf>
    <xf numFmtId="0" fontId="43" fillId="0" borderId="110" applyAlignment="1" pivotButton="0" quotePrefix="0" xfId="0">
      <alignment horizontal="distributed" vertical="center" shrinkToFit="1" indent="1"/>
    </xf>
    <xf numFmtId="0" fontId="43" fillId="0" borderId="45" applyAlignment="1" pivotButton="0" quotePrefix="0" xfId="0">
      <alignment horizontal="distributed" vertical="center" shrinkToFit="1" indent="1"/>
    </xf>
    <xf numFmtId="0" fontId="43" fillId="0" borderId="46" applyAlignment="1" pivotButton="0" quotePrefix="0" xfId="0">
      <alignment horizontal="distributed" vertical="center" shrinkToFit="1" indent="1"/>
    </xf>
    <xf numFmtId="49" fontId="23" fillId="0" borderId="110" applyAlignment="1" pivotButton="0" quotePrefix="0" xfId="0">
      <alignment horizontal="center" vertical="center"/>
    </xf>
    <xf numFmtId="49" fontId="23" fillId="0" borderId="45" applyAlignment="1" pivotButton="0" quotePrefix="0" xfId="0">
      <alignment horizontal="center" vertical="center"/>
    </xf>
    <xf numFmtId="49" fontId="23" fillId="0" borderId="223" applyAlignment="1" pivotButton="0" quotePrefix="0" xfId="0">
      <alignment horizontal="center" vertical="center"/>
    </xf>
    <xf numFmtId="49" fontId="23" fillId="0" borderId="243" applyAlignment="1" pivotButton="0" quotePrefix="0" xfId="0">
      <alignment horizontal="center" vertical="center"/>
    </xf>
    <xf numFmtId="49" fontId="24" fillId="0" borderId="18" applyAlignment="1" pivotButton="0" quotePrefix="0" xfId="0">
      <alignment horizontal="right" vertical="center"/>
    </xf>
    <xf numFmtId="49" fontId="24" fillId="0" borderId="12" applyAlignment="1" pivotButton="0" quotePrefix="0" xfId="0">
      <alignment horizontal="right" vertical="center"/>
    </xf>
    <xf numFmtId="49" fontId="43" fillId="0" borderId="186" applyAlignment="1" pivotButton="0" quotePrefix="0" xfId="0">
      <alignment horizontal="center" vertical="center" wrapText="1"/>
    </xf>
    <xf numFmtId="49" fontId="43" fillId="0" borderId="179" applyAlignment="1" pivotButton="0" quotePrefix="0" xfId="0">
      <alignment horizontal="center" vertical="center" wrapText="1"/>
    </xf>
    <xf numFmtId="49" fontId="43" fillId="0" borderId="187" applyAlignment="1" pivotButton="0" quotePrefix="0" xfId="0">
      <alignment horizontal="center" vertical="center" wrapText="1"/>
    </xf>
    <xf numFmtId="49" fontId="43" fillId="0" borderId="186" applyAlignment="1" pivotButton="0" quotePrefix="0" xfId="0">
      <alignment horizontal="center" vertical="center"/>
    </xf>
    <xf numFmtId="49" fontId="43" fillId="0" borderId="179" applyAlignment="1" pivotButton="0" quotePrefix="0" xfId="0">
      <alignment horizontal="center" vertical="center"/>
    </xf>
    <xf numFmtId="49" fontId="43" fillId="0" borderId="187" applyAlignment="1" pivotButton="0" quotePrefix="0" xfId="0">
      <alignment horizontal="center" vertical="center"/>
    </xf>
    <xf numFmtId="49" fontId="43" fillId="0" borderId="186" applyAlignment="1" pivotButton="0" quotePrefix="0" xfId="0">
      <alignment horizontal="distributed" vertical="center" wrapText="1" indent="1"/>
    </xf>
    <xf numFmtId="49" fontId="43" fillId="0" borderId="179" applyAlignment="1" pivotButton="0" quotePrefix="0" xfId="0">
      <alignment horizontal="distributed" vertical="center" wrapText="1" indent="1"/>
    </xf>
    <xf numFmtId="49" fontId="43" fillId="0" borderId="187" applyAlignment="1" pivotButton="0" quotePrefix="0" xfId="0">
      <alignment horizontal="distributed" vertical="center" wrapText="1" indent="1"/>
    </xf>
    <xf numFmtId="49" fontId="43" fillId="0" borderId="20" applyAlignment="1" pivotButton="0" quotePrefix="0" xfId="0">
      <alignment horizontal="distributed" vertical="center" wrapText="1" indent="1"/>
    </xf>
    <xf numFmtId="49" fontId="43" fillId="0" borderId="21" applyAlignment="1" pivotButton="0" quotePrefix="0" xfId="0">
      <alignment horizontal="distributed" vertical="center" wrapText="1" indent="1"/>
    </xf>
    <xf numFmtId="49" fontId="43" fillId="0" borderId="22" applyAlignment="1" pivotButton="0" quotePrefix="0" xfId="0">
      <alignment horizontal="distributed" vertical="center" wrapText="1" indent="1"/>
    </xf>
    <xf numFmtId="49" fontId="52" fillId="0" borderId="186" applyAlignment="1" pivotButton="0" quotePrefix="0" xfId="0">
      <alignment horizontal="center" vertical="center" wrapText="1"/>
    </xf>
    <xf numFmtId="49" fontId="43" fillId="0" borderId="180" applyAlignment="1" pivotButton="0" quotePrefix="0" xfId="0">
      <alignment horizontal="center" vertical="center" wrapText="1"/>
    </xf>
    <xf numFmtId="0" fontId="0" fillId="0" borderId="14" applyAlignment="1" pivotButton="0" quotePrefix="0" xfId="0">
      <alignment vertical="center"/>
    </xf>
    <xf numFmtId="0" fontId="0" fillId="0" borderId="15" applyAlignment="1" pivotButton="0" quotePrefix="0" xfId="0">
      <alignment vertical="center"/>
    </xf>
    <xf numFmtId="49" fontId="47" fillId="0" borderId="16" applyAlignment="1" pivotButton="0" quotePrefix="0" xfId="0">
      <alignment horizontal="center" vertical="center"/>
    </xf>
    <xf numFmtId="49" fontId="47" fillId="0" borderId="14" applyAlignment="1" pivotButton="0" quotePrefix="0" xfId="0">
      <alignment horizontal="center" vertical="center"/>
    </xf>
    <xf numFmtId="49" fontId="47" fillId="0" borderId="23" applyAlignment="1" pivotButton="0" quotePrefix="0" xfId="0">
      <alignment horizontal="center" vertical="center"/>
    </xf>
    <xf numFmtId="49" fontId="43" fillId="0" borderId="32" applyAlignment="1" pivotButton="0" quotePrefix="0" xfId="0">
      <alignment horizontal="center" vertical="center" wrapText="1"/>
    </xf>
    <xf numFmtId="49" fontId="40" fillId="0" borderId="247" applyAlignment="1" pivotButton="0" quotePrefix="0" xfId="0">
      <alignment horizontal="center" vertical="center" textRotation="255"/>
    </xf>
    <xf numFmtId="49" fontId="43" fillId="0" borderId="110" applyAlignment="1" pivotButton="0" quotePrefix="0" xfId="0">
      <alignment horizontal="center" vertical="center" wrapText="1"/>
    </xf>
    <xf numFmtId="49" fontId="43" fillId="0" borderId="45" applyAlignment="1" pivotButton="0" quotePrefix="0" xfId="0">
      <alignment horizontal="center" vertical="center" wrapText="1"/>
    </xf>
    <xf numFmtId="49" fontId="43" fillId="0" borderId="46" applyAlignment="1" pivotButton="0" quotePrefix="0" xfId="0">
      <alignment horizontal="center" vertical="center" wrapText="1"/>
    </xf>
    <xf numFmtId="49" fontId="47" fillId="0" borderId="110" applyAlignment="1" pivotButton="0" quotePrefix="0" xfId="0">
      <alignment horizontal="center" vertical="center"/>
    </xf>
    <xf numFmtId="49" fontId="47" fillId="0" borderId="45" applyAlignment="1" pivotButton="0" quotePrefix="0" xfId="0">
      <alignment horizontal="center" vertical="center"/>
    </xf>
    <xf numFmtId="49" fontId="23" fillId="0" borderId="110" applyAlignment="1" pivotButton="0" quotePrefix="0" xfId="0">
      <alignment horizontal="right" vertical="center"/>
    </xf>
    <xf numFmtId="0" fontId="0" fillId="0" borderId="45" applyAlignment="1" pivotButton="0" quotePrefix="0" xfId="0">
      <alignment vertical="center"/>
    </xf>
    <xf numFmtId="49" fontId="43" fillId="0" borderId="189" applyAlignment="1" pivotButton="0" quotePrefix="0" xfId="0">
      <alignment horizontal="center" vertical="center" wrapText="1"/>
    </xf>
    <xf numFmtId="49" fontId="24" fillId="0" borderId="0" applyAlignment="1" pivotButton="0" quotePrefix="0" xfId="0">
      <alignment horizontal="distributed" vertical="center"/>
    </xf>
    <xf numFmtId="0" fontId="46" fillId="0" borderId="203" applyAlignment="1" pivotButton="0" quotePrefix="0" xfId="0">
      <alignment horizontal="center" vertical="center"/>
    </xf>
    <xf numFmtId="0" fontId="46" fillId="0" borderId="204" applyAlignment="1" pivotButton="0" quotePrefix="0" xfId="0">
      <alignment horizontal="center" vertical="center"/>
    </xf>
    <xf numFmtId="0" fontId="46" fillId="0" borderId="206" applyAlignment="1" pivotButton="0" quotePrefix="0" xfId="0">
      <alignment horizontal="center" vertical="center"/>
    </xf>
    <xf numFmtId="49" fontId="61" fillId="0" borderId="16" applyAlignment="1" pivotButton="0" quotePrefix="0" xfId="0">
      <alignment horizontal="center" vertical="center"/>
    </xf>
    <xf numFmtId="49" fontId="61" fillId="0" borderId="14" applyAlignment="1" pivotButton="0" quotePrefix="0" xfId="0">
      <alignment horizontal="center" vertical="center"/>
    </xf>
    <xf numFmtId="49" fontId="61" fillId="0" borderId="113" applyAlignment="1" pivotButton="0" quotePrefix="0" xfId="0">
      <alignment horizontal="center" vertical="center"/>
    </xf>
    <xf numFmtId="49" fontId="61" fillId="0" borderId="112" applyAlignment="1" pivotButton="0" quotePrefix="0" xfId="0">
      <alignment horizontal="center" vertical="center"/>
    </xf>
    <xf numFmtId="49" fontId="61" fillId="0" borderId="113" applyAlignment="1" pivotButton="0" quotePrefix="0" xfId="0">
      <alignment horizontal="left" vertical="center"/>
    </xf>
    <xf numFmtId="49" fontId="61" fillId="0" borderId="14" applyAlignment="1" pivotButton="0" quotePrefix="0" xfId="0">
      <alignment horizontal="left" vertical="center"/>
    </xf>
    <xf numFmtId="0" fontId="43" fillId="0" borderId="16" applyAlignment="1" pivotButton="0" quotePrefix="0" xfId="0">
      <alignment horizontal="center" vertical="center" shrinkToFit="1"/>
    </xf>
    <xf numFmtId="0" fontId="43" fillId="0" borderId="14" applyAlignment="1" pivotButton="0" quotePrefix="0" xfId="0">
      <alignment horizontal="center" vertical="center" shrinkToFit="1"/>
    </xf>
    <xf numFmtId="0" fontId="43" fillId="0" borderId="23" applyAlignment="1" pivotButton="0" quotePrefix="0" xfId="0">
      <alignment horizontal="center" vertical="center" shrinkToFit="1"/>
    </xf>
    <xf numFmtId="49" fontId="57" fillId="0" borderId="67" applyAlignment="1" pivotButton="0" quotePrefix="0" xfId="0">
      <alignment horizontal="left" vertical="center" shrinkToFit="1"/>
    </xf>
    <xf numFmtId="49" fontId="57" fillId="0" borderId="68" applyAlignment="1" pivotButton="0" quotePrefix="0" xfId="0">
      <alignment horizontal="left" vertical="center" shrinkToFit="1"/>
    </xf>
    <xf numFmtId="49" fontId="57" fillId="0" borderId="70" applyAlignment="1" pivotButton="0" quotePrefix="0" xfId="0">
      <alignment horizontal="left" vertical="center" shrinkToFit="1"/>
    </xf>
    <xf numFmtId="49" fontId="68" fillId="0" borderId="12" applyAlignment="1" pivotButton="0" quotePrefix="0" xfId="0">
      <alignment horizontal="left" wrapText="1"/>
    </xf>
    <xf numFmtId="49" fontId="68" fillId="0" borderId="13" applyAlignment="1" pivotButton="0" quotePrefix="0" xfId="0">
      <alignment horizontal="left" wrapText="1"/>
    </xf>
    <xf numFmtId="49" fontId="68" fillId="0" borderId="0" applyAlignment="1" pivotButton="0" quotePrefix="0" xfId="0">
      <alignment horizontal="left" wrapText="1"/>
    </xf>
    <xf numFmtId="49" fontId="68" fillId="0" borderId="48" applyAlignment="1" pivotButton="0" quotePrefix="0" xfId="0">
      <alignment horizontal="left" wrapText="1"/>
    </xf>
    <xf numFmtId="49" fontId="68" fillId="0" borderId="21" applyAlignment="1" pivotButton="0" quotePrefix="0" xfId="0">
      <alignment horizontal="left" wrapText="1"/>
    </xf>
    <xf numFmtId="49" fontId="68" fillId="0" borderId="49" applyAlignment="1" pivotButton="0" quotePrefix="0" xfId="0">
      <alignment horizontal="left" wrapText="1"/>
    </xf>
    <xf numFmtId="49" fontId="68" fillId="0" borderId="0" applyAlignment="1" pivotButton="0" quotePrefix="0" xfId="0">
      <alignment horizontal="center" vertical="center"/>
    </xf>
    <xf numFmtId="49" fontId="68" fillId="0" borderId="21" applyAlignment="1" pivotButton="0" quotePrefix="0" xfId="0">
      <alignment horizontal="center" vertical="center"/>
    </xf>
    <xf numFmtId="49" fontId="61" fillId="0" borderId="23" applyAlignment="1" pivotButton="0" quotePrefix="0" xfId="0">
      <alignment horizontal="center" vertical="center"/>
    </xf>
    <xf numFmtId="49" fontId="59" fillId="0" borderId="44" applyAlignment="1" pivotButton="0" quotePrefix="0" xfId="0">
      <alignment horizontal="center" vertical="center" textRotation="255"/>
    </xf>
    <xf numFmtId="49" fontId="59" fillId="0" borderId="46" applyAlignment="1" pivotButton="0" quotePrefix="0" xfId="0">
      <alignment horizontal="center" vertical="center" textRotation="255"/>
    </xf>
    <xf numFmtId="49" fontId="59" fillId="0" borderId="249" applyAlignment="1" pivotButton="0" quotePrefix="0" xfId="0">
      <alignment horizontal="center" vertical="center" textRotation="255"/>
    </xf>
    <xf numFmtId="49" fontId="59" fillId="0" borderId="191" applyAlignment="1" pivotButton="0" quotePrefix="0" xfId="0">
      <alignment horizontal="center" vertical="center" textRotation="255"/>
    </xf>
    <xf numFmtId="49" fontId="59" fillId="0" borderId="64" applyAlignment="1" pivotButton="0" quotePrefix="0" xfId="0">
      <alignment horizontal="center" vertical="center" textRotation="255"/>
    </xf>
    <xf numFmtId="49" fontId="59" fillId="0" borderId="169" applyAlignment="1" pivotButton="0" quotePrefix="0" xfId="0">
      <alignment horizontal="center" vertical="center" textRotation="255"/>
    </xf>
    <xf numFmtId="167" fontId="23" fillId="0" borderId="16" applyAlignment="1" pivotButton="0" quotePrefix="0" xfId="0">
      <alignment horizontal="right" vertical="center" shrinkToFit="1" indent="1"/>
    </xf>
    <xf numFmtId="167" fontId="23" fillId="0" borderId="14" applyAlignment="1" pivotButton="0" quotePrefix="0" xfId="0">
      <alignment horizontal="right" vertical="center" shrinkToFit="1" indent="1"/>
    </xf>
    <xf numFmtId="167" fontId="23" fillId="0" borderId="23" applyAlignment="1" pivotButton="0" quotePrefix="0" xfId="0">
      <alignment horizontal="right" vertical="center" shrinkToFit="1" indent="1"/>
    </xf>
    <xf numFmtId="167" fontId="23" fillId="0" borderId="15" applyAlignment="1" pivotButton="0" quotePrefix="0" xfId="0">
      <alignment horizontal="right" vertical="center" shrinkToFit="1" indent="1"/>
    </xf>
    <xf numFmtId="49" fontId="59" fillId="0" borderId="0" applyAlignment="1" pivotButton="0" quotePrefix="0" xfId="0">
      <alignment horizontal="center" vertical="center" shrinkToFit="1"/>
    </xf>
    <xf numFmtId="49" fontId="23" fillId="0" borderId="15" applyAlignment="1" pivotButton="0" quotePrefix="0" xfId="0">
      <alignment horizontal="center" vertical="center" shrinkToFit="1"/>
    </xf>
    <xf numFmtId="49" fontId="59" fillId="0" borderId="12" applyAlignment="1" pivotButton="0" quotePrefix="0" xfId="0">
      <alignment horizontal="center" vertical="center"/>
    </xf>
    <xf numFmtId="49" fontId="59" fillId="0" borderId="13" applyAlignment="1" pivotButton="0" quotePrefix="0" xfId="0">
      <alignment horizontal="center" vertical="center"/>
    </xf>
    <xf numFmtId="49" fontId="59" fillId="0" borderId="21" applyAlignment="1" pivotButton="0" quotePrefix="0" xfId="0">
      <alignment horizontal="center" vertical="center"/>
    </xf>
    <xf numFmtId="49" fontId="59" fillId="0" borderId="49" applyAlignment="1" pivotButton="0" quotePrefix="0" xfId="0">
      <alignment horizontal="center" vertical="center"/>
    </xf>
    <xf numFmtId="49" fontId="40" fillId="0" borderId="14" applyAlignment="1" pivotButton="0" quotePrefix="0" xfId="0">
      <alignment horizontal="distributed" vertical="center" wrapText="1" indent="1"/>
    </xf>
    <xf numFmtId="49" fontId="40" fillId="0" borderId="23" applyAlignment="1" pivotButton="0" quotePrefix="0" xfId="0">
      <alignment horizontal="distributed" vertical="center" wrapText="1" indent="1"/>
    </xf>
    <xf numFmtId="49" fontId="21" fillId="0" borderId="16" applyAlignment="1" pivotButton="0" quotePrefix="0" xfId="0">
      <alignment horizontal="left" vertical="center" wrapText="1" indent="1"/>
    </xf>
    <xf numFmtId="49" fontId="21" fillId="0" borderId="14" applyAlignment="1" pivotButton="0" quotePrefix="0" xfId="0">
      <alignment horizontal="left" vertical="center" wrapText="1" indent="1"/>
    </xf>
    <xf numFmtId="49" fontId="21" fillId="0" borderId="23" applyAlignment="1" pivotButton="0" quotePrefix="0" xfId="0">
      <alignment horizontal="left" vertical="center" wrapText="1" indent="1"/>
    </xf>
    <xf numFmtId="49" fontId="44" fillId="0" borderId="16" applyAlignment="1" pivotButton="0" quotePrefix="0" xfId="0">
      <alignment horizontal="distributed" vertical="center" wrapText="1"/>
    </xf>
    <xf numFmtId="49" fontId="44" fillId="0" borderId="14" applyAlignment="1" pivotButton="0" quotePrefix="0" xfId="0">
      <alignment horizontal="distributed" vertical="center" wrapText="1"/>
    </xf>
    <xf numFmtId="167" fontId="44" fillId="0" borderId="14" applyAlignment="1" pivotButton="0" quotePrefix="0" xfId="0">
      <alignment horizontal="distributed" vertical="center" wrapText="1"/>
    </xf>
    <xf numFmtId="49" fontId="43" fillId="0" borderId="110" applyAlignment="1" pivotButton="0" quotePrefix="0" xfId="0">
      <alignment horizontal="distributed" vertical="center" wrapText="1"/>
    </xf>
    <xf numFmtId="49" fontId="43" fillId="0" borderId="45" applyAlignment="1" pivotButton="0" quotePrefix="0" xfId="0">
      <alignment horizontal="distributed" vertical="center" wrapText="1"/>
    </xf>
    <xf numFmtId="49" fontId="43" fillId="0" borderId="46" applyAlignment="1" pivotButton="0" quotePrefix="0" xfId="0">
      <alignment horizontal="distributed" vertical="center" wrapText="1"/>
    </xf>
    <xf numFmtId="49" fontId="43" fillId="0" borderId="190" applyAlignment="1" pivotButton="0" quotePrefix="0" xfId="0">
      <alignment horizontal="distributed" vertical="center" wrapText="1"/>
    </xf>
    <xf numFmtId="49" fontId="43" fillId="0" borderId="172" applyAlignment="1" pivotButton="0" quotePrefix="0" xfId="0">
      <alignment horizontal="distributed" vertical="center" wrapText="1"/>
    </xf>
    <xf numFmtId="49" fontId="43" fillId="0" borderId="191" applyAlignment="1" pivotButton="0" quotePrefix="0" xfId="0">
      <alignment horizontal="distributed" vertical="center" wrapText="1"/>
    </xf>
    <xf numFmtId="49" fontId="23" fillId="0" borderId="45" applyAlignment="1" pivotButton="0" quotePrefix="0" xfId="0">
      <alignment horizontal="right" vertical="center"/>
    </xf>
    <xf numFmtId="49" fontId="23" fillId="0" borderId="190" applyAlignment="1" pivotButton="0" quotePrefix="0" xfId="0">
      <alignment horizontal="right" vertical="center"/>
    </xf>
    <xf numFmtId="49" fontId="23" fillId="0" borderId="172" applyAlignment="1" pivotButton="0" quotePrefix="0" xfId="0">
      <alignment horizontal="right" vertical="center"/>
    </xf>
    <xf numFmtId="49" fontId="59" fillId="0" borderId="45" applyAlignment="1" pivotButton="0" quotePrefix="0" xfId="0">
      <alignment horizontal="center" vertical="center"/>
    </xf>
    <xf numFmtId="49" fontId="59" fillId="0" borderId="47" applyAlignment="1" pivotButton="0" quotePrefix="0" xfId="0">
      <alignment horizontal="center" vertical="center"/>
    </xf>
    <xf numFmtId="49" fontId="59" fillId="0" borderId="172" applyAlignment="1" pivotButton="0" quotePrefix="0" xfId="0">
      <alignment horizontal="center" vertical="center"/>
    </xf>
    <xf numFmtId="49" fontId="59" fillId="0" borderId="173" applyAlignment="1" pivotButton="0" quotePrefix="0" xfId="0">
      <alignment horizontal="center" vertical="center"/>
    </xf>
    <xf numFmtId="49" fontId="20" fillId="0" borderId="110" applyAlignment="1" pivotButton="0" quotePrefix="0" xfId="0">
      <alignment horizontal="center" vertical="center" wrapText="1"/>
    </xf>
    <xf numFmtId="49" fontId="20" fillId="0" borderId="45" applyAlignment="1" pivotButton="0" quotePrefix="0" xfId="0">
      <alignment horizontal="center" vertical="center" wrapText="1"/>
    </xf>
    <xf numFmtId="49" fontId="20" fillId="0" borderId="46" applyAlignment="1" pivotButton="0" quotePrefix="0" xfId="0">
      <alignment horizontal="center" vertical="center" wrapText="1"/>
    </xf>
    <xf numFmtId="49" fontId="44" fillId="0" borderId="44" applyAlignment="1" pivotButton="0" quotePrefix="0" xfId="0">
      <alignment horizontal="distributed" vertical="center" textRotation="255" wrapText="1"/>
    </xf>
    <xf numFmtId="49" fontId="44" fillId="0" borderId="46" applyAlignment="1" pivotButton="0" quotePrefix="0" xfId="0">
      <alignment horizontal="distributed" vertical="center" textRotation="255" wrapText="1"/>
    </xf>
    <xf numFmtId="49" fontId="44" fillId="0" borderId="249" applyAlignment="1" pivotButton="0" quotePrefix="0" xfId="0">
      <alignment horizontal="distributed" vertical="center" textRotation="255" wrapText="1"/>
    </xf>
    <xf numFmtId="49" fontId="44" fillId="0" borderId="191" applyAlignment="1" pivotButton="0" quotePrefix="0" xfId="0">
      <alignment horizontal="distributed" vertical="center" textRotation="255" wrapText="1"/>
    </xf>
    <xf numFmtId="167" fontId="44" fillId="0" borderId="110" applyAlignment="1" pivotButton="0" quotePrefix="0" xfId="0">
      <alignment horizontal="distributed" vertical="center" shrinkToFit="1"/>
    </xf>
    <xf numFmtId="167" fontId="44" fillId="0" borderId="45" applyAlignment="1" pivotButton="0" quotePrefix="0" xfId="0">
      <alignment horizontal="distributed" vertical="center" shrinkToFit="1"/>
    </xf>
    <xf numFmtId="167" fontId="44" fillId="0" borderId="46" applyAlignment="1" pivotButton="0" quotePrefix="0" xfId="0">
      <alignment horizontal="distributed" vertical="center" shrinkToFit="1"/>
    </xf>
    <xf numFmtId="167" fontId="44" fillId="0" borderId="190" applyAlignment="1" pivotButton="0" quotePrefix="0" xfId="0">
      <alignment horizontal="distributed" vertical="center" shrinkToFit="1"/>
    </xf>
    <xf numFmtId="167" fontId="44" fillId="0" borderId="172" applyAlignment="1" pivotButton="0" quotePrefix="0" xfId="0">
      <alignment horizontal="distributed" vertical="center" shrinkToFit="1"/>
    </xf>
    <xf numFmtId="167" fontId="44" fillId="0" borderId="191" applyAlignment="1" pivotButton="0" quotePrefix="0" xfId="0">
      <alignment horizontal="distributed" vertical="center" shrinkToFit="1"/>
    </xf>
    <xf numFmtId="166" fontId="44" fillId="0" borderId="18" applyAlignment="1" pivotButton="0" quotePrefix="0" xfId="0">
      <alignment horizontal="left" vertical="center" wrapText="1"/>
    </xf>
    <xf numFmtId="166" fontId="44" fillId="0" borderId="12" applyAlignment="1" pivotButton="0" quotePrefix="0" xfId="0">
      <alignment horizontal="left" vertical="center" wrapText="1"/>
    </xf>
    <xf numFmtId="166" fontId="44" fillId="0" borderId="20" applyAlignment="1" pivotButton="0" quotePrefix="0" xfId="0">
      <alignment horizontal="left" vertical="center" wrapText="1"/>
    </xf>
    <xf numFmtId="166" fontId="44" fillId="0" borderId="21" applyAlignment="1" pivotButton="0" quotePrefix="0" xfId="0">
      <alignment horizontal="left" vertical="center" wrapText="1"/>
    </xf>
    <xf numFmtId="165" fontId="21" fillId="0" borderId="12" applyAlignment="1" pivotButton="0" quotePrefix="0" xfId="0">
      <alignment horizontal="right" vertical="center" wrapText="1"/>
    </xf>
    <xf numFmtId="165" fontId="21" fillId="0" borderId="21" applyAlignment="1" pivotButton="0" quotePrefix="0" xfId="0">
      <alignment horizontal="right" vertical="center" wrapText="1"/>
    </xf>
    <xf numFmtId="166" fontId="40" fillId="0" borderId="19" applyAlignment="1" pivotButton="0" quotePrefix="0" xfId="0">
      <alignment horizontal="center" vertical="center" wrapText="1"/>
    </xf>
    <xf numFmtId="166" fontId="40" fillId="0" borderId="22" applyAlignment="1" pivotButton="0" quotePrefix="0" xfId="0">
      <alignment horizontal="center" vertical="center" wrapText="1"/>
    </xf>
    <xf numFmtId="166" fontId="21" fillId="0" borderId="12" applyAlignment="1" pivotButton="0" quotePrefix="0" xfId="0">
      <alignment horizontal="right" vertical="center" wrapText="1"/>
    </xf>
    <xf numFmtId="166" fontId="21" fillId="0" borderId="21" applyAlignment="1" pivotButton="0" quotePrefix="0" xfId="0">
      <alignment horizontal="right" vertical="center" wrapText="1"/>
    </xf>
    <xf numFmtId="49" fontId="44" fillId="0" borderId="42" applyAlignment="1" pivotButton="0" quotePrefix="0" xfId="0">
      <alignment horizontal="distributed" vertical="center" textRotation="255" wrapText="1"/>
    </xf>
    <xf numFmtId="49" fontId="44" fillId="0" borderId="19" applyAlignment="1" pivotButton="0" quotePrefix="0" xfId="0">
      <alignment horizontal="distributed" vertical="center" textRotation="255" wrapText="1"/>
    </xf>
    <xf numFmtId="49" fontId="44" fillId="0" borderId="43" applyAlignment="1" pivotButton="0" quotePrefix="0" xfId="0">
      <alignment horizontal="distributed" vertical="center" textRotation="255" wrapText="1"/>
    </xf>
    <xf numFmtId="49" fontId="44" fillId="0" borderId="28" applyAlignment="1" pivotButton="0" quotePrefix="0" xfId="0">
      <alignment horizontal="distributed" vertical="center" textRotation="255" wrapText="1"/>
    </xf>
    <xf numFmtId="49" fontId="23" fillId="0" borderId="18" applyAlignment="1" pivotButton="0" quotePrefix="0" xfId="0">
      <alignment horizontal="right" vertical="center"/>
    </xf>
    <xf numFmtId="49" fontId="23" fillId="0" borderId="12" applyAlignment="1" pivotButton="0" quotePrefix="0" xfId="0">
      <alignment horizontal="right" vertical="center"/>
    </xf>
    <xf numFmtId="49" fontId="23" fillId="0" borderId="20" applyAlignment="1" pivotButton="0" quotePrefix="0" xfId="0">
      <alignment horizontal="right" vertical="center"/>
    </xf>
    <xf numFmtId="49" fontId="23" fillId="0" borderId="21" applyAlignment="1" pivotButton="0" quotePrefix="0" xfId="0">
      <alignment horizontal="right" vertical="center"/>
    </xf>
    <xf numFmtId="49" fontId="40" fillId="0" borderId="172" applyAlignment="1" pivotButton="0" quotePrefix="0" xfId="0">
      <alignment horizontal="distributed" vertical="center" wrapText="1"/>
    </xf>
    <xf numFmtId="49" fontId="60" fillId="0" borderId="12" applyAlignment="1" pivotButton="0" quotePrefix="0" xfId="0">
      <alignment horizontal="center" vertical="center" wrapText="1"/>
    </xf>
    <xf numFmtId="49" fontId="60" fillId="0" borderId="19" applyAlignment="1" pivotButton="0" quotePrefix="0" xfId="0">
      <alignment horizontal="center" vertical="center" wrapText="1"/>
    </xf>
    <xf numFmtId="49" fontId="60" fillId="0" borderId="21" applyAlignment="1" pivotButton="0" quotePrefix="0" xfId="0">
      <alignment horizontal="center" vertical="center" wrapText="1"/>
    </xf>
    <xf numFmtId="49" fontId="60" fillId="0" borderId="22" applyAlignment="1" pivotButton="0" quotePrefix="0" xfId="0">
      <alignment horizontal="center" vertical="center" wrapText="1"/>
    </xf>
    <xf numFmtId="49" fontId="59" fillId="0" borderId="250" applyAlignment="1" pivotButton="0" quotePrefix="0" xfId="0">
      <alignment horizontal="center" vertical="center" textRotation="255"/>
    </xf>
    <xf numFmtId="49" fontId="59" fillId="0" borderId="69" applyAlignment="1" pivotButton="0" quotePrefix="0" xfId="0">
      <alignment horizontal="center" vertical="center" textRotation="255"/>
    </xf>
    <xf numFmtId="167" fontId="47" fillId="0" borderId="16" applyAlignment="1" pivotButton="0" quotePrefix="0" xfId="0">
      <alignment horizontal="right" vertical="center" shrinkToFit="1" indent="1"/>
    </xf>
    <xf numFmtId="167" fontId="47" fillId="0" borderId="14" applyAlignment="1" pivotButton="0" quotePrefix="0" xfId="0">
      <alignment horizontal="right" vertical="center" shrinkToFit="1" indent="1"/>
    </xf>
    <xf numFmtId="167" fontId="47" fillId="0" borderId="23" applyAlignment="1" pivotButton="0" quotePrefix="0" xfId="0">
      <alignment horizontal="right" vertical="center" shrinkToFit="1" indent="1"/>
    </xf>
    <xf numFmtId="167" fontId="47" fillId="0" borderId="15" applyAlignment="1" pivotButton="0" quotePrefix="0" xfId="0">
      <alignment horizontal="right" vertical="center" shrinkToFit="1" indent="1"/>
    </xf>
    <xf numFmtId="164" fontId="47" fillId="0" borderId="16" applyAlignment="1" pivotButton="0" quotePrefix="0" xfId="0">
      <alignment horizontal="center" vertical="center" shrinkToFit="1"/>
    </xf>
    <xf numFmtId="164" fontId="47" fillId="0" borderId="14" applyAlignment="1" pivotButton="0" quotePrefix="0" xfId="0">
      <alignment horizontal="center" vertical="center" shrinkToFit="1"/>
    </xf>
    <xf numFmtId="164" fontId="47" fillId="0" borderId="23" applyAlignment="1" pivotButton="0" quotePrefix="0" xfId="0">
      <alignment horizontal="center" vertical="center" shrinkToFit="1"/>
    </xf>
    <xf numFmtId="164" fontId="47" fillId="0" borderId="15" applyAlignment="1" pivotButton="0" quotePrefix="0" xfId="0">
      <alignment horizontal="center" vertical="center" shrinkToFit="1"/>
    </xf>
    <xf numFmtId="49" fontId="47" fillId="0" borderId="16" applyAlignment="1" pivotButton="0" quotePrefix="0" xfId="0">
      <alignment horizontal="center" vertical="center" shrinkToFit="1"/>
    </xf>
    <xf numFmtId="49" fontId="47" fillId="0" borderId="14" applyAlignment="1" pivotButton="0" quotePrefix="0" xfId="0">
      <alignment horizontal="center" vertical="center" shrinkToFit="1"/>
    </xf>
    <xf numFmtId="49" fontId="47" fillId="0" borderId="23" applyAlignment="1" pivotButton="0" quotePrefix="0" xfId="0">
      <alignment horizontal="center" vertical="center" shrinkToFit="1"/>
    </xf>
    <xf numFmtId="49" fontId="24" fillId="0" borderId="16" applyAlignment="1" pivotButton="0" quotePrefix="0" xfId="0">
      <alignment horizontal="left" vertical="center" wrapText="1" indent="1"/>
    </xf>
    <xf numFmtId="49" fontId="24" fillId="0" borderId="14" applyAlignment="1" pivotButton="0" quotePrefix="0" xfId="0">
      <alignment horizontal="left" vertical="center" wrapText="1" indent="1"/>
    </xf>
    <xf numFmtId="49" fontId="24" fillId="0" borderId="23" applyAlignment="1" pivotButton="0" quotePrefix="0" xfId="0">
      <alignment horizontal="left" vertical="center" wrapText="1" indent="1"/>
    </xf>
    <xf numFmtId="170" fontId="24" fillId="0" borderId="14" applyAlignment="1" pivotButton="0" quotePrefix="0" xfId="0">
      <alignment horizontal="right" vertical="center" wrapText="1"/>
    </xf>
    <xf numFmtId="164" fontId="47" fillId="0" borderId="18" applyAlignment="1" pivotButton="0" quotePrefix="0" xfId="0">
      <alignment horizontal="center" vertical="center" shrinkToFit="1"/>
    </xf>
    <xf numFmtId="164" fontId="47" fillId="0" borderId="12" applyAlignment="1" pivotButton="0" quotePrefix="0" xfId="0">
      <alignment horizontal="center" vertical="center" shrinkToFit="1"/>
    </xf>
    <xf numFmtId="164" fontId="47" fillId="0" borderId="19" applyAlignment="1" pivotButton="0" quotePrefix="0" xfId="0">
      <alignment horizontal="center" vertical="center" shrinkToFit="1"/>
    </xf>
    <xf numFmtId="164" fontId="47" fillId="0" borderId="13" applyAlignment="1" pivotButton="0" quotePrefix="0" xfId="0">
      <alignment horizontal="center" vertical="center" shrinkToFit="1"/>
    </xf>
    <xf numFmtId="49" fontId="47" fillId="0" borderId="110" applyAlignment="1" pivotButton="0" quotePrefix="0" xfId="0">
      <alignment horizontal="right" vertical="center"/>
    </xf>
    <xf numFmtId="49" fontId="47" fillId="0" borderId="45" applyAlignment="1" pivotButton="0" quotePrefix="0" xfId="0">
      <alignment horizontal="right" vertical="center"/>
    </xf>
    <xf numFmtId="49" fontId="47" fillId="0" borderId="190" applyAlignment="1" pivotButton="0" quotePrefix="0" xfId="0">
      <alignment horizontal="right" vertical="center"/>
    </xf>
    <xf numFmtId="49" fontId="47" fillId="0" borderId="172" applyAlignment="1" pivotButton="0" quotePrefix="0" xfId="0">
      <alignment horizontal="right" vertical="center"/>
    </xf>
    <xf numFmtId="49" fontId="56" fillId="0" borderId="110" applyAlignment="1" pivotButton="0" quotePrefix="0" xfId="0">
      <alignment horizontal="center" vertical="center" wrapText="1"/>
    </xf>
    <xf numFmtId="49" fontId="56" fillId="0" borderId="45" applyAlignment="1" pivotButton="0" quotePrefix="0" xfId="0">
      <alignment horizontal="center" vertical="center" wrapText="1"/>
    </xf>
    <xf numFmtId="49" fontId="56" fillId="0" borderId="46" applyAlignment="1" pivotButton="0" quotePrefix="0" xfId="0">
      <alignment horizontal="center" vertical="center" wrapText="1"/>
    </xf>
    <xf numFmtId="165" fontId="24" fillId="0" borderId="12" applyAlignment="1" pivotButton="0" quotePrefix="0" xfId="0">
      <alignment horizontal="right" vertical="center" wrapText="1"/>
    </xf>
    <xf numFmtId="165" fontId="24" fillId="0" borderId="21" applyAlignment="1" pivotButton="0" quotePrefix="0" xfId="0">
      <alignment horizontal="right" vertical="center" wrapText="1"/>
    </xf>
    <xf numFmtId="166" fontId="24" fillId="0" borderId="12" applyAlignment="1" pivotButton="0" quotePrefix="0" xfId="0">
      <alignment horizontal="right" vertical="center" wrapText="1"/>
    </xf>
    <xf numFmtId="166" fontId="24" fillId="0" borderId="21" applyAlignment="1" pivotButton="0" quotePrefix="0" xfId="0">
      <alignment horizontal="right" vertical="center" wrapText="1"/>
    </xf>
    <xf numFmtId="49" fontId="47" fillId="0" borderId="18" applyAlignment="1" pivotButton="0" quotePrefix="0" xfId="0">
      <alignment horizontal="right" vertical="center"/>
    </xf>
    <xf numFmtId="49" fontId="47" fillId="0" borderId="12" applyAlignment="1" pivotButton="0" quotePrefix="0" xfId="0">
      <alignment horizontal="right" vertical="center"/>
    </xf>
    <xf numFmtId="49" fontId="47" fillId="0" borderId="20" applyAlignment="1" pivotButton="0" quotePrefix="0" xfId="0">
      <alignment horizontal="right" vertical="center"/>
    </xf>
    <xf numFmtId="49" fontId="47" fillId="0" borderId="21" applyAlignment="1" pivotButton="0" quotePrefix="0" xfId="0">
      <alignment horizontal="right" vertical="center"/>
    </xf>
    <xf numFmtId="49" fontId="69" fillId="0" borderId="37" applyAlignment="1" pivotButton="0" quotePrefix="0" xfId="0">
      <alignment horizontal="center" vertical="center"/>
    </xf>
    <xf numFmtId="49" fontId="69" fillId="0" borderId="24" applyAlignment="1" pivotButton="0" quotePrefix="0" xfId="0">
      <alignment horizontal="center" vertical="center"/>
    </xf>
    <xf numFmtId="49" fontId="69" fillId="0" borderId="25" applyAlignment="1" pivotButton="0" quotePrefix="0" xfId="0">
      <alignment horizontal="center" vertical="center"/>
    </xf>
    <xf numFmtId="49" fontId="69" fillId="0" borderId="124" applyAlignment="1" pivotButton="0" quotePrefix="0" xfId="0">
      <alignment horizontal="center" vertical="center"/>
    </xf>
    <xf numFmtId="49" fontId="40" fillId="0" borderId="125" applyAlignment="1" pivotButton="0" quotePrefix="0" xfId="0">
      <alignment horizontal="distributed" vertical="center"/>
    </xf>
    <xf numFmtId="49" fontId="40" fillId="0" borderId="126" applyAlignment="1" pivotButton="0" quotePrefix="0" xfId="0">
      <alignment horizontal="distributed" vertical="center"/>
    </xf>
    <xf numFmtId="49" fontId="40" fillId="0" borderId="127" applyAlignment="1" pivotButton="0" quotePrefix="0" xfId="0">
      <alignment horizontal="distributed" vertical="center"/>
    </xf>
    <xf numFmtId="49" fontId="43" fillId="0" borderId="64" applyAlignment="1" pivotButton="0" quotePrefix="0" xfId="0">
      <alignment horizontal="center" vertical="center" textRotation="255"/>
    </xf>
    <xf numFmtId="49" fontId="43" fillId="0" borderId="65" applyAlignment="1" pivotButton="0" quotePrefix="0" xfId="0">
      <alignment horizontal="center" vertical="center" textRotation="255"/>
    </xf>
    <xf numFmtId="49" fontId="43" fillId="0" borderId="43" applyAlignment="1" pivotButton="0" quotePrefix="0" xfId="0">
      <alignment horizontal="center" vertical="center" textRotation="255"/>
    </xf>
    <xf numFmtId="49" fontId="43" fillId="0" borderId="0" applyAlignment="1" pivotButton="0" quotePrefix="0" xfId="0">
      <alignment horizontal="center" vertical="center" textRotation="255"/>
    </xf>
    <xf numFmtId="49" fontId="43" fillId="0" borderId="66" applyAlignment="1" pivotButton="0" quotePrefix="0" xfId="0">
      <alignment horizontal="center" vertical="center" textRotation="255"/>
    </xf>
    <xf numFmtId="49" fontId="43" fillId="0" borderId="21" applyAlignment="1" pivotButton="0" quotePrefix="0" xfId="0">
      <alignment horizontal="center" vertical="center" textRotation="255"/>
    </xf>
    <xf numFmtId="49" fontId="21" fillId="0" borderId="113" applyAlignment="1" pivotButton="0" quotePrefix="0" xfId="0">
      <alignment horizontal="center" vertical="center"/>
    </xf>
    <xf numFmtId="49" fontId="21" fillId="0" borderId="138" applyAlignment="1" pivotButton="0" quotePrefix="0" xfId="0">
      <alignment horizontal="center" vertical="center"/>
    </xf>
    <xf numFmtId="49" fontId="21" fillId="0" borderId="134" applyAlignment="1" pivotButton="0" quotePrefix="0" xfId="0">
      <alignment horizontal="center" vertical="center"/>
    </xf>
    <xf numFmtId="49" fontId="21" fillId="0" borderId="130" applyAlignment="1" pivotButton="0" quotePrefix="0" xfId="0">
      <alignment horizontal="center" vertical="center"/>
    </xf>
    <xf numFmtId="49" fontId="21" fillId="0" borderId="104" applyAlignment="1" pivotButton="0" quotePrefix="0" xfId="0">
      <alignment horizontal="center" vertical="center"/>
    </xf>
    <xf numFmtId="49" fontId="21" fillId="0" borderId="106" applyAlignment="1" pivotButton="0" quotePrefix="0" xfId="0">
      <alignment horizontal="center" vertical="center"/>
    </xf>
    <xf numFmtId="49" fontId="21" fillId="0" borderId="108" applyAlignment="1" pivotButton="0" quotePrefix="0" xfId="0">
      <alignment horizontal="center" vertical="center"/>
    </xf>
    <xf numFmtId="49" fontId="21" fillId="0" borderId="105" applyAlignment="1" pivotButton="0" quotePrefix="0" xfId="0">
      <alignment horizontal="center" vertical="center"/>
    </xf>
    <xf numFmtId="49" fontId="21" fillId="0" borderId="107" applyAlignment="1" pivotButton="0" quotePrefix="0" xfId="0">
      <alignment horizontal="center" vertical="center"/>
    </xf>
    <xf numFmtId="49" fontId="21" fillId="0" borderId="109" applyAlignment="1" pivotButton="0" quotePrefix="0" xfId="0">
      <alignment horizontal="center" vertical="center"/>
    </xf>
    <xf numFmtId="49" fontId="51" fillId="0" borderId="35" applyAlignment="1" pivotButton="0" quotePrefix="0" xfId="0">
      <alignment horizontal="center" vertical="distributed" textRotation="255" wrapText="1"/>
    </xf>
    <xf numFmtId="49" fontId="51" fillId="0" borderId="33" applyAlignment="1" pivotButton="0" quotePrefix="0" xfId="0">
      <alignment horizontal="center" vertical="distributed" textRotation="255" wrapText="1"/>
    </xf>
    <xf numFmtId="49" fontId="21" fillId="0" borderId="101" applyAlignment="1" pivotButton="0" quotePrefix="0" xfId="0">
      <alignment horizontal="center" vertical="center"/>
    </xf>
    <xf numFmtId="49" fontId="21" fillId="0" borderId="102" applyAlignment="1" pivotButton="0" quotePrefix="0" xfId="0">
      <alignment horizontal="center" vertical="center"/>
    </xf>
    <xf numFmtId="49" fontId="40" fillId="0" borderId="49" applyAlignment="1" pivotButton="0" quotePrefix="0" xfId="0">
      <alignment horizontal="center" vertical="center"/>
    </xf>
    <xf numFmtId="164" fontId="21" fillId="0" borderId="16" applyAlignment="1" pivotButton="0" quotePrefix="0" xfId="0">
      <alignment horizontal="center" vertical="center"/>
    </xf>
    <xf numFmtId="164" fontId="21" fillId="0" borderId="14" applyAlignment="1" pivotButton="0" quotePrefix="0" xfId="0">
      <alignment horizontal="center" vertical="center"/>
    </xf>
    <xf numFmtId="164" fontId="21" fillId="0" borderId="23" applyAlignment="1" pivotButton="0" quotePrefix="0" xfId="0">
      <alignment horizontal="center" vertical="center"/>
    </xf>
    <xf numFmtId="164" fontId="21" fillId="0" borderId="15" applyAlignment="1" pivotButton="0" quotePrefix="0" xfId="0">
      <alignment horizontal="center" vertical="center"/>
    </xf>
    <xf numFmtId="49" fontId="44" fillId="0" borderId="42" applyAlignment="1" pivotButton="0" quotePrefix="0" xfId="0">
      <alignment horizontal="center" vertical="center" wrapText="1"/>
    </xf>
    <xf numFmtId="49" fontId="44" fillId="0" borderId="12" applyAlignment="1" pivotButton="0" quotePrefix="0" xfId="0">
      <alignment horizontal="center" vertical="center" wrapText="1"/>
    </xf>
    <xf numFmtId="49" fontId="44" fillId="0" borderId="19" applyAlignment="1" pivotButton="0" quotePrefix="0" xfId="0">
      <alignment horizontal="center" vertical="center" wrapText="1"/>
    </xf>
    <xf numFmtId="49" fontId="44" fillId="0" borderId="43" applyAlignment="1" pivotButton="0" quotePrefix="0" xfId="0">
      <alignment horizontal="center" vertical="center" wrapText="1"/>
    </xf>
    <xf numFmtId="49" fontId="44" fillId="0" borderId="0" applyAlignment="1" pivotButton="0" quotePrefix="0" xfId="0">
      <alignment horizontal="center" vertical="center" wrapText="1"/>
    </xf>
    <xf numFmtId="49" fontId="44" fillId="0" borderId="28" applyAlignment="1" pivotButton="0" quotePrefix="0" xfId="0">
      <alignment horizontal="center" vertical="center" wrapText="1"/>
    </xf>
    <xf numFmtId="49" fontId="44" fillId="0" borderId="66" applyAlignment="1" pivotButton="0" quotePrefix="0" xfId="0">
      <alignment horizontal="center" vertical="center" wrapText="1"/>
    </xf>
    <xf numFmtId="49" fontId="44" fillId="0" borderId="21" applyAlignment="1" pivotButton="0" quotePrefix="0" xfId="0">
      <alignment horizontal="center" vertical="center" wrapText="1"/>
    </xf>
    <xf numFmtId="49" fontId="44" fillId="0" borderId="22" applyAlignment="1" pivotButton="0" quotePrefix="0" xfId="0">
      <alignment horizontal="center" vertical="center" wrapText="1"/>
    </xf>
    <xf numFmtId="49" fontId="44" fillId="0" borderId="251" applyAlignment="1" pivotButton="0" quotePrefix="0" xfId="0">
      <alignment horizontal="center" vertical="center" wrapText="1"/>
    </xf>
    <xf numFmtId="49" fontId="44" fillId="0" borderId="252" applyAlignment="1" pivotButton="0" quotePrefix="0" xfId="0">
      <alignment horizontal="center" vertical="center" wrapText="1"/>
    </xf>
    <xf numFmtId="49" fontId="44" fillId="0" borderId="253" applyAlignment="1" pivotButton="0" quotePrefix="0" xfId="0">
      <alignment horizontal="center" vertical="center" wrapText="1"/>
    </xf>
    <xf numFmtId="49" fontId="44" fillId="0" borderId="20" applyAlignment="1" pivotButton="0" quotePrefix="0" xfId="0">
      <alignment horizontal="center" vertical="center" wrapText="1"/>
    </xf>
    <xf numFmtId="49" fontId="40" fillId="0" borderId="42" applyAlignment="1" pivotButton="0" quotePrefix="0" xfId="0">
      <alignment horizontal="distributed" vertical="center"/>
    </xf>
    <xf numFmtId="49" fontId="40" fillId="0" borderId="43" applyAlignment="1" pivotButton="0" quotePrefix="0" xfId="0">
      <alignment horizontal="distributed" vertical="center"/>
    </xf>
    <xf numFmtId="49" fontId="40" fillId="0" borderId="66" applyAlignment="1" pivotButton="0" quotePrefix="0" xfId="0">
      <alignment horizontal="distributed" vertical="center"/>
    </xf>
    <xf numFmtId="0" fontId="40" fillId="0" borderId="19" applyAlignment="1" pivotButton="0" quotePrefix="0" xfId="0">
      <alignment horizontal="center" vertical="center"/>
    </xf>
    <xf numFmtId="0" fontId="40" fillId="0" borderId="28" applyAlignment="1" pivotButton="0" quotePrefix="0" xfId="0">
      <alignment horizontal="center" vertical="center"/>
    </xf>
    <xf numFmtId="0" fontId="40" fillId="0" borderId="22" applyAlignment="1" pivotButton="0" quotePrefix="0" xfId="0">
      <alignment horizontal="center" vertical="center"/>
    </xf>
    <xf numFmtId="49" fontId="70" fillId="0" borderId="16" applyAlignment="1" pivotButton="0" quotePrefix="0" xfId="0">
      <alignment horizontal="center" vertical="center" wrapText="1" shrinkToFit="1"/>
    </xf>
    <xf numFmtId="49" fontId="70" fillId="0" borderId="14" applyAlignment="1" pivotButton="0" quotePrefix="0" xfId="0">
      <alignment horizontal="center" vertical="center" wrapText="1" shrinkToFit="1"/>
    </xf>
    <xf numFmtId="49" fontId="70" fillId="0" borderId="23" applyAlignment="1" pivotButton="0" quotePrefix="0" xfId="0">
      <alignment horizontal="center" vertical="center" wrapText="1" shrinkToFit="1"/>
    </xf>
    <xf numFmtId="49" fontId="44" fillId="0" borderId="21" applyAlignment="1" pivotButton="0" quotePrefix="0" xfId="0">
      <alignment horizontal="center" vertical="center" shrinkToFit="1"/>
    </xf>
    <xf numFmtId="49" fontId="44" fillId="0" borderId="49" applyAlignment="1" pivotButton="0" quotePrefix="0" xfId="0">
      <alignment horizontal="center" vertical="center" shrinkToFit="1"/>
    </xf>
    <xf numFmtId="49" fontId="44" fillId="0" borderId="16" applyAlignment="1" pivotButton="0" quotePrefix="0" xfId="0">
      <alignment horizontal="center" vertical="center" wrapText="1"/>
    </xf>
    <xf numFmtId="49" fontId="44" fillId="0" borderId="14" applyAlignment="1" pivotButton="0" quotePrefix="0" xfId="0">
      <alignment horizontal="center" vertical="center" wrapText="1"/>
    </xf>
    <xf numFmtId="49" fontId="44" fillId="0" borderId="23" applyAlignment="1" pivotButton="0" quotePrefix="0" xfId="0">
      <alignment horizontal="center" vertical="center" wrapText="1"/>
    </xf>
    <xf numFmtId="166" fontId="21" fillId="0" borderId="16" applyAlignment="1" pivotButton="0" quotePrefix="0" xfId="0">
      <alignment horizontal="right" vertical="center" wrapText="1"/>
    </xf>
    <xf numFmtId="166" fontId="21" fillId="0" borderId="14" applyAlignment="1" pivotButton="0" quotePrefix="0" xfId="0">
      <alignment horizontal="right" vertical="center" wrapText="1"/>
    </xf>
    <xf numFmtId="166" fontId="21" fillId="0" borderId="23" applyAlignment="1" pivotButton="0" quotePrefix="0" xfId="0">
      <alignment horizontal="right" vertical="center" wrapText="1"/>
    </xf>
    <xf numFmtId="166" fontId="21" fillId="0" borderId="16" applyAlignment="1" pivotButton="0" quotePrefix="0" xfId="0">
      <alignment horizontal="right" vertical="center" shrinkToFit="1"/>
    </xf>
    <xf numFmtId="166" fontId="21" fillId="0" borderId="14" applyAlignment="1" pivotButton="0" quotePrefix="0" xfId="0">
      <alignment horizontal="right" vertical="center" shrinkToFit="1"/>
    </xf>
    <xf numFmtId="49" fontId="44" fillId="0" borderId="42" applyAlignment="1" pivotButton="0" quotePrefix="0" xfId="0">
      <alignment horizontal="center" vertical="center" wrapText="1" shrinkToFit="1"/>
    </xf>
    <xf numFmtId="49" fontId="44" fillId="0" borderId="16" applyAlignment="1" pivotButton="0" quotePrefix="0" xfId="0">
      <alignment horizontal="center" vertical="center"/>
    </xf>
    <xf numFmtId="49" fontId="44" fillId="0" borderId="14" applyAlignment="1" pivotButton="0" quotePrefix="0" xfId="0">
      <alignment horizontal="center" vertical="center"/>
    </xf>
    <xf numFmtId="49" fontId="44" fillId="0" borderId="23" applyAlignment="1" pivotButton="0" quotePrefix="0" xfId="0">
      <alignment horizontal="center" vertical="center"/>
    </xf>
    <xf numFmtId="49" fontId="44" fillId="0" borderId="0" applyAlignment="1" pivotButton="0" quotePrefix="0" xfId="0">
      <alignment horizontal="right" vertical="center"/>
    </xf>
    <xf numFmtId="49" fontId="22" fillId="0" borderId="0" applyAlignment="1" pivotButton="0" quotePrefix="0" xfId="0">
      <alignment horizontal="center" vertical="center"/>
    </xf>
    <xf numFmtId="49" fontId="44" fillId="0" borderId="0" applyAlignment="1" pivotButton="0" quotePrefix="0" xfId="0">
      <alignment horizontal="left" vertical="center"/>
    </xf>
    <xf numFmtId="49" fontId="60" fillId="0" borderId="16" applyAlignment="1" pivotButton="0" quotePrefix="0" xfId="0">
      <alignment horizontal="left" vertical="center" wrapText="1"/>
    </xf>
    <xf numFmtId="49" fontId="60" fillId="0" borderId="14" applyAlignment="1" pivotButton="0" quotePrefix="0" xfId="0">
      <alignment horizontal="left" vertical="center" wrapText="1"/>
    </xf>
    <xf numFmtId="49" fontId="40" fillId="0" borderId="42" applyAlignment="1" pivotButton="0" quotePrefix="0" xfId="0">
      <alignment horizontal="distributed" vertical="center" textRotation="255"/>
    </xf>
    <xf numFmtId="49" fontId="40" fillId="0" borderId="19" applyAlignment="1" pivotButton="0" quotePrefix="0" xfId="0">
      <alignment horizontal="distributed" vertical="center" textRotation="255"/>
    </xf>
    <xf numFmtId="49" fontId="40" fillId="0" borderId="43" applyAlignment="1" pivotButton="0" quotePrefix="0" xfId="0">
      <alignment horizontal="distributed" vertical="center" textRotation="255"/>
    </xf>
    <xf numFmtId="49" fontId="40" fillId="0" borderId="28" applyAlignment="1" pivotButton="0" quotePrefix="0" xfId="0">
      <alignment horizontal="distributed" vertical="center" textRotation="255"/>
    </xf>
    <xf numFmtId="49" fontId="40" fillId="0" borderId="66" applyAlignment="1" pivotButton="0" quotePrefix="0" xfId="0">
      <alignment horizontal="distributed" vertical="center" textRotation="255"/>
    </xf>
    <xf numFmtId="49" fontId="40" fillId="0" borderId="22" applyAlignment="1" pivotButton="0" quotePrefix="0" xfId="0">
      <alignment horizontal="distributed" vertical="center" textRotation="255"/>
    </xf>
    <xf numFmtId="49" fontId="23" fillId="0" borderId="16" applyAlignment="1" pivotButton="0" quotePrefix="0" xfId="0">
      <alignment horizontal="left" vertical="center"/>
    </xf>
    <xf numFmtId="49" fontId="23" fillId="0" borderId="15" applyAlignment="1" pivotButton="0" quotePrefix="0" xfId="0">
      <alignment horizontal="left" vertical="center"/>
    </xf>
    <xf numFmtId="49" fontId="21" fillId="0" borderId="15" applyAlignment="1" pivotButton="0" quotePrefix="0" xfId="0">
      <alignment horizontal="left" vertical="center" wrapText="1"/>
    </xf>
    <xf numFmtId="49" fontId="44" fillId="0" borderId="18" applyAlignment="1" pivotButton="0" quotePrefix="0" xfId="0">
      <alignment horizontal="center" vertical="center" wrapText="1"/>
    </xf>
    <xf numFmtId="49" fontId="21" fillId="0" borderId="15" applyAlignment="1" pivotButton="0" quotePrefix="0" xfId="0">
      <alignment horizontal="left" vertical="center" shrinkToFit="1"/>
    </xf>
    <xf numFmtId="49" fontId="47" fillId="0" borderId="15" applyAlignment="1" pivotButton="0" quotePrefix="0" xfId="0">
      <alignment horizontal="center" vertical="center"/>
    </xf>
    <xf numFmtId="167" fontId="24" fillId="0" borderId="16" applyAlignment="1" pivotButton="0" quotePrefix="0" xfId="0">
      <alignment horizontal="center" vertical="center"/>
    </xf>
    <xf numFmtId="167" fontId="24" fillId="0" borderId="14" applyAlignment="1" pivotButton="0" quotePrefix="0" xfId="0">
      <alignment horizontal="center" vertical="center"/>
    </xf>
    <xf numFmtId="167" fontId="24" fillId="0" borderId="112" applyAlignment="1" pivotButton="0" quotePrefix="0" xfId="0">
      <alignment horizontal="center" vertical="center"/>
    </xf>
    <xf numFmtId="167" fontId="24" fillId="0" borderId="113" applyAlignment="1" pivotButton="0" quotePrefix="0" xfId="0">
      <alignment horizontal="center" vertical="center"/>
    </xf>
    <xf numFmtId="167" fontId="24" fillId="0" borderId="23" applyAlignment="1" pivotButton="0" quotePrefix="0" xfId="0">
      <alignment horizontal="center" vertical="center"/>
    </xf>
    <xf numFmtId="167" fontId="24" fillId="0" borderId="15" applyAlignment="1" pivotButton="0" quotePrefix="0" xfId="0">
      <alignment horizontal="center" vertical="center"/>
    </xf>
    <xf numFmtId="164" fontId="24" fillId="0" borderId="16" applyAlignment="1" pivotButton="0" quotePrefix="0" xfId="0">
      <alignment horizontal="center" vertical="center"/>
    </xf>
    <xf numFmtId="164" fontId="24" fillId="0" borderId="14" applyAlignment="1" pivotButton="0" quotePrefix="0" xfId="0">
      <alignment horizontal="center" vertical="center"/>
    </xf>
    <xf numFmtId="164" fontId="24" fillId="0" borderId="23" applyAlignment="1" pivotButton="0" quotePrefix="0" xfId="0">
      <alignment horizontal="center" vertical="center"/>
    </xf>
    <xf numFmtId="164" fontId="24" fillId="0" borderId="15" applyAlignment="1" pivotButton="0" quotePrefix="0" xfId="0">
      <alignment horizontal="center" vertical="center"/>
    </xf>
    <xf numFmtId="49" fontId="32" fillId="0" borderId="0" applyAlignment="1" pivotButton="0" quotePrefix="0" xfId="0">
      <alignment horizontal="center" vertical="center"/>
    </xf>
    <xf numFmtId="49" fontId="44" fillId="0" borderId="15" applyAlignment="1" pivotButton="0" quotePrefix="0" xfId="0">
      <alignment horizontal="center" vertical="center" wrapText="1" shrinkToFit="1"/>
    </xf>
    <xf numFmtId="165" fontId="24" fillId="0" borderId="16" applyAlignment="1" pivotButton="0" quotePrefix="0" xfId="0">
      <alignment horizontal="right" vertical="center" wrapText="1"/>
    </xf>
    <xf numFmtId="165" fontId="24" fillId="0" borderId="14" applyAlignment="1" pivotButton="0" quotePrefix="0" xfId="0">
      <alignment horizontal="right" vertical="center" wrapText="1"/>
    </xf>
    <xf numFmtId="166" fontId="24" fillId="0" borderId="16" applyAlignment="1" pivotButton="0" quotePrefix="0" xfId="0">
      <alignment horizontal="right" vertical="center" wrapText="1"/>
    </xf>
    <xf numFmtId="166" fontId="24" fillId="0" borderId="14" applyAlignment="1" pivotButton="0" quotePrefix="0" xfId="0">
      <alignment horizontal="right" vertical="center" wrapText="1"/>
    </xf>
    <xf numFmtId="166" fontId="24" fillId="0" borderId="23" applyAlignment="1" pivotButton="0" quotePrefix="0" xfId="0">
      <alignment horizontal="right" vertical="center" wrapText="1"/>
    </xf>
    <xf numFmtId="166" fontId="24" fillId="0" borderId="16" applyAlignment="1" pivotButton="0" quotePrefix="0" xfId="0">
      <alignment horizontal="right" vertical="center" shrinkToFit="1"/>
    </xf>
    <xf numFmtId="166" fontId="24" fillId="0" borderId="14" applyAlignment="1" pivotButton="0" quotePrefix="0" xfId="0">
      <alignment horizontal="right" vertical="center" shrinkToFit="1"/>
    </xf>
    <xf numFmtId="49" fontId="47" fillId="0" borderId="16" applyAlignment="1" pivotButton="0" quotePrefix="0" xfId="0">
      <alignment horizontal="left" vertical="center"/>
    </xf>
    <xf numFmtId="49" fontId="47" fillId="0" borderId="14" applyAlignment="1" pivotButton="0" quotePrefix="0" xfId="0">
      <alignment horizontal="left" vertical="center"/>
    </xf>
    <xf numFmtId="49" fontId="47" fillId="0" borderId="15" applyAlignment="1" pivotButton="0" quotePrefix="0" xfId="0">
      <alignment horizontal="left" vertical="center"/>
    </xf>
    <xf numFmtId="49" fontId="24" fillId="0" borderId="15" applyAlignment="1" pivotButton="0" quotePrefix="0" xfId="0">
      <alignment horizontal="left" vertical="center" wrapText="1"/>
    </xf>
    <xf numFmtId="49" fontId="24" fillId="0" borderId="15" applyAlignment="1" pivotButton="0" quotePrefix="0" xfId="0">
      <alignment horizontal="left" vertical="center" shrinkToFit="1"/>
    </xf>
    <xf numFmtId="49" fontId="60" fillId="0" borderId="64" applyAlignment="1" pivotButton="0" quotePrefix="0" xfId="0">
      <alignment horizontal="center" vertical="center" textRotation="255" wrapText="1"/>
    </xf>
    <xf numFmtId="49" fontId="60" fillId="0" borderId="169" applyAlignment="1" pivotButton="0" quotePrefix="0" xfId="0">
      <alignment horizontal="center" vertical="center" textRotation="255" wrapText="1"/>
    </xf>
    <xf numFmtId="49" fontId="60" fillId="0" borderId="72" applyAlignment="1" pivotButton="0" quotePrefix="0" xfId="0">
      <alignment horizontal="center" vertical="center" textRotation="255" wrapText="1"/>
    </xf>
    <xf numFmtId="49" fontId="60" fillId="0" borderId="188" applyAlignment="1" pivotButton="0" quotePrefix="0" xfId="0">
      <alignment horizontal="center" vertical="center" textRotation="255" wrapText="1"/>
    </xf>
    <xf numFmtId="49" fontId="30" fillId="0" borderId="16" applyAlignment="1" pivotButton="0" quotePrefix="0" xfId="0">
      <alignment horizontal="right" vertical="center"/>
    </xf>
    <xf numFmtId="49" fontId="30" fillId="0" borderId="14" applyAlignment="1" pivotButton="0" quotePrefix="0" xfId="0">
      <alignment horizontal="right" vertical="center"/>
    </xf>
    <xf numFmtId="49" fontId="38" fillId="0" borderId="14" applyAlignment="1" pivotButton="0" quotePrefix="0" xfId="0">
      <alignment horizontal="distributed" vertical="center"/>
    </xf>
    <xf numFmtId="49" fontId="30" fillId="0" borderId="14" applyAlignment="1" pivotButton="0" quotePrefix="0" xfId="0">
      <alignment horizontal="left" vertical="center" wrapText="1"/>
    </xf>
    <xf numFmtId="49" fontId="43" fillId="0" borderId="64" applyAlignment="1" pivotButton="0" quotePrefix="0" xfId="0">
      <alignment horizontal="center" vertical="center" textRotation="255" wrapText="1"/>
    </xf>
    <xf numFmtId="49" fontId="43" fillId="0" borderId="169" applyAlignment="1" pivotButton="0" quotePrefix="0" xfId="0">
      <alignment horizontal="center" vertical="center" textRotation="255" wrapText="1"/>
    </xf>
    <xf numFmtId="49" fontId="38" fillId="0" borderId="14" applyAlignment="1" pivotButton="0" quotePrefix="0" xfId="0">
      <alignment horizontal="left" vertical="center" wrapText="1"/>
    </xf>
    <xf numFmtId="49" fontId="30" fillId="24" borderId="16" applyAlignment="1" pivotButton="0" quotePrefix="0" xfId="0">
      <alignment horizontal="left" vertical="center" wrapText="1"/>
    </xf>
    <xf numFmtId="49" fontId="30" fillId="24" borderId="14" applyAlignment="1" pivotButton="0" quotePrefix="0" xfId="0">
      <alignment horizontal="left" vertical="center" wrapText="1"/>
    </xf>
    <xf numFmtId="49" fontId="30" fillId="24" borderId="15" applyAlignment="1" pivotButton="0" quotePrefix="0" xfId="0">
      <alignment horizontal="left" vertical="center" wrapText="1"/>
    </xf>
    <xf numFmtId="49" fontId="39" fillId="0" borderId="0" applyAlignment="1" applyProtection="1" pivotButton="0" quotePrefix="0" xfId="42">
      <alignment horizontal="left" vertical="center"/>
      <protection locked="0" hidden="0"/>
    </xf>
    <xf numFmtId="49" fontId="39" fillId="0" borderId="48" applyAlignment="1" applyProtection="1" pivotButton="0" quotePrefix="0" xfId="42">
      <alignment horizontal="left" vertical="center"/>
      <protection locked="0" hidden="0"/>
    </xf>
    <xf numFmtId="172" fontId="21" fillId="0" borderId="0" applyAlignment="1" applyProtection="1" pivotButton="0" quotePrefix="0" xfId="42">
      <alignment horizontal="right" vertical="center"/>
      <protection locked="0" hidden="0"/>
    </xf>
    <xf numFmtId="49" fontId="43" fillId="0" borderId="22" applyAlignment="1" pivotButton="0" quotePrefix="0" xfId="0">
      <alignment horizontal="distributed" vertical="center"/>
    </xf>
    <xf numFmtId="49" fontId="39" fillId="0" borderId="0" applyAlignment="1" applyProtection="1" pivotButton="0" quotePrefix="0" xfId="42">
      <alignment vertical="center"/>
      <protection locked="0" hidden="0"/>
    </xf>
    <xf numFmtId="49" fontId="40" fillId="0" borderId="164" applyAlignment="1" pivotButton="0" quotePrefix="0" xfId="0">
      <alignment horizontal="distributed" vertical="center" indent="1"/>
    </xf>
    <xf numFmtId="49" fontId="40" fillId="0" borderId="165" applyAlignment="1" pivotButton="0" quotePrefix="0" xfId="0">
      <alignment horizontal="distributed" vertical="center" indent="1"/>
    </xf>
    <xf numFmtId="49" fontId="40" fillId="0" borderId="166" applyAlignment="1" pivotButton="0" quotePrefix="0" xfId="0">
      <alignment horizontal="distributed" vertical="center" indent="1"/>
    </xf>
    <xf numFmtId="49" fontId="40" fillId="0" borderId="27" applyAlignment="1" pivotButton="0" quotePrefix="0" xfId="0">
      <alignment horizontal="distributed" vertical="center" indent="1"/>
    </xf>
    <xf numFmtId="49" fontId="40" fillId="0" borderId="0" applyAlignment="1" pivotButton="0" quotePrefix="0" xfId="0">
      <alignment horizontal="distributed" vertical="center" indent="1"/>
    </xf>
    <xf numFmtId="49" fontId="40" fillId="0" borderId="28" applyAlignment="1" pivotButton="0" quotePrefix="0" xfId="0">
      <alignment horizontal="distributed" vertical="center" indent="1"/>
    </xf>
    <xf numFmtId="49" fontId="40" fillId="0" borderId="20" applyAlignment="1" pivotButton="0" quotePrefix="0" xfId="0">
      <alignment horizontal="distributed" vertical="center" indent="1"/>
    </xf>
    <xf numFmtId="49" fontId="40" fillId="0" borderId="21" applyAlignment="1" pivotButton="0" quotePrefix="0" xfId="0">
      <alignment horizontal="distributed" vertical="center" indent="1"/>
    </xf>
    <xf numFmtId="49" fontId="40" fillId="0" borderId="22" applyAlignment="1" pivotButton="0" quotePrefix="0" xfId="0">
      <alignment horizontal="distributed" vertical="center" indent="1"/>
    </xf>
    <xf numFmtId="49" fontId="52" fillId="0" borderId="14" applyAlignment="1" pivotButton="0" quotePrefix="0" xfId="0">
      <alignment horizontal="distributed" vertical="center" wrapText="1"/>
    </xf>
    <xf numFmtId="49" fontId="52" fillId="0" borderId="23" applyAlignment="1" pivotButton="0" quotePrefix="0" xfId="0">
      <alignment horizontal="distributed" vertical="center" wrapText="1"/>
    </xf>
    <xf numFmtId="49" fontId="21" fillId="0" borderId="220" applyAlignment="1" pivotButton="0" quotePrefix="0" xfId="0">
      <alignment horizontal="center" vertical="center"/>
    </xf>
    <xf numFmtId="49" fontId="40" fillId="0" borderId="220" applyAlignment="1" pivotButton="0" quotePrefix="0" xfId="0">
      <alignment horizontal="left" vertical="center"/>
    </xf>
    <xf numFmtId="49" fontId="40" fillId="0" borderId="15" applyAlignment="1" pivotButton="0" quotePrefix="0" xfId="0">
      <alignment horizontal="left" vertical="center"/>
    </xf>
    <xf numFmtId="173" fontId="21" fillId="0" borderId="16" applyAlignment="1" pivotButton="0" quotePrefix="0" xfId="0">
      <alignment horizontal="right" vertical="center"/>
    </xf>
    <xf numFmtId="173" fontId="21" fillId="0" borderId="14" applyAlignment="1" pivotButton="0" quotePrefix="0" xfId="0">
      <alignment horizontal="right" vertical="center"/>
    </xf>
    <xf numFmtId="49" fontId="40" fillId="0" borderId="18" applyAlignment="1" pivotButton="0" quotePrefix="0" xfId="0">
      <alignment horizontal="distributed" vertical="center" wrapText="1" justifyLastLine="1"/>
    </xf>
    <xf numFmtId="49" fontId="40" fillId="0" borderId="19" applyAlignment="1" pivotButton="0" quotePrefix="0" xfId="0">
      <alignment horizontal="distributed" vertical="center" wrapText="1" justifyLastLine="1"/>
    </xf>
    <xf numFmtId="49" fontId="44" fillId="0" borderId="23" applyAlignment="1" pivotButton="0" quotePrefix="0" xfId="0">
      <alignment horizontal="distributed" vertical="center" wrapText="1"/>
    </xf>
    <xf numFmtId="49" fontId="20" fillId="0" borderId="18" applyAlignment="1" pivotButton="0" quotePrefix="0" xfId="0">
      <alignment horizontal="center" vertical="center"/>
    </xf>
    <xf numFmtId="49" fontId="20" fillId="0" borderId="12" applyAlignment="1" pivotButton="0" quotePrefix="0" xfId="0">
      <alignment horizontal="center" vertical="center"/>
    </xf>
    <xf numFmtId="49" fontId="20" fillId="0" borderId="20" applyAlignment="1" pivotButton="0" quotePrefix="0" xfId="0">
      <alignment horizontal="center" vertical="center"/>
    </xf>
    <xf numFmtId="49" fontId="20" fillId="0" borderId="21" applyAlignment="1" pivotButton="0" quotePrefix="0" xfId="0">
      <alignment horizontal="center" vertical="center"/>
    </xf>
    <xf numFmtId="49" fontId="40" fillId="0" borderId="19" applyAlignment="1" pivotButton="0" quotePrefix="0" xfId="0">
      <alignment vertical="center"/>
    </xf>
    <xf numFmtId="49" fontId="40" fillId="0" borderId="22" applyAlignment="1" pivotButton="0" quotePrefix="0" xfId="0">
      <alignment vertical="center"/>
    </xf>
    <xf numFmtId="49" fontId="40" fillId="0" borderId="20" applyAlignment="1" pivotButton="0" quotePrefix="0" xfId="0">
      <alignment horizontal="distributed" vertical="center" wrapText="1" justifyLastLine="1"/>
    </xf>
    <xf numFmtId="49" fontId="40" fillId="0" borderId="22" applyAlignment="1" pivotButton="0" quotePrefix="0" xfId="0">
      <alignment horizontal="distributed" vertical="center" wrapText="1" justifyLastLine="1"/>
    </xf>
    <xf numFmtId="49" fontId="40" fillId="0" borderId="39" applyAlignment="1" pivotButton="0" quotePrefix="0" xfId="0">
      <alignment horizontal="center" vertical="center"/>
    </xf>
    <xf numFmtId="49" fontId="40" fillId="0" borderId="40" applyAlignment="1" pivotButton="0" quotePrefix="0" xfId="0">
      <alignment horizontal="center" vertical="center"/>
    </xf>
    <xf numFmtId="49" fontId="40" fillId="0" borderId="41" applyAlignment="1" pivotButton="0" quotePrefix="0" xfId="0">
      <alignment horizontal="center" vertical="center"/>
    </xf>
    <xf numFmtId="49" fontId="40" fillId="0" borderId="116" applyAlignment="1" pivotButton="0" quotePrefix="0" xfId="0">
      <alignment horizontal="center" vertical="center"/>
    </xf>
    <xf numFmtId="49" fontId="40" fillId="0" borderId="110" applyAlignment="1" pivotButton="0" quotePrefix="0" xfId="0">
      <alignment horizontal="distributed" vertical="center"/>
    </xf>
    <xf numFmtId="49" fontId="40" fillId="0" borderId="46" applyAlignment="1" pivotButton="0" quotePrefix="0" xfId="0">
      <alignment horizontal="distributed" vertical="center"/>
    </xf>
    <xf numFmtId="49" fontId="22" fillId="0" borderId="110" applyAlignment="1" pivotButton="0" quotePrefix="0" xfId="0">
      <alignment horizontal="left" vertical="center" wrapText="1"/>
    </xf>
    <xf numFmtId="49" fontId="22" fillId="0" borderId="45" applyAlignment="1" pivotButton="0" quotePrefix="0" xfId="0">
      <alignment horizontal="left" vertical="center" wrapText="1"/>
    </xf>
    <xf numFmtId="49" fontId="22" fillId="0" borderId="47" applyAlignment="1" pivotButton="0" quotePrefix="0" xfId="0">
      <alignment horizontal="left" vertical="center" wrapText="1"/>
    </xf>
    <xf numFmtId="49" fontId="40" fillId="0" borderId="35" applyAlignment="1" pivotButton="0" quotePrefix="0" xfId="0">
      <alignment horizontal="distributed" vertical="center" textRotation="255"/>
    </xf>
    <xf numFmtId="49" fontId="40" fillId="0" borderId="33" applyAlignment="1" pivotButton="0" quotePrefix="0" xfId="0">
      <alignment horizontal="distributed" vertical="center" textRotation="255"/>
    </xf>
    <xf numFmtId="0" fontId="0" fillId="0" borderId="12" applyAlignment="1" pivotButton="0" quotePrefix="0" xfId="0">
      <alignment horizontal="left" vertical="center" wrapText="1"/>
    </xf>
    <xf numFmtId="0" fontId="0" fillId="0" borderId="0" applyAlignment="1" pivotButton="0" quotePrefix="0" xfId="0">
      <alignment horizontal="left" vertical="center" wrapText="1"/>
    </xf>
    <xf numFmtId="0" fontId="0" fillId="0" borderId="21" applyAlignment="1" pivotButton="0" quotePrefix="0" xfId="0">
      <alignment horizontal="left" vertical="center" wrapText="1"/>
    </xf>
    <xf numFmtId="49" fontId="21" fillId="0" borderId="16" applyAlignment="1" pivotButton="0" quotePrefix="0" xfId="0">
      <alignment horizontal="left" vertical="center" indent="1"/>
    </xf>
    <xf numFmtId="49" fontId="21" fillId="0" borderId="14" applyAlignment="1" pivotButton="0" quotePrefix="0" xfId="0">
      <alignment horizontal="left" vertical="center" indent="1"/>
    </xf>
    <xf numFmtId="49" fontId="21" fillId="0" borderId="15" applyAlignment="1" pivotButton="0" quotePrefix="0" xfId="0">
      <alignment horizontal="left" vertical="center" indent="1"/>
    </xf>
    <xf numFmtId="49" fontId="30" fillId="0" borderId="14" applyAlignment="1" pivotButton="0" quotePrefix="0" xfId="0">
      <alignment horizontal="right" vertical="center" wrapText="1"/>
    </xf>
    <xf numFmtId="49" fontId="40" fillId="0" borderId="254" applyAlignment="1" pivotButton="0" quotePrefix="0" xfId="0">
      <alignment horizontal="distributed" vertical="center" textRotation="255"/>
    </xf>
    <xf numFmtId="49" fontId="30" fillId="26" borderId="16" applyAlignment="1" pivotButton="0" quotePrefix="0" xfId="0">
      <alignment horizontal="left" vertical="center" wrapText="1"/>
    </xf>
    <xf numFmtId="49" fontId="30" fillId="26" borderId="14" applyAlignment="1" pivotButton="0" quotePrefix="0" xfId="0">
      <alignment horizontal="left" vertical="center" wrapText="1"/>
    </xf>
    <xf numFmtId="49" fontId="30" fillId="26" borderId="15" applyAlignment="1" pivotButton="0" quotePrefix="0" xfId="0">
      <alignment horizontal="left" vertical="center" wrapText="1"/>
    </xf>
    <xf numFmtId="172" fontId="24" fillId="0" borderId="0" applyAlignment="1" applyProtection="1" pivotButton="0" quotePrefix="0" xfId="42">
      <alignment horizontal="right" vertical="center"/>
      <protection locked="0" hidden="0"/>
    </xf>
    <xf numFmtId="49" fontId="24" fillId="0" borderId="220" applyAlignment="1" pivotButton="0" quotePrefix="0" xfId="0">
      <alignment horizontal="center" vertical="center"/>
    </xf>
    <xf numFmtId="173" fontId="24" fillId="0" borderId="16" applyAlignment="1" pivotButton="0" quotePrefix="0" xfId="0">
      <alignment horizontal="right" vertical="center"/>
    </xf>
    <xf numFmtId="173" fontId="24" fillId="0" borderId="14" applyAlignment="1" pivotButton="0" quotePrefix="0" xfId="0">
      <alignment horizontal="right" vertical="center"/>
    </xf>
    <xf numFmtId="49" fontId="34" fillId="0" borderId="16" applyAlignment="1" pivotButton="0" quotePrefix="0" xfId="0">
      <alignment horizontal="center" vertical="center"/>
    </xf>
    <xf numFmtId="49" fontId="34" fillId="0" borderId="14" applyAlignment="1" pivotButton="0" quotePrefix="0" xfId="0">
      <alignment horizontal="center" vertical="center"/>
    </xf>
    <xf numFmtId="49" fontId="33" fillId="0" borderId="16" applyAlignment="1" pivotButton="0" quotePrefix="0" xfId="0">
      <alignment horizontal="left" vertical="center"/>
    </xf>
    <xf numFmtId="49" fontId="33" fillId="0" borderId="14" applyAlignment="1" pivotButton="0" quotePrefix="0" xfId="0">
      <alignment horizontal="left" vertical="center"/>
    </xf>
    <xf numFmtId="49" fontId="33" fillId="0" borderId="15" applyAlignment="1" pivotButton="0" quotePrefix="0" xfId="0">
      <alignment horizontal="left" vertical="center"/>
    </xf>
    <xf numFmtId="49" fontId="56" fillId="0" borderId="18" applyAlignment="1" pivotButton="0" quotePrefix="0" xfId="0">
      <alignment horizontal="center" vertical="center"/>
    </xf>
    <xf numFmtId="49" fontId="56" fillId="0" borderId="12" applyAlignment="1" pivotButton="0" quotePrefix="0" xfId="0">
      <alignment horizontal="center" vertical="center"/>
    </xf>
    <xf numFmtId="49" fontId="56" fillId="0" borderId="20" applyAlignment="1" pivotButton="0" quotePrefix="0" xfId="0">
      <alignment horizontal="center" vertical="center"/>
    </xf>
    <xf numFmtId="49" fontId="56" fillId="0" borderId="21" applyAlignment="1" pivotButton="0" quotePrefix="0" xfId="0">
      <alignment horizontal="center" vertical="center"/>
    </xf>
    <xf numFmtId="49" fontId="62" fillId="0" borderId="24" applyAlignment="1" pivotButton="0" quotePrefix="0" xfId="0">
      <alignment horizontal="center" vertical="center"/>
    </xf>
    <xf numFmtId="49" fontId="62" fillId="0" borderId="25" applyAlignment="1" pivotButton="0" quotePrefix="0" xfId="0">
      <alignment horizontal="center" vertical="center"/>
    </xf>
    <xf numFmtId="49" fontId="62" fillId="0" borderId="26" applyAlignment="1" pivotButton="0" quotePrefix="0" xfId="0">
      <alignment horizontal="center" vertical="center"/>
    </xf>
    <xf numFmtId="49" fontId="62" fillId="0" borderId="124" applyAlignment="1" pivotButton="0" quotePrefix="0" xfId="0">
      <alignment horizontal="center" vertical="center"/>
    </xf>
    <xf numFmtId="49" fontId="48" fillId="0" borderId="110" applyAlignment="1" pivotButton="0" quotePrefix="0" xfId="0">
      <alignment horizontal="left" vertical="center" wrapText="1"/>
    </xf>
    <xf numFmtId="49" fontId="48" fillId="0" borderId="45" applyAlignment="1" pivotButton="0" quotePrefix="0" xfId="0">
      <alignment horizontal="left" vertical="center" wrapText="1"/>
    </xf>
    <xf numFmtId="49" fontId="48" fillId="0" borderId="47" applyAlignment="1" pivotButton="0" quotePrefix="0" xfId="0">
      <alignment horizontal="left" vertical="center" wrapText="1"/>
    </xf>
    <xf numFmtId="0" fontId="72" fillId="0" borderId="12" applyAlignment="1" pivotButton="0" quotePrefix="0" xfId="0">
      <alignment horizontal="left" vertical="center" wrapText="1"/>
    </xf>
    <xf numFmtId="0" fontId="72" fillId="0" borderId="0" applyAlignment="1" pivotButton="0" quotePrefix="0" xfId="0">
      <alignment horizontal="left" vertical="center" wrapText="1"/>
    </xf>
    <xf numFmtId="0" fontId="72" fillId="0" borderId="21" applyAlignment="1" pivotButton="0" quotePrefix="0" xfId="0">
      <alignment horizontal="left" vertical="center" wrapText="1"/>
    </xf>
    <xf numFmtId="49" fontId="24" fillId="0" borderId="16" applyAlignment="1" pivotButton="0" quotePrefix="0" xfId="0">
      <alignment horizontal="left" vertical="center" indent="1"/>
    </xf>
    <xf numFmtId="49" fontId="24" fillId="0" borderId="14" applyAlignment="1" pivotButton="0" quotePrefix="0" xfId="0">
      <alignment horizontal="left" vertical="center" indent="1"/>
    </xf>
    <xf numFmtId="49" fontId="24" fillId="0" borderId="15" applyAlignment="1" pivotButton="0" quotePrefix="0" xfId="0">
      <alignment horizontal="left" vertical="center" indent="1"/>
    </xf>
    <xf numFmtId="49" fontId="73" fillId="0" borderId="16" applyAlignment="1" pivotButton="0" quotePrefix="0" xfId="0">
      <alignment horizontal="right" vertical="center"/>
    </xf>
    <xf numFmtId="49" fontId="73" fillId="0" borderId="14" applyAlignment="1" pivotButton="0" quotePrefix="0" xfId="0">
      <alignment horizontal="right" vertical="center"/>
    </xf>
    <xf numFmtId="49" fontId="73" fillId="0" borderId="14" applyAlignment="1" pivotButton="0" quotePrefix="0" xfId="0">
      <alignment horizontal="right" vertical="center" wrapText="1"/>
    </xf>
    <xf numFmtId="49" fontId="68" fillId="0" borderId="12" applyAlignment="1" pivotButton="0" quotePrefix="0" xfId="0">
      <alignment horizontal="left" vertical="center" wrapText="1"/>
    </xf>
    <xf numFmtId="49" fontId="68" fillId="0" borderId="13" applyAlignment="1" pivotButton="0" quotePrefix="0" xfId="0">
      <alignment horizontal="left" vertical="center" wrapText="1"/>
    </xf>
    <xf numFmtId="49" fontId="68" fillId="0" borderId="0" applyAlignment="1" pivotButton="0" quotePrefix="0" xfId="0">
      <alignment horizontal="left" vertical="center" wrapText="1"/>
    </xf>
    <xf numFmtId="49" fontId="68" fillId="0" borderId="48" applyAlignment="1" pivotButton="0" quotePrefix="0" xfId="0">
      <alignment horizontal="left" vertical="center" wrapText="1"/>
    </xf>
    <xf numFmtId="49" fontId="68" fillId="0" borderId="21" applyAlignment="1" pivotButton="0" quotePrefix="0" xfId="0">
      <alignment horizontal="left" vertical="center" wrapText="1"/>
    </xf>
    <xf numFmtId="49" fontId="68" fillId="0" borderId="49" applyAlignment="1" pivotButton="0" quotePrefix="0" xfId="0">
      <alignment horizontal="left" vertical="center" wrapText="1"/>
    </xf>
    <xf numFmtId="49" fontId="20" fillId="0" borderId="15" applyAlignment="1" pivotButton="0" quotePrefix="0" xfId="0">
      <alignment horizontal="center" vertical="center"/>
    </xf>
    <xf numFmtId="49" fontId="30" fillId="0" borderId="16" applyAlignment="1" pivotButton="0" quotePrefix="0" xfId="0">
      <alignment horizontal="center" vertical="center"/>
    </xf>
    <xf numFmtId="49" fontId="30" fillId="0" borderId="14" applyAlignment="1" pivotButton="0" quotePrefix="0" xfId="0">
      <alignment horizontal="center" vertical="center"/>
    </xf>
    <xf numFmtId="49" fontId="38" fillId="0" borderId="14" applyAlignment="1" pivotButton="0" quotePrefix="0" xfId="0">
      <alignment horizontal="center" vertical="center"/>
    </xf>
    <xf numFmtId="49" fontId="38" fillId="0" borderId="14" applyAlignment="1" pivotButton="0" quotePrefix="0" xfId="0">
      <alignment horizontal="center" vertical="center" wrapText="1"/>
    </xf>
    <xf numFmtId="49" fontId="23" fillId="0" borderId="20" applyAlignment="1" pivotButton="0" quotePrefix="0" xfId="0">
      <alignment horizontal="center" vertical="center"/>
    </xf>
    <xf numFmtId="49" fontId="23" fillId="0" borderId="21" applyAlignment="1" pivotButton="0" quotePrefix="0" xfId="0">
      <alignment horizontal="center" vertical="center"/>
    </xf>
    <xf numFmtId="49" fontId="40" fillId="0" borderId="16" applyAlignment="1" pivotButton="0" quotePrefix="0" xfId="0">
      <alignment horizontal="distributed" vertical="center" wrapText="1" justifyLastLine="1"/>
    </xf>
    <xf numFmtId="49" fontId="40" fillId="0" borderId="14" applyAlignment="1" pivotButton="0" quotePrefix="0" xfId="0">
      <alignment horizontal="distributed" vertical="center" wrapText="1" justifyLastLine="1"/>
    </xf>
    <xf numFmtId="49" fontId="40" fillId="0" borderId="23" applyAlignment="1" pivotButton="0" quotePrefix="0" xfId="0">
      <alignment horizontal="distributed" vertical="center" wrapText="1" justifyLastLine="1"/>
    </xf>
    <xf numFmtId="49" fontId="44" fillId="0" borderId="16" applyAlignment="1" pivotButton="0" quotePrefix="0" xfId="0">
      <alignment horizontal="distributed" vertical="center" wrapText="1" justifyLastLine="1"/>
    </xf>
    <xf numFmtId="49" fontId="44" fillId="0" borderId="14" applyAlignment="1" pivotButton="0" quotePrefix="0" xfId="0">
      <alignment horizontal="distributed" vertical="center" wrapText="1" justifyLastLine="1"/>
    </xf>
    <xf numFmtId="49" fontId="44" fillId="0" borderId="23" applyAlignment="1" pivotButton="0" quotePrefix="0" xfId="0">
      <alignment horizontal="distributed" vertical="center" wrapText="1" justifyLastLine="1"/>
    </xf>
    <xf numFmtId="49" fontId="20" fillId="0" borderId="16" applyAlignment="1" pivotButton="0" quotePrefix="0" xfId="0">
      <alignment horizontal="left" vertical="center"/>
    </xf>
    <xf numFmtId="49" fontId="20" fillId="0" borderId="14" applyAlignment="1" pivotButton="0" quotePrefix="0" xfId="0">
      <alignment horizontal="left" vertical="center"/>
    </xf>
    <xf numFmtId="49" fontId="20" fillId="0" borderId="15" applyAlignment="1" pivotButton="0" quotePrefix="0" xfId="0">
      <alignment horizontal="left" vertical="center"/>
    </xf>
    <xf numFmtId="49" fontId="38" fillId="0" borderId="0" applyAlignment="1" pivotButton="0" quotePrefix="0" xfId="0">
      <alignment horizontal="left" vertical="center" wrapText="1"/>
    </xf>
    <xf numFmtId="49" fontId="40" fillId="0" borderId="61" applyAlignment="1" pivotButton="0" quotePrefix="0" xfId="0">
      <alignment horizontal="center" vertical="center"/>
    </xf>
    <xf numFmtId="49" fontId="43" fillId="26" borderId="16" applyAlignment="1" pivotButton="0" quotePrefix="0" xfId="0">
      <alignment horizontal="center" vertical="center" wrapText="1"/>
    </xf>
    <xf numFmtId="49" fontId="43" fillId="26" borderId="14" applyAlignment="1" pivotButton="0" quotePrefix="0" xfId="0">
      <alignment horizontal="center" vertical="center" wrapText="1"/>
    </xf>
    <xf numFmtId="49" fontId="43" fillId="26" borderId="15" applyAlignment="1" pivotButton="0" quotePrefix="0" xfId="0">
      <alignment horizontal="center" vertical="center" wrapText="1"/>
    </xf>
    <xf numFmtId="164" fontId="21" fillId="0" borderId="18" applyAlignment="1" pivotButton="0" quotePrefix="0" xfId="0">
      <alignment horizontal="center" vertical="center"/>
    </xf>
    <xf numFmtId="164" fontId="21" fillId="0" borderId="12" applyAlignment="1" pivotButton="0" quotePrefix="0" xfId="0">
      <alignment horizontal="center" vertical="center"/>
    </xf>
    <xf numFmtId="164" fontId="21" fillId="0" borderId="19" applyAlignment="1" pivotButton="0" quotePrefix="0" xfId="0">
      <alignment horizontal="center" vertical="center"/>
    </xf>
    <xf numFmtId="164" fontId="21" fillId="0" borderId="13" applyAlignment="1" pivotButton="0" quotePrefix="0" xfId="0">
      <alignment horizontal="center" vertical="center"/>
    </xf>
    <xf numFmtId="165" fontId="23" fillId="0" borderId="16" applyAlignment="1" pivotButton="0" quotePrefix="0" xfId="0">
      <alignment horizontal="right" vertical="center" wrapText="1"/>
    </xf>
    <xf numFmtId="165" fontId="23" fillId="0" borderId="14" applyAlignment="1" pivotButton="0" quotePrefix="0" xfId="0">
      <alignment horizontal="right" vertical="center" wrapText="1"/>
    </xf>
    <xf numFmtId="166" fontId="23" fillId="0" borderId="16" applyAlignment="1" pivotButton="0" quotePrefix="0" xfId="0">
      <alignment horizontal="right" vertical="center" wrapText="1"/>
    </xf>
    <xf numFmtId="166" fontId="23" fillId="0" borderId="14" applyAlignment="1" pivotButton="0" quotePrefix="0" xfId="0">
      <alignment horizontal="right" vertical="center" wrapText="1"/>
    </xf>
    <xf numFmtId="166" fontId="23" fillId="0" borderId="23" applyAlignment="1" pivotButton="0" quotePrefix="0" xfId="0">
      <alignment horizontal="right" vertical="center" wrapText="1"/>
    </xf>
    <xf numFmtId="166" fontId="23" fillId="0" borderId="16" applyAlignment="1" pivotButton="0" quotePrefix="0" xfId="0">
      <alignment horizontal="right" vertical="center" shrinkToFit="1"/>
    </xf>
    <xf numFmtId="166" fontId="23" fillId="0" borderId="14" applyAlignment="1" pivotButton="0" quotePrefix="0" xfId="0">
      <alignment horizontal="right" vertical="center" shrinkToFit="1"/>
    </xf>
    <xf numFmtId="49" fontId="44" fillId="0" borderId="61" applyAlignment="1" pivotButton="0" quotePrefix="0" xfId="0">
      <alignment horizontal="distributed" vertical="center" wrapText="1"/>
    </xf>
    <xf numFmtId="49" fontId="40" fillId="24" borderId="16" applyAlignment="1" pivotButton="0" quotePrefix="0" xfId="0">
      <alignment horizontal="center" vertical="center" shrinkToFit="1"/>
    </xf>
    <xf numFmtId="49" fontId="40" fillId="24" borderId="14" applyAlignment="1" pivotButton="0" quotePrefix="0" xfId="0">
      <alignment horizontal="center" vertical="center" shrinkToFit="1"/>
    </xf>
    <xf numFmtId="49" fontId="44" fillId="0" borderId="42" applyAlignment="1" pivotButton="0" quotePrefix="0" xfId="0">
      <alignment horizontal="distributed" vertical="center" wrapText="1"/>
    </xf>
    <xf numFmtId="49" fontId="44" fillId="0" borderId="66" applyAlignment="1" pivotButton="0" quotePrefix="0" xfId="0">
      <alignment horizontal="distributed" vertical="center" wrapText="1"/>
    </xf>
    <xf numFmtId="49" fontId="70" fillId="0" borderId="20" applyAlignment="1" pivotButton="0" quotePrefix="0" xfId="0">
      <alignment horizontal="center" vertical="center" wrapText="1" shrinkToFit="1"/>
    </xf>
    <xf numFmtId="49" fontId="70" fillId="0" borderId="21" applyAlignment="1" pivotButton="0" quotePrefix="0" xfId="0">
      <alignment horizontal="center" vertical="center" shrinkToFit="1"/>
    </xf>
    <xf numFmtId="49" fontId="70" fillId="0" borderId="22" applyAlignment="1" pivotButton="0" quotePrefix="0" xfId="0">
      <alignment horizontal="center" vertical="center" shrinkToFit="1"/>
    </xf>
    <xf numFmtId="49" fontId="24" fillId="0" borderId="0" applyAlignment="1" pivotButton="0" quotePrefix="0" xfId="0">
      <alignment horizontal="center" vertical="center" shrinkToFit="1"/>
    </xf>
    <xf numFmtId="49" fontId="24" fillId="0" borderId="21" applyAlignment="1" pivotButton="0" quotePrefix="0" xfId="0">
      <alignment horizontal="center" vertical="center" shrinkToFit="1"/>
    </xf>
    <xf numFmtId="166" fontId="24" fillId="0" borderId="16" applyAlignment="1" pivotButton="0" quotePrefix="0" xfId="0">
      <alignment horizontal="center" vertical="center" shrinkToFit="1"/>
    </xf>
    <xf numFmtId="166" fontId="24" fillId="0" borderId="14" applyAlignment="1" pivotButton="0" quotePrefix="0" xfId="0">
      <alignment horizontal="center" vertical="center" shrinkToFit="1"/>
    </xf>
    <xf numFmtId="166" fontId="24" fillId="0" borderId="23" applyAlignment="1" pivotButton="0" quotePrefix="0" xfId="0">
      <alignment horizontal="center" vertical="center" shrinkToFit="1"/>
    </xf>
    <xf numFmtId="166" fontId="24" fillId="0" borderId="15" applyAlignment="1" pivotButton="0" quotePrefix="0" xfId="0">
      <alignment horizontal="center" vertical="center" shrinkToFit="1"/>
    </xf>
    <xf numFmtId="165" fontId="24" fillId="0" borderId="78" applyAlignment="1" pivotButton="0" quotePrefix="0" xfId="0">
      <alignment horizontal="center" vertical="center"/>
    </xf>
    <xf numFmtId="165" fontId="24" fillId="0" borderId="79" applyAlignment="1" pivotButton="0" quotePrefix="0" xfId="0">
      <alignment horizontal="center" vertical="center"/>
    </xf>
    <xf numFmtId="165" fontId="24" fillId="0" borderId="80" applyAlignment="1" pivotButton="0" quotePrefix="0" xfId="0">
      <alignment horizontal="center" vertical="center"/>
    </xf>
    <xf numFmtId="165" fontId="24" fillId="0" borderId="168" applyAlignment="1" pivotButton="0" quotePrefix="0" xfId="0">
      <alignment horizontal="center" vertical="center"/>
    </xf>
    <xf numFmtId="49" fontId="43" fillId="0" borderId="18" applyAlignment="1" pivotButton="0" quotePrefix="0" xfId="0">
      <alignment horizontal="distributed" vertical="center" shrinkToFit="1"/>
    </xf>
    <xf numFmtId="49" fontId="43" fillId="0" borderId="13" applyAlignment="1" pivotButton="0" quotePrefix="0" xfId="0">
      <alignment horizontal="distributed" vertical="center" shrinkToFit="1"/>
    </xf>
    <xf numFmtId="49" fontId="43" fillId="0" borderId="20" applyAlignment="1" pivotButton="0" quotePrefix="0" xfId="0">
      <alignment horizontal="distributed" vertical="center" shrinkToFit="1"/>
    </xf>
    <xf numFmtId="49" fontId="43" fillId="0" borderId="49" applyAlignment="1" pivotButton="0" quotePrefix="0" xfId="0">
      <alignment horizontal="distributed" vertical="center" shrinkToFit="1"/>
    </xf>
    <xf numFmtId="166" fontId="24" fillId="0" borderId="18" applyAlignment="1" pivotButton="0" quotePrefix="0" xfId="0">
      <alignment horizontal="center" vertical="center" shrinkToFit="1"/>
    </xf>
    <xf numFmtId="166" fontId="24" fillId="0" borderId="12" applyAlignment="1" pivotButton="0" quotePrefix="0" xfId="0">
      <alignment horizontal="center" vertical="center" shrinkToFit="1"/>
    </xf>
    <xf numFmtId="166" fontId="24" fillId="0" borderId="19" applyAlignment="1" pivotButton="0" quotePrefix="0" xfId="0">
      <alignment horizontal="center" vertical="center" shrinkToFit="1"/>
    </xf>
    <xf numFmtId="166" fontId="24" fillId="0" borderId="13" applyAlignment="1" pivotButton="0" quotePrefix="0" xfId="0">
      <alignment horizontal="center" vertical="center" shrinkToFit="1"/>
    </xf>
    <xf numFmtId="49" fontId="21" fillId="24" borderId="18" applyAlignment="1" pivotButton="0" quotePrefix="0" xfId="0">
      <alignment horizontal="center" vertical="center" wrapText="1"/>
    </xf>
    <xf numFmtId="49" fontId="21" fillId="24" borderId="12" applyAlignment="1" pivotButton="0" quotePrefix="0" xfId="0">
      <alignment horizontal="center" vertical="center" wrapText="1"/>
    </xf>
    <xf numFmtId="49" fontId="21" fillId="24" borderId="13" applyAlignment="1" pivotButton="0" quotePrefix="0" xfId="0">
      <alignment horizontal="center" vertical="center" wrapText="1"/>
    </xf>
    <xf numFmtId="49" fontId="21" fillId="24" borderId="27" applyAlignment="1" pivotButton="0" quotePrefix="0" xfId="0">
      <alignment horizontal="center" vertical="center" wrapText="1"/>
    </xf>
    <xf numFmtId="49" fontId="21" fillId="24" borderId="0" applyAlignment="1" pivotButton="0" quotePrefix="0" xfId="0">
      <alignment horizontal="center" vertical="center" wrapText="1"/>
    </xf>
    <xf numFmtId="49" fontId="21" fillId="24" borderId="48" applyAlignment="1" pivotButton="0" quotePrefix="0" xfId="0">
      <alignment horizontal="center" vertical="center" wrapText="1"/>
    </xf>
    <xf numFmtId="49" fontId="21" fillId="24" borderId="20" applyAlignment="1" pivotButton="0" quotePrefix="0" xfId="0">
      <alignment horizontal="center" vertical="center" wrapText="1"/>
    </xf>
    <xf numFmtId="49" fontId="21" fillId="24" borderId="21" applyAlignment="1" pivotButton="0" quotePrefix="0" xfId="0">
      <alignment horizontal="center" vertical="center" wrapText="1"/>
    </xf>
    <xf numFmtId="49" fontId="21" fillId="24" borderId="49" applyAlignment="1" pivotButton="0" quotePrefix="0" xfId="0">
      <alignment horizontal="center" vertical="center" wrapText="1"/>
    </xf>
    <xf numFmtId="49" fontId="56" fillId="0" borderId="16" applyAlignment="1" pivotButton="0" quotePrefix="0" xfId="0">
      <alignment horizontal="center" vertical="center" shrinkToFit="1"/>
    </xf>
    <xf numFmtId="49" fontId="56" fillId="0" borderId="14" applyAlignment="1" pivotButton="0" quotePrefix="0" xfId="0">
      <alignment horizontal="center" vertical="center" shrinkToFit="1"/>
    </xf>
    <xf numFmtId="49" fontId="43" fillId="0" borderId="42" applyAlignment="1" pivotButton="0" quotePrefix="0" xfId="0">
      <alignment horizontal="distributed" vertical="center" wrapText="1"/>
    </xf>
    <xf numFmtId="49" fontId="43" fillId="0" borderId="66" applyAlignment="1" pivotButton="0" quotePrefix="0" xfId="0">
      <alignment horizontal="distributed" vertical="center"/>
    </xf>
    <xf numFmtId="49" fontId="56" fillId="0" borderId="16" applyAlignment="1" pivotButton="0" quotePrefix="0" xfId="0">
      <alignment vertical="center" shrinkToFit="1"/>
    </xf>
    <xf numFmtId="49" fontId="56" fillId="0" borderId="14" applyAlignment="1" pivotButton="0" quotePrefix="0" xfId="0">
      <alignment vertical="center" shrinkToFit="1"/>
    </xf>
    <xf numFmtId="49" fontId="56" fillId="0" borderId="15" applyAlignment="1" pivotButton="0" quotePrefix="0" xfId="0">
      <alignment vertical="center" shrinkToFit="1"/>
    </xf>
    <xf numFmtId="49" fontId="43" fillId="0" borderId="42" applyAlignment="1" pivotButton="0" quotePrefix="0" xfId="0">
      <alignment horizontal="distributed" vertical="center"/>
    </xf>
    <xf numFmtId="49" fontId="43" fillId="0" borderId="43" applyAlignment="1" pivotButton="0" quotePrefix="0" xfId="0">
      <alignment horizontal="distributed" vertical="center"/>
    </xf>
    <xf numFmtId="49" fontId="38" fillId="0" borderId="191" applyAlignment="1" pivotButton="0" quotePrefix="0" xfId="0">
      <alignment vertical="center"/>
    </xf>
    <xf numFmtId="49" fontId="38" fillId="0" borderId="69" applyAlignment="1" pivotButton="0" quotePrefix="0" xfId="0">
      <alignment vertical="center"/>
    </xf>
    <xf numFmtId="49" fontId="43" fillId="0" borderId="170" applyAlignment="1" pivotButton="0" quotePrefix="0" xfId="0">
      <alignment horizontal="distributed" vertical="center" wrapText="1"/>
    </xf>
    <xf numFmtId="49" fontId="43" fillId="0" borderId="65" applyAlignment="1" pivotButton="0" quotePrefix="0" xfId="0">
      <alignment horizontal="distributed" vertical="center" wrapText="1"/>
    </xf>
    <xf numFmtId="49" fontId="43" fillId="0" borderId="169" applyAlignment="1" pivotButton="0" quotePrefix="0" xfId="0">
      <alignment horizontal="distributed" vertical="center" wrapText="1"/>
    </xf>
    <xf numFmtId="49" fontId="43" fillId="0" borderId="67" applyAlignment="1" pivotButton="0" quotePrefix="0" xfId="0">
      <alignment horizontal="distributed" vertical="center" indent="3"/>
    </xf>
    <xf numFmtId="49" fontId="43" fillId="0" borderId="68" applyAlignment="1" pivotButton="0" quotePrefix="0" xfId="0">
      <alignment horizontal="distributed" vertical="center" indent="3"/>
    </xf>
    <xf numFmtId="49" fontId="43" fillId="0" borderId="70" applyAlignment="1" pivotButton="0" quotePrefix="0" xfId="0">
      <alignment horizontal="distributed" vertical="center" indent="3"/>
    </xf>
    <xf numFmtId="49" fontId="43" fillId="0" borderId="39" applyAlignment="1" pivotButton="0" quotePrefix="0" xfId="0">
      <alignment horizontal="center" vertical="center" wrapText="1"/>
    </xf>
    <xf numFmtId="49" fontId="43" fillId="0" borderId="40" applyAlignment="1" pivotButton="0" quotePrefix="0" xfId="0">
      <alignment horizontal="center" vertical="center" wrapText="1"/>
    </xf>
    <xf numFmtId="49" fontId="43" fillId="0" borderId="41" applyAlignment="1" pivotButton="0" quotePrefix="0" xfId="0">
      <alignment horizontal="center" vertical="center" wrapText="1"/>
    </xf>
    <xf numFmtId="49" fontId="43" fillId="0" borderId="44" applyAlignment="1" pivotButton="0" quotePrefix="0" xfId="0">
      <alignment horizontal="center" vertical="center"/>
    </xf>
    <xf numFmtId="49" fontId="43" fillId="0" borderId="249" applyAlignment="1" pivotButton="0" quotePrefix="0" xfId="0">
      <alignment horizontal="center" vertical="center"/>
    </xf>
    <xf numFmtId="49" fontId="43" fillId="0" borderId="172" applyAlignment="1" pivotButton="0" quotePrefix="0" xfId="0">
      <alignment horizontal="center" vertical="center"/>
    </xf>
    <xf numFmtId="49" fontId="43" fillId="0" borderId="191" applyAlignment="1" pivotButton="0" quotePrefix="0" xfId="0">
      <alignment horizontal="center" vertical="center"/>
    </xf>
    <xf numFmtId="49" fontId="44" fillId="24" borderId="18" applyAlignment="1" pivotButton="0" quotePrefix="0" xfId="0">
      <alignment horizontal="distributed" vertical="center" wrapText="1" shrinkToFit="1"/>
    </xf>
    <xf numFmtId="49" fontId="44" fillId="24" borderId="12" applyAlignment="1" pivotButton="0" quotePrefix="0" xfId="0">
      <alignment horizontal="distributed" vertical="center" wrapText="1" shrinkToFit="1"/>
    </xf>
    <xf numFmtId="49" fontId="44" fillId="24" borderId="13" applyAlignment="1" pivotButton="0" quotePrefix="0" xfId="0">
      <alignment horizontal="distributed" vertical="center" wrapText="1" shrinkToFit="1"/>
    </xf>
    <xf numFmtId="49" fontId="44" fillId="24" borderId="27" applyAlignment="1" pivotButton="0" quotePrefix="0" xfId="0">
      <alignment horizontal="distributed" vertical="center" wrapText="1" shrinkToFit="1"/>
    </xf>
    <xf numFmtId="49" fontId="44" fillId="24" borderId="0" applyAlignment="1" pivotButton="0" quotePrefix="0" xfId="0">
      <alignment horizontal="distributed" vertical="center" wrapText="1" shrinkToFit="1"/>
    </xf>
    <xf numFmtId="49" fontId="44" fillId="24" borderId="48" applyAlignment="1" pivotButton="0" quotePrefix="0" xfId="0">
      <alignment horizontal="distributed" vertical="center" wrapText="1" shrinkToFit="1"/>
    </xf>
    <xf numFmtId="49" fontId="44" fillId="24" borderId="189" applyAlignment="1" pivotButton="0" quotePrefix="0" xfId="0">
      <alignment horizontal="distributed" vertical="center" wrapText="1" shrinkToFit="1"/>
    </xf>
    <xf numFmtId="49" fontId="44" fillId="24" borderId="17" applyAlignment="1" pivotButton="0" quotePrefix="0" xfId="0">
      <alignment horizontal="distributed" vertical="center" wrapText="1" shrinkToFit="1"/>
    </xf>
    <xf numFmtId="49" fontId="44" fillId="24" borderId="73" applyAlignment="1" pivotButton="0" quotePrefix="0" xfId="0">
      <alignment horizontal="distributed" vertical="center" wrapText="1" shrinkToFit="1"/>
    </xf>
    <xf numFmtId="49" fontId="52" fillId="0" borderId="16" applyAlignment="1" pivotButton="0" quotePrefix="0" xfId="0">
      <alignment horizontal="center" vertical="center" wrapText="1"/>
    </xf>
    <xf numFmtId="49" fontId="52" fillId="0" borderId="14" applyAlignment="1" pivotButton="0" quotePrefix="0" xfId="0">
      <alignment horizontal="center" vertical="center" wrapText="1"/>
    </xf>
    <xf numFmtId="49" fontId="52" fillId="0" borderId="23" applyAlignment="1" pivotButton="0" quotePrefix="0" xfId="0">
      <alignment horizontal="center" vertical="center" wrapText="1"/>
    </xf>
    <xf numFmtId="49" fontId="56" fillId="0" borderId="110" applyAlignment="1" pivotButton="0" quotePrefix="0" xfId="0">
      <alignment horizontal="center" vertical="center"/>
    </xf>
    <xf numFmtId="49" fontId="56" fillId="0" borderId="45" applyAlignment="1" pivotButton="0" quotePrefix="0" xfId="0">
      <alignment horizontal="center" vertical="center"/>
    </xf>
    <xf numFmtId="49" fontId="56" fillId="0" borderId="110" applyAlignment="1" pivotButton="0" quotePrefix="0" xfId="0">
      <alignment horizontal="right" vertical="center"/>
    </xf>
    <xf numFmtId="49" fontId="56" fillId="0" borderId="45" applyAlignment="1" pivotButton="0" quotePrefix="0" xfId="0">
      <alignment horizontal="right" vertical="center"/>
    </xf>
    <xf numFmtId="49" fontId="43" fillId="0" borderId="142" applyAlignment="1" pivotButton="0" quotePrefix="0" xfId="0">
      <alignment horizontal="center" vertical="center" wrapText="1"/>
    </xf>
    <xf numFmtId="49" fontId="43" fillId="0" borderId="130" applyAlignment="1" pivotButton="0" quotePrefix="0" xfId="0">
      <alignment horizontal="center" vertical="center"/>
    </xf>
    <xf numFmtId="49" fontId="43" fillId="0" borderId="130" applyAlignment="1" pivotButton="0" quotePrefix="0" xfId="0">
      <alignment horizontal="center" vertical="center" wrapText="1"/>
    </xf>
    <xf numFmtId="167" fontId="24" fillId="0" borderId="113" applyAlignment="1" pivotButton="0" quotePrefix="0" xfId="0">
      <alignment horizontal="right" vertical="center"/>
    </xf>
    <xf numFmtId="167" fontId="24" fillId="0" borderId="14" applyAlignment="1" pivotButton="0" quotePrefix="0" xfId="0">
      <alignment horizontal="right" vertical="center"/>
    </xf>
    <xf numFmtId="167" fontId="24" fillId="0" borderId="16" applyAlignment="1" pivotButton="0" quotePrefix="0" xfId="0">
      <alignment horizontal="right" vertical="center"/>
    </xf>
    <xf numFmtId="49" fontId="43" fillId="0" borderId="0" applyAlignment="1" pivotButton="0" quotePrefix="0" xfId="0">
      <alignment horizontal="center" vertical="center" textRotation="255" wrapText="1"/>
    </xf>
    <xf numFmtId="49" fontId="44" fillId="0" borderId="18" applyAlignment="1" pivotButton="0" quotePrefix="0" xfId="0">
      <alignment horizontal="center" vertical="center"/>
    </xf>
    <xf numFmtId="49" fontId="44" fillId="0" borderId="27" applyAlignment="1" pivotButton="0" quotePrefix="0" xfId="0">
      <alignment horizontal="center" vertical="center"/>
    </xf>
    <xf numFmtId="49" fontId="44" fillId="0" borderId="20" applyAlignment="1" pivotButton="0" quotePrefix="0" xfId="0">
      <alignment horizontal="center" vertical="center"/>
    </xf>
    <xf numFmtId="49" fontId="40" fillId="0" borderId="64" applyAlignment="1" pivotButton="0" quotePrefix="0" xfId="0">
      <alignment horizontal="distributed" vertical="distributed" textRotation="255" indent="2"/>
    </xf>
    <xf numFmtId="49" fontId="40" fillId="0" borderId="169" applyAlignment="1" pivotButton="0" quotePrefix="0" xfId="0">
      <alignment horizontal="distributed" vertical="distributed" textRotation="255" indent="2"/>
    </xf>
    <xf numFmtId="49" fontId="40" fillId="0" borderId="43" applyAlignment="1" pivotButton="0" quotePrefix="0" xfId="0">
      <alignment horizontal="distributed" vertical="distributed" textRotation="255" indent="2"/>
    </xf>
    <xf numFmtId="49" fontId="40" fillId="0" borderId="28" applyAlignment="1" pivotButton="0" quotePrefix="0" xfId="0">
      <alignment horizontal="distributed" vertical="distributed" textRotation="255" indent="2"/>
    </xf>
    <xf numFmtId="49" fontId="40" fillId="0" borderId="66" applyAlignment="1" pivotButton="0" quotePrefix="0" xfId="0">
      <alignment horizontal="distributed" vertical="distributed" textRotation="255" indent="2"/>
    </xf>
    <xf numFmtId="49" fontId="40" fillId="0" borderId="22" applyAlignment="1" pivotButton="0" quotePrefix="0" xfId="0">
      <alignment horizontal="distributed" vertical="distributed" textRotation="255" indent="2"/>
    </xf>
    <xf numFmtId="167" fontId="24" fillId="0" borderId="79" applyAlignment="1" pivotButton="0" quotePrefix="0" xfId="0">
      <alignment horizontal="center" vertical="center"/>
    </xf>
    <xf numFmtId="167" fontId="24" fillId="0" borderId="80" applyAlignment="1" pivotButton="0" quotePrefix="0" xfId="0">
      <alignment horizontal="center" vertical="center"/>
    </xf>
    <xf numFmtId="167" fontId="24" fillId="0" borderId="78" applyAlignment="1" pivotButton="0" quotePrefix="0" xfId="0">
      <alignment horizontal="center" vertical="center"/>
    </xf>
    <xf numFmtId="167" fontId="24" fillId="0" borderId="168" applyAlignment="1" pivotButton="0" quotePrefix="0" xfId="0">
      <alignment horizontal="center" vertical="center"/>
    </xf>
    <xf numFmtId="168" fontId="24" fillId="0" borderId="80" applyAlignment="1" pivotButton="0" quotePrefix="0" xfId="0">
      <alignment horizontal="center" vertical="center"/>
    </xf>
    <xf numFmtId="168" fontId="24" fillId="0" borderId="168" applyAlignment="1" pivotButton="0" quotePrefix="0" xfId="0">
      <alignment horizontal="center" vertical="center"/>
    </xf>
    <xf numFmtId="49" fontId="21" fillId="24" borderId="189" applyAlignment="1" pivotButton="0" quotePrefix="0" xfId="0">
      <alignment horizontal="center" vertical="center" wrapText="1"/>
    </xf>
    <xf numFmtId="49" fontId="21" fillId="24" borderId="17" applyAlignment="1" pivotButton="0" quotePrefix="0" xfId="0">
      <alignment horizontal="center" vertical="center" wrapText="1"/>
    </xf>
    <xf numFmtId="49" fontId="21" fillId="24" borderId="73" applyAlignment="1" pivotButton="0" quotePrefix="0" xfId="0">
      <alignment horizontal="center" vertical="center" wrapText="1"/>
    </xf>
    <xf numFmtId="49" fontId="44" fillId="0" borderId="45" applyAlignment="1" pivotButton="0" quotePrefix="0" xfId="0">
      <alignment horizontal="distributed" vertical="center"/>
    </xf>
    <xf numFmtId="49" fontId="44" fillId="0" borderId="46" applyAlignment="1" pivotButton="0" quotePrefix="0" xfId="0">
      <alignment horizontal="distributed" vertical="center"/>
    </xf>
    <xf numFmtId="49" fontId="56" fillId="0" borderId="16" applyAlignment="1" pivotButton="0" quotePrefix="0" xfId="0">
      <alignment horizontal="right" vertical="center"/>
    </xf>
    <xf numFmtId="49" fontId="56" fillId="0" borderId="14" applyAlignment="1" pivotButton="0" quotePrefix="0" xfId="0">
      <alignment horizontal="right" vertical="center"/>
    </xf>
    <xf numFmtId="49" fontId="43" fillId="0" borderId="42" applyAlignment="1" pivotButton="0" quotePrefix="0" xfId="0">
      <alignment horizontal="center" vertical="center"/>
    </xf>
    <xf numFmtId="49" fontId="43" fillId="0" borderId="43" applyAlignment="1" pivotButton="0" quotePrefix="0" xfId="0">
      <alignment horizontal="center" vertical="center"/>
    </xf>
    <xf numFmtId="49" fontId="43" fillId="0" borderId="66" applyAlignment="1" pivotButton="0" quotePrefix="0" xfId="0">
      <alignment horizontal="center" vertical="center"/>
    </xf>
    <xf numFmtId="49" fontId="44" fillId="24" borderId="20" applyAlignment="1" pivotButton="0" quotePrefix="0" xfId="0">
      <alignment horizontal="distributed" vertical="center" wrapText="1" shrinkToFit="1"/>
    </xf>
    <xf numFmtId="49" fontId="44" fillId="24" borderId="21" applyAlignment="1" pivotButton="0" quotePrefix="0" xfId="0">
      <alignment horizontal="distributed" vertical="center" wrapText="1" shrinkToFit="1"/>
    </xf>
    <xf numFmtId="49" fontId="44" fillId="24" borderId="49" applyAlignment="1" pivotButton="0" quotePrefix="0" xfId="0">
      <alignment horizontal="distributed" vertical="center" wrapText="1" shrinkToFit="1"/>
    </xf>
    <xf numFmtId="49" fontId="56" fillId="0" borderId="110" applyAlignment="1" pivotButton="0" quotePrefix="0" xfId="0">
      <alignment horizontal="center" vertical="center" shrinkToFit="1"/>
    </xf>
    <xf numFmtId="49" fontId="56" fillId="0" borderId="45" applyAlignment="1" pivotButton="0" quotePrefix="0" xfId="0">
      <alignment horizontal="center" vertical="center" shrinkToFit="1"/>
    </xf>
    <xf numFmtId="49" fontId="43" fillId="0" borderId="72" applyAlignment="1" pivotButton="0" quotePrefix="0" xfId="0">
      <alignment horizontal="distributed" vertical="center"/>
    </xf>
    <xf numFmtId="49" fontId="43" fillId="0" borderId="17" applyAlignment="1" pivotButton="0" quotePrefix="0" xfId="0">
      <alignment horizontal="distributed" vertical="center"/>
    </xf>
    <xf numFmtId="49" fontId="43" fillId="0" borderId="188" applyAlignment="1" pivotButton="0" quotePrefix="0" xfId="0">
      <alignment horizontal="distributed" vertical="center"/>
    </xf>
    <xf numFmtId="49" fontId="20" fillId="0" borderId="0" applyAlignment="1" pivotButton="0" quotePrefix="0" xfId="0">
      <alignment horizontal="right"/>
    </xf>
    <xf numFmtId="49" fontId="40" fillId="0" borderId="0" applyAlignment="1" pivotButton="0" quotePrefix="0" xfId="0">
      <alignment horizontal="distributed"/>
    </xf>
    <xf numFmtId="49" fontId="40" fillId="0" borderId="0" applyAlignment="1" pivotButton="0" quotePrefix="0" xfId="0">
      <alignment horizontal="left"/>
    </xf>
    <xf numFmtId="49" fontId="20" fillId="0" borderId="17" applyAlignment="1" pivotButton="0" quotePrefix="0" xfId="0">
      <alignment horizontal="right"/>
    </xf>
    <xf numFmtId="49" fontId="40" fillId="0" borderId="17" applyAlignment="1" pivotButton="0" quotePrefix="0" xfId="0">
      <alignment horizontal="distributed"/>
    </xf>
    <xf numFmtId="49" fontId="40" fillId="0" borderId="17" applyAlignment="1" pivotButton="0" quotePrefix="0" xfId="0">
      <alignment horizontal="left"/>
    </xf>
    <xf numFmtId="49" fontId="74" fillId="0" borderId="0" applyAlignment="1" pivotButton="0" quotePrefix="0" xfId="0">
      <alignment horizontal="left" vertical="center" wrapText="1"/>
    </xf>
    <xf numFmtId="49" fontId="74" fillId="0" borderId="48" applyAlignment="1" pivotButton="0" quotePrefix="0" xfId="0">
      <alignment horizontal="left" vertical="center" wrapText="1"/>
    </xf>
    <xf numFmtId="49" fontId="74" fillId="0" borderId="17" applyAlignment="1" pivotButton="0" quotePrefix="0" xfId="0">
      <alignment horizontal="left" vertical="center" wrapText="1"/>
    </xf>
    <xf numFmtId="49" fontId="74" fillId="0" borderId="73" applyAlignment="1" pivotButton="0" quotePrefix="0" xfId="0">
      <alignment horizontal="left" vertical="center" wrapText="1"/>
    </xf>
    <xf numFmtId="49" fontId="30" fillId="0" borderId="18" applyAlignment="1" pivotButton="0" quotePrefix="0" xfId="0">
      <alignment horizontal="left" vertical="center" wrapText="1"/>
    </xf>
    <xf numFmtId="49" fontId="30" fillId="0" borderId="12" applyAlignment="1" pivotButton="0" quotePrefix="0" xfId="0">
      <alignment horizontal="left" vertical="center" wrapText="1"/>
    </xf>
    <xf numFmtId="49" fontId="30" fillId="0" borderId="13" applyAlignment="1" pivotButton="0" quotePrefix="0" xfId="0">
      <alignment horizontal="left" vertical="center" wrapText="1"/>
    </xf>
    <xf numFmtId="49" fontId="30" fillId="0" borderId="20" applyAlignment="1" pivotButton="0" quotePrefix="0" xfId="0">
      <alignment horizontal="left" vertical="center" wrapText="1"/>
    </xf>
    <xf numFmtId="49" fontId="30" fillId="0" borderId="21" applyAlignment="1" pivotButton="0" quotePrefix="0" xfId="0">
      <alignment horizontal="left" vertical="center" wrapText="1"/>
    </xf>
    <xf numFmtId="49" fontId="30" fillId="0" borderId="49" applyAlignment="1" pivotButton="0" quotePrefix="0" xfId="0">
      <alignment horizontal="left" vertical="center" wrapText="1"/>
    </xf>
    <xf numFmtId="49" fontId="43" fillId="0" borderId="100" applyAlignment="1" pivotButton="0" quotePrefix="0" xfId="0">
      <alignment horizontal="center" vertical="center" textRotation="255" wrapText="1"/>
    </xf>
    <xf numFmtId="49" fontId="43" fillId="0" borderId="103" applyAlignment="1" pivotButton="0" quotePrefix="0" xfId="0">
      <alignment horizontal="center" vertical="center" textRotation="255" wrapText="1"/>
    </xf>
    <xf numFmtId="49" fontId="43" fillId="0" borderId="258" applyAlignment="1" pivotButton="0" quotePrefix="0" xfId="0">
      <alignment horizontal="center" vertical="center" textRotation="255" wrapText="1"/>
    </xf>
    <xf numFmtId="49" fontId="40" fillId="0" borderId="20" applyAlignment="1" pivotButton="0" quotePrefix="0" xfId="0">
      <alignment horizontal="distributed" vertical="center" wrapText="1" indent="5"/>
    </xf>
    <xf numFmtId="0" fontId="6" fillId="0" borderId="21" applyAlignment="1" pivotButton="0" quotePrefix="0" xfId="0">
      <alignment vertical="center"/>
    </xf>
    <xf numFmtId="0" fontId="6" fillId="0" borderId="22" applyAlignment="1" pivotButton="0" quotePrefix="0" xfId="0">
      <alignment vertical="center"/>
    </xf>
    <xf numFmtId="49" fontId="43" fillId="0" borderId="35" applyAlignment="1" pivotButton="0" quotePrefix="0" xfId="0">
      <alignment horizontal="center" vertical="center" textRotation="255" shrinkToFit="1"/>
    </xf>
    <xf numFmtId="49" fontId="43" fillId="0" borderId="33" applyAlignment="1" pivotButton="0" quotePrefix="0" xfId="0">
      <alignment horizontal="center" vertical="center" textRotation="255" shrinkToFit="1"/>
    </xf>
    <xf numFmtId="49" fontId="43" fillId="0" borderId="34" applyAlignment="1" pivotButton="0" quotePrefix="0" xfId="0">
      <alignment horizontal="center" vertical="center" textRotation="255" shrinkToFit="1"/>
    </xf>
    <xf numFmtId="49" fontId="43" fillId="0" borderId="35" applyAlignment="1" pivotButton="0" quotePrefix="0" xfId="0">
      <alignment horizontal="center" vertical="center" textRotation="255" wrapText="1"/>
    </xf>
    <xf numFmtId="49" fontId="43" fillId="0" borderId="33" applyAlignment="1" pivotButton="0" quotePrefix="0" xfId="0">
      <alignment horizontal="center" vertical="center" textRotation="255" wrapText="1"/>
    </xf>
    <xf numFmtId="49" fontId="43" fillId="0" borderId="34" applyAlignment="1" pivotButton="0" quotePrefix="0" xfId="0">
      <alignment horizontal="center" vertical="center" textRotation="255" wrapText="1"/>
    </xf>
    <xf numFmtId="49" fontId="60" fillId="0" borderId="81" applyAlignment="1" pivotButton="0" quotePrefix="0" xfId="0">
      <alignment vertical="center" textRotation="255"/>
    </xf>
    <xf numFmtId="49" fontId="60" fillId="0" borderId="84" applyAlignment="1" pivotButton="0" quotePrefix="0" xfId="0">
      <alignment vertical="center" textRotation="255"/>
    </xf>
    <xf numFmtId="49" fontId="60" fillId="0" borderId="87" applyAlignment="1" pivotButton="0" quotePrefix="0" xfId="0">
      <alignment vertical="center" textRotation="255"/>
    </xf>
    <xf numFmtId="49" fontId="22" fillId="0" borderId="138" applyAlignment="1" pivotButton="0" quotePrefix="0" xfId="0">
      <alignment vertical="center"/>
    </xf>
    <xf numFmtId="49" fontId="22" fillId="0" borderId="12" applyAlignment="1" pivotButton="0" quotePrefix="0" xfId="0">
      <alignment vertical="center"/>
    </xf>
    <xf numFmtId="49" fontId="22" fillId="0" borderId="13" applyAlignment="1" pivotButton="0" quotePrefix="0" xfId="0">
      <alignment vertical="center"/>
    </xf>
    <xf numFmtId="49" fontId="22" fillId="0" borderId="134" applyAlignment="1" pivotButton="0" quotePrefix="0" xfId="0">
      <alignment vertical="center"/>
    </xf>
    <xf numFmtId="49" fontId="22" fillId="0" borderId="0" applyAlignment="1" pivotButton="0" quotePrefix="0" xfId="0">
      <alignment vertical="center"/>
    </xf>
    <xf numFmtId="49" fontId="22" fillId="0" borderId="48" applyAlignment="1" pivotButton="0" quotePrefix="0" xfId="0">
      <alignment vertical="center"/>
    </xf>
    <xf numFmtId="49" fontId="22" fillId="0" borderId="130" applyAlignment="1" pivotButton="0" quotePrefix="0" xfId="0">
      <alignment vertical="center"/>
    </xf>
    <xf numFmtId="49" fontId="22" fillId="0" borderId="21" applyAlignment="1" pivotButton="0" quotePrefix="0" xfId="0">
      <alignment vertical="center"/>
    </xf>
    <xf numFmtId="49" fontId="22" fillId="0" borderId="49" applyAlignment="1" pivotButton="0" quotePrefix="0" xfId="0">
      <alignment vertical="center"/>
    </xf>
    <xf numFmtId="49" fontId="43" fillId="0" borderId="81" applyAlignment="1" pivotButton="0" quotePrefix="0" xfId="0">
      <alignment horizontal="left" vertical="center" textRotation="255"/>
    </xf>
    <xf numFmtId="49" fontId="43" fillId="0" borderId="84" applyAlignment="1" pivotButton="0" quotePrefix="0" xfId="0">
      <alignment horizontal="left" vertical="center" textRotation="255"/>
    </xf>
    <xf numFmtId="49" fontId="43" fillId="0" borderId="87" applyAlignment="1" pivotButton="0" quotePrefix="0" xfId="0">
      <alignment horizontal="left" vertical="center" textRotation="255"/>
    </xf>
    <xf numFmtId="49" fontId="43" fillId="0" borderId="35" applyAlignment="1" pivotButton="0" quotePrefix="0" xfId="0">
      <alignment horizontal="center" vertical="center" wrapText="1"/>
    </xf>
    <xf numFmtId="49" fontId="43" fillId="0" borderId="34" applyAlignment="1" pivotButton="0" quotePrefix="0" xfId="0">
      <alignment horizontal="center" vertical="center" wrapText="1"/>
    </xf>
    <xf numFmtId="49" fontId="43" fillId="0" borderId="36" applyAlignment="1" pivotButton="0" quotePrefix="0" xfId="0">
      <alignment horizontal="center" vertical="center" wrapText="1"/>
    </xf>
    <xf numFmtId="49" fontId="43" fillId="0" borderId="200" applyAlignment="1" pivotButton="0" quotePrefix="0" xfId="0">
      <alignment horizontal="center" vertical="center" wrapText="1"/>
    </xf>
    <xf numFmtId="49" fontId="43" fillId="0" borderId="87" applyAlignment="1" pivotButton="0" quotePrefix="0" xfId="0">
      <alignment horizontal="center" vertical="center"/>
    </xf>
    <xf numFmtId="49" fontId="43" fillId="0" borderId="88" applyAlignment="1" pivotButton="0" quotePrefix="0" xfId="0">
      <alignment horizontal="center" vertical="center"/>
    </xf>
    <xf numFmtId="49" fontId="43" fillId="0" borderId="88" applyAlignment="1" pivotButton="0" quotePrefix="0" xfId="0">
      <alignment horizontal="center" vertical="center" wrapText="1"/>
    </xf>
    <xf numFmtId="49" fontId="43" fillId="0" borderId="89" applyAlignment="1" pivotButton="0" quotePrefix="0" xfId="0">
      <alignment horizontal="center" vertical="center" wrapText="1"/>
    </xf>
    <xf numFmtId="49" fontId="21" fillId="0" borderId="255" applyAlignment="1" pivotButton="0" quotePrefix="0" xfId="0">
      <alignment horizontal="center" vertical="center"/>
    </xf>
    <xf numFmtId="49" fontId="21" fillId="0" borderId="256" applyAlignment="1" pivotButton="0" quotePrefix="0" xfId="0">
      <alignment horizontal="center" vertical="center"/>
    </xf>
    <xf numFmtId="49" fontId="21" fillId="0" borderId="257" applyAlignment="1" pivotButton="0" quotePrefix="0" xfId="0">
      <alignment horizontal="center" vertical="center"/>
    </xf>
    <xf numFmtId="49" fontId="43" fillId="0" borderId="35" applyAlignment="1" pivotButton="0" quotePrefix="0" xfId="0">
      <alignment horizontal="left" vertical="center" textRotation="255"/>
    </xf>
    <xf numFmtId="49" fontId="43" fillId="0" borderId="34" applyAlignment="1" pivotButton="0" quotePrefix="0" xfId="0">
      <alignment horizontal="left" vertical="center" textRotation="255"/>
    </xf>
    <xf numFmtId="49" fontId="21" fillId="0" borderId="38" applyAlignment="1" pivotButton="0" quotePrefix="0" xfId="0">
      <alignment horizontal="center" vertical="center"/>
    </xf>
    <xf numFmtId="165" fontId="21" fillId="0" borderId="16" applyAlignment="1" pivotButton="0" quotePrefix="0" xfId="0">
      <alignment horizontal="right" vertical="center" shrinkToFit="1"/>
    </xf>
    <xf numFmtId="165" fontId="21" fillId="0" borderId="14" applyAlignment="1" pivotButton="0" quotePrefix="0" xfId="0">
      <alignment horizontal="right" vertical="center" shrinkToFit="1"/>
    </xf>
    <xf numFmtId="165" fontId="21" fillId="0" borderId="18" applyAlignment="1" pivotButton="0" quotePrefix="0" xfId="0">
      <alignment horizontal="right" vertical="center" shrinkToFit="1"/>
    </xf>
    <xf numFmtId="165" fontId="21" fillId="0" borderId="12" applyAlignment="1" pivotButton="0" quotePrefix="0" xfId="0">
      <alignment horizontal="right" vertical="center" shrinkToFit="1"/>
    </xf>
    <xf numFmtId="166" fontId="21" fillId="0" borderId="18" applyAlignment="1" pivotButton="0" quotePrefix="0" xfId="0">
      <alignment horizontal="right" vertical="center" shrinkToFit="1"/>
    </xf>
    <xf numFmtId="166" fontId="21" fillId="0" borderId="12" applyAlignment="1" pivotButton="0" quotePrefix="0" xfId="0">
      <alignment horizontal="right" vertical="center" shrinkToFit="1"/>
    </xf>
    <xf numFmtId="166" fontId="21" fillId="0" borderId="19" applyAlignment="1" pivotButton="0" quotePrefix="0" xfId="0">
      <alignment horizontal="right" vertical="center" shrinkToFit="1"/>
    </xf>
    <xf numFmtId="49" fontId="20" fillId="0" borderId="16" applyAlignment="1" pivotButton="0" quotePrefix="0" xfId="0">
      <alignment horizontal="center" vertical="center" wrapText="1"/>
    </xf>
    <xf numFmtId="49" fontId="20" fillId="0" borderId="14" applyAlignment="1" pivotButton="0" quotePrefix="0" xfId="0">
      <alignment horizontal="center" vertical="center" wrapText="1"/>
    </xf>
    <xf numFmtId="49" fontId="43" fillId="0" borderId="39" applyAlignment="1" pivotButton="0" quotePrefix="0" xfId="0">
      <alignment horizontal="distributed" vertical="center" wrapText="1" indent="3"/>
    </xf>
    <xf numFmtId="49" fontId="43" fillId="0" borderId="40" applyAlignment="1" pivotButton="0" quotePrefix="0" xfId="0">
      <alignment horizontal="distributed" vertical="center" wrapText="1" indent="3"/>
    </xf>
    <xf numFmtId="49" fontId="43" fillId="0" borderId="41" applyAlignment="1" pivotButton="0" quotePrefix="0" xfId="0">
      <alignment horizontal="distributed" vertical="center" wrapText="1" indent="3"/>
    </xf>
    <xf numFmtId="166" fontId="21" fillId="0" borderId="23" applyAlignment="1" pivotButton="0" quotePrefix="0" xfId="0">
      <alignment horizontal="right" vertical="center" shrinkToFit="1"/>
    </xf>
    <xf numFmtId="49" fontId="40" fillId="0" borderId="43" applyAlignment="1" pivotButton="0" quotePrefix="0" xfId="0">
      <alignment horizontal="center" vertical="center" textRotation="255" wrapText="1"/>
    </xf>
    <xf numFmtId="49" fontId="40" fillId="0" borderId="28" applyAlignment="1" pivotButton="0" quotePrefix="0" xfId="0">
      <alignment horizontal="center" vertical="center" textRotation="255" wrapText="1"/>
    </xf>
    <xf numFmtId="49" fontId="43" fillId="0" borderId="29" applyAlignment="1" pivotButton="0" quotePrefix="0" xfId="0">
      <alignment horizontal="center" vertical="center" wrapText="1"/>
    </xf>
    <xf numFmtId="49" fontId="43" fillId="0" borderId="30" applyAlignment="1" pivotButton="0" quotePrefix="0" xfId="0">
      <alignment horizontal="center" vertical="center" wrapText="1"/>
    </xf>
    <xf numFmtId="49" fontId="43" fillId="0" borderId="31" applyAlignment="1" pivotButton="0" quotePrefix="0" xfId="0">
      <alignment horizontal="center" vertical="center" wrapText="1"/>
    </xf>
    <xf numFmtId="49" fontId="43" fillId="0" borderId="33" applyAlignment="1" pivotButton="0" quotePrefix="0" xfId="0">
      <alignment horizontal="center" vertical="center" wrapText="1"/>
    </xf>
    <xf numFmtId="49" fontId="43" fillId="0" borderId="259" applyAlignment="1" pivotButton="0" quotePrefix="0" xfId="0">
      <alignment horizontal="center" vertical="center" wrapText="1"/>
    </xf>
    <xf numFmtId="49" fontId="70" fillId="0" borderId="14" applyAlignment="1" pivotButton="0" quotePrefix="0" xfId="0">
      <alignment horizontal="center" vertical="center" shrinkToFit="1"/>
    </xf>
    <xf numFmtId="49" fontId="70" fillId="0" borderId="23" applyAlignment="1" pivotButton="0" quotePrefix="0" xfId="0">
      <alignment horizontal="center" vertical="center" shrinkToFit="1"/>
    </xf>
    <xf numFmtId="49" fontId="44" fillId="0" borderId="15" applyAlignment="1" pivotButton="0" quotePrefix="0" xfId="0">
      <alignment horizontal="center" vertical="center" shrinkToFit="1"/>
    </xf>
    <xf numFmtId="49" fontId="51" fillId="0" borderId="18" applyAlignment="1" pivotButton="0" quotePrefix="0" xfId="0">
      <alignment horizontal="distributed" vertical="center" wrapText="1"/>
    </xf>
    <xf numFmtId="49" fontId="51" fillId="0" borderId="12" applyAlignment="1" pivotButton="0" quotePrefix="0" xfId="0">
      <alignment horizontal="distributed" vertical="center" wrapText="1"/>
    </xf>
    <xf numFmtId="49" fontId="51" fillId="0" borderId="19" applyAlignment="1" pivotButton="0" quotePrefix="0" xfId="0">
      <alignment horizontal="distributed" vertical="center" wrapText="1"/>
    </xf>
    <xf numFmtId="49" fontId="51" fillId="0" borderId="27" applyAlignment="1" pivotButton="0" quotePrefix="0" xfId="0">
      <alignment horizontal="distributed" vertical="center" wrapText="1"/>
    </xf>
    <xf numFmtId="49" fontId="51" fillId="0" borderId="28" applyAlignment="1" pivotButton="0" quotePrefix="0" xfId="0">
      <alignment horizontal="distributed" vertical="center" wrapText="1"/>
    </xf>
    <xf numFmtId="49" fontId="51" fillId="0" borderId="189" applyAlignment="1" pivotButton="0" quotePrefix="0" xfId="0">
      <alignment horizontal="distributed" vertical="center" wrapText="1"/>
    </xf>
    <xf numFmtId="49" fontId="51" fillId="0" borderId="17" applyAlignment="1" pivotButton="0" quotePrefix="0" xfId="0">
      <alignment horizontal="distributed" vertical="center" wrapText="1"/>
    </xf>
    <xf numFmtId="49" fontId="51" fillId="0" borderId="188" applyAlignment="1" pivotButton="0" quotePrefix="0" xfId="0">
      <alignment horizontal="distributed" vertical="center" wrapText="1"/>
    </xf>
    <xf numFmtId="49" fontId="40" fillId="0" borderId="42" applyAlignment="1" pivotButton="0" quotePrefix="0" xfId="0">
      <alignment horizontal="distributed" vertical="center" textRotation="255" wrapText="1"/>
    </xf>
    <xf numFmtId="49" fontId="40" fillId="0" borderId="19" applyAlignment="1" pivotButton="0" quotePrefix="0" xfId="0">
      <alignment horizontal="distributed" vertical="center" textRotation="255" wrapText="1"/>
    </xf>
    <xf numFmtId="49" fontId="40" fillId="0" borderId="43" applyAlignment="1" pivotButton="0" quotePrefix="0" xfId="0">
      <alignment horizontal="distributed" vertical="center" textRotation="255" wrapText="1"/>
    </xf>
    <xf numFmtId="49" fontId="40" fillId="0" borderId="28" applyAlignment="1" pivotButton="0" quotePrefix="0" xfId="0">
      <alignment horizontal="distributed" vertical="center" textRotation="255" wrapText="1"/>
    </xf>
    <xf numFmtId="49" fontId="40" fillId="0" borderId="72" applyAlignment="1" pivotButton="0" quotePrefix="0" xfId="0">
      <alignment horizontal="distributed" vertical="center" textRotation="255" wrapText="1"/>
    </xf>
    <xf numFmtId="49" fontId="40" fillId="0" borderId="188" applyAlignment="1" pivotButton="0" quotePrefix="0" xfId="0">
      <alignment horizontal="distributed" vertical="center" textRotation="255" wrapText="1"/>
    </xf>
    <xf numFmtId="167" fontId="44" fillId="0" borderId="18" applyAlignment="1" pivotButton="0" quotePrefix="0" xfId="0">
      <alignment horizontal="distributed" vertical="center" shrinkToFit="1"/>
    </xf>
    <xf numFmtId="167" fontId="44" fillId="0" borderId="12" applyAlignment="1" pivotButton="0" quotePrefix="0" xfId="0">
      <alignment horizontal="distributed" vertical="center" shrinkToFit="1"/>
    </xf>
    <xf numFmtId="167" fontId="44" fillId="0" borderId="19" applyAlignment="1" pivotButton="0" quotePrefix="0" xfId="0">
      <alignment horizontal="distributed" vertical="center" shrinkToFit="1"/>
    </xf>
    <xf numFmtId="167" fontId="44" fillId="0" borderId="27" applyAlignment="1" pivotButton="0" quotePrefix="0" xfId="0">
      <alignment horizontal="distributed" vertical="center" shrinkToFit="1"/>
    </xf>
    <xf numFmtId="167" fontId="44" fillId="0" borderId="0" applyAlignment="1" pivotButton="0" quotePrefix="0" xfId="0">
      <alignment horizontal="distributed" vertical="center" shrinkToFit="1"/>
    </xf>
    <xf numFmtId="167" fontId="44" fillId="0" borderId="28" applyAlignment="1" pivotButton="0" quotePrefix="0" xfId="0">
      <alignment horizontal="distributed" vertical="center" shrinkToFit="1"/>
    </xf>
    <xf numFmtId="167" fontId="44" fillId="0" borderId="20" applyAlignment="1" pivotButton="0" quotePrefix="0" xfId="0">
      <alignment horizontal="distributed" vertical="center" shrinkToFit="1"/>
    </xf>
    <xf numFmtId="167" fontId="44" fillId="0" borderId="21" applyAlignment="1" pivotButton="0" quotePrefix="0" xfId="0">
      <alignment horizontal="distributed" vertical="center" shrinkToFit="1"/>
    </xf>
    <xf numFmtId="167" fontId="44" fillId="0" borderId="22" applyAlignment="1" pivotButton="0" quotePrefix="0" xfId="0">
      <alignment horizontal="distributed" vertical="center" shrinkToFit="1"/>
    </xf>
    <xf numFmtId="167" fontId="21" fillId="0" borderId="18" applyAlignment="1" pivotButton="0" quotePrefix="0" xfId="0">
      <alignment vertical="center" wrapText="1"/>
    </xf>
    <xf numFmtId="167" fontId="21" fillId="0" borderId="27" applyAlignment="1" pivotButton="0" quotePrefix="0" xfId="0">
      <alignment vertical="center" wrapText="1"/>
    </xf>
    <xf numFmtId="167" fontId="21" fillId="0" borderId="20" applyAlignment="1" pivotButton="0" quotePrefix="0" xfId="0">
      <alignment vertical="center" wrapText="1"/>
    </xf>
    <xf numFmtId="49" fontId="21" fillId="0" borderId="18" applyAlignment="1" pivotButton="0" quotePrefix="0" xfId="0">
      <alignment horizontal="right" vertical="center" wrapText="1"/>
    </xf>
    <xf numFmtId="49" fontId="21" fillId="0" borderId="12" applyAlignment="1" pivotButton="0" quotePrefix="0" xfId="0">
      <alignment horizontal="right" vertical="center" wrapText="1"/>
    </xf>
    <xf numFmtId="49" fontId="21" fillId="0" borderId="27" applyAlignment="1" pivotButton="0" quotePrefix="0" xfId="0">
      <alignment horizontal="right" vertical="center" wrapText="1"/>
    </xf>
    <xf numFmtId="49" fontId="21" fillId="0" borderId="0" applyAlignment="1" pivotButton="0" quotePrefix="0" xfId="0">
      <alignment horizontal="right" vertical="center" wrapText="1"/>
    </xf>
    <xf numFmtId="49" fontId="21" fillId="0" borderId="20" applyAlignment="1" pivotButton="0" quotePrefix="0" xfId="0">
      <alignment horizontal="right" vertical="center" wrapText="1"/>
    </xf>
    <xf numFmtId="49" fontId="21" fillId="0" borderId="21" applyAlignment="1" pivotButton="0" quotePrefix="0" xfId="0">
      <alignment horizontal="right" vertical="center" wrapText="1"/>
    </xf>
    <xf numFmtId="167" fontId="40" fillId="0" borderId="12" applyAlignment="1" pivotButton="0" quotePrefix="0" xfId="0">
      <alignment horizontal="left" vertical="center" wrapText="1"/>
    </xf>
    <xf numFmtId="167" fontId="40" fillId="0" borderId="13" applyAlignment="1" pivotButton="0" quotePrefix="0" xfId="0">
      <alignment horizontal="left" vertical="center" wrapText="1"/>
    </xf>
    <xf numFmtId="167" fontId="40" fillId="0" borderId="0" applyAlignment="1" pivotButton="0" quotePrefix="0" xfId="0">
      <alignment horizontal="left" vertical="center" wrapText="1"/>
    </xf>
    <xf numFmtId="167" fontId="40" fillId="0" borderId="48" applyAlignment="1" pivotButton="0" quotePrefix="0" xfId="0">
      <alignment horizontal="left" vertical="center" wrapText="1"/>
    </xf>
    <xf numFmtId="167" fontId="40" fillId="0" borderId="21" applyAlignment="1" pivotButton="0" quotePrefix="0" xfId="0">
      <alignment horizontal="left" vertical="center" wrapText="1"/>
    </xf>
    <xf numFmtId="167" fontId="40" fillId="0" borderId="49" applyAlignment="1" pivotButton="0" quotePrefix="0" xfId="0">
      <alignment horizontal="left" vertical="center" wrapText="1"/>
    </xf>
    <xf numFmtId="49" fontId="52" fillId="0" borderId="16" applyAlignment="1" pivotButton="0" quotePrefix="0" xfId="0">
      <alignment horizontal="distributed" vertical="center" wrapText="1"/>
    </xf>
    <xf numFmtId="167" fontId="43" fillId="0" borderId="0" applyAlignment="1" pivotButton="0" quotePrefix="0" xfId="0">
      <alignment horizontal="center" vertical="center" wrapText="1"/>
    </xf>
    <xf numFmtId="167" fontId="43" fillId="0" borderId="0" applyAlignment="1" pivotButton="0" quotePrefix="0" xfId="0">
      <alignment horizontal="distributed" vertical="center" wrapText="1"/>
    </xf>
    <xf numFmtId="167" fontId="44" fillId="0" borderId="0" applyAlignment="1" pivotButton="0" quotePrefix="0" xfId="0">
      <alignment horizontal="distributed" vertical="center" wrapText="1"/>
    </xf>
    <xf numFmtId="49" fontId="52" fillId="0" borderId="17" applyAlignment="1" pivotButton="0" quotePrefix="0" xfId="0">
      <alignment horizontal="distributed" vertical="center" wrapText="1"/>
    </xf>
    <xf numFmtId="49" fontId="52" fillId="0" borderId="188" applyAlignment="1" pivotButton="0" quotePrefix="0" xfId="0">
      <alignment horizontal="distributed" vertical="center" wrapText="1"/>
    </xf>
    <xf numFmtId="165" fontId="21" fillId="0" borderId="110" applyAlignment="1" pivotButton="0" quotePrefix="0" xfId="0">
      <alignment horizontal="right" vertical="center" shrinkToFit="1"/>
    </xf>
    <xf numFmtId="165" fontId="21" fillId="0" borderId="45" applyAlignment="1" pivotButton="0" quotePrefix="0" xfId="0">
      <alignment horizontal="right" vertical="center" shrinkToFit="1"/>
    </xf>
    <xf numFmtId="166" fontId="21" fillId="0" borderId="110" applyAlignment="1" pivotButton="0" quotePrefix="0" xfId="0">
      <alignment horizontal="right" vertical="center" shrinkToFit="1"/>
    </xf>
    <xf numFmtId="166" fontId="21" fillId="0" borderId="45" applyAlignment="1" pivotButton="0" quotePrefix="0" xfId="0">
      <alignment horizontal="right" vertical="center" shrinkToFit="1"/>
    </xf>
    <xf numFmtId="166" fontId="21" fillId="0" borderId="46" applyAlignment="1" pivotButton="0" quotePrefix="0" xfId="0">
      <alignment horizontal="right" vertical="center" shrinkToFit="1"/>
    </xf>
    <xf numFmtId="49" fontId="56" fillId="0" borderId="0" applyAlignment="1" pivotButton="0" quotePrefix="0" xfId="0">
      <alignment horizontal="right"/>
    </xf>
    <xf numFmtId="49" fontId="56" fillId="0" borderId="17" applyAlignment="1" pivotButton="0" quotePrefix="0" xfId="0">
      <alignment horizontal="right"/>
    </xf>
    <xf numFmtId="49" fontId="73" fillId="0" borderId="18" applyAlignment="1" pivotButton="0" quotePrefix="0" xfId="0">
      <alignment horizontal="left" vertical="center" wrapText="1"/>
    </xf>
    <xf numFmtId="49" fontId="73" fillId="0" borderId="12" applyAlignment="1" pivotButton="0" quotePrefix="0" xfId="0">
      <alignment horizontal="left" vertical="center" wrapText="1"/>
    </xf>
    <xf numFmtId="49" fontId="73" fillId="0" borderId="13" applyAlignment="1" pivotButton="0" quotePrefix="0" xfId="0">
      <alignment horizontal="left" vertical="center" wrapText="1"/>
    </xf>
    <xf numFmtId="49" fontId="73" fillId="0" borderId="20" applyAlignment="1" pivotButton="0" quotePrefix="0" xfId="0">
      <alignment horizontal="left" vertical="center" wrapText="1"/>
    </xf>
    <xf numFmtId="49" fontId="73" fillId="0" borderId="21" applyAlignment="1" pivotButton="0" quotePrefix="0" xfId="0">
      <alignment horizontal="left" vertical="center" wrapText="1"/>
    </xf>
    <xf numFmtId="49" fontId="73" fillId="0" borderId="49" applyAlignment="1" pivotButton="0" quotePrefix="0" xfId="0">
      <alignment horizontal="left" vertical="center" wrapText="1"/>
    </xf>
    <xf numFmtId="0" fontId="56" fillId="0" borderId="14" applyAlignment="1" pivotButton="0" quotePrefix="0" xfId="0">
      <alignment horizontal="center" vertical="center"/>
    </xf>
    <xf numFmtId="0" fontId="56" fillId="0" borderId="23" applyAlignment="1" pivotButton="0" quotePrefix="0" xfId="0">
      <alignment horizontal="center" vertical="center"/>
    </xf>
    <xf numFmtId="49" fontId="44" fillId="0" borderId="125" applyAlignment="1" pivotButton="0" quotePrefix="0" xfId="0">
      <alignment horizontal="distributed" vertical="center" shrinkToFit="1"/>
    </xf>
    <xf numFmtId="49" fontId="44" fillId="0" borderId="127" applyAlignment="1" pivotButton="0" quotePrefix="0" xfId="0">
      <alignment horizontal="distributed" vertical="center" shrinkToFit="1"/>
    </xf>
    <xf numFmtId="49" fontId="47" fillId="0" borderId="27" applyAlignment="1" pivotButton="0" quotePrefix="0" xfId="0">
      <alignment horizontal="left" vertical="center" shrinkToFit="1"/>
    </xf>
    <xf numFmtId="49" fontId="47" fillId="0" borderId="0" applyAlignment="1" pivotButton="0" quotePrefix="0" xfId="0">
      <alignment horizontal="left" vertical="center" shrinkToFit="1"/>
    </xf>
    <xf numFmtId="49" fontId="24" fillId="0" borderId="255" applyAlignment="1" pivotButton="0" quotePrefix="0" xfId="0">
      <alignment horizontal="center" vertical="center"/>
    </xf>
    <xf numFmtId="49" fontId="24" fillId="0" borderId="256" applyAlignment="1" pivotButton="0" quotePrefix="0" xfId="0">
      <alignment horizontal="center" vertical="center"/>
    </xf>
    <xf numFmtId="49" fontId="24" fillId="0" borderId="257" applyAlignment="1" pivotButton="0" quotePrefix="0" xfId="0">
      <alignment horizontal="center" vertical="center"/>
    </xf>
    <xf numFmtId="49" fontId="24" fillId="0" borderId="37" applyAlignment="1" pivotButton="0" quotePrefix="0" xfId="0">
      <alignment horizontal="center" vertical="center"/>
    </xf>
    <xf numFmtId="49" fontId="24" fillId="0" borderId="38" applyAlignment="1" pivotButton="0" quotePrefix="0" xfId="0">
      <alignment horizontal="center" vertical="center"/>
    </xf>
    <xf numFmtId="165" fontId="24" fillId="0" borderId="16" applyAlignment="1" pivotButton="0" quotePrefix="0" xfId="0">
      <alignment horizontal="right" vertical="center" shrinkToFit="1"/>
    </xf>
    <xf numFmtId="165" fontId="24" fillId="0" borderId="14" applyAlignment="1" pivotButton="0" quotePrefix="0" xfId="0">
      <alignment horizontal="right" vertical="center" shrinkToFit="1"/>
    </xf>
    <xf numFmtId="165" fontId="24" fillId="0" borderId="18" applyAlignment="1" pivotButton="0" quotePrefix="0" xfId="0">
      <alignment horizontal="right" vertical="center" shrinkToFit="1"/>
    </xf>
    <xf numFmtId="165" fontId="24" fillId="0" borderId="12" applyAlignment="1" pivotButton="0" quotePrefix="0" xfId="0">
      <alignment horizontal="right" vertical="center" shrinkToFit="1"/>
    </xf>
    <xf numFmtId="166" fontId="24" fillId="0" borderId="18" applyAlignment="1" pivotButton="0" quotePrefix="0" xfId="0">
      <alignment horizontal="right" vertical="center" shrinkToFit="1"/>
    </xf>
    <xf numFmtId="166" fontId="24" fillId="0" borderId="12" applyAlignment="1" pivotButton="0" quotePrefix="0" xfId="0">
      <alignment horizontal="right" vertical="center" shrinkToFit="1"/>
    </xf>
    <xf numFmtId="166" fontId="24" fillId="0" borderId="19" applyAlignment="1" pivotButton="0" quotePrefix="0" xfId="0">
      <alignment horizontal="right" vertical="center" shrinkToFit="1"/>
    </xf>
    <xf numFmtId="49" fontId="56" fillId="0" borderId="16" applyAlignment="1" pivotButton="0" quotePrefix="0" xfId="0">
      <alignment horizontal="center" vertical="center" wrapText="1"/>
    </xf>
    <xf numFmtId="49" fontId="56" fillId="0" borderId="14" applyAlignment="1" pivotButton="0" quotePrefix="0" xfId="0">
      <alignment horizontal="center" vertical="center" wrapText="1"/>
    </xf>
    <xf numFmtId="166" fontId="24" fillId="0" borderId="23" applyAlignment="1" pivotButton="0" quotePrefix="0" xfId="0">
      <alignment horizontal="right" vertical="center" shrinkToFit="1"/>
    </xf>
    <xf numFmtId="49" fontId="24" fillId="0" borderId="18" applyAlignment="1" pivotButton="0" quotePrefix="0" xfId="0">
      <alignment horizontal="right" vertical="center" wrapText="1"/>
    </xf>
    <xf numFmtId="49" fontId="24" fillId="0" borderId="12" applyAlignment="1" pivotButton="0" quotePrefix="0" xfId="0">
      <alignment horizontal="right" vertical="center" wrapText="1"/>
    </xf>
    <xf numFmtId="49" fontId="24" fillId="0" borderId="27" applyAlignment="1" pivotButton="0" quotePrefix="0" xfId="0">
      <alignment horizontal="right" vertical="center" wrapText="1"/>
    </xf>
    <xf numFmtId="49" fontId="24" fillId="0" borderId="0" applyAlignment="1" pivotButton="0" quotePrefix="0" xfId="0">
      <alignment horizontal="right" vertical="center" wrapText="1"/>
    </xf>
    <xf numFmtId="49" fontId="24" fillId="0" borderId="20" applyAlignment="1" pivotButton="0" quotePrefix="0" xfId="0">
      <alignment horizontal="right" vertical="center" wrapText="1"/>
    </xf>
    <xf numFmtId="49" fontId="24" fillId="0" borderId="21" applyAlignment="1" pivotButton="0" quotePrefix="0" xfId="0">
      <alignment horizontal="right" vertical="center" wrapText="1"/>
    </xf>
    <xf numFmtId="49" fontId="43" fillId="0" borderId="208" applyAlignment="1" pivotButton="0" quotePrefix="0" xfId="0">
      <alignment horizontal="distributed" vertical="center" wrapText="1"/>
    </xf>
    <xf numFmtId="49" fontId="43" fillId="0" borderId="209" applyAlignment="1" pivotButton="0" quotePrefix="0" xfId="0">
      <alignment horizontal="distributed" vertical="center" wrapText="1"/>
    </xf>
    <xf numFmtId="49" fontId="43" fillId="0" borderId="260" applyAlignment="1" pivotButton="0" quotePrefix="0" xfId="0">
      <alignment horizontal="distributed" vertical="center" wrapText="1"/>
    </xf>
    <xf numFmtId="49" fontId="43" fillId="0" borderId="261" applyAlignment="1" pivotButton="0" quotePrefix="0" xfId="0">
      <alignment horizontal="distributed" vertical="center" wrapText="1"/>
    </xf>
    <xf numFmtId="49" fontId="43" fillId="0" borderId="262" applyAlignment="1" pivotButton="0" quotePrefix="0" xfId="0">
      <alignment horizontal="distributed" vertical="center" wrapText="1"/>
    </xf>
    <xf numFmtId="49" fontId="43" fillId="0" borderId="263" applyAlignment="1" pivotButton="0" quotePrefix="0" xfId="0">
      <alignment horizontal="distributed" vertical="center" wrapText="1"/>
    </xf>
    <xf numFmtId="49" fontId="43" fillId="0" borderId="264" applyAlignment="1" pivotButton="0" quotePrefix="0" xfId="0">
      <alignment horizontal="distributed" vertical="center" wrapText="1"/>
    </xf>
    <xf numFmtId="49" fontId="43" fillId="0" borderId="265" applyAlignment="1" pivotButton="0" quotePrefix="0" xfId="0">
      <alignment horizontal="distributed" vertical="center" wrapText="1"/>
    </xf>
    <xf numFmtId="167" fontId="43" fillId="0" borderId="260" applyAlignment="1" pivotButton="0" quotePrefix="0" xfId="0">
      <alignment horizontal="distributed" vertical="center" wrapText="1"/>
    </xf>
    <xf numFmtId="167" fontId="43" fillId="0" borderId="261" applyAlignment="1" pivotButton="0" quotePrefix="0" xfId="0">
      <alignment horizontal="distributed" vertical="center" wrapText="1"/>
    </xf>
    <xf numFmtId="167" fontId="43" fillId="0" borderId="262" applyAlignment="1" pivotButton="0" quotePrefix="0" xfId="0">
      <alignment horizontal="distributed" vertical="center" wrapText="1"/>
    </xf>
    <xf numFmtId="167" fontId="43" fillId="0" borderId="263" applyAlignment="1" pivotButton="0" quotePrefix="0" xfId="0">
      <alignment horizontal="distributed" vertical="center" wrapText="1"/>
    </xf>
    <xf numFmtId="167" fontId="43" fillId="0" borderId="264" applyAlignment="1" pivotButton="0" quotePrefix="0" xfId="0">
      <alignment horizontal="distributed" vertical="center" wrapText="1"/>
    </xf>
    <xf numFmtId="167" fontId="43" fillId="0" borderId="265" applyAlignment="1" pivotButton="0" quotePrefix="0" xfId="0">
      <alignment horizontal="distributed" vertical="center" wrapText="1"/>
    </xf>
    <xf numFmtId="165" fontId="24" fillId="0" borderId="110" applyAlignment="1" pivotButton="0" quotePrefix="0" xfId="0">
      <alignment horizontal="right" vertical="center" shrinkToFit="1"/>
    </xf>
    <xf numFmtId="165" fontId="24" fillId="0" borderId="45" applyAlignment="1" pivotButton="0" quotePrefix="0" xfId="0">
      <alignment horizontal="right" vertical="center" shrinkToFit="1"/>
    </xf>
    <xf numFmtId="166" fontId="24" fillId="0" borderId="110" applyAlignment="1" pivotButton="0" quotePrefix="0" xfId="0">
      <alignment horizontal="right" vertical="center" shrinkToFit="1"/>
    </xf>
    <xf numFmtId="166" fontId="24" fillId="0" borderId="45" applyAlignment="1" pivotButton="0" quotePrefix="0" xfId="0">
      <alignment horizontal="right" vertical="center" shrinkToFit="1"/>
    </xf>
    <xf numFmtId="166" fontId="24" fillId="0" borderId="46" applyAlignment="1" pivotButton="0" quotePrefix="0" xfId="0">
      <alignment horizontal="right" vertical="center" shrinkToFit="1"/>
    </xf>
    <xf numFmtId="49" fontId="44" fillId="0" borderId="18" applyAlignment="1" pivotButton="0" quotePrefix="0" xfId="0">
      <alignment horizontal="center" vertical="center" textRotation="255" wrapText="1"/>
    </xf>
    <xf numFmtId="49" fontId="44" fillId="0" borderId="27" applyAlignment="1" pivotButton="0" quotePrefix="0" xfId="0">
      <alignment horizontal="center" vertical="center" textRotation="255" wrapText="1"/>
    </xf>
    <xf numFmtId="49" fontId="44" fillId="0" borderId="20" applyAlignment="1" pivotButton="0" quotePrefix="0" xfId="0">
      <alignment horizontal="center" vertical="center" textRotation="255" wrapText="1"/>
    </xf>
    <xf numFmtId="49" fontId="44" fillId="0" borderId="19" applyAlignment="1" pivotButton="0" quotePrefix="0" xfId="0">
      <alignment horizontal="left" vertical="center" wrapText="1"/>
    </xf>
    <xf numFmtId="49" fontId="44" fillId="0" borderId="28" applyAlignment="1" pivotButton="0" quotePrefix="0" xfId="0">
      <alignment horizontal="left" vertical="center" wrapText="1"/>
    </xf>
    <xf numFmtId="49" fontId="44" fillId="0" borderId="22" applyAlignment="1" pivotButton="0" quotePrefix="0" xfId="0">
      <alignment horizontal="left" vertical="center" wrapText="1"/>
    </xf>
    <xf numFmtId="49" fontId="44" fillId="0" borderId="158" applyAlignment="1" pivotButton="0" quotePrefix="0" xfId="0">
      <alignment vertical="center" wrapText="1"/>
    </xf>
    <xf numFmtId="49" fontId="44" fillId="0" borderId="157" applyAlignment="1" pivotButton="0" quotePrefix="0" xfId="0">
      <alignment vertical="center" wrapText="1"/>
    </xf>
    <xf numFmtId="49" fontId="44" fillId="0" borderId="156" applyAlignment="1" pivotButton="0" quotePrefix="0" xfId="0">
      <alignment vertical="center" wrapText="1"/>
    </xf>
    <xf numFmtId="49" fontId="44" fillId="0" borderId="155" applyAlignment="1" pivotButton="0" quotePrefix="0" xfId="0">
      <alignment vertical="center" wrapText="1"/>
    </xf>
    <xf numFmtId="49" fontId="44" fillId="0" borderId="154" applyAlignment="1" pivotButton="0" quotePrefix="0" xfId="0">
      <alignment vertical="center" wrapText="1"/>
    </xf>
    <xf numFmtId="49" fontId="44" fillId="0" borderId="153" applyAlignment="1" pivotButton="0" quotePrefix="0" xfId="0">
      <alignment vertical="center" wrapText="1"/>
    </xf>
    <xf numFmtId="49" fontId="51" fillId="0" borderId="16" applyAlignment="1" pivotButton="0" quotePrefix="0" xfId="0">
      <alignment horizontal="distributed" vertical="center"/>
    </xf>
    <xf numFmtId="49" fontId="51" fillId="0" borderId="14" applyAlignment="1" pivotButton="0" quotePrefix="0" xfId="0">
      <alignment horizontal="distributed" vertical="center"/>
    </xf>
    <xf numFmtId="49" fontId="51" fillId="0" borderId="23" applyAlignment="1" pivotButton="0" quotePrefix="0" xfId="0">
      <alignment horizontal="distributed" vertical="center"/>
    </xf>
    <xf numFmtId="164" fontId="24" fillId="0" borderId="16" applyAlignment="1" pivotButton="0" quotePrefix="0" xfId="0">
      <alignment horizontal="center" vertical="center" shrinkToFit="1"/>
    </xf>
    <xf numFmtId="164" fontId="24" fillId="0" borderId="14" applyAlignment="1" pivotButton="0" quotePrefix="0" xfId="0">
      <alignment horizontal="center" vertical="center" shrinkToFit="1"/>
    </xf>
    <xf numFmtId="164" fontId="24" fillId="0" borderId="23" applyAlignment="1" pivotButton="0" quotePrefix="0" xfId="0">
      <alignment horizontal="center" vertical="center" shrinkToFit="1"/>
    </xf>
    <xf numFmtId="49" fontId="44" fillId="0" borderId="181" applyAlignment="1" pivotButton="0" quotePrefix="0" xfId="0">
      <alignment vertical="center" wrapText="1"/>
    </xf>
    <xf numFmtId="49" fontId="44" fillId="0" borderId="182" applyAlignment="1" pivotButton="0" quotePrefix="0" xfId="0">
      <alignment vertical="center" wrapText="1"/>
    </xf>
    <xf numFmtId="49" fontId="44" fillId="0" borderId="183" applyAlignment="1" pivotButton="0" quotePrefix="0" xfId="0">
      <alignment vertical="center" wrapText="1"/>
    </xf>
    <xf numFmtId="49" fontId="52" fillId="0" borderId="0" applyAlignment="1" pivotButton="0" quotePrefix="0" xfId="0">
      <alignment horizontal="center" vertical="distributed" textRotation="255" wrapText="1"/>
    </xf>
    <xf numFmtId="49" fontId="44" fillId="0" borderId="0" applyAlignment="1" pivotButton="0" quotePrefix="0" xfId="0">
      <alignment horizontal="center" vertical="distributed" textRotation="255" wrapText="1"/>
    </xf>
    <xf numFmtId="164" fontId="24" fillId="0" borderId="15" applyAlignment="1" pivotButton="0" quotePrefix="0" xfId="0">
      <alignment horizontal="center" vertical="center" shrinkToFit="1"/>
    </xf>
    <xf numFmtId="49" fontId="51" fillId="0" borderId="158" applyAlignment="1" pivotButton="0" quotePrefix="0" xfId="0">
      <alignment vertical="center" wrapText="1"/>
    </xf>
    <xf numFmtId="49" fontId="51" fillId="0" borderId="157" applyAlignment="1" pivotButton="0" quotePrefix="0" xfId="0">
      <alignment vertical="center" wrapText="1"/>
    </xf>
    <xf numFmtId="49" fontId="51" fillId="0" borderId="156" applyAlignment="1" pivotButton="0" quotePrefix="0" xfId="0">
      <alignment vertical="center" wrapText="1"/>
    </xf>
    <xf numFmtId="49" fontId="51" fillId="0" borderId="181" applyAlignment="1" pivotButton="0" quotePrefix="0" xfId="0">
      <alignment vertical="center" wrapText="1"/>
    </xf>
    <xf numFmtId="49" fontId="51" fillId="0" borderId="182" applyAlignment="1" pivotButton="0" quotePrefix="0" xfId="0">
      <alignment vertical="center" wrapText="1"/>
    </xf>
    <xf numFmtId="49" fontId="51" fillId="0" borderId="183" applyAlignment="1" pivotButton="0" quotePrefix="0" xfId="0">
      <alignment vertical="center" wrapText="1"/>
    </xf>
    <xf numFmtId="49" fontId="51" fillId="0" borderId="155" applyAlignment="1" pivotButton="0" quotePrefix="0" xfId="0">
      <alignment vertical="center" wrapText="1"/>
    </xf>
    <xf numFmtId="49" fontId="51" fillId="0" borderId="154" applyAlignment="1" pivotButton="0" quotePrefix="0" xfId="0">
      <alignment vertical="center" wrapText="1"/>
    </xf>
    <xf numFmtId="49" fontId="51" fillId="0" borderId="153" applyAlignment="1" pivotButton="0" quotePrefix="0" xfId="0">
      <alignment vertical="center" wrapText="1"/>
    </xf>
    <xf numFmtId="49" fontId="47" fillId="0" borderId="15" applyAlignment="1" pivotButton="0" quotePrefix="0" xfId="0">
      <alignment horizontal="center" vertical="center" shrinkToFit="1"/>
    </xf>
    <xf numFmtId="49" fontId="40" fillId="0" borderId="0" applyAlignment="1" pivotButton="0" quotePrefix="0" xfId="0">
      <alignment horizontal="center" vertical="distributed" textRotation="255" wrapText="1"/>
    </xf>
    <xf numFmtId="49" fontId="51" fillId="0" borderId="110" applyAlignment="1" pivotButton="0" quotePrefix="0" xfId="0">
      <alignment horizontal="distributed" vertical="center"/>
    </xf>
    <xf numFmtId="49" fontId="51" fillId="0" borderId="45" applyAlignment="1" pivotButton="0" quotePrefix="0" xfId="0">
      <alignment horizontal="distributed" vertical="center"/>
    </xf>
    <xf numFmtId="49" fontId="51" fillId="0" borderId="46" applyAlignment="1" pivotButton="0" quotePrefix="0" xfId="0">
      <alignment horizontal="distributed" vertical="center"/>
    </xf>
    <xf numFmtId="164" fontId="24" fillId="0" borderId="110" applyAlignment="1" pivotButton="0" quotePrefix="0" xfId="0">
      <alignment horizontal="center" vertical="center" shrinkToFit="1"/>
    </xf>
    <xf numFmtId="164" fontId="24" fillId="0" borderId="45" applyAlignment="1" pivotButton="0" quotePrefix="0" xfId="0">
      <alignment horizontal="center" vertical="center" shrinkToFit="1"/>
    </xf>
    <xf numFmtId="164" fontId="24" fillId="0" borderId="46" applyAlignment="1" pivotButton="0" quotePrefix="0" xfId="0">
      <alignment horizontal="center" vertical="center" shrinkToFit="1"/>
    </xf>
    <xf numFmtId="164" fontId="24" fillId="0" borderId="47" applyAlignment="1" pivotButton="0" quotePrefix="0" xfId="0">
      <alignment horizontal="center" vertical="center" shrinkToFit="1"/>
    </xf>
    <xf numFmtId="49" fontId="6" fillId="0" borderId="0" applyAlignment="1" pivotButton="0" quotePrefix="0" xfId="0">
      <alignment horizontal="left" vertical="center"/>
    </xf>
    <xf numFmtId="49" fontId="6" fillId="0" borderId="0" applyAlignment="1" pivotButton="0" quotePrefix="0" xfId="0">
      <alignment horizontal="left" vertical="center" shrinkToFit="1"/>
    </xf>
    <xf numFmtId="49" fontId="40" fillId="0" borderId="16" applyAlignment="1" pivotButton="0" quotePrefix="0" xfId="0">
      <alignment horizontal="left" vertical="center"/>
    </xf>
    <xf numFmtId="49" fontId="21" fillId="0" borderId="32" applyAlignment="1" pivotButton="0" quotePrefix="0" xfId="0">
      <alignment horizontal="center" vertical="center" wrapText="1"/>
    </xf>
    <xf numFmtId="167" fontId="23" fillId="0" borderId="27" applyAlignment="1" pivotButton="0" quotePrefix="0" xfId="0">
      <alignment horizontal="right" vertical="center" shrinkToFit="1"/>
    </xf>
    <xf numFmtId="167" fontId="23" fillId="0" borderId="0" applyAlignment="1" pivotButton="0" quotePrefix="0" xfId="0">
      <alignment horizontal="right" vertical="center" shrinkToFit="1"/>
    </xf>
    <xf numFmtId="167" fontId="23" fillId="0" borderId="20" applyAlignment="1" pivotButton="0" quotePrefix="0" xfId="0">
      <alignment horizontal="right" vertical="center" shrinkToFit="1"/>
    </xf>
    <xf numFmtId="167" fontId="23" fillId="0" borderId="21" applyAlignment="1" pivotButton="0" quotePrefix="0" xfId="0">
      <alignment horizontal="right" vertical="center" shrinkToFit="1"/>
    </xf>
    <xf numFmtId="164" fontId="43" fillId="24" borderId="27" applyAlignment="1" pivotButton="0" quotePrefix="0" xfId="0">
      <alignment horizontal="center" vertical="center" wrapText="1"/>
    </xf>
    <xf numFmtId="164" fontId="43" fillId="24" borderId="0" applyAlignment="1" pivotButton="0" quotePrefix="0" xfId="0">
      <alignment horizontal="center" vertical="center" wrapText="1"/>
    </xf>
    <xf numFmtId="164" fontId="43" fillId="24" borderId="48" applyAlignment="1" pivotButton="0" quotePrefix="0" xfId="0">
      <alignment horizontal="center" vertical="center" wrapText="1"/>
    </xf>
    <xf numFmtId="164" fontId="43" fillId="24" borderId="20" applyAlignment="1" pivotButton="0" quotePrefix="0" xfId="0">
      <alignment horizontal="center" vertical="center" wrapText="1"/>
    </xf>
    <xf numFmtId="164" fontId="43" fillId="24" borderId="21" applyAlignment="1" pivotButton="0" quotePrefix="0" xfId="0">
      <alignment horizontal="center" vertical="center" wrapText="1"/>
    </xf>
    <xf numFmtId="164" fontId="43" fillId="24" borderId="49" applyAlignment="1" pivotButton="0" quotePrefix="0" xfId="0">
      <alignment horizontal="center" vertical="center" wrapText="1"/>
    </xf>
    <xf numFmtId="49" fontId="59" fillId="0" borderId="44" applyAlignment="1" pivotButton="0" quotePrefix="0" xfId="0">
      <alignment horizontal="center" vertical="center" textRotation="255" wrapText="1"/>
    </xf>
    <xf numFmtId="49" fontId="59" fillId="0" borderId="46" applyAlignment="1" pivotButton="0" quotePrefix="0" xfId="0">
      <alignment horizontal="center" vertical="center" textRotation="255" wrapText="1"/>
    </xf>
    <xf numFmtId="49" fontId="59" fillId="0" borderId="249" applyAlignment="1" pivotButton="0" quotePrefix="0" xfId="0">
      <alignment horizontal="center" vertical="center" textRotation="255" wrapText="1"/>
    </xf>
    <xf numFmtId="49" fontId="59" fillId="0" borderId="191" applyAlignment="1" pivotButton="0" quotePrefix="0" xfId="0">
      <alignment horizontal="center" vertical="center" textRotation="255" wrapText="1"/>
    </xf>
    <xf numFmtId="49" fontId="59" fillId="0" borderId="250" applyAlignment="1" pivotButton="0" quotePrefix="0" xfId="0">
      <alignment horizontal="center" vertical="center" textRotation="255" wrapText="1"/>
    </xf>
    <xf numFmtId="49" fontId="59" fillId="0" borderId="69" applyAlignment="1" pivotButton="0" quotePrefix="0" xfId="0">
      <alignment horizontal="center" vertical="center" textRotation="255" wrapText="1"/>
    </xf>
    <xf numFmtId="165" fontId="21" fillId="0" borderId="110" applyAlignment="1" pivotButton="0" quotePrefix="0" xfId="0">
      <alignment horizontal="right" vertical="center" wrapText="1"/>
    </xf>
    <xf numFmtId="165" fontId="21" fillId="0" borderId="45" applyAlignment="1" pivotButton="0" quotePrefix="0" xfId="0">
      <alignment horizontal="right" vertical="center" wrapText="1"/>
    </xf>
    <xf numFmtId="164" fontId="40" fillId="0" borderId="110" applyAlignment="1" pivotButton="0" quotePrefix="0" xfId="0">
      <alignment horizontal="right" vertical="center" wrapText="1"/>
    </xf>
    <xf numFmtId="164" fontId="40" fillId="0" borderId="45" applyAlignment="1" pivotButton="0" quotePrefix="0" xfId="0">
      <alignment horizontal="right" vertical="center" wrapText="1"/>
    </xf>
    <xf numFmtId="49" fontId="40" fillId="0" borderId="266" applyAlignment="1" pivotButton="0" quotePrefix="0" xfId="0">
      <alignment horizontal="center" vertical="center"/>
    </xf>
    <xf numFmtId="49" fontId="40" fillId="0" borderId="33" applyAlignment="1" pivotButton="0" quotePrefix="0" xfId="0">
      <alignment horizontal="center" vertical="center"/>
    </xf>
    <xf numFmtId="49" fontId="40" fillId="0" borderId="34" applyAlignment="1" pivotButton="0" quotePrefix="0" xfId="0">
      <alignment horizontal="center" vertical="center"/>
    </xf>
    <xf numFmtId="49" fontId="40" fillId="0" borderId="65" applyAlignment="1" pivotButton="0" quotePrefix="0" xfId="0">
      <alignment horizontal="center" vertical="center"/>
    </xf>
    <xf numFmtId="49" fontId="40" fillId="0" borderId="169" applyAlignment="1" pivotButton="0" quotePrefix="0" xfId="0">
      <alignment horizontal="center" vertical="center"/>
    </xf>
    <xf numFmtId="49" fontId="39" fillId="0" borderId="16" applyAlignment="1" pivotButton="0" quotePrefix="0" xfId="0">
      <alignment horizontal="center" vertical="center" wrapText="1"/>
    </xf>
    <xf numFmtId="49" fontId="39" fillId="0" borderId="23" applyAlignment="1" pivotButton="0" quotePrefix="0" xfId="0">
      <alignment horizontal="center" vertical="center" wrapText="1"/>
    </xf>
    <xf numFmtId="164" fontId="43" fillId="0" borderId="16" applyAlignment="1" pivotButton="0" quotePrefix="0" xfId="0">
      <alignment horizontal="center" vertical="center" wrapText="1"/>
    </xf>
    <xf numFmtId="164" fontId="40" fillId="0" borderId="14" applyAlignment="1" pivotButton="0" quotePrefix="0" xfId="0">
      <alignment horizontal="center" vertical="center" wrapText="1"/>
    </xf>
    <xf numFmtId="165" fontId="40" fillId="0" borderId="0" applyAlignment="1" pivotButton="0" quotePrefix="0" xfId="0">
      <alignment horizontal="center" vertical="center"/>
    </xf>
    <xf numFmtId="164" fontId="40" fillId="0" borderId="0" applyAlignment="1" pivotButton="0" quotePrefix="0" xfId="0">
      <alignment horizontal="center" vertical="center"/>
    </xf>
    <xf numFmtId="165" fontId="40" fillId="0" borderId="0" applyAlignment="1" pivotButton="0" quotePrefix="0" xfId="0">
      <alignment horizontal="center" vertical="center" shrinkToFit="1"/>
    </xf>
    <xf numFmtId="49" fontId="40" fillId="0" borderId="254" applyAlignment="1" pivotButton="0" quotePrefix="0" xfId="0">
      <alignment horizontal="center" vertical="center"/>
    </xf>
    <xf numFmtId="49" fontId="43" fillId="0" borderId="189" applyAlignment="1" pivotButton="0" quotePrefix="0" xfId="0">
      <alignment horizontal="center" vertical="center"/>
    </xf>
    <xf numFmtId="49" fontId="43" fillId="0" borderId="17" applyAlignment="1" pivotButton="0" quotePrefix="0" xfId="0">
      <alignment horizontal="center" vertical="center"/>
    </xf>
    <xf numFmtId="49" fontId="43" fillId="0" borderId="188" applyAlignment="1" pivotButton="0" quotePrefix="0" xfId="0">
      <alignment horizontal="center" vertical="center"/>
    </xf>
    <xf numFmtId="49" fontId="40" fillId="0" borderId="105" applyAlignment="1" pivotButton="0" quotePrefix="0" xfId="0">
      <alignment horizontal="center" vertical="center" wrapText="1"/>
    </xf>
    <xf numFmtId="49" fontId="40" fillId="0" borderId="107" applyAlignment="1" pivotButton="0" quotePrefix="0" xfId="0">
      <alignment horizontal="center" vertical="center" wrapText="1"/>
    </xf>
    <xf numFmtId="49" fontId="40" fillId="0" borderId="109" applyAlignment="1" pivotButton="0" quotePrefix="0" xfId="0">
      <alignment horizontal="center" vertical="center" wrapText="1"/>
    </xf>
    <xf numFmtId="49" fontId="60" fillId="24" borderId="18" applyAlignment="1" pivotButton="0" quotePrefix="0" xfId="0">
      <alignment horizontal="distributed" vertical="center" wrapText="1"/>
    </xf>
    <xf numFmtId="49" fontId="60" fillId="24" borderId="12" applyAlignment="1" pivotButton="0" quotePrefix="0" xfId="0">
      <alignment horizontal="distributed" vertical="center" wrapText="1"/>
    </xf>
    <xf numFmtId="49" fontId="60" fillId="24" borderId="27" applyAlignment="1" pivotButton="0" quotePrefix="0" xfId="0">
      <alignment horizontal="distributed" vertical="center" wrapText="1"/>
    </xf>
    <xf numFmtId="49" fontId="60" fillId="24" borderId="0" applyAlignment="1" pivotButton="0" quotePrefix="0" xfId="0">
      <alignment horizontal="distributed" vertical="center" wrapText="1"/>
    </xf>
    <xf numFmtId="49" fontId="60" fillId="24" borderId="20" applyAlignment="1" pivotButton="0" quotePrefix="0" xfId="0">
      <alignment horizontal="distributed" vertical="center" wrapText="1"/>
    </xf>
    <xf numFmtId="49" fontId="60" fillId="24" borderId="21" applyAlignment="1" pivotButton="0" quotePrefix="0" xfId="0">
      <alignment horizontal="distributed" vertical="center" wrapText="1"/>
    </xf>
    <xf numFmtId="49" fontId="21" fillId="24" borderId="0" applyAlignment="1" pivotButton="0" quotePrefix="0" xfId="0">
      <alignment horizontal="left" vertical="top" shrinkToFit="1"/>
    </xf>
    <xf numFmtId="49" fontId="21" fillId="24" borderId="48" applyAlignment="1" pivotButton="0" quotePrefix="0" xfId="0">
      <alignment horizontal="left" vertical="top" shrinkToFit="1"/>
    </xf>
    <xf numFmtId="49" fontId="52" fillId="25" borderId="18" applyAlignment="1" pivotButton="0" quotePrefix="0" xfId="0">
      <alignment horizontal="center" vertical="center" textRotation="255"/>
    </xf>
    <xf numFmtId="49" fontId="52" fillId="25" borderId="19" applyAlignment="1" pivotButton="0" quotePrefix="0" xfId="0">
      <alignment horizontal="center" vertical="center" textRotation="255"/>
    </xf>
    <xf numFmtId="49" fontId="52" fillId="25" borderId="27" applyAlignment="1" pivotButton="0" quotePrefix="0" xfId="0">
      <alignment horizontal="center" vertical="center" textRotation="255"/>
    </xf>
    <xf numFmtId="49" fontId="52" fillId="25" borderId="28" applyAlignment="1" pivotButton="0" quotePrefix="0" xfId="0">
      <alignment horizontal="center" vertical="center" textRotation="255"/>
    </xf>
    <xf numFmtId="49" fontId="52" fillId="25" borderId="20" applyAlignment="1" pivotButton="0" quotePrefix="0" xfId="0">
      <alignment horizontal="center" vertical="center" textRotation="255"/>
    </xf>
    <xf numFmtId="49" fontId="52" fillId="25" borderId="22" applyAlignment="1" pivotButton="0" quotePrefix="0" xfId="0">
      <alignment horizontal="center" vertical="center" textRotation="255"/>
    </xf>
    <xf numFmtId="49" fontId="40" fillId="25" borderId="18" applyAlignment="1" pivotButton="0" quotePrefix="0" xfId="0">
      <alignment horizontal="distributed" vertical="center" wrapText="1" shrinkToFit="1"/>
    </xf>
    <xf numFmtId="49" fontId="40" fillId="25" borderId="12" applyAlignment="1" pivotButton="0" quotePrefix="0" xfId="0">
      <alignment horizontal="distributed" vertical="center" wrapText="1" shrinkToFit="1"/>
    </xf>
    <xf numFmtId="49" fontId="40" fillId="25" borderId="19" applyAlignment="1" pivotButton="0" quotePrefix="0" xfId="0">
      <alignment horizontal="distributed" vertical="center" wrapText="1" shrinkToFit="1"/>
    </xf>
    <xf numFmtId="49" fontId="40" fillId="25" borderId="27" applyAlignment="1" pivotButton="0" quotePrefix="0" xfId="0">
      <alignment horizontal="distributed" vertical="center" wrapText="1" shrinkToFit="1"/>
    </xf>
    <xf numFmtId="49" fontId="40" fillId="25" borderId="0" applyAlignment="1" pivotButton="0" quotePrefix="0" xfId="0">
      <alignment horizontal="distributed" vertical="center" wrapText="1" shrinkToFit="1"/>
    </xf>
    <xf numFmtId="49" fontId="40" fillId="25" borderId="28" applyAlignment="1" pivotButton="0" quotePrefix="0" xfId="0">
      <alignment horizontal="distributed" vertical="center" wrapText="1" shrinkToFit="1"/>
    </xf>
    <xf numFmtId="49" fontId="40" fillId="25" borderId="20" applyAlignment="1" pivotButton="0" quotePrefix="0" xfId="0">
      <alignment horizontal="distributed" vertical="center" wrapText="1" shrinkToFit="1"/>
    </xf>
    <xf numFmtId="49" fontId="40" fillId="25" borderId="21" applyAlignment="1" pivotButton="0" quotePrefix="0" xfId="0">
      <alignment horizontal="distributed" vertical="center" wrapText="1" shrinkToFit="1"/>
    </xf>
    <xf numFmtId="49" fontId="40" fillId="25" borderId="22" applyAlignment="1" pivotButton="0" quotePrefix="0" xfId="0">
      <alignment horizontal="distributed" vertical="center" wrapText="1" shrinkToFit="1"/>
    </xf>
    <xf numFmtId="49" fontId="40" fillId="25" borderId="18" applyAlignment="1" pivotButton="0" quotePrefix="0" xfId="0">
      <alignment horizontal="distributed" vertical="center" wrapText="1"/>
    </xf>
    <xf numFmtId="49" fontId="40" fillId="25" borderId="12" applyAlignment="1" pivotButton="0" quotePrefix="0" xfId="0">
      <alignment horizontal="distributed" vertical="center" wrapText="1"/>
    </xf>
    <xf numFmtId="49" fontId="40" fillId="25" borderId="19" applyAlignment="1" pivotButton="0" quotePrefix="0" xfId="0">
      <alignment horizontal="distributed" vertical="center" wrapText="1"/>
    </xf>
    <xf numFmtId="49" fontId="40" fillId="25" borderId="20" applyAlignment="1" pivotButton="0" quotePrefix="0" xfId="0">
      <alignment horizontal="distributed" vertical="center" wrapText="1"/>
    </xf>
    <xf numFmtId="49" fontId="40" fillId="25" borderId="21" applyAlignment="1" pivotButton="0" quotePrefix="0" xfId="0">
      <alignment horizontal="distributed" vertical="center" wrapText="1"/>
    </xf>
    <xf numFmtId="49" fontId="40" fillId="25" borderId="22" applyAlignment="1" pivotButton="0" quotePrefix="0" xfId="0">
      <alignment horizontal="distributed" vertical="center" wrapText="1"/>
    </xf>
    <xf numFmtId="49" fontId="40" fillId="25" borderId="35" applyAlignment="1" pivotButton="0" quotePrefix="0" xfId="0">
      <alignment horizontal="left" vertical="center" textRotation="255"/>
    </xf>
    <xf numFmtId="49" fontId="40" fillId="25" borderId="34" applyAlignment="1" pivotButton="0" quotePrefix="0" xfId="0">
      <alignment horizontal="left" vertical="center" textRotation="255"/>
    </xf>
    <xf numFmtId="49" fontId="21" fillId="25" borderId="12" applyAlignment="1" pivotButton="0" quotePrefix="0" xfId="0">
      <alignment horizontal="left" vertical="center" wrapText="1"/>
    </xf>
    <xf numFmtId="49" fontId="21" fillId="25" borderId="13" applyAlignment="1" pivotButton="0" quotePrefix="0" xfId="0">
      <alignment horizontal="left" vertical="center" wrapText="1"/>
    </xf>
    <xf numFmtId="49" fontId="21" fillId="25" borderId="21" applyAlignment="1" pivotButton="0" quotePrefix="0" xfId="0">
      <alignment horizontal="left" vertical="center" wrapText="1"/>
    </xf>
    <xf numFmtId="49" fontId="21" fillId="25" borderId="49" applyAlignment="1" pivotButton="0" quotePrefix="0" xfId="0">
      <alignment horizontal="left" vertical="center" wrapText="1"/>
    </xf>
    <xf numFmtId="49" fontId="22" fillId="0" borderId="12" applyAlignment="1" pivotButton="0" quotePrefix="0" xfId="0">
      <alignment vertical="center" wrapText="1"/>
    </xf>
    <xf numFmtId="49" fontId="22" fillId="0" borderId="0" applyAlignment="1" pivotButton="0" quotePrefix="0" xfId="0">
      <alignment vertical="center" wrapText="1"/>
    </xf>
    <xf numFmtId="49" fontId="22" fillId="0" borderId="21" applyAlignment="1" pivotButton="0" quotePrefix="0" xfId="0">
      <alignment vertical="center" wrapText="1"/>
    </xf>
    <xf numFmtId="49" fontId="39" fillId="0" borderId="44" applyAlignment="1" pivotButton="0" quotePrefix="0" xfId="0">
      <alignment horizontal="center" vertical="center"/>
    </xf>
    <xf numFmtId="49" fontId="39" fillId="0" borderId="45" applyAlignment="1" pivotButton="0" quotePrefix="0" xfId="0">
      <alignment horizontal="center" vertical="center"/>
    </xf>
    <xf numFmtId="49" fontId="39" fillId="0" borderId="46" applyAlignment="1" pivotButton="0" quotePrefix="0" xfId="0">
      <alignment horizontal="center" vertical="center"/>
    </xf>
    <xf numFmtId="49" fontId="59" fillId="0" borderId="18" applyAlignment="1" pivotButton="0" quotePrefix="0" xfId="0">
      <alignment horizontal="distributed" vertical="center" wrapText="1"/>
    </xf>
    <xf numFmtId="49" fontId="59" fillId="0" borderId="12" applyAlignment="1" pivotButton="0" quotePrefix="0" xfId="0">
      <alignment horizontal="distributed" vertical="center" wrapText="1"/>
    </xf>
    <xf numFmtId="49" fontId="59" fillId="0" borderId="19" applyAlignment="1" pivotButton="0" quotePrefix="0" xfId="0">
      <alignment horizontal="distributed" vertical="center" wrapText="1"/>
    </xf>
    <xf numFmtId="49" fontId="59" fillId="0" borderId="20" applyAlignment="1" pivotButton="0" quotePrefix="0" xfId="0">
      <alignment horizontal="distributed" vertical="center" wrapText="1"/>
    </xf>
    <xf numFmtId="49" fontId="59" fillId="0" borderId="21" applyAlignment="1" pivotButton="0" quotePrefix="0" xfId="0">
      <alignment horizontal="distributed" vertical="center" wrapText="1"/>
    </xf>
    <xf numFmtId="49" fontId="59" fillId="0" borderId="22" applyAlignment="1" pivotButton="0" quotePrefix="0" xfId="0">
      <alignment horizontal="distributed" vertical="center" wrapText="1"/>
    </xf>
    <xf numFmtId="49" fontId="59" fillId="0" borderId="16" applyAlignment="1" pivotButton="0" quotePrefix="0" xfId="0">
      <alignment horizontal="center" vertical="center" wrapText="1"/>
    </xf>
    <xf numFmtId="49" fontId="59" fillId="0" borderId="14" applyAlignment="1" pivotButton="0" quotePrefix="0" xfId="0">
      <alignment horizontal="center" vertical="center" wrapText="1"/>
    </xf>
    <xf numFmtId="49" fontId="59" fillId="0" borderId="23" applyAlignment="1" pivotButton="0" quotePrefix="0" xfId="0">
      <alignment horizontal="center" vertical="center" wrapText="1"/>
    </xf>
    <xf numFmtId="49" fontId="59" fillId="0" borderId="64" applyAlignment="1" pivotButton="0" quotePrefix="0" xfId="0">
      <alignment horizontal="center" vertical="center" textRotation="255" wrapText="1"/>
    </xf>
    <xf numFmtId="49" fontId="59" fillId="0" borderId="169" applyAlignment="1" pivotButton="0" quotePrefix="0" xfId="0">
      <alignment horizontal="center" vertical="center" textRotation="255" wrapText="1"/>
    </xf>
    <xf numFmtId="49" fontId="59" fillId="0" borderId="43" applyAlignment="1" pivotButton="0" quotePrefix="0" xfId="0">
      <alignment horizontal="center" vertical="center" textRotation="255" wrapText="1"/>
    </xf>
    <xf numFmtId="49" fontId="59" fillId="0" borderId="28" applyAlignment="1" pivotButton="0" quotePrefix="0" xfId="0">
      <alignment horizontal="center" vertical="center" textRotation="255" wrapText="1"/>
    </xf>
    <xf numFmtId="49" fontId="59" fillId="0" borderId="66" applyAlignment="1" pivotButton="0" quotePrefix="0" xfId="0">
      <alignment horizontal="center" vertical="center" textRotation="255" wrapText="1"/>
    </xf>
    <xf numFmtId="49" fontId="59" fillId="0" borderId="22" applyAlignment="1" pivotButton="0" quotePrefix="0" xfId="0">
      <alignment horizontal="center" vertical="center" textRotation="255" wrapText="1"/>
    </xf>
    <xf numFmtId="49" fontId="40" fillId="25" borderId="16" applyAlignment="1" pivotButton="0" quotePrefix="0" xfId="0">
      <alignment horizontal="center" vertical="center"/>
    </xf>
    <xf numFmtId="49" fontId="40" fillId="25" borderId="14" applyAlignment="1" pivotButton="0" quotePrefix="0" xfId="0">
      <alignment horizontal="center" vertical="center"/>
    </xf>
    <xf numFmtId="49" fontId="40" fillId="25" borderId="23" applyAlignment="1" pivotButton="0" quotePrefix="0" xfId="0">
      <alignment horizontal="center" vertical="center"/>
    </xf>
    <xf numFmtId="49" fontId="60" fillId="0" borderId="27" applyAlignment="1" pivotButton="0" quotePrefix="0" xfId="0">
      <alignment horizontal="center" vertical="center" textRotation="255" wrapText="1"/>
    </xf>
    <xf numFmtId="49" fontId="60" fillId="0" borderId="28" applyAlignment="1" pivotButton="0" quotePrefix="0" xfId="0">
      <alignment horizontal="center" vertical="center" textRotation="255" wrapText="1"/>
    </xf>
    <xf numFmtId="49" fontId="60" fillId="0" borderId="20" applyAlignment="1" pivotButton="0" quotePrefix="0" xfId="0">
      <alignment horizontal="center" vertical="center" textRotation="255" wrapText="1"/>
    </xf>
    <xf numFmtId="49" fontId="60" fillId="0" borderId="22" applyAlignment="1" pivotButton="0" quotePrefix="0" xfId="0">
      <alignment horizontal="center" vertical="center" textRotation="255" wrapText="1"/>
    </xf>
    <xf numFmtId="49" fontId="43" fillId="0" borderId="0" applyAlignment="1" pivotButton="0" quotePrefix="0" xfId="0">
      <alignment vertical="center"/>
    </xf>
    <xf numFmtId="49" fontId="6" fillId="0" borderId="16" applyAlignment="1" pivotButton="0" quotePrefix="0" xfId="0">
      <alignment horizontal="left" vertical="center"/>
    </xf>
    <xf numFmtId="49" fontId="6" fillId="0" borderId="14" applyAlignment="1" pivotButton="0" quotePrefix="0" xfId="0">
      <alignment horizontal="left" vertical="center"/>
    </xf>
    <xf numFmtId="49" fontId="6" fillId="0" borderId="23" applyAlignment="1" pivotButton="0" quotePrefix="0" xfId="0">
      <alignment horizontal="left" vertical="center"/>
    </xf>
    <xf numFmtId="49" fontId="6" fillId="0" borderId="16" applyAlignment="1" pivotButton="0" quotePrefix="0" xfId="0">
      <alignment horizontal="left" vertical="center" shrinkToFit="1"/>
    </xf>
    <xf numFmtId="49" fontId="6" fillId="0" borderId="14" applyAlignment="1" pivotButton="0" quotePrefix="0" xfId="0">
      <alignment horizontal="left" vertical="center" shrinkToFit="1"/>
    </xf>
    <xf numFmtId="49" fontId="6" fillId="0" borderId="23" applyAlignment="1" pivotButton="0" quotePrefix="0" xfId="0">
      <alignment horizontal="left" vertical="center" shrinkToFit="1"/>
    </xf>
    <xf numFmtId="49" fontId="79" fillId="0" borderId="16" applyAlignment="1" pivotButton="0" quotePrefix="0" xfId="0">
      <alignment horizontal="right" vertical="center"/>
    </xf>
    <xf numFmtId="49" fontId="79" fillId="0" borderId="14" applyAlignment="1" pivotButton="0" quotePrefix="0" xfId="0">
      <alignment horizontal="right" vertical="center"/>
    </xf>
    <xf numFmtId="49" fontId="79" fillId="0" borderId="14" applyAlignment="1" pivotButton="0" quotePrefix="0" xfId="0">
      <alignment horizontal="center" vertical="center"/>
    </xf>
    <xf numFmtId="49" fontId="78" fillId="0" borderId="0" applyAlignment="1" pivotButton="0" quotePrefix="0" xfId="0">
      <alignment horizontal="center" vertical="center"/>
    </xf>
    <xf numFmtId="49" fontId="78" fillId="0" borderId="21" applyAlignment="1" pivotButton="0" quotePrefix="0" xfId="0">
      <alignment horizontal="center" vertical="center"/>
    </xf>
    <xf numFmtId="49" fontId="76" fillId="0" borderId="18" applyAlignment="1" pivotButton="0" quotePrefix="0" xfId="0">
      <alignment horizontal="left" vertical="center" wrapText="1"/>
    </xf>
    <xf numFmtId="49" fontId="77" fillId="0" borderId="12" applyAlignment="1" pivotButton="0" quotePrefix="0" xfId="0">
      <alignment horizontal="left" vertical="center"/>
    </xf>
    <xf numFmtId="49" fontId="78" fillId="0" borderId="12" applyAlignment="1" pivotButton="0" quotePrefix="0" xfId="0">
      <alignment horizontal="left" vertical="center" wrapText="1"/>
    </xf>
    <xf numFmtId="49" fontId="78" fillId="0" borderId="13" applyAlignment="1" pivotButton="0" quotePrefix="0" xfId="0">
      <alignment horizontal="left" vertical="center" wrapText="1"/>
    </xf>
    <xf numFmtId="49" fontId="78" fillId="0" borderId="0" applyAlignment="1" pivotButton="0" quotePrefix="0" xfId="0">
      <alignment horizontal="left" vertical="center" wrapText="1"/>
    </xf>
    <xf numFmtId="49" fontId="78" fillId="0" borderId="48" applyAlignment="1" pivotButton="0" quotePrefix="0" xfId="0">
      <alignment horizontal="left" vertical="center" wrapText="1"/>
    </xf>
    <xf numFmtId="49" fontId="78" fillId="0" borderId="21" applyAlignment="1" pivotButton="0" quotePrefix="0" xfId="0">
      <alignment horizontal="left" vertical="center" wrapText="1"/>
    </xf>
    <xf numFmtId="49" fontId="78" fillId="0" borderId="49" applyAlignment="1" pivotButton="0" quotePrefix="0" xfId="0">
      <alignment horizontal="left" vertical="center" wrapText="1"/>
    </xf>
    <xf numFmtId="49" fontId="79" fillId="0" borderId="14" applyAlignment="1" pivotButton="0" quotePrefix="0" xfId="0">
      <alignment horizontal="left" vertical="center"/>
    </xf>
    <xf numFmtId="49" fontId="79" fillId="0" borderId="23" applyAlignment="1" pivotButton="0" quotePrefix="0" xfId="0">
      <alignment horizontal="left" vertical="center"/>
    </xf>
    <xf numFmtId="49" fontId="79" fillId="0" borderId="15" applyAlignment="1" pivotButton="0" quotePrefix="0" xfId="0">
      <alignment horizontal="left" vertical="center"/>
    </xf>
    <xf numFmtId="49" fontId="79" fillId="0" borderId="78" applyAlignment="1" pivotButton="0" quotePrefix="0" xfId="0">
      <alignment horizontal="center" vertical="center"/>
    </xf>
    <xf numFmtId="49" fontId="79" fillId="0" borderId="79" applyAlignment="1" pivotButton="0" quotePrefix="0" xfId="0">
      <alignment horizontal="center" vertical="center"/>
    </xf>
    <xf numFmtId="49" fontId="79" fillId="0" borderId="80" applyAlignment="1" pivotButton="0" quotePrefix="0" xfId="0">
      <alignment horizontal="center" vertical="center"/>
    </xf>
    <xf numFmtId="49" fontId="79" fillId="0" borderId="81" applyAlignment="1" pivotButton="0" quotePrefix="0" xfId="0">
      <alignment horizontal="center" vertical="center"/>
    </xf>
    <xf numFmtId="49" fontId="79" fillId="0" borderId="82" applyAlignment="1" pivotButton="0" quotePrefix="0" xfId="0">
      <alignment horizontal="center" vertical="center"/>
    </xf>
    <xf numFmtId="49" fontId="79" fillId="0" borderId="84" applyAlignment="1" pivotButton="0" quotePrefix="0" xfId="0">
      <alignment horizontal="center" vertical="center"/>
    </xf>
    <xf numFmtId="49" fontId="79" fillId="0" borderId="85" applyAlignment="1" pivotButton="0" quotePrefix="0" xfId="0">
      <alignment horizontal="center" vertical="center"/>
    </xf>
    <xf numFmtId="49" fontId="79" fillId="0" borderId="87" applyAlignment="1" pivotButton="0" quotePrefix="0" xfId="0">
      <alignment horizontal="center" vertical="center"/>
    </xf>
    <xf numFmtId="49" fontId="79" fillId="0" borderId="88" applyAlignment="1" pivotButton="0" quotePrefix="0" xfId="0">
      <alignment horizontal="center" vertical="center"/>
    </xf>
    <xf numFmtId="49" fontId="21" fillId="0" borderId="74" applyAlignment="1" pivotButton="0" quotePrefix="0" xfId="0">
      <alignment horizontal="center" vertical="center" wrapText="1"/>
    </xf>
    <xf numFmtId="49" fontId="79" fillId="0" borderId="83" applyAlignment="1" pivotButton="0" quotePrefix="0" xfId="0">
      <alignment horizontal="center" vertical="center"/>
    </xf>
    <xf numFmtId="49" fontId="79" fillId="0" borderId="86" applyAlignment="1" pivotButton="0" quotePrefix="0" xfId="0">
      <alignment horizontal="center" vertical="center"/>
    </xf>
    <xf numFmtId="49" fontId="79" fillId="0" borderId="89" applyAlignment="1" pivotButton="0" quotePrefix="0" xfId="0">
      <alignment horizontal="center" vertical="center"/>
    </xf>
    <xf numFmtId="49" fontId="79" fillId="0" borderId="27" applyAlignment="1" pivotButton="0" quotePrefix="0" xfId="0">
      <alignment horizontal="right" vertical="center" shrinkToFit="1"/>
    </xf>
    <xf numFmtId="49" fontId="79" fillId="0" borderId="0" applyAlignment="1" pivotButton="0" quotePrefix="0" xfId="0">
      <alignment horizontal="right" vertical="center" shrinkToFit="1"/>
    </xf>
    <xf numFmtId="49" fontId="79" fillId="0" borderId="20" applyAlignment="1" pivotButton="0" quotePrefix="0" xfId="0">
      <alignment horizontal="right" vertical="center" shrinkToFit="1"/>
    </xf>
    <xf numFmtId="49" fontId="79" fillId="0" borderId="21" applyAlignment="1" pivotButton="0" quotePrefix="0" xfId="0">
      <alignment horizontal="right" vertical="center" shrinkToFit="1"/>
    </xf>
    <xf numFmtId="49" fontId="80" fillId="0" borderId="0" applyAlignment="1" pivotButton="0" quotePrefix="0" xfId="0">
      <alignment horizontal="left" vertical="center" wrapText="1"/>
    </xf>
    <xf numFmtId="49" fontId="80" fillId="0" borderId="48" applyAlignment="1" pivotButton="0" quotePrefix="0" xfId="0">
      <alignment horizontal="left" vertical="center" wrapText="1"/>
    </xf>
    <xf numFmtId="49" fontId="79" fillId="0" borderId="16" applyAlignment="1" pivotButton="0" quotePrefix="0" xfId="0">
      <alignment horizontal="center" vertical="center"/>
    </xf>
    <xf numFmtId="49" fontId="79" fillId="0" borderId="101" applyAlignment="1" pivotButton="0" quotePrefix="0" xfId="0">
      <alignment horizontal="center" vertical="center"/>
    </xf>
    <xf numFmtId="49" fontId="79" fillId="0" borderId="102" applyAlignment="1" pivotButton="0" quotePrefix="0" xfId="0">
      <alignment horizontal="center" vertical="center"/>
    </xf>
    <xf numFmtId="49" fontId="79" fillId="0" borderId="23" applyAlignment="1" pivotButton="0" quotePrefix="0" xfId="0">
      <alignment horizontal="center" vertical="center"/>
    </xf>
    <xf numFmtId="49" fontId="79" fillId="0" borderId="18" applyAlignment="1" pivotButton="0" quotePrefix="0" xfId="0">
      <alignment horizontal="center" vertical="center"/>
    </xf>
    <xf numFmtId="49" fontId="79" fillId="0" borderId="12" applyAlignment="1" pivotButton="0" quotePrefix="0" xfId="0">
      <alignment horizontal="center" vertical="center"/>
    </xf>
    <xf numFmtId="49" fontId="79" fillId="0" borderId="104" applyAlignment="1" pivotButton="0" quotePrefix="0" xfId="0">
      <alignment horizontal="center" vertical="center"/>
    </xf>
    <xf numFmtId="49" fontId="79" fillId="0" borderId="27" applyAlignment="1" pivotButton="0" quotePrefix="0" xfId="0">
      <alignment horizontal="center" vertical="center"/>
    </xf>
    <xf numFmtId="49" fontId="79" fillId="0" borderId="0" applyAlignment="1" pivotButton="0" quotePrefix="0" xfId="0">
      <alignment horizontal="center" vertical="center"/>
    </xf>
    <xf numFmtId="49" fontId="79" fillId="0" borderId="106" applyAlignment="1" pivotButton="0" quotePrefix="0" xfId="0">
      <alignment horizontal="center" vertical="center"/>
    </xf>
    <xf numFmtId="49" fontId="79" fillId="0" borderId="20" applyAlignment="1" pivotButton="0" quotePrefix="0" xfId="0">
      <alignment horizontal="center" vertical="center"/>
    </xf>
    <xf numFmtId="49" fontId="79" fillId="0" borderId="21" applyAlignment="1" pivotButton="0" quotePrefix="0" xfId="0">
      <alignment horizontal="center" vertical="center"/>
    </xf>
    <xf numFmtId="49" fontId="79" fillId="0" borderId="108" applyAlignment="1" pivotButton="0" quotePrefix="0" xfId="0">
      <alignment horizontal="center" vertical="center"/>
    </xf>
    <xf numFmtId="49" fontId="79" fillId="0" borderId="105" applyAlignment="1" pivotButton="0" quotePrefix="0" xfId="0">
      <alignment horizontal="center" vertical="center"/>
    </xf>
    <xf numFmtId="49" fontId="79" fillId="0" borderId="19" applyAlignment="1" pivotButton="0" quotePrefix="0" xfId="0">
      <alignment horizontal="center" vertical="center"/>
    </xf>
    <xf numFmtId="49" fontId="79" fillId="0" borderId="107" applyAlignment="1" pivotButton="0" quotePrefix="0" xfId="0">
      <alignment horizontal="center" vertical="center"/>
    </xf>
    <xf numFmtId="49" fontId="79" fillId="0" borderId="28" applyAlignment="1" pivotButton="0" quotePrefix="0" xfId="0">
      <alignment horizontal="center" vertical="center"/>
    </xf>
    <xf numFmtId="49" fontId="79" fillId="0" borderId="109" applyAlignment="1" pivotButton="0" quotePrefix="0" xfId="0">
      <alignment horizontal="center" vertical="center"/>
    </xf>
    <xf numFmtId="49" fontId="79" fillId="0" borderId="22" applyAlignment="1" pivotButton="0" quotePrefix="0" xfId="0">
      <alignment horizontal="center" vertical="center"/>
    </xf>
    <xf numFmtId="49" fontId="79" fillId="0" borderId="0" applyAlignment="1" pivotButton="0" quotePrefix="0" xfId="0">
      <alignment horizontal="right" vertical="center"/>
    </xf>
    <xf numFmtId="49" fontId="79" fillId="0" borderId="21" applyAlignment="1" pivotButton="0" quotePrefix="0" xfId="0">
      <alignment horizontal="right" vertical="center"/>
    </xf>
    <xf numFmtId="49" fontId="80" fillId="0" borderId="21" applyAlignment="1" pivotButton="0" quotePrefix="0" xfId="0">
      <alignment horizontal="left" vertical="center" wrapText="1"/>
    </xf>
    <xf numFmtId="49" fontId="80" fillId="0" borderId="49" applyAlignment="1" pivotButton="0" quotePrefix="0" xfId="0">
      <alignment horizontal="left" vertical="center" wrapText="1"/>
    </xf>
    <xf numFmtId="167" fontId="79" fillId="0" borderId="78" applyAlignment="1" pivotButton="0" quotePrefix="0" xfId="0">
      <alignment horizontal="center" vertical="center"/>
    </xf>
    <xf numFmtId="167" fontId="79" fillId="0" borderId="79" applyAlignment="1" pivotButton="0" quotePrefix="0" xfId="0">
      <alignment horizontal="center" vertical="center"/>
    </xf>
    <xf numFmtId="164" fontId="77" fillId="0" borderId="16" applyAlignment="1" pivotButton="0" quotePrefix="0" xfId="0">
      <alignment horizontal="center" vertical="center" shrinkToFit="1"/>
    </xf>
    <xf numFmtId="164" fontId="77" fillId="0" borderId="14" applyAlignment="1" pivotButton="0" quotePrefix="0" xfId="0">
      <alignment horizontal="center" vertical="center" shrinkToFit="1"/>
    </xf>
    <xf numFmtId="164" fontId="77" fillId="0" borderId="23" applyAlignment="1" pivotButton="0" quotePrefix="0" xfId="0">
      <alignment horizontal="center" vertical="center" shrinkToFit="1"/>
    </xf>
    <xf numFmtId="164" fontId="77" fillId="0" borderId="12" applyAlignment="1" pivotButton="0" quotePrefix="0" xfId="0">
      <alignment horizontal="center" vertical="center" shrinkToFit="1"/>
    </xf>
    <xf numFmtId="164" fontId="77" fillId="0" borderId="19" applyAlignment="1" pivotButton="0" quotePrefix="0" xfId="0">
      <alignment horizontal="center" vertical="center" shrinkToFit="1"/>
    </xf>
    <xf numFmtId="49" fontId="81" fillId="0" borderId="137" applyAlignment="1" pivotButton="0" quotePrefix="0" xfId="0">
      <alignment horizontal="center" vertical="center"/>
    </xf>
    <xf numFmtId="49" fontId="81" fillId="0" borderId="133" applyAlignment="1" pivotButton="0" quotePrefix="0" xfId="0">
      <alignment horizontal="center" vertical="center"/>
    </xf>
    <xf numFmtId="49" fontId="81" fillId="0" borderId="136" applyAlignment="1" pivotButton="0" quotePrefix="0" xfId="0">
      <alignment horizontal="center" vertical="center"/>
    </xf>
    <xf numFmtId="49" fontId="81" fillId="0" borderId="132" applyAlignment="1" pivotButton="0" quotePrefix="0" xfId="0">
      <alignment horizontal="center" vertical="center"/>
    </xf>
    <xf numFmtId="49" fontId="79" fillId="0" borderId="12" applyAlignment="1" pivotButton="0" quotePrefix="0" xfId="0">
      <alignment horizontal="left" vertical="center"/>
    </xf>
    <xf numFmtId="49" fontId="79" fillId="0" borderId="19" applyAlignment="1" pivotButton="0" quotePrefix="0" xfId="0">
      <alignment horizontal="left" vertical="center"/>
    </xf>
    <xf numFmtId="49" fontId="82" fillId="0" borderId="12" applyAlignment="1" pivotButton="0" quotePrefix="0" xfId="0">
      <alignment horizontal="center" vertical="center"/>
    </xf>
    <xf numFmtId="49" fontId="82" fillId="0" borderId="21" applyAlignment="1" pivotButton="0" quotePrefix="0" xfId="0">
      <alignment horizontal="center" vertical="center"/>
    </xf>
    <xf numFmtId="49" fontId="82" fillId="0" borderId="0" applyAlignment="1" pivotButton="0" quotePrefix="0" xfId="0">
      <alignment horizontal="center" vertical="center"/>
    </xf>
    <xf numFmtId="165" fontId="40" fillId="0" borderId="16" applyAlignment="1" pivotButton="0" quotePrefix="0" xfId="0">
      <alignment horizontal="center" vertical="center" shrinkToFit="1"/>
    </xf>
    <xf numFmtId="165" fontId="40" fillId="0" borderId="14" applyAlignment="1" pivotButton="0" quotePrefix="0" xfId="0">
      <alignment horizontal="center" vertical="center" shrinkToFit="1"/>
    </xf>
    <xf numFmtId="165" fontId="40" fillId="0" borderId="23" applyAlignment="1" pivotButton="0" quotePrefix="0" xfId="0">
      <alignment horizontal="center" vertical="center" shrinkToFit="1"/>
    </xf>
    <xf numFmtId="165" fontId="40" fillId="0" borderId="16" applyAlignment="1" pivotButton="0" quotePrefix="0" xfId="0">
      <alignment horizontal="center" vertical="center"/>
    </xf>
    <xf numFmtId="165" fontId="40" fillId="0" borderId="14" applyAlignment="1" pivotButton="0" quotePrefix="0" xfId="0">
      <alignment horizontal="center" vertical="center"/>
    </xf>
    <xf numFmtId="165" fontId="40" fillId="0" borderId="23" applyAlignment="1" pivotButton="0" quotePrefix="0" xfId="0">
      <alignment horizontal="center" vertical="center"/>
    </xf>
    <xf numFmtId="49" fontId="21" fillId="0" borderId="30" applyAlignment="1" pivotButton="0" quotePrefix="0" xfId="0">
      <alignment horizontal="center" vertical="center"/>
    </xf>
    <xf numFmtId="49" fontId="21" fillId="0" borderId="150" applyAlignment="1" pivotButton="0" quotePrefix="0" xfId="0">
      <alignment horizontal="center" vertical="center"/>
    </xf>
    <xf numFmtId="0" fontId="6" fillId="0" borderId="0" applyAlignment="1" pivotButton="0" quotePrefix="0" xfId="43">
      <alignment horizontal="left" vertical="center" shrinkToFit="1"/>
    </xf>
    <xf numFmtId="0" fontId="60" fillId="0" borderId="0" applyAlignment="1" pivotButton="0" quotePrefix="0" xfId="43">
      <alignment horizontal="left" vertical="center" wrapText="1"/>
    </xf>
    <xf numFmtId="0" fontId="59" fillId="0" borderId="17" applyAlignment="1" pivotButton="0" quotePrefix="0" xfId="43">
      <alignment horizontal="center" vertical="center"/>
    </xf>
    <xf numFmtId="0" fontId="6" fillId="0" borderId="17" applyAlignment="1" pivotButton="0" quotePrefix="0" xfId="43">
      <alignment horizontal="center" vertical="center"/>
    </xf>
    <xf numFmtId="0" fontId="59" fillId="0" borderId="268" applyAlignment="1" pivotButton="0" quotePrefix="0" xfId="43">
      <alignment horizontal="center" vertical="center"/>
    </xf>
    <xf numFmtId="0" fontId="59" fillId="0" borderId="269" applyAlignment="1" pivotButton="0" quotePrefix="0" xfId="43">
      <alignment horizontal="center" vertical="center"/>
    </xf>
    <xf numFmtId="0" fontId="6" fillId="27" borderId="269" applyAlignment="1" pivotButton="0" quotePrefix="0" xfId="43">
      <alignment horizontal="center" vertical="center"/>
    </xf>
    <xf numFmtId="0" fontId="6" fillId="27" borderId="270" applyAlignment="1" pivotButton="0" quotePrefix="0" xfId="43">
      <alignment horizontal="center" vertical="center"/>
    </xf>
    <xf numFmtId="0" fontId="59" fillId="0" borderId="18" applyAlignment="1" pivotButton="0" quotePrefix="0" xfId="43">
      <alignment horizontal="center" vertical="center"/>
    </xf>
    <xf numFmtId="0" fontId="59" fillId="0" borderId="19" applyAlignment="1" pivotButton="0" quotePrefix="0" xfId="43">
      <alignment horizontal="center" vertical="center"/>
    </xf>
    <xf numFmtId="0" fontId="59" fillId="0" borderId="20" applyAlignment="1" pivotButton="0" quotePrefix="0" xfId="43">
      <alignment horizontal="center" vertical="center"/>
    </xf>
    <xf numFmtId="0" fontId="59" fillId="0" borderId="22" applyAlignment="1" pivotButton="0" quotePrefix="0" xfId="43">
      <alignment horizontal="center" vertical="center"/>
    </xf>
    <xf numFmtId="0" fontId="59" fillId="0" borderId="32" applyAlignment="1" pivotButton="0" quotePrefix="0" xfId="43">
      <alignment horizontal="center" vertical="center"/>
    </xf>
    <xf numFmtId="0" fontId="6" fillId="0" borderId="32" applyAlignment="1" pivotButton="0" quotePrefix="0" xfId="43">
      <alignment horizontal="center" vertical="center"/>
    </xf>
    <xf numFmtId="0" fontId="6" fillId="0" borderId="35" applyAlignment="1" pivotButton="0" quotePrefix="0" xfId="43">
      <alignment horizontal="center" vertical="center"/>
    </xf>
    <xf numFmtId="0" fontId="59" fillId="0" borderId="35" applyAlignment="1" pivotButton="0" quotePrefix="0" xfId="43">
      <alignment horizontal="center" vertical="center"/>
    </xf>
    <xf numFmtId="0" fontId="6" fillId="0" borderId="36" applyAlignment="1" pivotButton="0" quotePrefix="0" xfId="43">
      <alignment horizontal="center" vertical="center"/>
    </xf>
    <xf numFmtId="0" fontId="59" fillId="0" borderId="16" applyAlignment="1" pivotButton="0" quotePrefix="0" xfId="43">
      <alignment horizontal="center" vertical="center"/>
    </xf>
    <xf numFmtId="0" fontId="59" fillId="0" borderId="14" applyAlignment="1" pivotButton="0" quotePrefix="0" xfId="43">
      <alignment horizontal="center" vertical="center"/>
    </xf>
    <xf numFmtId="0" fontId="59" fillId="0" borderId="23" applyAlignment="1" pivotButton="0" quotePrefix="0" xfId="43">
      <alignment horizontal="center" vertical="center"/>
    </xf>
    <xf numFmtId="0" fontId="59" fillId="0" borderId="245" applyAlignment="1" pivotButton="0" quotePrefix="0" xfId="43">
      <alignment horizontal="center" vertical="center" textRotation="255" wrapText="1"/>
    </xf>
    <xf numFmtId="0" fontId="59" fillId="0" borderId="103" applyAlignment="1" pivotButton="0" quotePrefix="0" xfId="43">
      <alignment horizontal="center" vertical="center" textRotation="255" wrapText="1"/>
    </xf>
    <xf numFmtId="0" fontId="59" fillId="0" borderId="258" applyAlignment="1" pivotButton="0" quotePrefix="0" xfId="43">
      <alignment horizontal="center" vertical="center" textRotation="255" wrapText="1"/>
    </xf>
    <xf numFmtId="0" fontId="59" fillId="0" borderId="69" applyAlignment="1" pivotButton="0" quotePrefix="0" xfId="43">
      <alignment horizontal="center" vertical="center"/>
    </xf>
    <xf numFmtId="0" fontId="59" fillId="0" borderId="271" applyAlignment="1" pivotButton="0" quotePrefix="0" xfId="43">
      <alignment horizontal="center" vertical="center"/>
    </xf>
    <xf numFmtId="0" fontId="6" fillId="0" borderId="266" applyAlignment="1" pivotButton="0" quotePrefix="0" xfId="43">
      <alignment horizontal="center" vertical="center"/>
    </xf>
    <xf numFmtId="0" fontId="6" fillId="0" borderId="272" applyAlignment="1" pivotButton="0" quotePrefix="0" xfId="43">
      <alignment horizontal="center" vertical="center"/>
    </xf>
    <xf numFmtId="0" fontId="6" fillId="0" borderId="213" applyAlignment="1" pivotButton="0" quotePrefix="0" xfId="43">
      <alignment horizontal="center" vertical="center"/>
    </xf>
    <xf numFmtId="0" fontId="6" fillId="0" borderId="214" applyAlignment="1" pivotButton="0" quotePrefix="0" xfId="43">
      <alignment horizontal="center" vertical="center"/>
    </xf>
    <xf numFmtId="0" fontId="6" fillId="0" borderId="216" applyAlignment="1" pivotButton="0" quotePrefix="0" xfId="43">
      <alignment horizontal="center" vertical="center"/>
    </xf>
    <xf numFmtId="0" fontId="59" fillId="0" borderId="12" applyAlignment="1" pivotButton="0" quotePrefix="0" xfId="43">
      <alignment horizontal="center" vertical="center"/>
    </xf>
    <xf numFmtId="0" fontId="59" fillId="0" borderId="0" applyAlignment="1" pivotButton="0" quotePrefix="0" xfId="43">
      <alignment horizontal="center" vertical="center"/>
    </xf>
    <xf numFmtId="0" fontId="59" fillId="0" borderId="28" applyAlignment="1" pivotButton="0" quotePrefix="0" xfId="43">
      <alignment horizontal="center" vertical="center"/>
    </xf>
    <xf numFmtId="0" fontId="59" fillId="0" borderId="21" applyAlignment="1" pivotButton="0" quotePrefix="0" xfId="43">
      <alignment horizontal="center" vertical="center"/>
    </xf>
    <xf numFmtId="0" fontId="75" fillId="0" borderId="27" applyAlignment="1" pivotButton="0" quotePrefix="0" xfId="43">
      <alignment horizontal="center" vertical="center"/>
    </xf>
    <xf numFmtId="0" fontId="75" fillId="0" borderId="0" applyAlignment="1" pivotButton="0" quotePrefix="0" xfId="43">
      <alignment horizontal="center" vertical="center"/>
    </xf>
    <xf numFmtId="0" fontId="75" fillId="0" borderId="20" applyAlignment="1" pivotButton="0" quotePrefix="0" xfId="43">
      <alignment horizontal="center" vertical="center"/>
    </xf>
    <xf numFmtId="0" fontId="75" fillId="0" borderId="21" applyAlignment="1" pivotButton="0" quotePrefix="0" xfId="43">
      <alignment horizontal="center" vertical="center"/>
    </xf>
    <xf numFmtId="0" fontId="59" fillId="0" borderId="48" applyAlignment="1" pivotButton="0" quotePrefix="0" xfId="43">
      <alignment horizontal="center" vertical="center"/>
    </xf>
    <xf numFmtId="0" fontId="59" fillId="0" borderId="49" applyAlignment="1" pivotButton="0" quotePrefix="0" xfId="43">
      <alignment horizontal="center" vertical="center"/>
    </xf>
    <xf numFmtId="0" fontId="6" fillId="0" borderId="16" applyAlignment="1" pivotButton="0" quotePrefix="0" xfId="43">
      <alignment horizontal="left" vertical="center"/>
    </xf>
    <xf numFmtId="0" fontId="6" fillId="0" borderId="14" applyAlignment="1" pivotButton="0" quotePrefix="0" xfId="43">
      <alignment horizontal="left" vertical="center"/>
    </xf>
    <xf numFmtId="0" fontId="6" fillId="0" borderId="15" applyAlignment="1" pivotButton="0" quotePrefix="0" xfId="43">
      <alignment horizontal="left" vertical="center"/>
    </xf>
    <xf numFmtId="0" fontId="59" fillId="0" borderId="18" applyAlignment="1" pivotButton="0" quotePrefix="0" xfId="43">
      <alignment horizontal="left" vertical="center" wrapText="1"/>
    </xf>
    <xf numFmtId="0" fontId="6" fillId="0" borderId="12" applyAlignment="1" pivotButton="0" quotePrefix="0" xfId="43">
      <alignment vertical="center"/>
    </xf>
    <xf numFmtId="0" fontId="6" fillId="0" borderId="19" applyAlignment="1" pivotButton="0" quotePrefix="0" xfId="43">
      <alignment vertical="center"/>
    </xf>
    <xf numFmtId="0" fontId="6" fillId="0" borderId="20" applyAlignment="1" pivotButton="0" quotePrefix="0" xfId="43">
      <alignment vertical="center"/>
    </xf>
    <xf numFmtId="0" fontId="6" fillId="0" borderId="21" applyAlignment="1" pivotButton="0" quotePrefix="0" xfId="43">
      <alignment vertical="center"/>
    </xf>
    <xf numFmtId="0" fontId="6" fillId="0" borderId="22" applyAlignment="1" pivotButton="0" quotePrefix="0" xfId="43">
      <alignment vertical="center"/>
    </xf>
    <xf numFmtId="0" fontId="6" fillId="0" borderId="273" applyAlignment="1" pivotButton="0" quotePrefix="0" xfId="43">
      <alignment horizontal="left" vertical="center"/>
    </xf>
    <xf numFmtId="0" fontId="6" fillId="0" borderId="220" applyAlignment="1" pivotButton="0" quotePrefix="0" xfId="43">
      <alignment horizontal="left" vertical="center"/>
    </xf>
    <xf numFmtId="0" fontId="6" fillId="0" borderId="274" applyAlignment="1" pivotButton="0" quotePrefix="0" xfId="43">
      <alignment horizontal="left" vertical="center"/>
    </xf>
    <xf numFmtId="0" fontId="6" fillId="0" borderId="213" applyAlignment="1" pivotButton="0" quotePrefix="0" xfId="43">
      <alignment horizontal="left" vertical="center"/>
    </xf>
    <xf numFmtId="0" fontId="6" fillId="0" borderId="214" applyAlignment="1" pivotButton="0" quotePrefix="0" xfId="43">
      <alignment horizontal="left" vertical="center"/>
    </xf>
    <xf numFmtId="0" fontId="6" fillId="0" borderId="216" applyAlignment="1" pivotButton="0" quotePrefix="0" xfId="43">
      <alignment horizontal="left" vertical="center"/>
    </xf>
    <xf numFmtId="0" fontId="59" fillId="0" borderId="61" applyAlignment="1" pivotButton="0" quotePrefix="0" xfId="43">
      <alignment horizontal="center" vertical="center" shrinkToFit="1"/>
    </xf>
    <xf numFmtId="0" fontId="59" fillId="0" borderId="14" applyAlignment="1" pivotButton="0" quotePrefix="0" xfId="43">
      <alignment horizontal="center" vertical="center" shrinkToFit="1"/>
    </xf>
    <xf numFmtId="0" fontId="59" fillId="0" borderId="23" applyAlignment="1" pivotButton="0" quotePrefix="0" xfId="43">
      <alignment horizontal="center" vertical="center" shrinkToFit="1"/>
    </xf>
    <xf numFmtId="0" fontId="59" fillId="0" borderId="74" applyAlignment="1" pivotButton="0" quotePrefix="0" xfId="43">
      <alignment horizontal="center" vertical="center"/>
    </xf>
    <xf numFmtId="0" fontId="59" fillId="0" borderId="100" applyAlignment="1" pivotButton="0" quotePrefix="0" xfId="43">
      <alignment horizontal="center" vertical="center" textRotation="255" wrapText="1"/>
    </xf>
    <xf numFmtId="0" fontId="6" fillId="0" borderId="129" applyAlignment="1" pivotButton="0" quotePrefix="0" xfId="43">
      <alignment horizontal="left" vertical="center"/>
    </xf>
    <xf numFmtId="0" fontId="59" fillId="0" borderId="27" applyAlignment="1" pivotButton="0" quotePrefix="0" xfId="43">
      <alignment horizontal="center" vertical="center"/>
    </xf>
    <xf numFmtId="0" fontId="59" fillId="0" borderId="18" applyAlignment="1" pivotButton="0" quotePrefix="0" xfId="43">
      <alignment horizontal="left" vertical="center"/>
    </xf>
    <xf numFmtId="0" fontId="59" fillId="0" borderId="12" applyAlignment="1" pivotButton="0" quotePrefix="0" xfId="43">
      <alignment horizontal="left" vertical="center"/>
    </xf>
    <xf numFmtId="0" fontId="59" fillId="0" borderId="13" applyAlignment="1" pivotButton="0" quotePrefix="0" xfId="43">
      <alignment horizontal="left" vertical="center"/>
    </xf>
    <xf numFmtId="0" fontId="6" fillId="0" borderId="27" applyAlignment="1" pivotButton="0" quotePrefix="0" xfId="43">
      <alignment horizontal="left" vertical="center"/>
    </xf>
    <xf numFmtId="0" fontId="6" fillId="0" borderId="0" applyAlignment="1" pivotButton="0" quotePrefix="0" xfId="43">
      <alignment horizontal="left" vertical="center"/>
    </xf>
    <xf numFmtId="0" fontId="6" fillId="0" borderId="28" applyAlignment="1" pivotButton="0" quotePrefix="0" xfId="43">
      <alignment horizontal="left" vertical="center"/>
    </xf>
    <xf numFmtId="0" fontId="6" fillId="0" borderId="20" applyAlignment="1" pivotButton="0" quotePrefix="0" xfId="43">
      <alignment horizontal="left" vertical="center"/>
    </xf>
    <xf numFmtId="0" fontId="6" fillId="0" borderId="21" applyAlignment="1" pivotButton="0" quotePrefix="0" xfId="43">
      <alignment horizontal="left" vertical="center"/>
    </xf>
    <xf numFmtId="0" fontId="6" fillId="0" borderId="22" applyAlignment="1" pivotButton="0" quotePrefix="0" xfId="43">
      <alignment horizontal="left" vertical="center"/>
    </xf>
    <xf numFmtId="0" fontId="59" fillId="0" borderId="27" applyAlignment="1" pivotButton="0" quotePrefix="0" xfId="43">
      <alignment horizontal="center"/>
    </xf>
    <xf numFmtId="0" fontId="59" fillId="0" borderId="0" applyAlignment="1" pivotButton="0" quotePrefix="0" xfId="43">
      <alignment horizontal="center"/>
    </xf>
    <xf numFmtId="0" fontId="59" fillId="0" borderId="48" applyAlignment="1" pivotButton="0" quotePrefix="0" xfId="43">
      <alignment horizontal="center"/>
    </xf>
    <xf numFmtId="0" fontId="59" fillId="0" borderId="20" applyAlignment="1" pivotButton="0" quotePrefix="0" xfId="43">
      <alignment horizontal="center"/>
    </xf>
    <xf numFmtId="0" fontId="59" fillId="0" borderId="21" applyAlignment="1" pivotButton="0" quotePrefix="0" xfId="43">
      <alignment horizontal="center"/>
    </xf>
    <xf numFmtId="0" fontId="59" fillId="0" borderId="49" applyAlignment="1" pivotButton="0" quotePrefix="0" xfId="43">
      <alignment horizontal="center"/>
    </xf>
    <xf numFmtId="0" fontId="19" fillId="0" borderId="18" applyAlignment="1" pivotButton="0" quotePrefix="0" xfId="43">
      <alignment horizontal="left" vertical="center" wrapText="1" shrinkToFit="1"/>
    </xf>
    <xf numFmtId="0" fontId="19" fillId="0" borderId="12" applyAlignment="1" pivotButton="0" quotePrefix="0" xfId="43">
      <alignment horizontal="left" vertical="center" wrapText="1" shrinkToFit="1"/>
    </xf>
    <xf numFmtId="0" fontId="19" fillId="0" borderId="19" applyAlignment="1" pivotButton="0" quotePrefix="0" xfId="43">
      <alignment vertical="center"/>
    </xf>
    <xf numFmtId="0" fontId="19" fillId="0" borderId="27" applyAlignment="1" pivotButton="0" quotePrefix="0" xfId="43">
      <alignment horizontal="left" vertical="center" wrapText="1" shrinkToFit="1"/>
    </xf>
    <xf numFmtId="0" fontId="19" fillId="0" borderId="0" applyAlignment="1" pivotButton="0" quotePrefix="0" xfId="43">
      <alignment horizontal="left" vertical="center" wrapText="1" shrinkToFit="1"/>
    </xf>
    <xf numFmtId="0" fontId="19" fillId="0" borderId="28" applyAlignment="1" pivotButton="0" quotePrefix="0" xfId="43">
      <alignment vertical="center"/>
    </xf>
    <xf numFmtId="0" fontId="19" fillId="0" borderId="20" applyAlignment="1" pivotButton="0" quotePrefix="0" xfId="43">
      <alignment horizontal="left" vertical="center" wrapText="1" shrinkToFit="1"/>
    </xf>
    <xf numFmtId="0" fontId="19" fillId="0" borderId="21" applyAlignment="1" pivotButton="0" quotePrefix="0" xfId="43">
      <alignment horizontal="left" vertical="center" wrapText="1" shrinkToFit="1"/>
    </xf>
    <xf numFmtId="0" fontId="19" fillId="0" borderId="22" applyAlignment="1" pivotButton="0" quotePrefix="0" xfId="43">
      <alignment vertical="center"/>
    </xf>
    <xf numFmtId="0" fontId="59" fillId="0" borderId="16" applyAlignment="1" pivotButton="0" quotePrefix="0" xfId="43">
      <alignment horizontal="left" vertical="center"/>
    </xf>
    <xf numFmtId="0" fontId="6" fillId="0" borderId="23" applyAlignment="1" pivotButton="0" quotePrefix="0" xfId="43">
      <alignment horizontal="left" vertical="center"/>
    </xf>
    <xf numFmtId="0" fontId="59" fillId="0" borderId="15" applyAlignment="1" pivotButton="0" quotePrefix="0" xfId="43">
      <alignment horizontal="center" vertical="center"/>
    </xf>
    <xf numFmtId="0" fontId="6" fillId="0" borderId="42" applyAlignment="1" pivotButton="0" quotePrefix="0" xfId="43">
      <alignment horizontal="center" vertical="center" shrinkToFit="1"/>
    </xf>
    <xf numFmtId="0" fontId="6" fillId="0" borderId="12" applyAlignment="1" pivotButton="0" quotePrefix="0" xfId="43">
      <alignment horizontal="center" vertical="center" shrinkToFit="1"/>
    </xf>
    <xf numFmtId="0" fontId="6" fillId="0" borderId="19" applyAlignment="1" pivotButton="0" quotePrefix="0" xfId="43">
      <alignment horizontal="center" vertical="center" shrinkToFit="1"/>
    </xf>
    <xf numFmtId="0" fontId="6" fillId="0" borderId="43" applyAlignment="1" pivotButton="0" quotePrefix="0" xfId="43">
      <alignment horizontal="center" vertical="center" shrinkToFit="1"/>
    </xf>
    <xf numFmtId="0" fontId="6" fillId="0" borderId="0" applyAlignment="1" pivotButton="0" quotePrefix="0" xfId="43">
      <alignment horizontal="center" vertical="center" shrinkToFit="1"/>
    </xf>
    <xf numFmtId="0" fontId="6" fillId="0" borderId="28" applyAlignment="1" pivotButton="0" quotePrefix="0" xfId="43">
      <alignment horizontal="center" vertical="center" shrinkToFit="1"/>
    </xf>
    <xf numFmtId="0" fontId="6" fillId="0" borderId="66" applyAlignment="1" pivotButton="0" quotePrefix="0" xfId="43">
      <alignment horizontal="center" vertical="center" shrinkToFit="1"/>
    </xf>
    <xf numFmtId="0" fontId="6" fillId="0" borderId="21" applyAlignment="1" pivotButton="0" quotePrefix="0" xfId="43">
      <alignment horizontal="center" vertical="center" shrinkToFit="1"/>
    </xf>
    <xf numFmtId="0" fontId="6" fillId="0" borderId="22" applyAlignment="1" pivotButton="0" quotePrefix="0" xfId="43">
      <alignment horizontal="center" vertical="center" shrinkToFit="1"/>
    </xf>
    <xf numFmtId="0" fontId="6" fillId="0" borderId="16" applyAlignment="1" pivotButton="0" quotePrefix="0" xfId="43">
      <alignment horizontal="center" vertical="center"/>
    </xf>
    <xf numFmtId="0" fontId="6" fillId="0" borderId="14" applyAlignment="1" pivotButton="0" quotePrefix="0" xfId="43">
      <alignment horizontal="center" vertical="center"/>
    </xf>
    <xf numFmtId="0" fontId="6" fillId="0" borderId="15" applyAlignment="1" pivotButton="0" quotePrefix="0" xfId="43">
      <alignment horizontal="center" vertical="center"/>
    </xf>
    <xf numFmtId="0" fontId="6" fillId="0" borderId="18" applyAlignment="1" pivotButton="0" quotePrefix="0" xfId="43">
      <alignment horizontal="center" vertical="center"/>
    </xf>
    <xf numFmtId="0" fontId="6" fillId="0" borderId="12" applyAlignment="1" pivotButton="0" quotePrefix="0" xfId="43">
      <alignment horizontal="center" vertical="center"/>
    </xf>
    <xf numFmtId="0" fontId="6" fillId="0" borderId="13" applyAlignment="1" pivotButton="0" quotePrefix="0" xfId="43">
      <alignment horizontal="center" vertical="center"/>
    </xf>
    <xf numFmtId="0" fontId="6" fillId="0" borderId="20" applyAlignment="1" pivotButton="0" quotePrefix="0" xfId="43">
      <alignment horizontal="center" vertical="center"/>
    </xf>
    <xf numFmtId="0" fontId="6" fillId="0" borderId="21" applyAlignment="1" pivotButton="0" quotePrefix="0" xfId="43">
      <alignment horizontal="center" vertical="center"/>
    </xf>
    <xf numFmtId="0" fontId="6" fillId="0" borderId="49" applyAlignment="1" pivotButton="0" quotePrefix="0" xfId="43">
      <alignment horizontal="center" vertical="center"/>
    </xf>
    <xf numFmtId="0" fontId="59" fillId="0" borderId="42" applyAlignment="1" pivotButton="0" quotePrefix="0" xfId="43">
      <alignment horizontal="center" vertical="center" wrapText="1"/>
    </xf>
    <xf numFmtId="0" fontId="59" fillId="0" borderId="19" applyAlignment="1" pivotButton="0" quotePrefix="0" xfId="43">
      <alignment horizontal="center" vertical="center" wrapText="1"/>
    </xf>
    <xf numFmtId="0" fontId="59" fillId="0" borderId="66" applyAlignment="1" pivotButton="0" quotePrefix="0" xfId="43">
      <alignment horizontal="center" vertical="center" wrapText="1"/>
    </xf>
    <xf numFmtId="0" fontId="59" fillId="0" borderId="22" applyAlignment="1" pivotButton="0" quotePrefix="0" xfId="43">
      <alignment horizontal="center" vertical="center" wrapText="1"/>
    </xf>
    <xf numFmtId="0" fontId="59" fillId="0" borderId="273" applyAlignment="1" pivotButton="0" quotePrefix="0" xfId="43">
      <alignment vertical="center" shrinkToFit="1"/>
    </xf>
    <xf numFmtId="0" fontId="59" fillId="0" borderId="220" applyAlignment="1" pivotButton="0" quotePrefix="0" xfId="43">
      <alignment vertical="center" shrinkToFit="1"/>
    </xf>
    <xf numFmtId="0" fontId="59" fillId="0" borderId="201" applyAlignment="1" pivotButton="0" quotePrefix="0" xfId="43">
      <alignment vertical="center" shrinkToFit="1"/>
    </xf>
    <xf numFmtId="0" fontId="60" fillId="0" borderId="18" applyAlignment="1" pivotButton="0" quotePrefix="0" xfId="43">
      <alignment horizontal="left" vertical="top"/>
    </xf>
    <xf numFmtId="0" fontId="60" fillId="0" borderId="12" applyAlignment="1" pivotButton="0" quotePrefix="0" xfId="43">
      <alignment horizontal="left" vertical="top"/>
    </xf>
    <xf numFmtId="0" fontId="60" fillId="0" borderId="13" applyAlignment="1" pivotButton="0" quotePrefix="0" xfId="43">
      <alignment horizontal="left" vertical="top"/>
    </xf>
    <xf numFmtId="0" fontId="59" fillId="0" borderId="20" applyAlignment="1" pivotButton="0" quotePrefix="0" xfId="43">
      <alignment vertical="center"/>
    </xf>
    <xf numFmtId="0" fontId="6" fillId="0" borderId="21" pivotButton="0" quotePrefix="0" xfId="43"/>
    <xf numFmtId="0" fontId="6" fillId="0" borderId="22" pivotButton="0" quotePrefix="0" xfId="43"/>
    <xf numFmtId="0" fontId="59" fillId="0" borderId="16" applyAlignment="1" pivotButton="0" quotePrefix="0" xfId="43">
      <alignment horizontal="center" vertical="center" shrinkToFit="1"/>
    </xf>
    <xf numFmtId="0" fontId="59" fillId="0" borderId="15" applyAlignment="1" pivotButton="0" quotePrefix="0" xfId="43">
      <alignment horizontal="center" vertical="center" shrinkToFit="1"/>
    </xf>
    <xf numFmtId="0" fontId="59" fillId="0" borderId="42" applyAlignment="1" pivotButton="0" quotePrefix="0" xfId="43">
      <alignment horizontal="center" vertical="center"/>
    </xf>
    <xf numFmtId="0" fontId="59" fillId="0" borderId="43" applyAlignment="1" pivotButton="0" quotePrefix="0" xfId="43">
      <alignment horizontal="center" vertical="center"/>
    </xf>
    <xf numFmtId="0" fontId="59" fillId="0" borderId="18" applyAlignment="1" pivotButton="0" quotePrefix="0" xfId="43">
      <alignment horizontal="center" vertical="center" shrinkToFit="1"/>
    </xf>
    <xf numFmtId="0" fontId="59" fillId="0" borderId="12" applyAlignment="1" pivotButton="0" quotePrefix="0" xfId="43">
      <alignment horizontal="center" vertical="center" shrinkToFit="1"/>
    </xf>
    <xf numFmtId="0" fontId="59" fillId="0" borderId="19" applyAlignment="1" pivotButton="0" quotePrefix="0" xfId="43">
      <alignment horizontal="center" vertical="center" shrinkToFit="1"/>
    </xf>
    <xf numFmtId="0" fontId="59" fillId="0" borderId="13" applyAlignment="1" pivotButton="0" quotePrefix="0" xfId="43">
      <alignment horizontal="center" vertical="center" shrinkToFit="1"/>
    </xf>
    <xf numFmtId="0" fontId="59" fillId="27" borderId="16" applyAlignment="1" pivotButton="0" quotePrefix="0" xfId="43">
      <alignment horizontal="center" vertical="center"/>
    </xf>
    <xf numFmtId="0" fontId="59" fillId="27" borderId="14" applyAlignment="1" pivotButton="0" quotePrefix="0" xfId="43">
      <alignment horizontal="center" vertical="center"/>
    </xf>
    <xf numFmtId="0" fontId="59" fillId="27" borderId="23" applyAlignment="1" pivotButton="0" quotePrefix="0" xfId="43">
      <alignment horizontal="center" vertical="center"/>
    </xf>
    <xf numFmtId="0" fontId="59" fillId="27" borderId="15" applyAlignment="1" pivotButton="0" quotePrefix="0" xfId="43">
      <alignment horizontal="center" vertical="center"/>
    </xf>
    <xf numFmtId="0" fontId="59" fillId="0" borderId="42" applyAlignment="1" pivotButton="0" quotePrefix="0" xfId="43">
      <alignment horizontal="center" vertical="center" shrinkToFit="1"/>
    </xf>
    <xf numFmtId="0" fontId="59" fillId="0" borderId="43" applyAlignment="1" pivotButton="0" quotePrefix="0" xfId="43">
      <alignment horizontal="center" vertical="center" shrinkToFit="1"/>
    </xf>
    <xf numFmtId="0" fontId="59" fillId="0" borderId="0" applyAlignment="1" pivotButton="0" quotePrefix="0" xfId="43">
      <alignment horizontal="center" vertical="center" shrinkToFit="1"/>
    </xf>
    <xf numFmtId="0" fontId="59" fillId="0" borderId="21" applyAlignment="1" pivotButton="0" quotePrefix="0" xfId="43">
      <alignment horizontal="center" vertical="center" shrinkToFit="1"/>
    </xf>
    <xf numFmtId="0" fontId="59" fillId="0" borderId="22" applyAlignment="1" pivotButton="0" quotePrefix="0" xfId="43">
      <alignment horizontal="center" vertical="center" shrinkToFit="1"/>
    </xf>
    <xf numFmtId="0" fontId="59" fillId="0" borderId="27" applyAlignment="1" pivotButton="0" quotePrefix="0" xfId="43">
      <alignment horizontal="left" vertical="center"/>
    </xf>
    <xf numFmtId="0" fontId="59" fillId="0" borderId="0" applyAlignment="1" pivotButton="0" quotePrefix="0" xfId="43">
      <alignment horizontal="left" vertical="center"/>
    </xf>
    <xf numFmtId="0" fontId="59" fillId="0" borderId="48" applyAlignment="1" pivotButton="0" quotePrefix="0" xfId="43">
      <alignment horizontal="left" vertical="center"/>
    </xf>
    <xf numFmtId="0" fontId="19" fillId="27" borderId="16" applyAlignment="1" pivotButton="0" quotePrefix="0" xfId="43">
      <alignment horizontal="left" vertical="center"/>
    </xf>
    <xf numFmtId="0" fontId="59" fillId="27" borderId="14" applyAlignment="1" pivotButton="0" quotePrefix="0" xfId="43">
      <alignment horizontal="left" vertical="center"/>
    </xf>
    <xf numFmtId="0" fontId="59" fillId="27" borderId="23" applyAlignment="1" pivotButton="0" quotePrefix="0" xfId="43">
      <alignment horizontal="left" vertical="center"/>
    </xf>
    <xf numFmtId="0" fontId="59" fillId="0" borderId="21" applyAlignment="1" pivotButton="0" quotePrefix="0" xfId="43">
      <alignment vertical="center"/>
    </xf>
    <xf numFmtId="0" fontId="59" fillId="0" borderId="49" applyAlignment="1" pivotButton="0" quotePrefix="0" xfId="43">
      <alignment vertical="center"/>
    </xf>
    <xf numFmtId="0" fontId="59" fillId="0" borderId="13" applyAlignment="1" pivotButton="0" quotePrefix="0" xfId="43">
      <alignment horizontal="center" vertical="center"/>
    </xf>
    <xf numFmtId="0" fontId="59" fillId="0" borderId="66" applyAlignment="1" pivotButton="0" quotePrefix="0" xfId="43">
      <alignment horizontal="center" vertical="center"/>
    </xf>
    <xf numFmtId="0" fontId="59" fillId="0" borderId="32" applyAlignment="1" pivotButton="0" quotePrefix="0" xfId="43">
      <alignment horizontal="left" vertical="center"/>
    </xf>
    <xf numFmtId="0" fontId="59" fillId="0" borderId="74" applyAlignment="1" pivotButton="0" quotePrefix="0" xfId="43">
      <alignment horizontal="left" vertical="center"/>
    </xf>
    <xf numFmtId="0" fontId="60" fillId="0" borderId="32" applyAlignment="1" pivotButton="0" quotePrefix="0" xfId="43">
      <alignment horizontal="left" vertical="center"/>
    </xf>
    <xf numFmtId="0" fontId="60" fillId="0" borderId="74" applyAlignment="1" pivotButton="0" quotePrefix="0" xfId="43">
      <alignment horizontal="left" vertical="center"/>
    </xf>
    <xf numFmtId="0" fontId="59" fillId="0" borderId="19" applyAlignment="1" pivotButton="0" quotePrefix="0" xfId="43">
      <alignment horizontal="left" vertical="center"/>
    </xf>
    <xf numFmtId="0" fontId="59" fillId="0" borderId="61" applyAlignment="1" pivotButton="0" quotePrefix="0" xfId="43">
      <alignment horizontal="center" vertical="center"/>
    </xf>
    <xf numFmtId="0" fontId="6" fillId="0" borderId="23" applyAlignment="1" pivotButton="0" quotePrefix="0" xfId="43">
      <alignment horizontal="center" vertical="center"/>
    </xf>
    <xf numFmtId="0" fontId="60" fillId="0" borderId="61" applyAlignment="1" pivotButton="0" quotePrefix="0" xfId="43">
      <alignment horizontal="center" vertical="center" shrinkToFit="1"/>
    </xf>
    <xf numFmtId="0" fontId="60" fillId="0" borderId="14" applyAlignment="1" pivotButton="0" quotePrefix="0" xfId="43">
      <alignment horizontal="center" vertical="center" shrinkToFit="1"/>
    </xf>
    <xf numFmtId="0" fontId="60" fillId="0" borderId="23" applyAlignment="1" pivotButton="0" quotePrefix="0" xfId="43">
      <alignment horizontal="center" vertical="center" shrinkToFit="1"/>
    </xf>
    <xf numFmtId="0" fontId="6" fillId="0" borderId="23" applyAlignment="1" pivotButton="0" quotePrefix="0" xfId="43">
      <alignment horizontal="center" vertical="center" shrinkToFit="1"/>
    </xf>
    <xf numFmtId="0" fontId="59" fillId="0" borderId="0" applyAlignment="1" pivotButton="0" quotePrefix="0" xfId="43">
      <alignment horizontal="left" vertical="center" wrapText="1"/>
    </xf>
    <xf numFmtId="0" fontId="6" fillId="0" borderId="0" pivotButton="0" quotePrefix="0" xfId="43"/>
    <xf numFmtId="0" fontId="6" fillId="0" borderId="0" applyAlignment="1" pivotButton="0" quotePrefix="0" xfId="43">
      <alignment vertical="center"/>
    </xf>
    <xf numFmtId="0" fontId="59" fillId="0" borderId="275" applyAlignment="1" pivotButton="0" quotePrefix="0" xfId="43">
      <alignment horizontal="center" vertical="center"/>
    </xf>
    <xf numFmtId="0" fontId="59" fillId="0" borderId="276" applyAlignment="1" pivotButton="0" quotePrefix="0" xfId="43">
      <alignment horizontal="center" vertical="center"/>
    </xf>
    <xf numFmtId="0" fontId="60" fillId="0" borderId="110" applyAlignment="1" pivotButton="0" quotePrefix="0" xfId="43">
      <alignment horizontal="left" vertical="center" wrapText="1"/>
    </xf>
    <xf numFmtId="0" fontId="60" fillId="0" borderId="45" applyAlignment="1" pivotButton="0" quotePrefix="0" xfId="43">
      <alignment horizontal="left" vertical="center" wrapText="1"/>
    </xf>
    <xf numFmtId="0" fontId="60" fillId="0" borderId="47" applyAlignment="1" pivotButton="0" quotePrefix="0" xfId="43">
      <alignment horizontal="left" vertical="center" wrapText="1"/>
    </xf>
    <xf numFmtId="0" fontId="60" fillId="0" borderId="17" applyAlignment="1" pivotButton="0" quotePrefix="0" xfId="43">
      <alignment horizontal="left" vertical="top"/>
    </xf>
    <xf numFmtId="0" fontId="6" fillId="0" borderId="17" applyAlignment="1" pivotButton="0" quotePrefix="0" xfId="43">
      <alignment horizontal="left"/>
    </xf>
    <xf numFmtId="174" fontId="59" fillId="0" borderId="16" applyAlignment="1" pivotButton="0" quotePrefix="0" xfId="44">
      <alignment horizontal="center" vertical="center" shrinkToFit="1"/>
    </xf>
    <xf numFmtId="174" fontId="59" fillId="0" borderId="14" applyAlignment="1" pivotButton="0" quotePrefix="0" xfId="44">
      <alignment horizontal="center" vertical="center" shrinkToFit="1"/>
    </xf>
    <xf numFmtId="174" fontId="59" fillId="0" borderId="15" applyAlignment="1" pivotButton="0" quotePrefix="0" xfId="44">
      <alignment horizontal="center" vertical="center" shrinkToFit="1"/>
    </xf>
    <xf numFmtId="0" fontId="59" fillId="0" borderId="42" applyAlignment="1" pivotButton="0" quotePrefix="0" xfId="43">
      <alignment horizontal="center" vertical="center" wrapText="1" shrinkToFit="1"/>
    </xf>
    <xf numFmtId="0" fontId="59" fillId="0" borderId="66" applyAlignment="1" pivotButton="0" quotePrefix="0" xfId="43">
      <alignment horizontal="center" vertical="center" shrinkToFit="1"/>
    </xf>
    <xf numFmtId="0" fontId="59" fillId="0" borderId="32" applyAlignment="1" pivotButton="0" quotePrefix="0" xfId="43">
      <alignment horizontal="center" vertical="center" shrinkToFit="1"/>
    </xf>
    <xf numFmtId="0" fontId="59" fillId="27" borderId="32" applyAlignment="1" pivotButton="0" quotePrefix="0" xfId="43">
      <alignment horizontal="center" vertical="center"/>
    </xf>
    <xf numFmtId="0" fontId="59" fillId="27" borderId="74" applyAlignment="1" pivotButton="0" quotePrefix="0" xfId="43">
      <alignment horizontal="center" vertical="center"/>
    </xf>
    <xf numFmtId="0" fontId="59" fillId="0" borderId="0" applyAlignment="1" pivotButton="0" quotePrefix="0" xfId="43">
      <alignment horizontal="left" vertical="center" shrinkToFit="1"/>
    </xf>
    <xf numFmtId="0" fontId="6" fillId="0" borderId="0" applyAlignment="1" pivotButton="0" quotePrefix="0" xfId="43">
      <alignment shrinkToFit="1"/>
    </xf>
    <xf numFmtId="0" fontId="60" fillId="0" borderId="61" applyAlignment="1" pivotButton="0" quotePrefix="0" xfId="43">
      <alignment horizontal="center" vertical="center"/>
    </xf>
    <xf numFmtId="0" fontId="60" fillId="0" borderId="14" applyAlignment="1" pivotButton="0" quotePrefix="0" xfId="43">
      <alignment horizontal="center" vertical="center"/>
    </xf>
    <xf numFmtId="0" fontId="60" fillId="0" borderId="23" applyAlignment="1" pivotButton="0" quotePrefix="0" xfId="43">
      <alignment horizontal="center" vertical="center"/>
    </xf>
    <xf numFmtId="0" fontId="59" fillId="0" borderId="48" applyAlignment="1" pivotButton="0" quotePrefix="0" xfId="43">
      <alignment horizontal="center" vertical="center" shrinkToFit="1"/>
    </xf>
    <xf numFmtId="0" fontId="59" fillId="27" borderId="20" applyAlignment="1" pivotButton="0" quotePrefix="0" xfId="43">
      <alignment horizontal="center" vertical="center"/>
    </xf>
    <xf numFmtId="0" fontId="59" fillId="27" borderId="21" applyAlignment="1" pivotButton="0" quotePrefix="0" xfId="43">
      <alignment horizontal="center" vertical="center"/>
    </xf>
    <xf numFmtId="0" fontId="59" fillId="27" borderId="49" applyAlignment="1" pivotButton="0" quotePrefix="0" xfId="43">
      <alignment horizontal="center" vertical="center"/>
    </xf>
    <xf numFmtId="0" fontId="59" fillId="0" borderId="277" applyAlignment="1" pivotButton="0" quotePrefix="0" xfId="43">
      <alignment horizontal="center" vertical="center" shrinkToFit="1"/>
    </xf>
    <xf numFmtId="0" fontId="59" fillId="0" borderId="275" applyAlignment="1" pivotButton="0" quotePrefix="0" xfId="43">
      <alignment horizontal="center" vertical="center" shrinkToFit="1"/>
    </xf>
    <xf numFmtId="0" fontId="59" fillId="0" borderId="278" applyAlignment="1" pivotButton="0" quotePrefix="0" xfId="43">
      <alignment horizontal="center" vertical="center"/>
    </xf>
    <xf numFmtId="0" fontId="59" fillId="0" borderId="100" applyAlignment="1" pivotButton="0" quotePrefix="0" xfId="43">
      <alignment horizontal="center" vertical="center"/>
    </xf>
    <xf numFmtId="0" fontId="59" fillId="0" borderId="67" applyAlignment="1" pivotButton="0" quotePrefix="0" xfId="43">
      <alignment horizontal="center" vertical="center"/>
    </xf>
    <xf numFmtId="0" fontId="59" fillId="0" borderId="68" applyAlignment="1" pivotButton="0" quotePrefix="0" xfId="43">
      <alignment horizontal="center" vertical="center"/>
    </xf>
    <xf numFmtId="0" fontId="59" fillId="0" borderId="70" applyAlignment="1" pivotButton="0" quotePrefix="0" xfId="43">
      <alignment horizontal="center" vertical="center"/>
    </xf>
    <xf numFmtId="0" fontId="6" fillId="0" borderId="0" applyAlignment="1" pivotButton="0" quotePrefix="0" xfId="43">
      <alignment horizontal="right" vertical="center"/>
    </xf>
    <xf numFmtId="0" fontId="59" fillId="0" borderId="254" applyAlignment="1" pivotButton="0" quotePrefix="0" xfId="43">
      <alignment horizontal="center" vertical="center"/>
    </xf>
    <xf numFmtId="0" fontId="59" fillId="27" borderId="16" applyAlignment="1" pivotButton="0" quotePrefix="0" xfId="43">
      <alignment horizontal="right" vertical="center"/>
    </xf>
    <xf numFmtId="0" fontId="59" fillId="27" borderId="14" applyAlignment="1" pivotButton="0" quotePrefix="0" xfId="43">
      <alignment horizontal="right" vertical="center"/>
    </xf>
    <xf numFmtId="0" fontId="59" fillId="27" borderId="23" applyAlignment="1" pivotButton="0" quotePrefix="0" xfId="43">
      <alignment horizontal="right" vertical="center"/>
    </xf>
    <xf numFmtId="0" fontId="83" fillId="0" borderId="110" applyAlignment="1" pivotButton="0" quotePrefix="0" xfId="43">
      <alignment horizontal="center" vertical="center"/>
    </xf>
    <xf numFmtId="0" fontId="83" fillId="0" borderId="45" applyAlignment="1" pivotButton="0" quotePrefix="0" xfId="43">
      <alignment horizontal="center" vertical="center"/>
    </xf>
    <xf numFmtId="0" fontId="83" fillId="0" borderId="46" applyAlignment="1" pivotButton="0" quotePrefix="0" xfId="43">
      <alignment horizontal="center" vertical="center"/>
    </xf>
    <xf numFmtId="0" fontId="19" fillId="0" borderId="16" applyAlignment="1" pivotButton="0" quotePrefix="0" xfId="43">
      <alignment horizontal="left" vertical="center"/>
    </xf>
    <xf numFmtId="0" fontId="59" fillId="0" borderId="14" applyAlignment="1" pivotButton="0" quotePrefix="0" xfId="43">
      <alignment horizontal="left" vertical="center"/>
    </xf>
    <xf numFmtId="0" fontId="59" fillId="0" borderId="23" applyAlignment="1" pivotButton="0" quotePrefix="0" xfId="43">
      <alignment horizontal="left" vertical="center"/>
    </xf>
    <xf numFmtId="0" fontId="59" fillId="27" borderId="189" applyAlignment="1" pivotButton="0" quotePrefix="0" xfId="43">
      <alignment horizontal="right" vertical="center"/>
    </xf>
    <xf numFmtId="0" fontId="59" fillId="27" borderId="17" applyAlignment="1" pivotButton="0" quotePrefix="0" xfId="43">
      <alignment horizontal="right" vertical="center"/>
    </xf>
    <xf numFmtId="0" fontId="59" fillId="27" borderId="188" applyAlignment="1" pivotButton="0" quotePrefix="0" xfId="43">
      <alignment horizontal="right" vertical="center"/>
    </xf>
    <xf numFmtId="0" fontId="59" fillId="0" borderId="64" applyAlignment="1" pivotButton="0" quotePrefix="0" xfId="43">
      <alignment horizontal="center" vertical="center"/>
    </xf>
    <xf numFmtId="0" fontId="59" fillId="0" borderId="170" applyAlignment="1" pivotButton="0" quotePrefix="0" xfId="43">
      <alignment horizontal="center" vertical="center"/>
    </xf>
    <xf numFmtId="0" fontId="59" fillId="0" borderId="65" applyAlignment="1" pivotButton="0" quotePrefix="0" xfId="43">
      <alignment horizontal="center" vertical="center"/>
    </xf>
    <xf numFmtId="0" fontId="59" fillId="0" borderId="71" applyAlignment="1" pivotButton="0" quotePrefix="0" xfId="43">
      <alignment horizontal="center" vertical="center"/>
    </xf>
    <xf numFmtId="0" fontId="59" fillId="0" borderId="103" applyAlignment="1" pivotButton="0" quotePrefix="0" xfId="43">
      <alignment horizontal="center" vertical="center"/>
    </xf>
    <xf numFmtId="0" fontId="6" fillId="0" borderId="103" applyAlignment="1" pivotButton="0" quotePrefix="0" xfId="43">
      <alignment horizontal="center" vertical="center"/>
    </xf>
    <xf numFmtId="0" fontId="6" fillId="0" borderId="258" applyAlignment="1" pivotButton="0" quotePrefix="0" xfId="43">
      <alignment horizontal="center" vertical="center"/>
    </xf>
    <xf numFmtId="0" fontId="6" fillId="0" borderId="14" pivotButton="0" quotePrefix="0" xfId="43"/>
    <xf numFmtId="0" fontId="6" fillId="0" borderId="23" pivotButton="0" quotePrefix="0" xfId="43"/>
    <xf numFmtId="0" fontId="6" fillId="0" borderId="15" pivotButton="0" quotePrefix="0" xfId="43"/>
    <xf numFmtId="0" fontId="59" fillId="0" borderId="22" applyAlignment="1" pivotButton="0" quotePrefix="0" xfId="43">
      <alignment horizontal="center"/>
    </xf>
    <xf numFmtId="0" fontId="6" fillId="0" borderId="14" applyAlignment="1" pivotButton="0" quotePrefix="0" xfId="43">
      <alignment shrinkToFit="1"/>
    </xf>
    <xf numFmtId="0" fontId="6" fillId="0" borderId="23" applyAlignment="1" pivotButton="0" quotePrefix="0" xfId="43">
      <alignment shrinkToFit="1"/>
    </xf>
    <xf numFmtId="0" fontId="59" fillId="0" borderId="23" applyAlignment="1" pivotButton="0" quotePrefix="0" xfId="46">
      <alignment horizontal="center" vertical="center"/>
    </xf>
    <xf numFmtId="0" fontId="59" fillId="0" borderId="32" applyAlignment="1" pivotButton="0" quotePrefix="0" xfId="46">
      <alignment horizontal="center" vertical="center"/>
    </xf>
    <xf numFmtId="0" fontId="59" fillId="0" borderId="16" applyAlignment="1" pivotButton="0" quotePrefix="0" xfId="46">
      <alignment horizontal="center" vertical="center"/>
    </xf>
    <xf numFmtId="0" fontId="59" fillId="0" borderId="14" applyAlignment="1" pivotButton="0" quotePrefix="0" xfId="46">
      <alignment horizontal="center" vertical="center"/>
    </xf>
    <xf numFmtId="0" fontId="6" fillId="0" borderId="32" applyAlignment="1" pivotButton="0" quotePrefix="0" xfId="46">
      <alignment horizontal="center" vertical="center"/>
    </xf>
    <xf numFmtId="0" fontId="6" fillId="0" borderId="74" applyAlignment="1" pivotButton="0" quotePrefix="0" xfId="46">
      <alignment horizontal="center" vertical="center"/>
    </xf>
    <xf numFmtId="0" fontId="59" fillId="0" borderId="249" applyAlignment="1" pivotButton="0" quotePrefix="0" xfId="46">
      <alignment horizontal="center" vertical="center"/>
    </xf>
    <xf numFmtId="0" fontId="59" fillId="0" borderId="191" applyAlignment="1" pivotButton="0" quotePrefix="0" xfId="46">
      <alignment horizontal="center" vertical="center"/>
    </xf>
    <xf numFmtId="0" fontId="6" fillId="28" borderId="269" applyAlignment="1" pivotButton="0" quotePrefix="0" xfId="46">
      <alignment horizontal="center" vertical="center"/>
    </xf>
    <xf numFmtId="0" fontId="6" fillId="28" borderId="270" applyAlignment="1" pivotButton="0" quotePrefix="0" xfId="46">
      <alignment horizontal="center" vertical="center"/>
    </xf>
    <xf numFmtId="0" fontId="59" fillId="0" borderId="64" applyAlignment="1" pivotButton="0" quotePrefix="0" xfId="46">
      <alignment horizontal="center" vertical="center" textRotation="255" wrapText="1"/>
    </xf>
    <xf numFmtId="0" fontId="59" fillId="0" borderId="43" applyAlignment="1" pivotButton="0" quotePrefix="0" xfId="46">
      <alignment horizontal="center" vertical="center" textRotation="255" wrapText="1"/>
    </xf>
    <xf numFmtId="0" fontId="59" fillId="0" borderId="66" applyAlignment="1" pivotButton="0" quotePrefix="0" xfId="46">
      <alignment horizontal="center" vertical="center" textRotation="255" wrapText="1"/>
    </xf>
    <xf numFmtId="0" fontId="59" fillId="0" borderId="271" applyAlignment="1" pivotButton="0" quotePrefix="0" xfId="46">
      <alignment horizontal="center" vertical="center"/>
    </xf>
    <xf numFmtId="0" fontId="6" fillId="0" borderId="279" applyAlignment="1" pivotButton="0" quotePrefix="0" xfId="46">
      <alignment horizontal="left" vertical="center"/>
    </xf>
    <xf numFmtId="0" fontId="6" fillId="0" borderId="280" applyAlignment="1" pivotButton="0" quotePrefix="0" xfId="46">
      <alignment horizontal="left" vertical="center"/>
    </xf>
    <xf numFmtId="0" fontId="6" fillId="0" borderId="281" applyAlignment="1" pivotButton="0" quotePrefix="0" xfId="46">
      <alignment horizontal="left" vertical="center"/>
    </xf>
    <xf numFmtId="0" fontId="6" fillId="0" borderId="213" applyAlignment="1" pivotButton="0" quotePrefix="0" xfId="46">
      <alignment horizontal="left" vertical="center"/>
    </xf>
    <xf numFmtId="0" fontId="6" fillId="0" borderId="214" applyAlignment="1" pivotButton="0" quotePrefix="0" xfId="46">
      <alignment horizontal="left" vertical="center"/>
    </xf>
    <xf numFmtId="0" fontId="6" fillId="0" borderId="216" applyAlignment="1" pivotButton="0" quotePrefix="0" xfId="46">
      <alignment horizontal="left" vertical="center"/>
    </xf>
    <xf numFmtId="0" fontId="59" fillId="0" borderId="18" applyAlignment="1" pivotButton="0" quotePrefix="0" xfId="46">
      <alignment horizontal="center" vertical="center"/>
    </xf>
    <xf numFmtId="0" fontId="59" fillId="0" borderId="19" applyAlignment="1" pivotButton="0" quotePrefix="0" xfId="46">
      <alignment horizontal="center" vertical="center"/>
    </xf>
    <xf numFmtId="0" fontId="59" fillId="0" borderId="27" applyAlignment="1" pivotButton="0" quotePrefix="0" xfId="46">
      <alignment horizontal="center" vertical="center"/>
    </xf>
    <xf numFmtId="0" fontId="59" fillId="0" borderId="28" applyAlignment="1" pivotButton="0" quotePrefix="0" xfId="46">
      <alignment horizontal="center" vertical="center"/>
    </xf>
    <xf numFmtId="0" fontId="59" fillId="0" borderId="20" applyAlignment="1" pivotButton="0" quotePrefix="0" xfId="46">
      <alignment horizontal="center" vertical="center"/>
    </xf>
    <xf numFmtId="0" fontId="59" fillId="0" borderId="22" applyAlignment="1" pivotButton="0" quotePrefix="0" xfId="46">
      <alignment horizontal="center" vertical="center"/>
    </xf>
    <xf numFmtId="0" fontId="60" fillId="0" borderId="30" applyAlignment="1" pivotButton="0" quotePrefix="0" xfId="46">
      <alignment horizontal="left" vertical="top"/>
    </xf>
    <xf numFmtId="0" fontId="59" fillId="0" borderId="100" applyAlignment="1" pivotButton="0" quotePrefix="0" xfId="46">
      <alignment horizontal="center" vertical="center" textRotation="255" shrinkToFit="1"/>
    </xf>
    <xf numFmtId="0" fontId="59" fillId="0" borderId="103" applyAlignment="1" pivotButton="0" quotePrefix="0" xfId="46">
      <alignment horizontal="center" vertical="center" textRotation="255" shrinkToFit="1"/>
    </xf>
    <xf numFmtId="0" fontId="59" fillId="0" borderId="258" applyAlignment="1" pivotButton="0" quotePrefix="0" xfId="46">
      <alignment horizontal="center" vertical="center" textRotation="255" shrinkToFit="1"/>
    </xf>
    <xf numFmtId="0" fontId="6" fillId="0" borderId="273" applyAlignment="1" pivotButton="0" quotePrefix="0" xfId="46">
      <alignment horizontal="left" vertical="center"/>
    </xf>
    <xf numFmtId="0" fontId="6" fillId="0" borderId="220" applyAlignment="1" pivotButton="0" quotePrefix="0" xfId="46">
      <alignment horizontal="left" vertical="center"/>
    </xf>
    <xf numFmtId="0" fontId="6" fillId="0" borderId="274" applyAlignment="1" pivotButton="0" quotePrefix="0" xfId="46">
      <alignment horizontal="left" vertical="center"/>
    </xf>
    <xf numFmtId="0" fontId="59" fillId="0" borderId="12" applyAlignment="1" pivotButton="0" quotePrefix="0" xfId="46">
      <alignment horizontal="center" vertical="center"/>
    </xf>
    <xf numFmtId="0" fontId="59" fillId="0" borderId="0" applyAlignment="1" pivotButton="0" quotePrefix="0" xfId="46">
      <alignment horizontal="center" vertical="center"/>
    </xf>
    <xf numFmtId="0" fontId="59" fillId="0" borderId="21" applyAlignment="1" pivotButton="0" quotePrefix="0" xfId="46">
      <alignment horizontal="center" vertical="center"/>
    </xf>
    <xf numFmtId="0" fontId="6" fillId="0" borderId="273" applyAlignment="1" pivotButton="0" quotePrefix="0" xfId="46">
      <alignment horizontal="center" vertical="center"/>
    </xf>
    <xf numFmtId="0" fontId="6" fillId="0" borderId="220" applyAlignment="1" pivotButton="0" quotePrefix="0" xfId="46">
      <alignment horizontal="center" vertical="center"/>
    </xf>
    <xf numFmtId="0" fontId="6" fillId="0" borderId="274" applyAlignment="1" pivotButton="0" quotePrefix="0" xfId="46">
      <alignment horizontal="center" vertical="center"/>
    </xf>
    <xf numFmtId="0" fontId="6" fillId="0" borderId="213" applyAlignment="1" pivotButton="0" quotePrefix="0" xfId="46">
      <alignment horizontal="center" vertical="center"/>
    </xf>
    <xf numFmtId="0" fontId="6" fillId="0" borderId="214" applyAlignment="1" pivotButton="0" quotePrefix="0" xfId="46">
      <alignment horizontal="center" vertical="center"/>
    </xf>
    <xf numFmtId="0" fontId="6" fillId="0" borderId="216" applyAlignment="1" pivotButton="0" quotePrefix="0" xfId="46">
      <alignment horizontal="center" vertical="center"/>
    </xf>
    <xf numFmtId="0" fontId="59" fillId="0" borderId="32" applyAlignment="1" pivotButton="0" quotePrefix="0" xfId="45">
      <alignment horizontal="center" vertical="center"/>
    </xf>
    <xf numFmtId="0" fontId="59" fillId="0" borderId="42" applyAlignment="1" pivotButton="0" quotePrefix="0" xfId="45">
      <alignment horizontal="center" vertical="center"/>
    </xf>
    <xf numFmtId="0" fontId="59" fillId="0" borderId="12" applyAlignment="1" pivotButton="0" quotePrefix="0" xfId="45">
      <alignment horizontal="center" vertical="center"/>
    </xf>
    <xf numFmtId="0" fontId="59" fillId="0" borderId="19" applyAlignment="1" pivotButton="0" quotePrefix="0" xfId="45">
      <alignment horizontal="center" vertical="center"/>
    </xf>
    <xf numFmtId="0" fontId="59" fillId="0" borderId="43" applyAlignment="1" pivotButton="0" quotePrefix="0" xfId="45">
      <alignment horizontal="center" vertical="center"/>
    </xf>
    <xf numFmtId="0" fontId="59" fillId="0" borderId="0" applyAlignment="1" pivotButton="0" quotePrefix="0" xfId="45">
      <alignment horizontal="center" vertical="center"/>
    </xf>
    <xf numFmtId="0" fontId="59" fillId="0" borderId="28" applyAlignment="1" pivotButton="0" quotePrefix="0" xfId="45">
      <alignment horizontal="center" vertical="center"/>
    </xf>
    <xf numFmtId="0" fontId="59" fillId="0" borderId="21" applyAlignment="1" pivotButton="0" quotePrefix="0" xfId="45">
      <alignment horizontal="center" vertical="center"/>
    </xf>
    <xf numFmtId="0" fontId="59" fillId="0" borderId="22" applyAlignment="1" pivotButton="0" quotePrefix="0" xfId="45">
      <alignment horizontal="center" vertical="center"/>
    </xf>
    <xf numFmtId="0" fontId="60" fillId="0" borderId="18" applyAlignment="1" pivotButton="0" quotePrefix="0" xfId="45">
      <alignment horizontal="center" vertical="center"/>
    </xf>
    <xf numFmtId="0" fontId="60" fillId="0" borderId="19" applyAlignment="1" pivotButton="0" quotePrefix="0" xfId="45">
      <alignment horizontal="center" vertical="center"/>
    </xf>
    <xf numFmtId="0" fontId="85" fillId="0" borderId="18" applyAlignment="1" pivotButton="0" quotePrefix="0" xfId="45">
      <alignment horizontal="center" vertical="center" wrapText="1"/>
    </xf>
    <xf numFmtId="0" fontId="85" fillId="0" borderId="19" applyAlignment="1" pivotButton="0" quotePrefix="0" xfId="45">
      <alignment horizontal="center" vertical="center" wrapText="1"/>
    </xf>
    <xf numFmtId="0" fontId="85" fillId="0" borderId="27" applyAlignment="1" pivotButton="0" quotePrefix="0" xfId="45">
      <alignment horizontal="center" vertical="center" wrapText="1"/>
    </xf>
    <xf numFmtId="0" fontId="85" fillId="0" borderId="28" applyAlignment="1" pivotButton="0" quotePrefix="0" xfId="45">
      <alignment horizontal="center" vertical="center" wrapText="1"/>
    </xf>
    <xf numFmtId="0" fontId="85" fillId="0" borderId="20" applyAlignment="1" pivotButton="0" quotePrefix="0" xfId="45">
      <alignment horizontal="center" vertical="center" wrapText="1"/>
    </xf>
    <xf numFmtId="0" fontId="85" fillId="0" borderId="22" applyAlignment="1" pivotButton="0" quotePrefix="0" xfId="45">
      <alignment horizontal="center" vertical="center" wrapText="1"/>
    </xf>
    <xf numFmtId="0" fontId="60" fillId="0" borderId="18" applyAlignment="1" pivotButton="0" quotePrefix="0" xfId="46">
      <alignment horizontal="left" vertical="center" wrapText="1" shrinkToFit="1"/>
    </xf>
    <xf numFmtId="0" fontId="60" fillId="0" borderId="12" applyAlignment="1" pivotButton="0" quotePrefix="0" xfId="46">
      <alignment horizontal="left" vertical="center" wrapText="1" shrinkToFit="1"/>
    </xf>
    <xf numFmtId="0" fontId="60" fillId="0" borderId="19" applyAlignment="1" pivotButton="0" quotePrefix="0" xfId="46">
      <alignment vertical="center"/>
    </xf>
    <xf numFmtId="0" fontId="60" fillId="0" borderId="27" applyAlignment="1" pivotButton="0" quotePrefix="0" xfId="46">
      <alignment horizontal="left" vertical="center" wrapText="1" shrinkToFit="1"/>
    </xf>
    <xf numFmtId="0" fontId="60" fillId="0" borderId="0" applyAlignment="1" pivotButton="0" quotePrefix="0" xfId="46">
      <alignment horizontal="left" vertical="center" wrapText="1" shrinkToFit="1"/>
    </xf>
    <xf numFmtId="0" fontId="60" fillId="0" borderId="28" applyAlignment="1" pivotButton="0" quotePrefix="0" xfId="46">
      <alignment vertical="center"/>
    </xf>
    <xf numFmtId="0" fontId="60" fillId="0" borderId="20" applyAlignment="1" pivotButton="0" quotePrefix="0" xfId="46">
      <alignment horizontal="left" vertical="center" wrapText="1" shrinkToFit="1"/>
    </xf>
    <xf numFmtId="0" fontId="60" fillId="0" borderId="21" applyAlignment="1" pivotButton="0" quotePrefix="0" xfId="46">
      <alignment horizontal="left" vertical="center" wrapText="1" shrinkToFit="1"/>
    </xf>
    <xf numFmtId="0" fontId="60" fillId="0" borderId="22" applyAlignment="1" pivotButton="0" quotePrefix="0" xfId="46">
      <alignment vertical="center"/>
    </xf>
    <xf numFmtId="0" fontId="59" fillId="0" borderId="16" applyAlignment="1" pivotButton="0" quotePrefix="0" xfId="46">
      <alignment horizontal="left" vertical="center"/>
    </xf>
    <xf numFmtId="0" fontId="6" fillId="0" borderId="14" applyAlignment="1" pivotButton="0" quotePrefix="0" xfId="46">
      <alignment horizontal="left" vertical="center"/>
    </xf>
    <xf numFmtId="0" fontId="6" fillId="0" borderId="23" applyAlignment="1" pivotButton="0" quotePrefix="0" xfId="46">
      <alignment horizontal="left" vertical="center"/>
    </xf>
    <xf numFmtId="0" fontId="59" fillId="0" borderId="18" applyAlignment="1" pivotButton="0" quotePrefix="0" xfId="46">
      <alignment horizontal="left" vertical="center" wrapText="1"/>
    </xf>
    <xf numFmtId="0" fontId="6" fillId="0" borderId="12" applyAlignment="1" pivotButton="0" quotePrefix="0" xfId="46">
      <alignment vertical="center"/>
    </xf>
    <xf numFmtId="0" fontId="6" fillId="0" borderId="19" applyAlignment="1" pivotButton="0" quotePrefix="0" xfId="46">
      <alignment vertical="center"/>
    </xf>
    <xf numFmtId="0" fontId="6" fillId="0" borderId="20" applyAlignment="1" pivotButton="0" quotePrefix="0" xfId="46">
      <alignment vertical="center"/>
    </xf>
    <xf numFmtId="0" fontId="6" fillId="0" borderId="21" applyAlignment="1" pivotButton="0" quotePrefix="0" xfId="46">
      <alignment vertical="center"/>
    </xf>
    <xf numFmtId="0" fontId="6" fillId="0" borderId="22" applyAlignment="1" pivotButton="0" quotePrefix="0" xfId="46">
      <alignment vertical="center"/>
    </xf>
    <xf numFmtId="0" fontId="60" fillId="0" borderId="42" applyAlignment="1" pivotButton="0" quotePrefix="0" xfId="45">
      <alignment vertical="center" wrapText="1" shrinkToFit="1"/>
    </xf>
    <xf numFmtId="0" fontId="60" fillId="0" borderId="19" applyAlignment="1" pivotButton="0" quotePrefix="0" xfId="45">
      <alignment vertical="center" wrapText="1" shrinkToFit="1"/>
    </xf>
    <xf numFmtId="0" fontId="60" fillId="0" borderId="43" applyAlignment="1" pivotButton="0" quotePrefix="0" xfId="45">
      <alignment vertical="center" wrapText="1" shrinkToFit="1"/>
    </xf>
    <xf numFmtId="0" fontId="60" fillId="0" borderId="28" applyAlignment="1" pivotButton="0" quotePrefix="0" xfId="45">
      <alignment vertical="center" wrapText="1" shrinkToFit="1"/>
    </xf>
    <xf numFmtId="0" fontId="60" fillId="0" borderId="66" applyAlignment="1" pivotButton="0" quotePrefix="0" xfId="45">
      <alignment vertical="center" wrapText="1" shrinkToFit="1"/>
    </xf>
    <xf numFmtId="0" fontId="60" fillId="0" borderId="22" applyAlignment="1" pivotButton="0" quotePrefix="0" xfId="45">
      <alignment vertical="center" wrapText="1" shrinkToFit="1"/>
    </xf>
    <xf numFmtId="0" fontId="59" fillId="0" borderId="18" applyAlignment="1" pivotButton="0" quotePrefix="0" xfId="45">
      <alignment horizontal="center" vertical="center"/>
    </xf>
    <xf numFmtId="0" fontId="59" fillId="0" borderId="27" applyAlignment="1" pivotButton="0" quotePrefix="0" xfId="45">
      <alignment horizontal="center" vertical="center"/>
    </xf>
    <xf numFmtId="0" fontId="59" fillId="0" borderId="18" applyAlignment="1" pivotButton="0" quotePrefix="0" xfId="45">
      <alignment horizontal="center" vertical="center" shrinkToFit="1"/>
    </xf>
    <xf numFmtId="0" fontId="59" fillId="0" borderId="12" applyAlignment="1" pivotButton="0" quotePrefix="0" xfId="45">
      <alignment horizontal="center" vertical="center" shrinkToFit="1"/>
    </xf>
    <xf numFmtId="0" fontId="59" fillId="0" borderId="20" applyAlignment="1" pivotButton="0" quotePrefix="0" xfId="45">
      <alignment horizontal="center" vertical="center" shrinkToFit="1"/>
    </xf>
    <xf numFmtId="0" fontId="59" fillId="0" borderId="21" applyAlignment="1" pivotButton="0" quotePrefix="0" xfId="45">
      <alignment horizontal="center" vertical="center" shrinkToFit="1"/>
    </xf>
    <xf numFmtId="0" fontId="59" fillId="0" borderId="13" applyAlignment="1" pivotButton="0" quotePrefix="0" xfId="45">
      <alignment horizontal="center" vertical="center"/>
    </xf>
    <xf numFmtId="0" fontId="59" fillId="0" borderId="48" applyAlignment="1" pivotButton="0" quotePrefix="0" xfId="45">
      <alignment horizontal="center" vertical="center"/>
    </xf>
    <xf numFmtId="0" fontId="59" fillId="0" borderId="20" applyAlignment="1" pivotButton="0" quotePrefix="0" xfId="45">
      <alignment horizontal="center" vertical="center"/>
    </xf>
    <xf numFmtId="0" fontId="59" fillId="0" borderId="49" applyAlignment="1" pivotButton="0" quotePrefix="0" xfId="45">
      <alignment horizontal="center" vertical="center"/>
    </xf>
    <xf numFmtId="0" fontId="59" fillId="0" borderId="100" applyAlignment="1" pivotButton="0" quotePrefix="0" xfId="46">
      <alignment horizontal="center" vertical="center" textRotation="255" wrapText="1"/>
    </xf>
    <xf numFmtId="0" fontId="59" fillId="0" borderId="103" applyAlignment="1" pivotButton="0" quotePrefix="0" xfId="46">
      <alignment horizontal="center" vertical="center" textRotation="255" wrapText="1"/>
    </xf>
    <xf numFmtId="0" fontId="6" fillId="0" borderId="103" applyAlignment="1" pivotButton="0" quotePrefix="0" xfId="46">
      <alignment horizontal="center" vertical="center" textRotation="255"/>
    </xf>
    <xf numFmtId="0" fontId="6" fillId="0" borderId="258" applyAlignment="1" pivotButton="0" quotePrefix="0" xfId="46">
      <alignment horizontal="center" vertical="center" textRotation="255"/>
    </xf>
    <xf numFmtId="0" fontId="6" fillId="0" borderId="19" applyAlignment="1" pivotButton="0" quotePrefix="0" xfId="45">
      <alignment vertical="center"/>
    </xf>
    <xf numFmtId="0" fontId="6" fillId="0" borderId="27" applyAlignment="1" pivotButton="0" quotePrefix="0" xfId="45">
      <alignment vertical="center"/>
    </xf>
    <xf numFmtId="0" fontId="6" fillId="0" borderId="0" applyAlignment="1" pivotButton="0" quotePrefix="0" xfId="45">
      <alignment vertical="center"/>
    </xf>
    <xf numFmtId="0" fontId="6" fillId="0" borderId="28" applyAlignment="1" pivotButton="0" quotePrefix="0" xfId="45">
      <alignment vertical="center"/>
    </xf>
    <xf numFmtId="0" fontId="6" fillId="0" borderId="20" applyAlignment="1" pivotButton="0" quotePrefix="0" xfId="45">
      <alignment vertical="center"/>
    </xf>
    <xf numFmtId="0" fontId="6" fillId="0" borderId="21" applyAlignment="1" pivotButton="0" quotePrefix="0" xfId="45">
      <alignment vertical="center"/>
    </xf>
    <xf numFmtId="0" fontId="6" fillId="0" borderId="22" applyAlignment="1" pivotButton="0" quotePrefix="0" xfId="45">
      <alignment vertical="center"/>
    </xf>
    <xf numFmtId="0" fontId="6" fillId="0" borderId="19" applyAlignment="1" pivotButton="0" quotePrefix="0" xfId="43">
      <alignment horizontal="center" vertical="center"/>
    </xf>
    <xf numFmtId="0" fontId="6" fillId="0" borderId="22" applyAlignment="1" pivotButton="0" quotePrefix="0" xfId="43">
      <alignment horizontal="center" vertical="center"/>
    </xf>
    <xf numFmtId="0" fontId="60" fillId="0" borderId="18" applyAlignment="1" pivotButton="0" quotePrefix="0" xfId="45">
      <alignment horizontal="center" vertical="center" wrapText="1"/>
    </xf>
    <xf numFmtId="0" fontId="60" fillId="0" borderId="12" applyAlignment="1" pivotButton="0" quotePrefix="0" xfId="45">
      <alignment horizontal="center" vertical="center" wrapText="1"/>
    </xf>
    <xf numFmtId="0" fontId="60" fillId="0" borderId="13" applyAlignment="1" pivotButton="0" quotePrefix="0" xfId="45">
      <alignment horizontal="center" vertical="center" wrapText="1"/>
    </xf>
    <xf numFmtId="0" fontId="60" fillId="0" borderId="27" applyAlignment="1" pivotButton="0" quotePrefix="0" xfId="45">
      <alignment horizontal="center" vertical="center" wrapText="1"/>
    </xf>
    <xf numFmtId="0" fontId="60" fillId="0" borderId="0" applyAlignment="1" pivotButton="0" quotePrefix="0" xfId="45">
      <alignment horizontal="center" vertical="center" wrapText="1"/>
    </xf>
    <xf numFmtId="0" fontId="60" fillId="0" borderId="48" applyAlignment="1" pivotButton="0" quotePrefix="0" xfId="45">
      <alignment horizontal="center" vertical="center" wrapText="1"/>
    </xf>
    <xf numFmtId="0" fontId="60" fillId="0" borderId="20" applyAlignment="1" pivotButton="0" quotePrefix="0" xfId="45">
      <alignment horizontal="center" vertical="center" wrapText="1"/>
    </xf>
    <xf numFmtId="0" fontId="60" fillId="0" borderId="21" applyAlignment="1" pivotButton="0" quotePrefix="0" xfId="45">
      <alignment horizontal="center" vertical="center" wrapText="1"/>
    </xf>
    <xf numFmtId="0" fontId="60" fillId="0" borderId="49" applyAlignment="1" pivotButton="0" quotePrefix="0" xfId="45">
      <alignment horizontal="center" vertical="center" wrapText="1"/>
    </xf>
    <xf numFmtId="0" fontId="85" fillId="0" borderId="39" applyAlignment="1" pivotButton="0" quotePrefix="0" xfId="45">
      <alignment horizontal="center" vertical="center"/>
    </xf>
    <xf numFmtId="0" fontId="60" fillId="0" borderId="41" applyAlignment="1" pivotButton="0" quotePrefix="0" xfId="45">
      <alignment horizontal="center" vertical="center"/>
    </xf>
    <xf numFmtId="0" fontId="60" fillId="0" borderId="16" applyAlignment="1" pivotButton="0" quotePrefix="0" xfId="45">
      <alignment horizontal="center" vertical="center"/>
    </xf>
    <xf numFmtId="0" fontId="60" fillId="0" borderId="14" applyAlignment="1" pivotButton="0" quotePrefix="0" xfId="45">
      <alignment horizontal="center" vertical="center"/>
    </xf>
    <xf numFmtId="0" fontId="60" fillId="0" borderId="23" applyAlignment="1" pivotButton="0" quotePrefix="0" xfId="45">
      <alignment horizontal="center" vertical="center"/>
    </xf>
    <xf numFmtId="0" fontId="59" fillId="0" borderId="66" applyAlignment="1" pivotButton="0" quotePrefix="0" xfId="45">
      <alignment horizontal="center" vertical="center"/>
    </xf>
    <xf numFmtId="0" fontId="60" fillId="0" borderId="20" applyAlignment="1" pivotButton="0" quotePrefix="0" xfId="45">
      <alignment horizontal="center" vertical="center"/>
    </xf>
    <xf numFmtId="0" fontId="60" fillId="0" borderId="22" applyAlignment="1" pivotButton="0" quotePrefix="0" xfId="45">
      <alignment horizontal="center" vertical="center"/>
    </xf>
    <xf numFmtId="0" fontId="60" fillId="0" borderId="12" applyAlignment="1" pivotButton="0" quotePrefix="0" xfId="45">
      <alignment horizontal="center" vertical="center"/>
    </xf>
    <xf numFmtId="0" fontId="60" fillId="0" borderId="0" applyAlignment="1" pivotButton="0" quotePrefix="0" xfId="45">
      <alignment horizontal="center" vertical="center"/>
    </xf>
    <xf numFmtId="0" fontId="60" fillId="0" borderId="28" applyAlignment="1" pivotButton="0" quotePrefix="0" xfId="45">
      <alignment horizontal="center" vertical="center"/>
    </xf>
    <xf numFmtId="174" fontId="60" fillId="0" borderId="18" applyAlignment="1" pivotButton="0" quotePrefix="0" xfId="44">
      <alignment horizontal="center" vertical="center" wrapText="1"/>
    </xf>
    <xf numFmtId="174" fontId="60" fillId="0" borderId="19" applyAlignment="1" pivotButton="0" quotePrefix="0" xfId="44">
      <alignment horizontal="center" vertical="center" wrapText="1"/>
    </xf>
    <xf numFmtId="174" fontId="60" fillId="0" borderId="20" applyAlignment="1" pivotButton="0" quotePrefix="0" xfId="44">
      <alignment horizontal="center" vertical="center" wrapText="1"/>
    </xf>
    <xf numFmtId="174" fontId="60" fillId="0" borderId="22" applyAlignment="1" pivotButton="0" quotePrefix="0" xfId="44">
      <alignment horizontal="center" vertical="center" wrapText="1"/>
    </xf>
    <xf numFmtId="0" fontId="60" fillId="0" borderId="19" applyAlignment="1" pivotButton="0" quotePrefix="0" xfId="45">
      <alignment horizontal="center" vertical="center" wrapText="1"/>
    </xf>
    <xf numFmtId="0" fontId="60" fillId="0" borderId="22" applyAlignment="1" pivotButton="0" quotePrefix="0" xfId="45">
      <alignment horizontal="center" vertical="center" wrapText="1"/>
    </xf>
    <xf numFmtId="0" fontId="60" fillId="0" borderId="28" applyAlignment="1" pivotButton="0" quotePrefix="0" xfId="45">
      <alignment horizontal="center" vertical="center" wrapText="1"/>
    </xf>
    <xf numFmtId="0" fontId="60" fillId="0" borderId="189" applyAlignment="1" pivotButton="0" quotePrefix="0" xfId="45">
      <alignment horizontal="center" vertical="center" wrapText="1"/>
    </xf>
    <xf numFmtId="0" fontId="60" fillId="0" borderId="17" applyAlignment="1" pivotButton="0" quotePrefix="0" xfId="45">
      <alignment horizontal="center" vertical="center" wrapText="1"/>
    </xf>
    <xf numFmtId="0" fontId="60" fillId="0" borderId="73" applyAlignment="1" pivotButton="0" quotePrefix="0" xfId="45">
      <alignment horizontal="center" vertical="center" wrapText="1"/>
    </xf>
    <xf numFmtId="0" fontId="60" fillId="0" borderId="61" applyAlignment="1" pivotButton="0" quotePrefix="0" xfId="45">
      <alignment horizontal="center" vertical="center" shrinkToFit="1"/>
    </xf>
    <xf numFmtId="0" fontId="60" fillId="0" borderId="23" applyAlignment="1" pivotButton="0" quotePrefix="0" xfId="45">
      <alignment horizontal="center" vertical="center" shrinkToFit="1"/>
    </xf>
    <xf numFmtId="0" fontId="60" fillId="0" borderId="44" applyAlignment="1" pivotButton="0" quotePrefix="0" xfId="45">
      <alignment horizontal="center" vertical="center" shrinkToFit="1"/>
    </xf>
    <xf numFmtId="0" fontId="60" fillId="0" borderId="46" applyAlignment="1" pivotButton="0" quotePrefix="0" xfId="45">
      <alignment horizontal="center" vertical="center" shrinkToFit="1"/>
    </xf>
    <xf numFmtId="0" fontId="59" fillId="0" borderId="276" applyAlignment="1" pivotButton="0" quotePrefix="0" xfId="45">
      <alignment horizontal="center" vertical="center"/>
    </xf>
    <xf numFmtId="0" fontId="60" fillId="0" borderId="65" applyAlignment="1" pivotButton="0" quotePrefix="0" xfId="45">
      <alignment horizontal="center" vertical="center" wrapText="1"/>
    </xf>
    <xf numFmtId="0" fontId="6" fillId="0" borderId="65" applyAlignment="1" pivotButton="0" quotePrefix="0" xfId="43">
      <alignment horizontal="center" vertical="center"/>
    </xf>
    <xf numFmtId="0" fontId="39" fillId="0" borderId="282" applyAlignment="1" pivotButton="0" quotePrefix="0" xfId="45">
      <alignment horizontal="center" vertical="center"/>
    </xf>
    <xf numFmtId="0" fontId="6" fillId="0" borderId="271" applyAlignment="1" pivotButton="0" quotePrefix="0" xfId="45">
      <alignment vertical="center"/>
    </xf>
    <xf numFmtId="0" fontId="6" fillId="0" borderId="283" applyAlignment="1" pivotButton="0" quotePrefix="0" xfId="45">
      <alignment vertical="center"/>
    </xf>
    <xf numFmtId="0" fontId="59" fillId="0" borderId="258" applyAlignment="1" pivotButton="0" quotePrefix="0" xfId="45">
      <alignment horizontal="center" vertical="center"/>
    </xf>
    <xf numFmtId="0" fontId="59" fillId="0" borderId="34" applyAlignment="1" pivotButton="0" quotePrefix="0" xfId="45">
      <alignment horizontal="center" vertical="center"/>
    </xf>
    <xf numFmtId="0" fontId="59" fillId="0" borderId="284" applyAlignment="1" pivotButton="0" quotePrefix="0" xfId="45">
      <alignment horizontal="center" vertical="center"/>
    </xf>
    <xf numFmtId="0" fontId="60" fillId="0" borderId="34" applyAlignment="1" pivotButton="0" quotePrefix="0" xfId="45">
      <alignment horizontal="center" vertical="center" wrapText="1"/>
    </xf>
    <xf numFmtId="0" fontId="60" fillId="0" borderId="32" applyAlignment="1" pivotButton="0" quotePrefix="0" xfId="45">
      <alignment horizontal="center" vertical="center" wrapText="1"/>
    </xf>
    <xf numFmtId="0" fontId="60" fillId="0" borderId="21" applyAlignment="1" pivotButton="0" quotePrefix="0" xfId="45">
      <alignment horizontal="center" vertical="center"/>
    </xf>
    <xf numFmtId="0" fontId="60" fillId="0" borderId="284" applyAlignment="1" pivotButton="0" quotePrefix="0" xfId="45">
      <alignment vertical="center" textRotation="255" shrinkToFit="1"/>
    </xf>
    <xf numFmtId="0" fontId="60" fillId="0" borderId="32" applyAlignment="1" pivotButton="0" quotePrefix="0" xfId="45">
      <alignment horizontal="center" vertical="center"/>
    </xf>
    <xf numFmtId="0" fontId="60" fillId="0" borderId="284" applyAlignment="1" pivotButton="0" quotePrefix="0" xfId="45">
      <alignment vertical="center" textRotation="255"/>
    </xf>
    <xf numFmtId="0" fontId="59" fillId="0" borderId="0" applyAlignment="1" pivotButton="0" quotePrefix="0" xfId="46">
      <alignment horizontal="left" vertical="center"/>
    </xf>
    <xf numFmtId="0" fontId="59" fillId="0" borderId="0" applyAlignment="1" pivotButton="0" quotePrefix="0" xfId="46">
      <alignment vertical="center"/>
    </xf>
    <xf numFmtId="0" fontId="59" fillId="0" borderId="0" applyAlignment="1" pivotButton="0" quotePrefix="0" xfId="46">
      <alignment horizontal="left" vertical="center" wrapText="1"/>
    </xf>
    <xf numFmtId="0" fontId="59" fillId="0" borderId="0" pivotButton="0" quotePrefix="0" xfId="46"/>
    <xf numFmtId="0" fontId="59" fillId="0" borderId="0" applyAlignment="1" pivotButton="0" quotePrefix="0" xfId="46">
      <alignment vertical="center" wrapText="1"/>
    </xf>
    <xf numFmtId="0" fontId="60" fillId="0" borderId="18" applyAlignment="1" pivotButton="0" quotePrefix="0" xfId="45">
      <alignment horizontal="center" vertical="center" shrinkToFit="1"/>
    </xf>
    <xf numFmtId="0" fontId="60" fillId="0" borderId="19" applyAlignment="1" pivotButton="0" quotePrefix="0" xfId="45">
      <alignment horizontal="center" vertical="center" shrinkToFit="1"/>
    </xf>
    <xf numFmtId="0" fontId="60" fillId="0" borderId="20" applyAlignment="1" pivotButton="0" quotePrefix="0" xfId="45">
      <alignment horizontal="center" vertical="center" shrinkToFit="1"/>
    </xf>
    <xf numFmtId="0" fontId="60" fillId="0" borderId="22" applyAlignment="1" pivotButton="0" quotePrefix="0" xfId="45">
      <alignment horizontal="center" vertical="center" shrinkToFit="1"/>
    </xf>
    <xf numFmtId="0" fontId="60" fillId="0" borderId="13" applyAlignment="1" pivotButton="0" quotePrefix="0" xfId="45">
      <alignment horizontal="center" vertical="center"/>
    </xf>
    <xf numFmtId="0" fontId="60" fillId="0" borderId="27" applyAlignment="1" pivotButton="0" quotePrefix="0" xfId="45">
      <alignment horizontal="center" vertical="center"/>
    </xf>
    <xf numFmtId="0" fontId="60" fillId="0" borderId="48" applyAlignment="1" pivotButton="0" quotePrefix="0" xfId="45">
      <alignment horizontal="center" vertical="center"/>
    </xf>
    <xf numFmtId="0" fontId="60" fillId="0" borderId="189" applyAlignment="1" pivotButton="0" quotePrefix="0" xfId="45">
      <alignment horizontal="center" vertical="center"/>
    </xf>
    <xf numFmtId="0" fontId="60" fillId="0" borderId="73" applyAlignment="1" pivotButton="0" quotePrefix="0" xfId="45">
      <alignment horizontal="center" vertical="center"/>
    </xf>
    <xf numFmtId="0" fontId="60" fillId="0" borderId="275" applyAlignment="1" pivotButton="0" quotePrefix="0" xfId="45">
      <alignment vertical="center" textRotation="255" shrinkToFit="1"/>
    </xf>
    <xf numFmtId="49" fontId="87" fillId="0" borderId="0" applyAlignment="1" pivotButton="0" quotePrefix="0" xfId="0">
      <alignment horizontal="left" vertical="center"/>
    </xf>
    <xf numFmtId="49" fontId="88" fillId="0" borderId="17" applyAlignment="1" pivotButton="0" quotePrefix="0" xfId="0">
      <alignment horizontal="center" vertical="center"/>
    </xf>
    <xf numFmtId="49" fontId="21" fillId="0" borderId="16" applyAlignment="1" pivotButton="0" quotePrefix="0" xfId="0">
      <alignment horizontal="center" vertical="center" wrapText="1"/>
    </xf>
    <xf numFmtId="49" fontId="21" fillId="0" borderId="49" applyAlignment="1" pivotButton="0" quotePrefix="0" xfId="0">
      <alignment horizontal="center" vertical="center" shrinkToFit="1"/>
    </xf>
    <xf numFmtId="49" fontId="40" fillId="0" borderId="18" applyAlignment="1" pivotButton="0" quotePrefix="0" xfId="0">
      <alignment horizontal="distributed" vertical="center" wrapText="1" indent="1"/>
    </xf>
    <xf numFmtId="49" fontId="40" fillId="0" borderId="12" applyAlignment="1" pivotButton="0" quotePrefix="0" xfId="0">
      <alignment horizontal="distributed" vertical="center" wrapText="1" indent="1"/>
    </xf>
    <xf numFmtId="49" fontId="40" fillId="0" borderId="19" applyAlignment="1" pivotButton="0" quotePrefix="0" xfId="0">
      <alignment horizontal="distributed" vertical="center" wrapText="1" indent="1"/>
    </xf>
    <xf numFmtId="49" fontId="40" fillId="0" borderId="27" applyAlignment="1" pivotButton="0" quotePrefix="0" xfId="0">
      <alignment horizontal="distributed" vertical="center" wrapText="1" indent="1"/>
    </xf>
    <xf numFmtId="49" fontId="40" fillId="0" borderId="0" applyAlignment="1" pivotButton="0" quotePrefix="0" xfId="0">
      <alignment horizontal="distributed" vertical="center" wrapText="1" indent="1"/>
    </xf>
    <xf numFmtId="49" fontId="40" fillId="0" borderId="28" applyAlignment="1" pivotButton="0" quotePrefix="0" xfId="0">
      <alignment horizontal="distributed" vertical="center" wrapText="1" indent="1"/>
    </xf>
    <xf numFmtId="49" fontId="40" fillId="0" borderId="20" applyAlignment="1" pivotButton="0" quotePrefix="0" xfId="0">
      <alignment horizontal="distributed" vertical="center" wrapText="1" indent="1"/>
    </xf>
    <xf numFmtId="49" fontId="40" fillId="0" borderId="21" applyAlignment="1" pivotButton="0" quotePrefix="0" xfId="0">
      <alignment horizontal="distributed" vertical="center" wrapText="1" indent="1"/>
    </xf>
    <xf numFmtId="49" fontId="40" fillId="0" borderId="22" applyAlignment="1" pivotButton="0" quotePrefix="0" xfId="0">
      <alignment horizontal="distributed" vertical="center" wrapText="1" indent="1"/>
    </xf>
    <xf numFmtId="49" fontId="40" fillId="0" borderId="160" applyAlignment="1" pivotButton="0" quotePrefix="0" xfId="0">
      <alignment horizontal="distributed" vertical="center"/>
    </xf>
    <xf numFmtId="49" fontId="40" fillId="0" borderId="161" applyAlignment="1" pivotButton="0" quotePrefix="0" xfId="0">
      <alignment horizontal="distributed" vertical="center"/>
    </xf>
    <xf numFmtId="49" fontId="40" fillId="0" borderId="162" applyAlignment="1" pivotButton="0" quotePrefix="0" xfId="0">
      <alignment horizontal="distributed" vertical="center"/>
    </xf>
    <xf numFmtId="49" fontId="24" fillId="0" borderId="220" applyAlignment="1" pivotButton="0" quotePrefix="0" xfId="0">
      <alignment horizontal="left" vertical="center" wrapText="1"/>
    </xf>
    <xf numFmtId="49" fontId="24" fillId="0" borderId="274" applyAlignment="1" pivotButton="0" quotePrefix="0" xfId="0">
      <alignment horizontal="left" vertical="center" wrapText="1"/>
    </xf>
    <xf numFmtId="49" fontId="24" fillId="0" borderId="286" applyAlignment="1" pivotButton="0" quotePrefix="0" xfId="0">
      <alignment horizontal="left" vertical="center" wrapText="1"/>
    </xf>
    <xf numFmtId="49" fontId="24" fillId="0" borderId="287" applyAlignment="1" pivotButton="0" quotePrefix="0" xfId="0">
      <alignment horizontal="left" vertical="center" wrapText="1"/>
    </xf>
    <xf numFmtId="49" fontId="43" fillId="0" borderId="164" applyAlignment="1" pivotButton="0" quotePrefix="0" xfId="0">
      <alignment horizontal="distributed" vertical="center"/>
    </xf>
    <xf numFmtId="49" fontId="43" fillId="0" borderId="165" applyAlignment="1" pivotButton="0" quotePrefix="0" xfId="0">
      <alignment horizontal="distributed" vertical="center"/>
    </xf>
    <xf numFmtId="49" fontId="43" fillId="0" borderId="166" applyAlignment="1" pivotButton="0" quotePrefix="0" xfId="0">
      <alignment horizontal="distributed" vertical="center"/>
    </xf>
    <xf numFmtId="49" fontId="43" fillId="0" borderId="160" applyAlignment="1" pivotButton="0" quotePrefix="0" xfId="0">
      <alignment horizontal="distributed" vertical="center"/>
    </xf>
    <xf numFmtId="49" fontId="43" fillId="0" borderId="161" applyAlignment="1" pivotButton="0" quotePrefix="0" xfId="0">
      <alignment horizontal="distributed" vertical="center"/>
    </xf>
    <xf numFmtId="49" fontId="43" fillId="0" borderId="162" applyAlignment="1" pivotButton="0" quotePrefix="0" xfId="0">
      <alignment horizontal="distributed" vertical="center"/>
    </xf>
    <xf numFmtId="49" fontId="24" fillId="0" borderId="286" applyAlignment="1" pivotButton="0" quotePrefix="0" xfId="0">
      <alignment horizontal="left" vertical="center" shrinkToFit="1"/>
    </xf>
    <xf numFmtId="49" fontId="24" fillId="0" borderId="287" applyAlignment="1" pivotButton="0" quotePrefix="0" xfId="0">
      <alignment horizontal="left" vertical="center" shrinkToFit="1"/>
    </xf>
    <xf numFmtId="49" fontId="21" fillId="0" borderId="286" applyAlignment="1" pivotButton="0" quotePrefix="0" xfId="0">
      <alignment horizontal="left" vertical="center"/>
    </xf>
    <xf numFmtId="49" fontId="21" fillId="0" borderId="287" applyAlignment="1" pivotButton="0" quotePrefix="0" xfId="0">
      <alignment horizontal="left" vertical="center"/>
    </xf>
    <xf numFmtId="49" fontId="40" fillId="0" borderId="164" applyAlignment="1" pivotButton="0" quotePrefix="0" xfId="0">
      <alignment horizontal="distributed" vertical="center"/>
    </xf>
    <xf numFmtId="49" fontId="40" fillId="0" borderId="165" applyAlignment="1" pivotButton="0" quotePrefix="0" xfId="0">
      <alignment horizontal="distributed" vertical="center"/>
    </xf>
    <xf numFmtId="49" fontId="40" fillId="0" borderId="166" applyAlignment="1" pivotButton="0" quotePrefix="0" xfId="0">
      <alignment horizontal="distributed" vertical="center"/>
    </xf>
    <xf numFmtId="49" fontId="24" fillId="0" borderId="286" applyAlignment="1" pivotButton="0" quotePrefix="0" xfId="0">
      <alignment horizontal="left" vertical="center"/>
    </xf>
    <xf numFmtId="49" fontId="40" fillId="0" borderId="213" applyAlignment="1" pivotButton="0" quotePrefix="0" xfId="0">
      <alignment horizontal="distributed" vertical="center"/>
    </xf>
    <xf numFmtId="49" fontId="40" fillId="0" borderId="214" applyAlignment="1" pivotButton="0" quotePrefix="0" xfId="0">
      <alignment horizontal="distributed" vertical="center"/>
    </xf>
    <xf numFmtId="49" fontId="40" fillId="0" borderId="215" applyAlignment="1" pivotButton="0" quotePrefix="0" xfId="0">
      <alignment horizontal="distributed" vertical="center"/>
    </xf>
    <xf numFmtId="49" fontId="24" fillId="0" borderId="213" applyAlignment="1" pivotButton="0" quotePrefix="0" xfId="0">
      <alignment horizontal="right" vertical="center"/>
    </xf>
    <xf numFmtId="49" fontId="24" fillId="0" borderId="214" applyAlignment="1" pivotButton="0" quotePrefix="0" xfId="0">
      <alignment horizontal="right" vertical="center"/>
    </xf>
    <xf numFmtId="49" fontId="24" fillId="0" borderId="214" applyAlignment="1" pivotButton="0" quotePrefix="0" xfId="0">
      <alignment horizontal="left" vertical="center"/>
    </xf>
    <xf numFmtId="49" fontId="40" fillId="0" borderId="214" applyAlignment="1" pivotButton="0" quotePrefix="0" xfId="0">
      <alignment horizontal="center" vertical="center" shrinkToFit="1"/>
    </xf>
    <xf numFmtId="49" fontId="24" fillId="0" borderId="214" applyAlignment="1" pivotButton="0" quotePrefix="0" xfId="0">
      <alignment horizontal="center" vertical="center"/>
    </xf>
    <xf numFmtId="49" fontId="40" fillId="0" borderId="214" applyAlignment="1" pivotButton="0" quotePrefix="0" xfId="0">
      <alignment horizontal="left" vertical="center"/>
    </xf>
    <xf numFmtId="49" fontId="40" fillId="0" borderId="216" applyAlignment="1" pivotButton="0" quotePrefix="0" xfId="0">
      <alignment horizontal="left" vertical="center"/>
    </xf>
    <xf numFmtId="164" fontId="20" fillId="29" borderId="18" applyAlignment="1" pivotButton="0" quotePrefix="0" xfId="0">
      <alignment horizontal="center" vertical="center" shrinkToFit="1"/>
    </xf>
    <xf numFmtId="164" fontId="20" fillId="29" borderId="12" applyAlignment="1" pivotButton="0" quotePrefix="0" xfId="0">
      <alignment horizontal="center" vertical="center" shrinkToFit="1"/>
    </xf>
    <xf numFmtId="164" fontId="20" fillId="29" borderId="13" applyAlignment="1" pivotButton="0" quotePrefix="0" xfId="0">
      <alignment horizontal="center" vertical="center" shrinkToFit="1"/>
    </xf>
    <xf numFmtId="164" fontId="20" fillId="29" borderId="27" applyAlignment="1" pivotButton="0" quotePrefix="0" xfId="0">
      <alignment horizontal="center" vertical="center" shrinkToFit="1"/>
    </xf>
    <xf numFmtId="164" fontId="20" fillId="29" borderId="0" applyAlignment="1" pivotButton="0" quotePrefix="0" xfId="0">
      <alignment horizontal="center" vertical="center" shrinkToFit="1"/>
    </xf>
    <xf numFmtId="164" fontId="20" fillId="29" borderId="48" applyAlignment="1" pivotButton="0" quotePrefix="0" xfId="0">
      <alignment horizontal="center" vertical="center" shrinkToFit="1"/>
    </xf>
    <xf numFmtId="164" fontId="20" fillId="29" borderId="20" applyAlignment="1" pivotButton="0" quotePrefix="0" xfId="0">
      <alignment horizontal="center" vertical="center" shrinkToFit="1"/>
    </xf>
    <xf numFmtId="164" fontId="20" fillId="29" borderId="21" applyAlignment="1" pivotButton="0" quotePrefix="0" xfId="0">
      <alignment horizontal="center" vertical="center" shrinkToFit="1"/>
    </xf>
    <xf numFmtId="164" fontId="20" fillId="29" borderId="49" applyAlignment="1" pivotButton="0" quotePrefix="0" xfId="0">
      <alignment horizontal="center" vertical="center" shrinkToFit="1"/>
    </xf>
    <xf numFmtId="49" fontId="44" fillId="0" borderId="43" applyAlignment="1" pivotButton="0" quotePrefix="0" xfId="0">
      <alignment horizontal="distributed" vertical="center" wrapText="1"/>
    </xf>
    <xf numFmtId="49" fontId="44" fillId="0" borderId="28" applyAlignment="1" pivotButton="0" quotePrefix="0" xfId="0">
      <alignment horizontal="distributed" vertical="center" wrapText="1"/>
    </xf>
    <xf numFmtId="49" fontId="44" fillId="0" borderId="72" applyAlignment="1" pivotButton="0" quotePrefix="0" xfId="0">
      <alignment horizontal="distributed" vertical="center" wrapText="1"/>
    </xf>
    <xf numFmtId="49" fontId="44" fillId="0" borderId="17" applyAlignment="1" pivotButton="0" quotePrefix="0" xfId="0">
      <alignment horizontal="distributed" vertical="center" wrapText="1"/>
    </xf>
    <xf numFmtId="49" fontId="44" fillId="0" borderId="188" applyAlignment="1" pivotButton="0" quotePrefix="0" xfId="0">
      <alignment horizontal="distributed" vertical="center" wrapText="1"/>
    </xf>
    <xf numFmtId="49" fontId="40" fillId="0" borderId="16" applyAlignment="1" pivotButton="0" quotePrefix="0" xfId="0">
      <alignment horizontal="left" vertical="center" wrapText="1"/>
    </xf>
    <xf numFmtId="49" fontId="40" fillId="0" borderId="14" applyAlignment="1" pivotButton="0" quotePrefix="0" xfId="0">
      <alignment horizontal="left" vertical="center" wrapText="1"/>
    </xf>
    <xf numFmtId="49" fontId="40" fillId="0" borderId="23" applyAlignment="1" pivotButton="0" quotePrefix="0" xfId="0">
      <alignment horizontal="left" vertical="center" wrapText="1"/>
    </xf>
    <xf numFmtId="49" fontId="23" fillId="0" borderId="27" applyAlignment="1" pivotButton="0" quotePrefix="0" xfId="0">
      <alignment horizontal="center" vertical="center" shrinkToFit="1"/>
    </xf>
    <xf numFmtId="49" fontId="23" fillId="0" borderId="0" applyAlignment="1" pivotButton="0" quotePrefix="0" xfId="0">
      <alignment horizontal="center" vertical="center" shrinkToFit="1"/>
    </xf>
    <xf numFmtId="49" fontId="23" fillId="0" borderId="28" applyAlignment="1" pivotButton="0" quotePrefix="0" xfId="0">
      <alignment horizontal="center" vertical="center" shrinkToFit="1"/>
    </xf>
    <xf numFmtId="49" fontId="23" fillId="0" borderId="20" applyAlignment="1" pivotButton="0" quotePrefix="0" xfId="0">
      <alignment horizontal="center" vertical="center" shrinkToFit="1"/>
    </xf>
    <xf numFmtId="49" fontId="23" fillId="0" borderId="21" applyAlignment="1" pivotButton="0" quotePrefix="0" xfId="0">
      <alignment horizontal="center" vertical="center" shrinkToFit="1"/>
    </xf>
    <xf numFmtId="49" fontId="23" fillId="0" borderId="22" applyAlignment="1" pivotButton="0" quotePrefix="0" xfId="0">
      <alignment horizontal="center" vertical="center" shrinkToFit="1"/>
    </xf>
    <xf numFmtId="165" fontId="24" fillId="0" borderId="110" applyAlignment="1" pivotButton="0" quotePrefix="0" xfId="0">
      <alignment horizontal="right" vertical="center" wrapText="1"/>
    </xf>
    <xf numFmtId="165" fontId="24" fillId="0" borderId="45" applyAlignment="1" pivotButton="0" quotePrefix="0" xfId="0">
      <alignment horizontal="right" vertical="center" wrapText="1"/>
    </xf>
    <xf numFmtId="49" fontId="40" fillId="0" borderId="123" applyAlignment="1" pivotButton="0" quotePrefix="0" xfId="0">
      <alignment horizontal="center" vertical="center" wrapText="1"/>
    </xf>
    <xf numFmtId="49" fontId="40" fillId="0" borderId="26" applyAlignment="1" pivotButton="0" quotePrefix="0" xfId="0">
      <alignment horizontal="center" vertical="center" wrapText="1"/>
    </xf>
    <xf numFmtId="49" fontId="21" fillId="0" borderId="290" applyAlignment="1" pivotButton="0" quotePrefix="0" xfId="0">
      <alignment horizontal="center" vertical="center"/>
    </xf>
    <xf numFmtId="49" fontId="40" fillId="0" borderId="39" applyAlignment="1" pivotButton="0" quotePrefix="0" xfId="0">
      <alignment horizontal="distributed" vertical="center" wrapText="1" indent="1"/>
    </xf>
    <xf numFmtId="49" fontId="40" fillId="0" borderId="40" applyAlignment="1" pivotButton="0" quotePrefix="0" xfId="0">
      <alignment horizontal="distributed" vertical="center" wrapText="1" indent="1"/>
    </xf>
    <xf numFmtId="49" fontId="40" fillId="0" borderId="41" applyAlignment="1" pivotButton="0" quotePrefix="0" xfId="0">
      <alignment horizontal="distributed" vertical="center" wrapText="1" indent="1"/>
    </xf>
    <xf numFmtId="49" fontId="44" fillId="0" borderId="36" applyAlignment="1" pivotButton="0" quotePrefix="0" xfId="0">
      <alignment horizontal="distributed" vertical="center" wrapText="1"/>
    </xf>
    <xf numFmtId="49" fontId="44" fillId="0" borderId="200" applyAlignment="1" pivotButton="0" quotePrefix="0" xfId="0">
      <alignment horizontal="distributed" vertical="center" wrapText="1"/>
    </xf>
    <xf numFmtId="49" fontId="40" fillId="0" borderId="87" applyAlignment="1" pivotButton="0" quotePrefix="0" xfId="0">
      <alignment horizontal="center" vertical="center"/>
    </xf>
    <xf numFmtId="49" fontId="40" fillId="0" borderId="88" applyAlignment="1" pivotButton="0" quotePrefix="0" xfId="0">
      <alignment horizontal="center" vertical="center"/>
    </xf>
    <xf numFmtId="49" fontId="40" fillId="0" borderId="122" applyAlignment="1" pivotButton="0" quotePrefix="0" xfId="0">
      <alignment horizontal="center" vertical="center" wrapText="1"/>
    </xf>
    <xf numFmtId="49" fontId="40" fillId="0" borderId="18" applyAlignment="1" pivotButton="0" quotePrefix="0" xfId="0">
      <alignment horizontal="center" vertical="center" textRotation="255" wrapText="1"/>
    </xf>
    <xf numFmtId="49" fontId="40" fillId="0" borderId="19" applyAlignment="1" pivotButton="0" quotePrefix="0" xfId="0">
      <alignment horizontal="center" vertical="center" textRotation="255" wrapText="1"/>
    </xf>
    <xf numFmtId="49" fontId="40" fillId="0" borderId="27" applyAlignment="1" pivotButton="0" quotePrefix="0" xfId="0">
      <alignment horizontal="center" vertical="center" textRotation="255" wrapText="1"/>
    </xf>
    <xf numFmtId="49" fontId="40" fillId="0" borderId="20" applyAlignment="1" pivotButton="0" quotePrefix="0" xfId="0">
      <alignment horizontal="center" vertical="center" textRotation="255" wrapText="1"/>
    </xf>
    <xf numFmtId="49" fontId="40" fillId="0" borderId="22" applyAlignment="1" pivotButton="0" quotePrefix="0" xfId="0">
      <alignment horizontal="center" vertical="center" textRotation="255" wrapText="1"/>
    </xf>
    <xf numFmtId="49" fontId="93" fillId="0" borderId="16" applyAlignment="1" pivotButton="0" quotePrefix="0" xfId="47">
      <alignment horizontal="center" vertical="center" wrapText="1"/>
    </xf>
    <xf numFmtId="49" fontId="32" fillId="0" borderId="14" applyAlignment="1" pivotButton="0" quotePrefix="0" xfId="0">
      <alignment horizontal="center" vertical="center" wrapText="1"/>
    </xf>
    <xf numFmtId="49" fontId="32" fillId="0" borderId="15" applyAlignment="1" pivotButton="0" quotePrefix="0" xfId="0">
      <alignment horizontal="center" vertical="center" wrapText="1"/>
    </xf>
    <xf numFmtId="49" fontId="32" fillId="0" borderId="13" applyAlignment="1" pivotButton="0" quotePrefix="0" xfId="0">
      <alignment horizontal="center" vertical="center" shrinkToFit="1"/>
    </xf>
    <xf numFmtId="49" fontId="32" fillId="0" borderId="21" applyAlignment="1" pivotButton="0" quotePrefix="0" xfId="0">
      <alignment horizontal="center" vertical="center" shrinkToFit="1"/>
    </xf>
    <xf numFmtId="49" fontId="32" fillId="0" borderId="49" applyAlignment="1" pivotButton="0" quotePrefix="0" xfId="0">
      <alignment horizontal="center" vertical="center" shrinkToFit="1"/>
    </xf>
    <xf numFmtId="0" fontId="0" fillId="0" borderId="12" applyAlignment="1" pivotButton="0" quotePrefix="0" xfId="0">
      <alignment horizontal="distributed" vertical="center" wrapText="1" indent="1"/>
    </xf>
    <xf numFmtId="0" fontId="0" fillId="0" borderId="19" applyAlignment="1" pivotButton="0" quotePrefix="0" xfId="0">
      <alignment horizontal="distributed" vertical="center" wrapText="1" indent="1"/>
    </xf>
    <xf numFmtId="0" fontId="0" fillId="0" borderId="27" applyAlignment="1" pivotButton="0" quotePrefix="0" xfId="0">
      <alignment horizontal="distributed" vertical="center" wrapText="1" indent="1"/>
    </xf>
    <xf numFmtId="0" fontId="0" fillId="0" borderId="0" applyAlignment="1" pivotButton="0" quotePrefix="0" xfId="0">
      <alignment horizontal="distributed" vertical="center" wrapText="1" indent="1"/>
    </xf>
    <xf numFmtId="0" fontId="0" fillId="0" borderId="28" applyAlignment="1" pivotButton="0" quotePrefix="0" xfId="0">
      <alignment horizontal="distributed" vertical="center" wrapText="1" indent="1"/>
    </xf>
    <xf numFmtId="0" fontId="0" fillId="0" borderId="20" applyAlignment="1" pivotButton="0" quotePrefix="0" xfId="0">
      <alignment horizontal="distributed" vertical="center" wrapText="1" indent="1"/>
    </xf>
    <xf numFmtId="0" fontId="0" fillId="0" borderId="21" applyAlignment="1" pivotButton="0" quotePrefix="0" xfId="0">
      <alignment horizontal="distributed" vertical="center" wrapText="1" indent="1"/>
    </xf>
    <xf numFmtId="0" fontId="0" fillId="0" borderId="22" applyAlignment="1" pivotButton="0" quotePrefix="0" xfId="0">
      <alignment horizontal="distributed" vertical="center" wrapText="1" indent="1"/>
    </xf>
    <xf numFmtId="49" fontId="94" fillId="0" borderId="16" applyAlignment="1" pivotButton="0" quotePrefix="0" xfId="0">
      <alignment horizontal="center" vertical="center" shrinkToFit="1"/>
    </xf>
    <xf numFmtId="49" fontId="94" fillId="0" borderId="14" applyAlignment="1" pivotButton="0" quotePrefix="0" xfId="0">
      <alignment horizontal="center" vertical="center" shrinkToFit="1"/>
    </xf>
    <xf numFmtId="49" fontId="94" fillId="0" borderId="23" applyAlignment="1" pivotButton="0" quotePrefix="0" xfId="0">
      <alignment horizontal="center" vertical="center" shrinkToFit="1"/>
    </xf>
    <xf numFmtId="167" fontId="47" fillId="0" borderId="170" applyAlignment="1" pivotButton="0" quotePrefix="0" xfId="0">
      <alignment horizontal="center" vertical="center" shrinkToFit="1"/>
    </xf>
    <xf numFmtId="167" fontId="47" fillId="0" borderId="65" applyAlignment="1" pivotButton="0" quotePrefix="0" xfId="0">
      <alignment horizontal="center" vertical="center" shrinkToFit="1"/>
    </xf>
    <xf numFmtId="167" fontId="47" fillId="0" borderId="169" applyAlignment="1" pivotButton="0" quotePrefix="0" xfId="0">
      <alignment horizontal="center" vertical="center" shrinkToFit="1"/>
    </xf>
    <xf numFmtId="167" fontId="47" fillId="0" borderId="27" applyAlignment="1" pivotButton="0" quotePrefix="0" xfId="0">
      <alignment horizontal="center" vertical="center" shrinkToFit="1"/>
    </xf>
    <xf numFmtId="167" fontId="47" fillId="0" borderId="0" applyAlignment="1" pivotButton="0" quotePrefix="0" xfId="0">
      <alignment horizontal="center" vertical="center" shrinkToFit="1"/>
    </xf>
    <xf numFmtId="167" fontId="47" fillId="0" borderId="28" applyAlignment="1" pivotButton="0" quotePrefix="0" xfId="0">
      <alignment horizontal="center" vertical="center" shrinkToFit="1"/>
    </xf>
    <xf numFmtId="167" fontId="47" fillId="0" borderId="20" applyAlignment="1" pivotButton="0" quotePrefix="0" xfId="0">
      <alignment horizontal="center" vertical="center" shrinkToFit="1"/>
    </xf>
    <xf numFmtId="167" fontId="47" fillId="0" borderId="21" applyAlignment="1" pivotButton="0" quotePrefix="0" xfId="0">
      <alignment horizontal="center" vertical="center" shrinkToFit="1"/>
    </xf>
    <xf numFmtId="167" fontId="47" fillId="0" borderId="22" applyAlignment="1" pivotButton="0" quotePrefix="0" xfId="0">
      <alignment horizontal="center" vertical="center" shrinkToFit="1"/>
    </xf>
    <xf numFmtId="164" fontId="43" fillId="29" borderId="65" applyAlignment="1" pivotButton="0" quotePrefix="0" xfId="0">
      <alignment horizontal="center" vertical="center" wrapText="1"/>
    </xf>
    <xf numFmtId="164" fontId="43" fillId="29" borderId="71" applyAlignment="1" pivotButton="0" quotePrefix="0" xfId="0">
      <alignment horizontal="center" vertical="center" wrapText="1"/>
    </xf>
    <xf numFmtId="164" fontId="43" fillId="29" borderId="0" applyAlignment="1" pivotButton="0" quotePrefix="0" xfId="0">
      <alignment horizontal="center" vertical="center" wrapText="1"/>
    </xf>
    <xf numFmtId="164" fontId="43" fillId="29" borderId="48" applyAlignment="1" pivotButton="0" quotePrefix="0" xfId="0">
      <alignment horizontal="center" vertical="center" wrapText="1"/>
    </xf>
    <xf numFmtId="164" fontId="43" fillId="29" borderId="21" applyAlignment="1" pivotButton="0" quotePrefix="0" xfId="0">
      <alignment horizontal="center" vertical="center" wrapText="1"/>
    </xf>
    <xf numFmtId="164" fontId="43" fillId="29" borderId="49" applyAlignment="1" pivotButton="0" quotePrefix="0" xfId="0">
      <alignment horizontal="center" vertical="center" wrapText="1"/>
    </xf>
    <xf numFmtId="49" fontId="47" fillId="0" borderId="110" applyAlignment="1" pivotButton="0" quotePrefix="0" xfId="0">
      <alignment horizontal="center" vertical="center" shrinkToFit="1"/>
    </xf>
    <xf numFmtId="49" fontId="47" fillId="0" borderId="45" applyAlignment="1" pivotButton="0" quotePrefix="0" xfId="0">
      <alignment horizontal="center" vertical="center" shrinkToFit="1"/>
    </xf>
    <xf numFmtId="49" fontId="47" fillId="0" borderId="46" applyAlignment="1" pivotButton="0" quotePrefix="0" xfId="0">
      <alignment horizontal="center" vertical="center" shrinkToFit="1"/>
    </xf>
    <xf numFmtId="49" fontId="47" fillId="0" borderId="47" applyAlignment="1" pivotButton="0" quotePrefix="0" xfId="0">
      <alignment horizontal="center" vertical="center" shrinkToFit="1"/>
    </xf>
    <xf numFmtId="49" fontId="44" fillId="0" borderId="12" applyAlignment="1" pivotButton="0" quotePrefix="0" xfId="0">
      <alignment horizontal="distributed" vertical="center"/>
    </xf>
    <xf numFmtId="49" fontId="44" fillId="0" borderId="19" applyAlignment="1" pivotButton="0" quotePrefix="0" xfId="0">
      <alignment horizontal="distributed" vertical="center"/>
    </xf>
    <xf numFmtId="49" fontId="44" fillId="0" borderId="43" applyAlignment="1" pivotButton="0" quotePrefix="0" xfId="0">
      <alignment horizontal="distributed" vertical="center"/>
    </xf>
    <xf numFmtId="49" fontId="44" fillId="0" borderId="28" applyAlignment="1" pivotButton="0" quotePrefix="0" xfId="0">
      <alignment horizontal="distributed" vertical="center"/>
    </xf>
    <xf numFmtId="49" fontId="44" fillId="0" borderId="72" applyAlignment="1" pivotButton="0" quotePrefix="0" xfId="0">
      <alignment horizontal="distributed" vertical="center"/>
    </xf>
    <xf numFmtId="49" fontId="44" fillId="0" borderId="17" applyAlignment="1" pivotButton="0" quotePrefix="0" xfId="0">
      <alignment horizontal="distributed" vertical="center"/>
    </xf>
    <xf numFmtId="49" fontId="44" fillId="0" borderId="188" applyAlignment="1" pivotButton="0" quotePrefix="0" xfId="0">
      <alignment horizontal="distributed" vertical="center"/>
    </xf>
    <xf numFmtId="49" fontId="24" fillId="0" borderId="65" applyAlignment="1" pivotButton="0" quotePrefix="0" xfId="0">
      <alignment horizontal="left" vertical="center" wrapText="1"/>
    </xf>
    <xf numFmtId="49" fontId="24" fillId="0" borderId="71" applyAlignment="1" pivotButton="0" quotePrefix="0" xfId="0">
      <alignment horizontal="left" vertical="center" wrapText="1"/>
    </xf>
    <xf numFmtId="49" fontId="24" fillId="0" borderId="65" applyAlignment="1" pivotButton="0" quotePrefix="0" xfId="0">
      <alignment horizontal="left" vertical="center"/>
    </xf>
    <xf numFmtId="49" fontId="24" fillId="0" borderId="169" applyAlignment="1" pivotButton="0" quotePrefix="0" xfId="0">
      <alignment horizontal="left" vertical="center"/>
    </xf>
    <xf numFmtId="49" fontId="95" fillId="0" borderId="255" applyAlignment="1" pivotButton="0" quotePrefix="0" xfId="0">
      <alignment horizontal="center" vertical="center"/>
    </xf>
    <xf numFmtId="49" fontId="95" fillId="0" borderId="256" applyAlignment="1" pivotButton="0" quotePrefix="0" xfId="0">
      <alignment horizontal="center" vertical="center"/>
    </xf>
    <xf numFmtId="49" fontId="95" fillId="0" borderId="113" applyAlignment="1" pivotButton="0" quotePrefix="0" xfId="0">
      <alignment horizontal="center" vertical="center"/>
    </xf>
    <xf numFmtId="49" fontId="95" fillId="0" borderId="112" applyAlignment="1" pivotButton="0" quotePrefix="0" xfId="0">
      <alignment horizontal="center" vertical="center"/>
    </xf>
    <xf numFmtId="49" fontId="95" fillId="0" borderId="23" applyAlignment="1" pivotButton="0" quotePrefix="0" xfId="0">
      <alignment horizontal="center" vertical="center"/>
    </xf>
    <xf numFmtId="49" fontId="95" fillId="0" borderId="16" applyAlignment="1" pivotButton="0" quotePrefix="0" xfId="0">
      <alignment horizontal="center" vertical="center"/>
    </xf>
    <xf numFmtId="49" fontId="95" fillId="0" borderId="14" applyAlignment="1" pivotButton="0" quotePrefix="0" xfId="0">
      <alignment horizontal="center" vertical="center"/>
    </xf>
    <xf numFmtId="49" fontId="95" fillId="0" borderId="37" applyAlignment="1" pivotButton="0" quotePrefix="0" xfId="0">
      <alignment horizontal="center" vertical="center"/>
    </xf>
    <xf numFmtId="49" fontId="95" fillId="0" borderId="38" applyAlignment="1" pivotButton="0" quotePrefix="0" xfId="0">
      <alignment horizontal="center" vertical="center"/>
    </xf>
    <xf numFmtId="49" fontId="43" fillId="0" borderId="48" applyAlignment="1" pivotButton="0" quotePrefix="0" xfId="0">
      <alignment horizontal="center" vertical="center"/>
    </xf>
    <xf numFmtId="49" fontId="43" fillId="0" borderId="49" applyAlignment="1" pivotButton="0" quotePrefix="0" xfId="0">
      <alignment horizontal="center" vertical="center"/>
    </xf>
    <xf numFmtId="0" fontId="97" fillId="0" borderId="16" applyAlignment="1" pivotButton="0" quotePrefix="0" xfId="48">
      <alignment horizontal="center" vertical="center"/>
    </xf>
    <xf numFmtId="0" fontId="97" fillId="0" borderId="23" applyAlignment="1" pivotButton="0" quotePrefix="0" xfId="48">
      <alignment horizontal="center" vertical="center"/>
    </xf>
    <xf numFmtId="0" fontId="97" fillId="0" borderId="14" applyAlignment="1" pivotButton="0" quotePrefix="0" xfId="48">
      <alignment horizontal="center" vertical="center"/>
    </xf>
    <xf numFmtId="0" fontId="97" fillId="0" borderId="0" applyAlignment="1" pivotButton="0" quotePrefix="0" xfId="48">
      <alignment horizontal="center" vertical="center"/>
    </xf>
    <xf numFmtId="0" fontId="0" fillId="0" borderId="0" applyAlignment="1" pivotButton="0" quotePrefix="0" xfId="0">
      <alignment horizontal="center" vertical="center"/>
    </xf>
    <xf numFmtId="49" fontId="38" fillId="0" borderId="0" applyAlignment="1" pivotButton="0" quotePrefix="0" xfId="0">
      <alignment vertical="center"/>
    </xf>
    <xf numFmtId="49" fontId="100" fillId="0" borderId="0" applyAlignment="1" pivotButton="0" quotePrefix="0" xfId="0">
      <alignment horizontal="center" vertical="center"/>
    </xf>
    <xf numFmtId="49" fontId="100" fillId="0" borderId="17" applyAlignment="1" pivotButton="0" quotePrefix="0" xfId="0">
      <alignment horizontal="center" vertical="center"/>
    </xf>
    <xf numFmtId="49" fontId="101" fillId="0" borderId="18" applyAlignment="1" pivotButton="0" quotePrefix="0" xfId="0">
      <alignment horizontal="center" vertical="center"/>
    </xf>
    <xf numFmtId="49" fontId="101" fillId="0" borderId="12" applyAlignment="1" pivotButton="0" quotePrefix="0" xfId="0">
      <alignment horizontal="center" vertical="center"/>
    </xf>
    <xf numFmtId="49" fontId="101" fillId="0" borderId="19" applyAlignment="1" pivotButton="0" quotePrefix="0" xfId="0">
      <alignment horizontal="center" vertical="center"/>
    </xf>
    <xf numFmtId="49" fontId="101" fillId="0" borderId="16" applyAlignment="1" pivotButton="0" quotePrefix="0" xfId="0">
      <alignment horizontal="distributed" vertical="center" wrapText="1"/>
    </xf>
    <xf numFmtId="49" fontId="101" fillId="0" borderId="14" applyAlignment="1" pivotButton="0" quotePrefix="0" xfId="0">
      <alignment horizontal="distributed" vertical="center" wrapText="1"/>
    </xf>
    <xf numFmtId="49" fontId="101" fillId="0" borderId="23" applyAlignment="1" pivotButton="0" quotePrefix="0" xfId="0">
      <alignment horizontal="distributed" vertical="center" wrapText="1"/>
    </xf>
    <xf numFmtId="49" fontId="38" fillId="0" borderId="0" applyAlignment="1" pivotButton="0" quotePrefix="0" xfId="0">
      <alignment vertical="center" shrinkToFit="1"/>
    </xf>
    <xf numFmtId="49" fontId="40" fillId="0" borderId="64" applyAlignment="1" pivotButton="0" quotePrefix="0" xfId="0">
      <alignment horizontal="center" vertical="center"/>
    </xf>
    <xf numFmtId="49" fontId="40" fillId="0" borderId="71" applyAlignment="1" pivotButton="0" quotePrefix="0" xfId="0">
      <alignment horizontal="center" vertical="center"/>
    </xf>
    <xf numFmtId="49" fontId="40" fillId="0" borderId="72" applyAlignment="1" pivotButton="0" quotePrefix="0" xfId="0">
      <alignment horizontal="center" vertical="center"/>
    </xf>
    <xf numFmtId="49" fontId="40" fillId="0" borderId="73" applyAlignment="1" pivotButton="0" quotePrefix="0" xfId="0">
      <alignment horizontal="center" vertical="center"/>
    </xf>
    <xf numFmtId="49" fontId="20" fillId="0" borderId="10" applyAlignment="1" pivotButton="0" quotePrefix="0" xfId="0">
      <alignment horizontal="center" vertical="center"/>
    </xf>
    <xf numFmtId="49" fontId="20" fillId="0" borderId="11" applyAlignment="1" pivotButton="0" quotePrefix="0" xfId="0">
      <alignment horizontal="center" vertical="center"/>
    </xf>
    <xf numFmtId="49" fontId="20" fillId="0" borderId="62" applyAlignment="1" pivotButton="0" quotePrefix="0" xfId="0">
      <alignment horizontal="center" vertical="center"/>
    </xf>
    <xf numFmtId="49" fontId="20" fillId="0" borderId="63" applyAlignment="1" pivotButton="0" quotePrefix="0" xfId="0">
      <alignment horizontal="center" vertical="center"/>
    </xf>
    <xf numFmtId="49" fontId="21" fillId="0" borderId="286" applyAlignment="1" pivotButton="0" quotePrefix="0" xfId="0">
      <alignment horizontal="left" vertical="center" shrinkToFit="1"/>
    </xf>
    <xf numFmtId="49" fontId="21" fillId="0" borderId="287" applyAlignment="1" pivotButton="0" quotePrefix="0" xfId="0">
      <alignment horizontal="left" vertical="center" shrinkToFit="1"/>
    </xf>
    <xf numFmtId="49" fontId="21" fillId="0" borderId="220" applyAlignment="1" pivotButton="0" quotePrefix="0" xfId="0">
      <alignment horizontal="left" vertical="center" wrapText="1"/>
    </xf>
    <xf numFmtId="49" fontId="21" fillId="0" borderId="274" applyAlignment="1" pivotButton="0" quotePrefix="0" xfId="0">
      <alignment horizontal="left" vertical="center" wrapText="1"/>
    </xf>
    <xf numFmtId="49" fontId="21" fillId="0" borderId="286" applyAlignment="1" pivotButton="0" quotePrefix="0" xfId="0">
      <alignment horizontal="left" vertical="center" wrapText="1"/>
    </xf>
    <xf numFmtId="49" fontId="21" fillId="0" borderId="287" applyAlignment="1" pivotButton="0" quotePrefix="0" xfId="0">
      <alignment horizontal="left" vertical="center" wrapText="1"/>
    </xf>
    <xf numFmtId="49" fontId="21" fillId="0" borderId="213" applyAlignment="1" pivotButton="0" quotePrefix="0" xfId="0">
      <alignment horizontal="right" vertical="center"/>
    </xf>
    <xf numFmtId="49" fontId="21" fillId="0" borderId="214" applyAlignment="1" pivotButton="0" quotePrefix="0" xfId="0">
      <alignment horizontal="right" vertical="center"/>
    </xf>
    <xf numFmtId="49" fontId="21" fillId="0" borderId="214" applyAlignment="1" pivotButton="0" quotePrefix="0" xfId="0">
      <alignment horizontal="left" vertical="center"/>
    </xf>
    <xf numFmtId="0" fontId="6" fillId="0" borderId="12" applyAlignment="1" pivotButton="0" quotePrefix="0" xfId="0">
      <alignment horizontal="distributed" vertical="center" wrapText="1" indent="1"/>
    </xf>
    <xf numFmtId="0" fontId="6" fillId="0" borderId="19" applyAlignment="1" pivotButton="0" quotePrefix="0" xfId="0">
      <alignment horizontal="distributed" vertical="center" wrapText="1" indent="1"/>
    </xf>
    <xf numFmtId="0" fontId="6" fillId="0" borderId="27" applyAlignment="1" pivotButton="0" quotePrefix="0" xfId="0">
      <alignment horizontal="distributed" vertical="center" wrapText="1" indent="1"/>
    </xf>
    <xf numFmtId="0" fontId="6" fillId="0" borderId="0" applyAlignment="1" pivotButton="0" quotePrefix="0" xfId="0">
      <alignment horizontal="distributed" vertical="center" wrapText="1" indent="1"/>
    </xf>
    <xf numFmtId="0" fontId="6" fillId="0" borderId="28" applyAlignment="1" pivotButton="0" quotePrefix="0" xfId="0">
      <alignment horizontal="distributed" vertical="center" wrapText="1" indent="1"/>
    </xf>
    <xf numFmtId="0" fontId="6" fillId="0" borderId="20" applyAlignment="1" pivotButton="0" quotePrefix="0" xfId="0">
      <alignment horizontal="distributed" vertical="center" wrapText="1" indent="1"/>
    </xf>
    <xf numFmtId="0" fontId="6" fillId="0" borderId="21" applyAlignment="1" pivotButton="0" quotePrefix="0" xfId="0">
      <alignment horizontal="distributed" vertical="center" wrapText="1" indent="1"/>
    </xf>
    <xf numFmtId="0" fontId="6" fillId="0" borderId="22" applyAlignment="1" pivotButton="0" quotePrefix="0" xfId="0">
      <alignment horizontal="distributed" vertical="center" wrapText="1" indent="1"/>
    </xf>
    <xf numFmtId="49" fontId="59" fillId="0" borderId="42" applyAlignment="1" pivotButton="0" quotePrefix="0" xfId="0">
      <alignment horizontal="center" vertical="center" textRotation="255" wrapText="1"/>
    </xf>
    <xf numFmtId="49" fontId="59" fillId="0" borderId="19" applyAlignment="1" pivotButton="0" quotePrefix="0" xfId="0">
      <alignment horizontal="center" vertical="center" textRotation="255" wrapText="1"/>
    </xf>
    <xf numFmtId="0" fontId="0" fillId="0" borderId="43" applyAlignment="1" pivotButton="0" quotePrefix="0" xfId="0">
      <alignment vertical="center"/>
    </xf>
    <xf numFmtId="0" fontId="0" fillId="0" borderId="66" applyAlignment="1" pivotButton="0" quotePrefix="0" xfId="0">
      <alignment vertical="center"/>
    </xf>
    <xf numFmtId="49" fontId="44" fillId="0" borderId="188" applyAlignment="1" pivotButton="0" quotePrefix="0" xfId="0">
      <alignment vertical="center" textRotation="255" shrinkToFit="1"/>
    </xf>
    <xf numFmtId="49" fontId="40" fillId="0" borderId="292" applyAlignment="1" pivotButton="0" quotePrefix="0" xfId="0">
      <alignment horizontal="right" vertical="center" textRotation="255"/>
    </xf>
    <xf numFmtId="49" fontId="52" fillId="0" borderId="0" applyAlignment="1" pivotButton="0" quotePrefix="0" xfId="0">
      <alignment horizontal="distributed" vertical="center" wrapText="1"/>
    </xf>
    <xf numFmtId="49" fontId="52" fillId="0" borderId="28" applyAlignment="1" pivotButton="0" quotePrefix="0" xfId="0">
      <alignment horizontal="distributed" vertical="center" wrapText="1"/>
    </xf>
    <xf numFmtId="49" fontId="40" fillId="0" borderId="286" applyAlignment="1" pivotButton="0" quotePrefix="0" xfId="0">
      <alignment horizontal="center" vertical="center"/>
    </xf>
    <xf numFmtId="49" fontId="20" fillId="0" borderId="286" applyAlignment="1" pivotButton="0" quotePrefix="0" xfId="0">
      <alignment horizontal="right" vertical="center"/>
    </xf>
    <xf numFmtId="49" fontId="40" fillId="0" borderId="273" applyAlignment="1" pivotButton="0" quotePrefix="0" xfId="0">
      <alignment horizontal="distributed" vertical="center"/>
    </xf>
    <xf numFmtId="49" fontId="40" fillId="0" borderId="220" applyAlignment="1" pivotButton="0" quotePrefix="0" xfId="0">
      <alignment horizontal="distributed" vertical="center"/>
    </xf>
    <xf numFmtId="49" fontId="40" fillId="0" borderId="294" applyAlignment="1" pivotButton="0" quotePrefix="0" xfId="0">
      <alignment horizontal="distributed" vertical="center"/>
    </xf>
    <xf numFmtId="49" fontId="20" fillId="0" borderId="295" applyAlignment="1" pivotButton="0" quotePrefix="0" xfId="0">
      <alignment horizontal="right" vertical="center"/>
    </xf>
    <xf numFmtId="49" fontId="20" fillId="0" borderId="220" applyAlignment="1" pivotButton="0" quotePrefix="0" xfId="0">
      <alignment horizontal="right" vertical="center"/>
    </xf>
    <xf numFmtId="49" fontId="40" fillId="0" borderId="220" applyAlignment="1" pivotButton="0" quotePrefix="0" xfId="0">
      <alignment horizontal="center" vertical="center"/>
    </xf>
    <xf numFmtId="49" fontId="20" fillId="0" borderId="286" applyAlignment="1" pivotButton="0" quotePrefix="0" xfId="0">
      <alignment horizontal="center" vertical="center"/>
    </xf>
    <xf numFmtId="49" fontId="40" fillId="0" borderId="285" applyAlignment="1" pivotButton="0" quotePrefix="0" xfId="0">
      <alignment horizontal="distributed" vertical="center"/>
    </xf>
    <xf numFmtId="49" fontId="40" fillId="0" borderId="286" applyAlignment="1" pivotButton="0" quotePrefix="0" xfId="0">
      <alignment horizontal="distributed" vertical="center"/>
    </xf>
    <xf numFmtId="49" fontId="40" fillId="0" borderId="296" applyAlignment="1" pivotButton="0" quotePrefix="0" xfId="0">
      <alignment horizontal="distributed" vertical="center"/>
    </xf>
    <xf numFmtId="49" fontId="20" fillId="0" borderId="297" applyAlignment="1" pivotButton="0" quotePrefix="0" xfId="0">
      <alignment horizontal="right" vertical="center"/>
    </xf>
    <xf numFmtId="49" fontId="40" fillId="0" borderId="292" applyAlignment="1" pivotButton="0" quotePrefix="0" xfId="0">
      <alignment horizontal="left" vertical="center" textRotation="255"/>
    </xf>
    <xf numFmtId="49" fontId="21" fillId="0" borderId="293" applyAlignment="1" pivotButton="0" quotePrefix="0" xfId="0">
      <alignment horizontal="left" vertical="center" wrapText="1"/>
    </xf>
    <xf numFmtId="49" fontId="21" fillId="0" borderId="17" applyAlignment="1" pivotButton="0" quotePrefix="0" xfId="0">
      <alignment horizontal="left" vertical="center" wrapText="1"/>
    </xf>
    <xf numFmtId="49" fontId="21" fillId="0" borderId="73" applyAlignment="1" pivotButton="0" quotePrefix="0" xfId="0">
      <alignment horizontal="left" vertical="center" wrapText="1"/>
    </xf>
    <xf numFmtId="49" fontId="51" fillId="0" borderId="22" applyAlignment="1" pivotButton="0" quotePrefix="0" xfId="0">
      <alignment horizontal="distributed" vertical="center" wrapText="1"/>
    </xf>
    <xf numFmtId="49" fontId="20" fillId="0" borderId="220" applyAlignment="1" pivotButton="0" quotePrefix="0" xfId="0">
      <alignment horizontal="center" vertical="center"/>
    </xf>
    <xf numFmtId="49" fontId="40" fillId="0" borderId="285" applyAlignment="1" pivotButton="0" quotePrefix="0" xfId="0">
      <alignment horizontal="center" vertical="center"/>
    </xf>
    <xf numFmtId="49" fontId="40" fillId="0" borderId="296" applyAlignment="1" pivotButton="0" quotePrefix="0" xfId="0">
      <alignment horizontal="center" vertical="center"/>
    </xf>
    <xf numFmtId="49" fontId="38" fillId="0" borderId="28" applyAlignment="1" pivotButton="0" quotePrefix="0" xfId="0">
      <alignment horizontal="center" vertical="center"/>
    </xf>
    <xf numFmtId="49" fontId="21" fillId="0" borderId="220" applyAlignment="1" pivotButton="0" quotePrefix="0" xfId="0">
      <alignment horizontal="right" vertical="center"/>
    </xf>
    <xf numFmtId="49" fontId="59" fillId="0" borderId="61" applyAlignment="1" pivotButton="0" quotePrefix="0" xfId="0">
      <alignment horizontal="distributed" vertical="center" wrapText="1" indent="2"/>
    </xf>
    <xf numFmtId="49" fontId="59" fillId="0" borderId="14" applyAlignment="1" pivotButton="0" quotePrefix="0" xfId="0">
      <alignment horizontal="distributed" vertical="center" wrapText="1" indent="2"/>
    </xf>
    <xf numFmtId="49" fontId="59" fillId="0" borderId="23" applyAlignment="1" pivotButton="0" quotePrefix="0" xfId="0">
      <alignment horizontal="distributed" vertical="center" wrapText="1" indent="2"/>
    </xf>
    <xf numFmtId="49" fontId="59" fillId="0" borderId="43" applyAlignment="1" pivotButton="0" quotePrefix="0" xfId="0">
      <alignment horizontal="center" vertical="center" wrapText="1"/>
    </xf>
    <xf numFmtId="49" fontId="59" fillId="0" borderId="0" applyAlignment="1" pivotButton="0" quotePrefix="0" xfId="0">
      <alignment horizontal="center" vertical="center" wrapText="1"/>
    </xf>
    <xf numFmtId="49" fontId="59" fillId="0" borderId="28" applyAlignment="1" pivotButton="0" quotePrefix="0" xfId="0">
      <alignment horizontal="center" vertical="center" wrapText="1"/>
    </xf>
    <xf numFmtId="167" fontId="47" fillId="0" borderId="18" applyAlignment="1" pivotButton="0" quotePrefix="0" xfId="0">
      <alignment horizontal="center" vertical="center" shrinkToFit="1"/>
    </xf>
    <xf numFmtId="167" fontId="47" fillId="0" borderId="12" applyAlignment="1" pivotButton="0" quotePrefix="0" xfId="0">
      <alignment horizontal="center" vertical="center" shrinkToFit="1"/>
    </xf>
    <xf numFmtId="167" fontId="47" fillId="0" borderId="19" applyAlignment="1" pivotButton="0" quotePrefix="0" xfId="0">
      <alignment horizontal="center" vertical="center" shrinkToFit="1"/>
    </xf>
    <xf numFmtId="164" fontId="43" fillId="29" borderId="12" applyAlignment="1" pivotButton="0" quotePrefix="0" xfId="0">
      <alignment horizontal="center" vertical="center" wrapText="1"/>
    </xf>
    <xf numFmtId="164" fontId="43" fillId="29" borderId="13" applyAlignment="1" pivotButton="0" quotePrefix="0" xfId="0">
      <alignment horizontal="center" vertical="center" wrapText="1"/>
    </xf>
    <xf numFmtId="49" fontId="93" fillId="0" borderId="16" applyAlignment="1" pivotButton="0" quotePrefix="0" xfId="49">
      <alignment horizontal="center" vertical="center" wrapText="1"/>
    </xf>
    <xf numFmtId="0" fontId="0" fillId="0" borderId="0" pivotButton="0" quotePrefix="0" xfId="0"/>
    <xf numFmtId="49" fontId="21" fillId="24" borderId="291" applyAlignment="1" pivotButton="0" quotePrefix="0" xfId="0">
      <alignment horizontal="center" vertical="center"/>
    </xf>
    <xf numFmtId="0" fontId="0" fillId="0" borderId="65" pivotButton="0" quotePrefix="0" xfId="0"/>
    <xf numFmtId="0" fontId="0" fillId="0" borderId="71" pivotButton="0" quotePrefix="0" xfId="0"/>
    <xf numFmtId="49" fontId="20" fillId="24" borderId="302" applyAlignment="1" pivotButton="0" quotePrefix="0" xfId="0">
      <alignment horizontal="center" vertical="center"/>
    </xf>
    <xf numFmtId="49" fontId="20" fillId="24" borderId="303" applyAlignment="1" pivotButton="0" quotePrefix="0" xfId="0">
      <alignment horizontal="center" vertical="center"/>
    </xf>
    <xf numFmtId="0" fontId="0" fillId="0" borderId="72" pivotButton="0" quotePrefix="0" xfId="0"/>
    <xf numFmtId="0" fontId="0" fillId="0" borderId="17" pivotButton="0" quotePrefix="0" xfId="0"/>
    <xf numFmtId="0" fontId="0" fillId="0" borderId="73" pivotButton="0" quotePrefix="0" xfId="0"/>
    <xf numFmtId="0" fontId="0" fillId="0" borderId="11" pivotButton="0" quotePrefix="0" xfId="0"/>
    <xf numFmtId="0" fontId="0" fillId="0" borderId="63" pivotButton="0" quotePrefix="0" xfId="0"/>
    <xf numFmtId="49" fontId="21" fillId="0" borderId="250" applyAlignment="1" pivotButton="0" quotePrefix="0" xfId="0">
      <alignment horizontal="center" vertical="center" textRotation="255"/>
    </xf>
    <xf numFmtId="49" fontId="21" fillId="0" borderId="271" applyAlignment="1" pivotButton="0" quotePrefix="0" xfId="0">
      <alignment horizontal="center" vertical="center" shrinkToFit="1"/>
    </xf>
    <xf numFmtId="0" fontId="0" fillId="0" borderId="68" pivotButton="0" quotePrefix="0" xfId="0"/>
    <xf numFmtId="0" fontId="0" fillId="0" borderId="69" pivotButton="0" quotePrefix="0" xfId="0"/>
    <xf numFmtId="49" fontId="21" fillId="0" borderId="283" applyAlignment="1" pivotButton="0" quotePrefix="0" xfId="0">
      <alignment horizontal="left" vertical="center" shrinkToFit="1"/>
    </xf>
    <xf numFmtId="0" fontId="0" fillId="0" borderId="70" pivotButton="0" quotePrefix="0" xfId="0"/>
    <xf numFmtId="0" fontId="0" fillId="0" borderId="43" pivotButton="0" quotePrefix="0" xfId="0"/>
    <xf numFmtId="0" fontId="0" fillId="0" borderId="12" pivotButton="0" quotePrefix="0" xfId="0"/>
    <xf numFmtId="0" fontId="0" fillId="0" borderId="19" pivotButton="0" quotePrefix="0" xfId="0"/>
    <xf numFmtId="49" fontId="20" fillId="0" borderId="74" applyAlignment="1" pivotButton="0" quotePrefix="0" xfId="0">
      <alignment horizontal="left" vertical="center" wrapText="1"/>
    </xf>
    <xf numFmtId="0" fontId="0" fillId="0" borderId="13" pivotButton="0" quotePrefix="0" xfId="0"/>
    <xf numFmtId="0" fontId="0" fillId="0" borderId="20" pivotButton="0" quotePrefix="0" xfId="0"/>
    <xf numFmtId="0" fontId="0" fillId="0" borderId="21" pivotButton="0" quotePrefix="0" xfId="0"/>
    <xf numFmtId="0" fontId="0" fillId="0" borderId="22" pivotButton="0" quotePrefix="0" xfId="0"/>
    <xf numFmtId="0" fontId="0" fillId="0" borderId="49" pivotButton="0" quotePrefix="0" xfId="0"/>
    <xf numFmtId="0" fontId="0" fillId="0" borderId="27" pivotButton="0" quotePrefix="0" xfId="0"/>
    <xf numFmtId="0" fontId="0" fillId="0" borderId="28" pivotButton="0" quotePrefix="0" xfId="0"/>
    <xf numFmtId="49" fontId="20" fillId="0" borderId="200" applyAlignment="1" pivotButton="0" quotePrefix="0" xfId="0">
      <alignment horizontal="left" vertical="center"/>
    </xf>
    <xf numFmtId="0" fontId="0" fillId="0" borderId="48" pivotButton="0" quotePrefix="0" xfId="0"/>
    <xf numFmtId="0" fontId="0" fillId="0" borderId="14" pivotButton="0" quotePrefix="0" xfId="0"/>
    <xf numFmtId="0" fontId="0" fillId="0" borderId="23" pivotButton="0" quotePrefix="0" xfId="0"/>
    <xf numFmtId="49" fontId="21" fillId="0" borderId="32" applyAlignment="1" pivotButton="0" quotePrefix="0" xfId="0">
      <alignment horizontal="distributed" vertical="center"/>
    </xf>
    <xf numFmtId="0" fontId="0" fillId="0" borderId="15" pivotButton="0" quotePrefix="0" xfId="0"/>
    <xf numFmtId="0" fontId="0" fillId="0" borderId="66" pivotButton="0" quotePrefix="0" xfId="0"/>
    <xf numFmtId="49" fontId="23" fillId="0" borderId="32" applyAlignment="1" pivotButton="0" quotePrefix="0" xfId="0">
      <alignment horizontal="center" vertical="center"/>
    </xf>
    <xf numFmtId="0" fontId="30" fillId="0" borderId="74" applyAlignment="1" pivotButton="0" quotePrefix="0" xfId="0">
      <alignment horizontal="center" vertical="center"/>
    </xf>
    <xf numFmtId="49" fontId="22" fillId="0" borderId="284" applyAlignment="1" pivotButton="0" quotePrefix="0" xfId="0">
      <alignment horizontal="distributed" vertical="center"/>
    </xf>
    <xf numFmtId="49" fontId="21" fillId="0" borderId="100" applyAlignment="1" pivotButton="0" quotePrefix="0" xfId="0">
      <alignment horizontal="center" vertical="center" textRotation="255"/>
    </xf>
    <xf numFmtId="49" fontId="23" fillId="0" borderId="16" applyAlignment="1" pivotButton="0" quotePrefix="0" xfId="0">
      <alignment horizontal="distributed" vertical="center" wrapText="1"/>
    </xf>
    <xf numFmtId="49" fontId="21" fillId="0" borderId="200" applyAlignment="1" pivotButton="0" quotePrefix="0" xfId="0">
      <alignment vertical="center" shrinkToFit="1"/>
    </xf>
    <xf numFmtId="49" fontId="21" fillId="0" borderId="74" applyAlignment="1" pivotButton="0" quotePrefix="0" xfId="0">
      <alignment horizontal="left" vertical="center"/>
    </xf>
    <xf numFmtId="0" fontId="0" fillId="0" borderId="33" pivotButton="0" quotePrefix="0" xfId="0"/>
    <xf numFmtId="49" fontId="21" fillId="0" borderId="32" applyAlignment="1" pivotButton="0" quotePrefix="0" xfId="0">
      <alignment horizontal="left" vertical="center" wrapText="1"/>
    </xf>
    <xf numFmtId="0" fontId="0" fillId="0" borderId="34" pivotButton="0" quotePrefix="0" xfId="0"/>
    <xf numFmtId="49" fontId="22" fillId="0" borderId="284" applyAlignment="1" pivotButton="0" quotePrefix="0" xfId="0">
      <alignment horizontal="center" vertical="center" textRotation="255"/>
    </xf>
    <xf numFmtId="49" fontId="21" fillId="0" borderId="74" applyAlignment="1" pivotButton="0" quotePrefix="0" xfId="0">
      <alignment vertical="center" wrapText="1"/>
    </xf>
    <xf numFmtId="49" fontId="21" fillId="0" borderId="32" applyAlignment="1" pivotButton="0" quotePrefix="0" xfId="0">
      <alignment horizontal="left" vertical="center"/>
    </xf>
    <xf numFmtId="49" fontId="23" fillId="0" borderId="34" applyAlignment="1" pivotButton="0" quotePrefix="0" xfId="0">
      <alignment vertical="center" wrapText="1"/>
    </xf>
    <xf numFmtId="49" fontId="21" fillId="0" borderId="100" applyAlignment="1" pivotButton="0" quotePrefix="0" xfId="0">
      <alignment horizontal="center" vertical="center" textRotation="255" wrapText="1"/>
    </xf>
    <xf numFmtId="49" fontId="22" fillId="0" borderId="301" applyAlignment="1" pivotButton="0" quotePrefix="0" xfId="0">
      <alignment horizontal="center" vertical="center" wrapText="1"/>
    </xf>
    <xf numFmtId="49" fontId="23" fillId="0" borderId="300" applyAlignment="1" pivotButton="0" quotePrefix="0" xfId="0">
      <alignment horizontal="center" vertical="center"/>
    </xf>
    <xf numFmtId="49" fontId="21" fillId="0" borderId="35" applyAlignment="1" pivotButton="0" quotePrefix="0" xfId="0">
      <alignment vertical="center"/>
    </xf>
    <xf numFmtId="49" fontId="21" fillId="0" borderId="32" applyAlignment="1" pivotButton="0" quotePrefix="0" xfId="0">
      <alignment vertical="center"/>
    </xf>
    <xf numFmtId="49" fontId="22" fillId="0" borderId="32" applyAlignment="1" pivotButton="0" quotePrefix="0" xfId="0">
      <alignment vertical="center" wrapText="1"/>
    </xf>
    <xf numFmtId="0" fontId="30" fillId="0" borderId="32" applyAlignment="1" pivotButton="0" quotePrefix="0" xfId="0">
      <alignment horizontal="center" vertical="center"/>
    </xf>
    <xf numFmtId="49" fontId="23" fillId="0" borderId="35" applyAlignment="1" pivotButton="0" quotePrefix="0" xfId="0">
      <alignment horizontal="center" vertical="center" shrinkToFit="1"/>
    </xf>
    <xf numFmtId="49" fontId="21" fillId="0" borderId="129" applyAlignment="1" pivotButton="0" quotePrefix="0" xfId="0">
      <alignment horizontal="center" vertical="center"/>
    </xf>
    <xf numFmtId="0" fontId="0" fillId="0" borderId="40" pivotButton="0" quotePrefix="0" xfId="0"/>
    <xf numFmtId="0" fontId="0" fillId="0" borderId="41" pivotButton="0" quotePrefix="0" xfId="0"/>
    <xf numFmtId="0" fontId="0" fillId="0" borderId="25" pivotButton="0" quotePrefix="0" xfId="0"/>
    <xf numFmtId="0" fontId="0" fillId="0" borderId="26" pivotButton="0" quotePrefix="0" xfId="0"/>
    <xf numFmtId="49" fontId="23" fillId="0" borderId="32" applyAlignment="1" pivotButton="0" quotePrefix="0" xfId="0">
      <alignment vertical="center" wrapText="1"/>
    </xf>
    <xf numFmtId="49" fontId="21" fillId="0" borderId="35" applyAlignment="1" pivotButton="0" quotePrefix="0" xfId="0">
      <alignment horizontal="center" vertical="center" wrapText="1" justifyLastLine="1"/>
    </xf>
    <xf numFmtId="49" fontId="23" fillId="0" borderId="129" applyAlignment="1" pivotButton="0" quotePrefix="0" xfId="0">
      <alignment horizontal="center" vertical="center" wrapText="1"/>
    </xf>
    <xf numFmtId="0" fontId="0" fillId="0" borderId="29" pivotButton="0" quotePrefix="0" xfId="0"/>
    <xf numFmtId="0" fontId="0" fillId="0" borderId="30" pivotButton="0" quotePrefix="0" xfId="0"/>
    <xf numFmtId="0" fontId="0" fillId="0" borderId="31" pivotButton="0" quotePrefix="0" xfId="0"/>
    <xf numFmtId="49" fontId="22" fillId="0" borderId="74" applyAlignment="1" pivotButton="0" quotePrefix="0" xfId="0">
      <alignment horizontal="left" vertical="center"/>
    </xf>
    <xf numFmtId="49" fontId="21" fillId="0" borderId="74" applyAlignment="1" pivotButton="0" quotePrefix="0" xfId="0">
      <alignment vertical="center"/>
    </xf>
    <xf numFmtId="49" fontId="21" fillId="0" borderId="32" applyAlignment="1" pivotButton="0" quotePrefix="0" xfId="0">
      <alignment vertical="center" wrapText="1"/>
    </xf>
    <xf numFmtId="49" fontId="22" fillId="0" borderId="200" applyAlignment="1" pivotButton="0" quotePrefix="0" xfId="0">
      <alignment vertical="center"/>
    </xf>
    <xf numFmtId="49" fontId="21" fillId="0" borderId="275" applyAlignment="1" pivotButton="0" quotePrefix="0" xfId="0">
      <alignment vertical="center"/>
    </xf>
    <xf numFmtId="0" fontId="0" fillId="0" borderId="45" pivotButton="0" quotePrefix="0" xfId="0"/>
    <xf numFmtId="0" fontId="0" fillId="0" borderId="46" pivotButton="0" quotePrefix="0" xfId="0"/>
    <xf numFmtId="0" fontId="0" fillId="0" borderId="47" pivotButton="0" quotePrefix="0" xfId="0"/>
    <xf numFmtId="49" fontId="21" fillId="0" borderId="210" applyAlignment="1" pivotButton="0" quotePrefix="0" xfId="0">
      <alignment horizontal="center" vertical="center"/>
    </xf>
    <xf numFmtId="0" fontId="0" fillId="0" borderId="76" pivotButton="0" quotePrefix="0" xfId="0"/>
    <xf numFmtId="0" fontId="0" fillId="0" borderId="77" pivotButton="0" quotePrefix="0" xfId="0"/>
    <xf numFmtId="49" fontId="23" fillId="0" borderId="210" applyAlignment="1" pivotButton="0" quotePrefix="0" xfId="0">
      <alignment horizontal="distributed" vertical="center"/>
    </xf>
    <xf numFmtId="49" fontId="21" fillId="0" borderId="210" applyAlignment="1" pivotButton="0" quotePrefix="0" xfId="0">
      <alignment horizontal="left" vertical="center"/>
    </xf>
    <xf numFmtId="49" fontId="32" fillId="0" borderId="283" applyAlignment="1" pivotButton="0" quotePrefix="0" xfId="0">
      <alignment horizontal="left" vertical="center" shrinkToFit="1"/>
    </xf>
    <xf numFmtId="49" fontId="34" fillId="0" borderId="74" applyAlignment="1" pivotButton="0" quotePrefix="0" xfId="0">
      <alignment horizontal="left" vertical="center" wrapText="1"/>
    </xf>
    <xf numFmtId="49" fontId="34" fillId="0" borderId="200" applyAlignment="1" pivotButton="0" quotePrefix="0" xfId="0">
      <alignment horizontal="left" vertical="center"/>
    </xf>
    <xf numFmtId="0" fontId="35" fillId="0" borderId="74" applyAlignment="1" pivotButton="0" quotePrefix="0" xfId="0">
      <alignment horizontal="center" vertical="center"/>
    </xf>
    <xf numFmtId="49" fontId="24" fillId="0" borderId="32" applyAlignment="1" pivotButton="0" quotePrefix="0" xfId="0">
      <alignment horizontal="center" vertical="center"/>
    </xf>
    <xf numFmtId="49" fontId="32" fillId="0" borderId="200" applyAlignment="1" pivotButton="0" quotePrefix="0" xfId="0">
      <alignment vertical="center" wrapText="1"/>
    </xf>
    <xf numFmtId="49" fontId="32" fillId="0" borderId="15" applyAlignment="1" pivotButton="0" quotePrefix="0" xfId="0">
      <alignment horizontal="left" vertical="center" wrapText="1"/>
    </xf>
    <xf numFmtId="49" fontId="32" fillId="0" borderId="74" applyAlignment="1" pivotButton="0" quotePrefix="0" xfId="0">
      <alignment horizontal="left" vertical="center" wrapText="1"/>
    </xf>
    <xf numFmtId="49" fontId="32" fillId="0" borderId="74" applyAlignment="1" pivotButton="0" quotePrefix="0" xfId="0">
      <alignment vertical="center" wrapText="1"/>
    </xf>
    <xf numFmtId="49" fontId="33" fillId="0" borderId="34" applyAlignment="1" pivotButton="0" quotePrefix="0" xfId="0">
      <alignment vertical="center" wrapText="1"/>
    </xf>
    <xf numFmtId="49" fontId="32" fillId="0" borderId="32" applyAlignment="1" pivotButton="0" quotePrefix="0" xfId="0">
      <alignment horizontal="center" vertical="center"/>
    </xf>
    <xf numFmtId="49" fontId="21" fillId="0" borderId="284" applyAlignment="1" pivotButton="0" quotePrefix="0" xfId="0">
      <alignment horizontal="center" vertical="center" textRotation="255" wrapText="1"/>
    </xf>
    <xf numFmtId="49" fontId="32" fillId="0" borderId="35" applyAlignment="1" pivotButton="0" quotePrefix="0" xfId="0">
      <alignment horizontal="center" vertical="center"/>
    </xf>
    <xf numFmtId="49" fontId="32" fillId="0" borderId="74" applyAlignment="1" pivotButton="0" quotePrefix="0" xfId="0">
      <alignment horizontal="left" vertical="center"/>
    </xf>
    <xf numFmtId="49" fontId="36" fillId="0" borderId="74" applyAlignment="1" pivotButton="0" quotePrefix="0" xfId="0">
      <alignment horizontal="left" vertical="center"/>
    </xf>
    <xf numFmtId="49" fontId="32" fillId="0" borderId="74" applyAlignment="1" pivotButton="0" quotePrefix="0" xfId="0">
      <alignment vertical="center"/>
    </xf>
    <xf numFmtId="49" fontId="36" fillId="0" borderId="200" applyAlignment="1" pivotButton="0" quotePrefix="0" xfId="0">
      <alignment vertical="center"/>
    </xf>
    <xf numFmtId="49" fontId="40" fillId="24" borderId="291" applyAlignment="1" pivotButton="0" quotePrefix="0" xfId="0">
      <alignment horizontal="center" vertical="center"/>
    </xf>
    <xf numFmtId="49" fontId="40" fillId="0" borderId="250" applyAlignment="1" pivotButton="0" quotePrefix="0" xfId="0">
      <alignment horizontal="center" vertical="center" textRotation="255"/>
    </xf>
    <xf numFmtId="49" fontId="40" fillId="0" borderId="271" applyAlignment="1" pivotButton="0" quotePrefix="0" xfId="0">
      <alignment horizontal="center" vertical="center" shrinkToFit="1"/>
    </xf>
    <xf numFmtId="49" fontId="40" fillId="0" borderId="32" applyAlignment="1" pivotButton="0" quotePrefix="0" xfId="0">
      <alignment horizontal="center" vertical="center" shrinkToFit="1"/>
    </xf>
    <xf numFmtId="49" fontId="41" fillId="0" borderId="74" applyAlignment="1" pivotButton="0" quotePrefix="0" xfId="0">
      <alignment horizontal="left" vertical="center" wrapText="1"/>
    </xf>
    <xf numFmtId="49" fontId="21" fillId="0" borderId="15" applyAlignment="1" pivotButton="0" quotePrefix="0" xfId="0">
      <alignment horizontal="left" wrapText="1"/>
    </xf>
    <xf numFmtId="49" fontId="40" fillId="0" borderId="32" applyAlignment="1" pivotButton="0" quotePrefix="0" xfId="0">
      <alignment horizontal="distributed" vertical="center"/>
    </xf>
    <xf numFmtId="49" fontId="43" fillId="0" borderId="32" applyAlignment="1" pivotButton="0" quotePrefix="0" xfId="0">
      <alignment horizontal="center" vertical="center"/>
    </xf>
    <xf numFmtId="0" fontId="38" fillId="0" borderId="74" applyAlignment="1" pivotButton="0" quotePrefix="0" xfId="0">
      <alignment horizontal="center" vertical="center"/>
    </xf>
    <xf numFmtId="49" fontId="44" fillId="0" borderId="284" applyAlignment="1" pivotButton="0" quotePrefix="0" xfId="0">
      <alignment horizontal="distributed" vertical="center"/>
    </xf>
    <xf numFmtId="49" fontId="40" fillId="0" borderId="100" applyAlignment="1" pivotButton="0" quotePrefix="0" xfId="0">
      <alignment horizontal="center" vertical="center" textRotation="255"/>
    </xf>
    <xf numFmtId="0" fontId="0" fillId="0" borderId="112" pivotButton="0" quotePrefix="0" xfId="0"/>
    <xf numFmtId="0" fontId="0" fillId="0" borderId="152" pivotButton="0" quotePrefix="0" xfId="0"/>
    <xf numFmtId="0" fontId="0" fillId="0" borderId="143" pivotButton="0" quotePrefix="0" xfId="0"/>
    <xf numFmtId="0" fontId="0" fillId="0" borderId="134" pivotButton="0" quotePrefix="0" xfId="0"/>
    <xf numFmtId="0" fontId="0" fillId="0" borderId="142" pivotButton="0" quotePrefix="0" xfId="0"/>
    <xf numFmtId="0" fontId="0" fillId="0" borderId="130" pivotButton="0" quotePrefix="0" xfId="0"/>
    <xf numFmtId="49" fontId="40" fillId="0" borderId="35" applyAlignment="1" pivotButton="0" quotePrefix="0" xfId="0">
      <alignment horizontal="left" vertical="center"/>
    </xf>
    <xf numFmtId="49" fontId="24" fillId="0" borderId="259" applyAlignment="1" pivotButton="0" quotePrefix="0" xfId="0">
      <alignment horizontal="left" vertical="center" shrinkToFit="1"/>
    </xf>
    <xf numFmtId="49" fontId="40" fillId="0" borderId="34" applyAlignment="1" pivotButton="0" quotePrefix="0" xfId="0">
      <alignment horizontal="left" vertical="center"/>
    </xf>
    <xf numFmtId="0" fontId="0" fillId="0" borderId="114" pivotButton="0" quotePrefix="0" xfId="0"/>
    <xf numFmtId="0" fontId="0" fillId="0" borderId="118" pivotButton="0" quotePrefix="0" xfId="0"/>
    <xf numFmtId="0" fontId="0" fillId="0" borderId="119" pivotButton="0" quotePrefix="0" xfId="0"/>
    <xf numFmtId="0" fontId="0" fillId="0" borderId="151" pivotButton="0" quotePrefix="0" xfId="0"/>
    <xf numFmtId="49" fontId="44" fillId="0" borderId="32" applyAlignment="1" pivotButton="0" quotePrefix="0" xfId="0">
      <alignment horizontal="distributed" vertical="center"/>
    </xf>
    <xf numFmtId="49" fontId="21" fillId="0" borderId="141" applyAlignment="1" pivotButton="0" quotePrefix="0" xfId="0">
      <alignment horizontal="left" vertical="center"/>
    </xf>
    <xf numFmtId="0" fontId="0" fillId="0" borderId="101" pivotButton="0" quotePrefix="0" xfId="0"/>
    <xf numFmtId="49" fontId="21" fillId="0" borderId="139" applyAlignment="1" pivotButton="0" quotePrefix="0" xfId="0">
      <alignment horizontal="left" vertical="center"/>
    </xf>
    <xf numFmtId="49" fontId="40" fillId="0" borderId="32" applyAlignment="1" pivotButton="0" quotePrefix="0" xfId="0">
      <alignment horizontal="left" vertical="center" textRotation="255" wrapText="1"/>
    </xf>
    <xf numFmtId="49" fontId="22" fillId="0" borderId="36" applyAlignment="1" pivotButton="0" quotePrefix="0" xfId="0">
      <alignment horizontal="center" vertical="center" shrinkToFit="1"/>
    </xf>
    <xf numFmtId="0" fontId="0" fillId="0" borderId="103" pivotButton="0" quotePrefix="0" xfId="0"/>
    <xf numFmtId="49" fontId="40" fillId="0" borderId="32" applyAlignment="1" pivotButton="0" quotePrefix="0" xfId="0">
      <alignment horizontal="left" vertical="center"/>
    </xf>
    <xf numFmtId="0" fontId="0" fillId="0" borderId="104" pivotButton="0" quotePrefix="0" xfId="0"/>
    <xf numFmtId="49" fontId="22" fillId="0" borderId="259" applyAlignment="1" pivotButton="0" quotePrefix="0" xfId="0">
      <alignment horizontal="center" vertical="center" shrinkToFit="1"/>
    </xf>
    <xf numFmtId="0" fontId="0" fillId="0" borderId="106" pivotButton="0" quotePrefix="0" xfId="0"/>
    <xf numFmtId="0" fontId="0" fillId="0" borderId="107" pivotButton="0" quotePrefix="0" xfId="0"/>
    <xf numFmtId="49" fontId="22" fillId="0" borderId="200" applyAlignment="1" pivotButton="0" quotePrefix="0" xfId="0">
      <alignment horizontal="center" vertical="center" shrinkToFit="1"/>
    </xf>
    <xf numFmtId="0" fontId="0" fillId="0" borderId="108" pivotButton="0" quotePrefix="0" xfId="0"/>
    <xf numFmtId="0" fontId="0" fillId="0" borderId="109" pivotButton="0" quotePrefix="0" xfId="0"/>
    <xf numFmtId="49" fontId="39" fillId="0" borderId="35" applyAlignment="1" pivotButton="0" quotePrefix="0" xfId="0">
      <alignment horizontal="center" vertical="center"/>
    </xf>
    <xf numFmtId="49" fontId="21" fillId="0" borderId="135" applyAlignment="1" pivotButton="0" quotePrefix="0" xfId="0">
      <alignment horizontal="left" vertical="center"/>
    </xf>
    <xf numFmtId="49" fontId="40" fillId="0" borderId="284" applyAlignment="1" pivotButton="0" quotePrefix="0" xfId="0">
      <alignment horizontal="center" vertical="center" textRotation="255"/>
    </xf>
    <xf numFmtId="49" fontId="40" fillId="0" borderId="74" applyAlignment="1" pivotButton="0" quotePrefix="0" xfId="0">
      <alignment horizontal="center" vertical="center"/>
    </xf>
    <xf numFmtId="49" fontId="21" fillId="0" borderId="74" applyAlignment="1" pivotButton="0" quotePrefix="0" xfId="0">
      <alignment horizontal="distributed" vertical="center"/>
    </xf>
    <xf numFmtId="49" fontId="40" fillId="0" borderId="14" applyAlignment="1" pivotButton="0" quotePrefix="0" xfId="0">
      <alignment horizontal="distributed" vertical="center" wrapText="1"/>
    </xf>
    <xf numFmtId="49" fontId="38" fillId="0" borderId="23" applyAlignment="1" pivotButton="0" quotePrefix="0" xfId="0">
      <alignment vertical="center"/>
    </xf>
    <xf numFmtId="49" fontId="22" fillId="0" borderId="74" applyAlignment="1" pivotButton="0" quotePrefix="0" xfId="0">
      <alignment horizontal="left" vertical="center" wrapText="1"/>
    </xf>
    <xf numFmtId="49" fontId="23" fillId="0" borderId="74" applyAlignment="1" pivotButton="0" quotePrefix="0" xfId="0">
      <alignment horizontal="left" vertical="center" wrapText="1"/>
    </xf>
    <xf numFmtId="49" fontId="25" fillId="24" borderId="74" applyAlignment="1" pivotButton="0" quotePrefix="0" xfId="0">
      <alignment horizontal="left" vertical="center"/>
    </xf>
    <xf numFmtId="49" fontId="25" fillId="0" borderId="74" applyAlignment="1" pivotButton="0" quotePrefix="0" xfId="0">
      <alignment horizontal="left" vertical="center"/>
    </xf>
    <xf numFmtId="49" fontId="21" fillId="0" borderId="36" applyAlignment="1" pivotButton="0" quotePrefix="0" xfId="0">
      <alignment horizontal="left" vertical="center"/>
    </xf>
    <xf numFmtId="49" fontId="40" fillId="0" borderId="32" applyAlignment="1" pivotButton="0" quotePrefix="0" xfId="0">
      <alignment horizontal="left" vertical="center" textRotation="255"/>
    </xf>
    <xf numFmtId="49" fontId="21" fillId="0" borderId="74" applyAlignment="1" pivotButton="0" quotePrefix="0" xfId="0">
      <alignment horizontal="left" vertical="center" wrapText="1"/>
    </xf>
    <xf numFmtId="49" fontId="43" fillId="0" borderId="32" applyAlignment="1" pivotButton="0" quotePrefix="0" xfId="0">
      <alignment horizontal="center" vertical="center" textRotation="255" wrapText="1"/>
    </xf>
    <xf numFmtId="49" fontId="21" fillId="0" borderId="14" applyAlignment="1" pivotButton="0" quotePrefix="0" xfId="0">
      <alignment vertical="center" wrapText="1"/>
    </xf>
    <xf numFmtId="49" fontId="24" fillId="0" borderId="32" applyAlignment="1" pivotButton="0" quotePrefix="0" xfId="0">
      <alignment horizontal="left" vertical="center" wrapText="1"/>
    </xf>
    <xf numFmtId="49" fontId="40" fillId="0" borderId="275" applyAlignment="1" pivotButton="0" quotePrefix="0" xfId="0">
      <alignment horizontal="center" vertical="center"/>
    </xf>
    <xf numFmtId="49" fontId="40" fillId="0" borderId="307" applyAlignment="1" pivotButton="0" quotePrefix="0" xfId="0">
      <alignment vertical="center" wrapText="1"/>
    </xf>
    <xf numFmtId="49" fontId="24" fillId="0" borderId="283" applyAlignment="1" pivotButton="0" quotePrefix="0" xfId="0">
      <alignment horizontal="left" vertical="center" shrinkToFit="1"/>
    </xf>
    <xf numFmtId="49" fontId="45" fillId="0" borderId="74" applyAlignment="1" pivotButton="0" quotePrefix="0" xfId="0">
      <alignment horizontal="left" vertical="center" wrapText="1"/>
    </xf>
    <xf numFmtId="49" fontId="35" fillId="0" borderId="15" applyAlignment="1" pivotButton="0" quotePrefix="0" xfId="0">
      <alignment horizontal="left" wrapText="1"/>
    </xf>
    <xf numFmtId="0" fontId="46" fillId="0" borderId="74" applyAlignment="1" pivotButton="0" quotePrefix="0" xfId="0">
      <alignment horizontal="center" vertical="center"/>
    </xf>
    <xf numFmtId="49" fontId="39" fillId="0" borderId="78" applyAlignment="1" pivotButton="0" quotePrefix="0" xfId="0">
      <alignment horizontal="center" vertical="center"/>
    </xf>
    <xf numFmtId="49" fontId="39" fillId="0" borderId="79" applyAlignment="1" pivotButton="0" quotePrefix="0" xfId="0">
      <alignment horizontal="center" vertical="center"/>
    </xf>
    <xf numFmtId="49" fontId="39" fillId="0" borderId="168" applyAlignment="1" pivotButton="0" quotePrefix="0" xfId="0">
      <alignment horizontal="center" vertical="center" wrapText="1"/>
    </xf>
    <xf numFmtId="49" fontId="49" fillId="0" borderId="90" applyAlignment="1" pivotButton="0" quotePrefix="0" xfId="0">
      <alignment horizontal="center" vertical="center"/>
    </xf>
    <xf numFmtId="49" fontId="49" fillId="0" borderId="91" applyAlignment="1" pivotButton="0" quotePrefix="0" xfId="0">
      <alignment horizontal="center" vertical="center"/>
    </xf>
    <xf numFmtId="49" fontId="49" fillId="0" borderId="92" applyAlignment="1" pivotButton="0" quotePrefix="0" xfId="0">
      <alignment horizontal="center" vertical="center" wrapText="1"/>
    </xf>
    <xf numFmtId="0" fontId="0" fillId="0" borderId="116" pivotButton="0" quotePrefix="0" xfId="0"/>
    <xf numFmtId="0" fontId="0" fillId="0" borderId="121" pivotButton="0" quotePrefix="0" xfId="0"/>
    <xf numFmtId="49" fontId="40" fillId="0" borderId="255" applyAlignment="1" pivotButton="0" quotePrefix="0" xfId="0">
      <alignment horizontal="center" vertical="center"/>
    </xf>
    <xf numFmtId="0" fontId="0" fillId="0" borderId="122" pivotButton="0" quotePrefix="0" xfId="0"/>
    <xf numFmtId="49" fontId="40" fillId="0" borderId="256" applyAlignment="1" pivotButton="0" quotePrefix="0" xfId="0">
      <alignment horizontal="center" vertical="center"/>
    </xf>
    <xf numFmtId="49" fontId="21" fillId="0" borderId="308" applyAlignment="1" pivotButton="0" quotePrefix="0" xfId="0">
      <alignment horizontal="center" vertical="center" wrapText="1"/>
    </xf>
    <xf numFmtId="0" fontId="0" fillId="0" borderId="124" pivotButton="0" quotePrefix="0" xfId="0"/>
    <xf numFmtId="49" fontId="24" fillId="0" borderId="141" applyAlignment="1" pivotButton="0" quotePrefix="0" xfId="0">
      <alignment horizontal="center" vertical="center"/>
    </xf>
    <xf numFmtId="49" fontId="24" fillId="0" borderId="139" applyAlignment="1" pivotButton="0" quotePrefix="0" xfId="0">
      <alignment horizontal="center" vertical="center"/>
    </xf>
    <xf numFmtId="49" fontId="48" fillId="0" borderId="36" applyAlignment="1" pivotButton="0" quotePrefix="0" xfId="0">
      <alignment horizontal="center" vertical="center" shrinkToFit="1"/>
    </xf>
    <xf numFmtId="49" fontId="24" fillId="0" borderId="32" applyAlignment="1" pivotButton="0" quotePrefix="0" xfId="0">
      <alignment horizontal="center" vertical="center" shrinkToFit="1"/>
    </xf>
    <xf numFmtId="49" fontId="24" fillId="0" borderId="32" applyAlignment="1" pivotButton="0" quotePrefix="0" xfId="0">
      <alignment horizontal="left" vertical="center"/>
    </xf>
    <xf numFmtId="49" fontId="24" fillId="0" borderId="74" applyAlignment="1" pivotButton="0" quotePrefix="0" xfId="0">
      <alignment horizontal="distributed" vertical="center"/>
    </xf>
    <xf numFmtId="49" fontId="24" fillId="0" borderId="74" applyAlignment="1" pivotButton="0" quotePrefix="0" xfId="0">
      <alignment horizontal="center" vertical="center"/>
    </xf>
    <xf numFmtId="49" fontId="48" fillId="0" borderId="74" applyAlignment="1" pivotButton="0" quotePrefix="0" xfId="0">
      <alignment horizontal="left" vertical="center" wrapText="1"/>
    </xf>
    <xf numFmtId="49" fontId="47" fillId="0" borderId="74" applyAlignment="1" pivotButton="0" quotePrefix="0" xfId="0">
      <alignment horizontal="left" vertical="center" wrapText="1"/>
    </xf>
    <xf numFmtId="49" fontId="50" fillId="0" borderId="74" applyAlignment="1" pivotButton="0" quotePrefix="0" xfId="0">
      <alignment horizontal="left" vertical="center"/>
    </xf>
    <xf numFmtId="49" fontId="24" fillId="0" borderId="36" applyAlignment="1" pivotButton="0" quotePrefix="0" xfId="0">
      <alignment horizontal="left" vertical="center"/>
    </xf>
    <xf numFmtId="49" fontId="43" fillId="0" borderId="111" applyAlignment="1" pivotButton="0" quotePrefix="0" xfId="0">
      <alignment horizontal="distributed" vertical="center"/>
    </xf>
    <xf numFmtId="0" fontId="0" fillId="0" borderId="126" pivotButton="0" quotePrefix="0" xfId="0"/>
    <xf numFmtId="0" fontId="0" fillId="0" borderId="127" pivotButton="0" quotePrefix="0" xfId="0"/>
    <xf numFmtId="49" fontId="24" fillId="0" borderId="74" applyAlignment="1" pivotButton="0" quotePrefix="0" xfId="0">
      <alignment horizontal="left" vertical="center"/>
    </xf>
    <xf numFmtId="49" fontId="40" fillId="0" borderId="35" applyAlignment="1" pivotButton="0" quotePrefix="0" xfId="0">
      <alignment horizontal="center" vertical="center" shrinkToFit="1"/>
    </xf>
    <xf numFmtId="49" fontId="40" fillId="0" borderId="61" applyAlignment="1" pivotButton="0" quotePrefix="0" xfId="0">
      <alignment horizontal="center" vertical="center" textRotation="255"/>
    </xf>
    <xf numFmtId="49" fontId="40" fillId="0" borderId="32" applyAlignment="1" pivotButton="0" quotePrefix="0" xfId="0">
      <alignment horizontal="center" vertical="center" textRotation="255"/>
    </xf>
    <xf numFmtId="49" fontId="40" fillId="0" borderId="284" applyAlignment="1" pivotButton="0" quotePrefix="0" xfId="0">
      <alignment horizontal="center" vertical="center" textRotation="255" wrapText="1"/>
    </xf>
    <xf numFmtId="49" fontId="44" fillId="0" borderId="311" applyAlignment="1" pivotButton="0" quotePrefix="0" xfId="0">
      <alignment horizontal="left" vertical="center" wrapText="1"/>
    </xf>
    <xf numFmtId="49" fontId="44" fillId="0" borderId="32" applyAlignment="1" pivotButton="0" quotePrefix="0" xfId="0">
      <alignment horizontal="center" vertical="center" wrapText="1" shrinkToFit="1"/>
    </xf>
    <xf numFmtId="49" fontId="43" fillId="0" borderId="32" applyAlignment="1" pivotButton="0" quotePrefix="0" xfId="0">
      <alignment horizontal="distributed" vertical="center"/>
    </xf>
    <xf numFmtId="168" fontId="21" fillId="0" borderId="78" applyAlignment="1" pivotButton="0" quotePrefix="0" xfId="0">
      <alignment horizontal="center" vertical="center"/>
    </xf>
    <xf numFmtId="168" fontId="21" fillId="0" borderId="79" applyAlignment="1" pivotButton="0" quotePrefix="0" xfId="0">
      <alignment horizontal="center" vertical="center"/>
    </xf>
    <xf numFmtId="169" fontId="21" fillId="0" borderId="32" applyAlignment="1" pivotButton="0" quotePrefix="0" xfId="0">
      <alignment horizontal="center" vertical="center"/>
    </xf>
    <xf numFmtId="49" fontId="20" fillId="24" borderId="74" applyAlignment="1" pivotButton="0" quotePrefix="0" xfId="0">
      <alignment horizontal="center" vertical="center"/>
    </xf>
    <xf numFmtId="49" fontId="40" fillId="0" borderId="78" applyAlignment="1" pivotButton="0" quotePrefix="0" xfId="0">
      <alignment horizontal="right" vertical="center" textRotation="255"/>
    </xf>
    <xf numFmtId="49" fontId="40" fillId="0" borderId="78" applyAlignment="1" pivotButton="0" quotePrefix="0" xfId="0">
      <alignment horizontal="left" vertical="center" textRotation="255"/>
    </xf>
    <xf numFmtId="49" fontId="21" fillId="0" borderId="168" applyAlignment="1" pivotButton="0" quotePrefix="0" xfId="0">
      <alignment horizontal="left" vertical="center" wrapText="1"/>
    </xf>
    <xf numFmtId="0" fontId="0" fillId="0" borderId="84" pivotButton="0" quotePrefix="0" xfId="0"/>
    <xf numFmtId="0" fontId="0" fillId="0" borderId="133" pivotButton="0" quotePrefix="0" xfId="0"/>
    <xf numFmtId="0" fontId="0" fillId="0" borderId="132" pivotButton="0" quotePrefix="0" xfId="0"/>
    <xf numFmtId="0" fontId="0" fillId="0" borderId="131" pivotButton="0" quotePrefix="0" xfId="0"/>
    <xf numFmtId="0" fontId="0" fillId="0" borderId="87" pivotButton="0" quotePrefix="0" xfId="0"/>
    <xf numFmtId="49" fontId="40" fillId="0" borderId="90" applyAlignment="1" pivotButton="0" quotePrefix="0" xfId="0">
      <alignment horizontal="distributed" vertical="center"/>
    </xf>
    <xf numFmtId="49" fontId="40" fillId="0" borderId="40" applyAlignment="1" pivotButton="0" quotePrefix="0" xfId="0">
      <alignment horizontal="distributed" vertical="center"/>
    </xf>
    <xf numFmtId="49" fontId="40" fillId="0" borderId="94" applyAlignment="1" pivotButton="0" quotePrefix="0" xfId="0">
      <alignment horizontal="distributed" vertical="center"/>
    </xf>
    <xf numFmtId="0" fontId="0" fillId="0" borderId="145" pivotButton="0" quotePrefix="0" xfId="0"/>
    <xf numFmtId="0" fontId="0" fillId="0" borderId="147" pivotButton="0" quotePrefix="0" xfId="0"/>
    <xf numFmtId="49" fontId="40" fillId="0" borderId="118" applyAlignment="1" pivotButton="0" quotePrefix="0" xfId="0">
      <alignment horizontal="distributed" vertical="center"/>
    </xf>
    <xf numFmtId="49" fontId="43" fillId="0" borderId="255" applyAlignment="1" pivotButton="0" quotePrefix="0" xfId="0">
      <alignment horizontal="distributed" vertical="center"/>
    </xf>
    <xf numFmtId="49" fontId="40" fillId="0" borderId="25" applyAlignment="1" pivotButton="0" quotePrefix="0" xfId="0">
      <alignment horizontal="distributed" vertical="center"/>
    </xf>
    <xf numFmtId="49" fontId="39" fillId="0" borderId="36" applyAlignment="1" pivotButton="0" quotePrefix="0" xfId="0">
      <alignment vertical="center"/>
    </xf>
    <xf numFmtId="49" fontId="39" fillId="0" borderId="259" applyAlignment="1" pivotButton="0" quotePrefix="0" xfId="0">
      <alignment vertical="center"/>
    </xf>
    <xf numFmtId="49" fontId="58" fillId="0" borderId="32" applyAlignment="1" pivotButton="0" quotePrefix="0" xfId="0">
      <alignment horizontal="center" vertical="center" wrapText="1" shrinkToFit="1"/>
    </xf>
    <xf numFmtId="168" fontId="24" fillId="0" borderId="78" applyAlignment="1" pivotButton="0" quotePrefix="0" xfId="0">
      <alignment horizontal="center" vertical="center"/>
    </xf>
    <xf numFmtId="168" fontId="57" fillId="0" borderId="79" applyAlignment="1" pivotButton="0" quotePrefix="0" xfId="0">
      <alignment horizontal="center" vertical="center"/>
    </xf>
    <xf numFmtId="169" fontId="24" fillId="0" borderId="32" applyAlignment="1" pivotButton="0" quotePrefix="0" xfId="0">
      <alignment horizontal="center" vertical="center"/>
    </xf>
    <xf numFmtId="169" fontId="57" fillId="0" borderId="32" applyAlignment="1" pivotButton="0" quotePrefix="0" xfId="0">
      <alignment horizontal="center" vertical="center"/>
    </xf>
    <xf numFmtId="49" fontId="55" fillId="0" borderId="141" applyAlignment="1" pivotButton="0" quotePrefix="0" xfId="0">
      <alignment horizontal="center" vertical="center"/>
    </xf>
    <xf numFmtId="49" fontId="55" fillId="0" borderId="140" applyAlignment="1" pivotButton="0" quotePrefix="0" xfId="0">
      <alignment horizontal="center" vertical="center"/>
    </xf>
    <xf numFmtId="49" fontId="40" fillId="0" borderId="116" applyAlignment="1" pivotButton="0" quotePrefix="0" xfId="0">
      <alignment vertical="center"/>
    </xf>
    <xf numFmtId="0" fontId="0" fillId="0" borderId="149" pivotButton="0" quotePrefix="0" xfId="0"/>
    <xf numFmtId="49" fontId="40" fillId="0" borderId="121" applyAlignment="1" pivotButton="0" quotePrefix="0" xfId="0">
      <alignment vertical="center"/>
    </xf>
    <xf numFmtId="49" fontId="40" fillId="0" borderId="124" applyAlignment="1" pivotButton="0" quotePrefix="0" xfId="0">
      <alignment vertical="center"/>
    </xf>
    <xf numFmtId="49" fontId="24" fillId="0" borderId="168" applyAlignment="1" pivotButton="0" quotePrefix="0" xfId="0">
      <alignment horizontal="left" vertical="center" wrapText="1"/>
    </xf>
    <xf numFmtId="49" fontId="55" fillId="0" borderId="139" applyAlignment="1" pivotButton="0" quotePrefix="0" xfId="0">
      <alignment horizontal="center" vertical="center"/>
    </xf>
    <xf numFmtId="49" fontId="54" fillId="0" borderId="38" applyAlignment="1" pivotButton="0" quotePrefix="0" xfId="0">
      <alignment horizontal="center" vertical="center"/>
    </xf>
    <xf numFmtId="49" fontId="20" fillId="0" borderId="15" applyAlignment="1" pivotButton="0" quotePrefix="0" xfId="0">
      <alignment horizontal="left" wrapText="1"/>
    </xf>
    <xf numFmtId="49" fontId="21" fillId="0" borderId="259" applyAlignment="1" pivotButton="0" quotePrefix="0" xfId="0">
      <alignment horizontal="left" vertical="center" shrinkToFit="1"/>
    </xf>
    <xf numFmtId="49" fontId="43" fillId="0" borderId="32" applyAlignment="1" pivotButton="0" quotePrefix="0" xfId="0">
      <alignment horizontal="distributed" vertical="center" wrapText="1"/>
    </xf>
    <xf numFmtId="49" fontId="43" fillId="0" borderId="33" applyAlignment="1" pivotButton="0" quotePrefix="0" xfId="0">
      <alignment horizontal="distributed" vertical="center" wrapText="1"/>
    </xf>
    <xf numFmtId="49" fontId="43" fillId="0" borderId="33" applyAlignment="1" pivotButton="0" quotePrefix="0" xfId="0">
      <alignment horizontal="center" vertical="center" shrinkToFit="1"/>
    </xf>
    <xf numFmtId="49" fontId="40" fillId="0" borderId="313" applyAlignment="1" pivotButton="0" quotePrefix="0" xfId="0">
      <alignment horizontal="center" vertical="center" wrapText="1"/>
    </xf>
    <xf numFmtId="0" fontId="0" fillId="0" borderId="161" pivotButton="0" quotePrefix="0" xfId="0"/>
    <xf numFmtId="0" fontId="0" fillId="0" borderId="162" pivotButton="0" quotePrefix="0" xfId="0"/>
    <xf numFmtId="49" fontId="40" fillId="0" borderId="314" applyAlignment="1" pivotButton="0" quotePrefix="0" xfId="0">
      <alignment horizontal="center" vertical="center" wrapText="1"/>
    </xf>
    <xf numFmtId="0" fontId="0" fillId="0" borderId="165" pivotButton="0" quotePrefix="0" xfId="0"/>
    <xf numFmtId="0" fontId="0" fillId="0" borderId="166" pivotButton="0" quotePrefix="0" xfId="0"/>
    <xf numFmtId="49" fontId="51" fillId="0" borderId="33" applyAlignment="1" pivotButton="0" quotePrefix="0" xfId="0">
      <alignment horizontal="center" vertical="center"/>
    </xf>
    <xf numFmtId="49" fontId="40" fillId="0" borderId="33" applyAlignment="1" pivotButton="0" quotePrefix="0" xfId="0">
      <alignment horizontal="center" vertical="center" wrapText="1"/>
    </xf>
    <xf numFmtId="49" fontId="40" fillId="0" borderId="35" applyAlignment="1" pivotButton="0" quotePrefix="0" xfId="0">
      <alignment horizontal="center" vertical="center" wrapText="1"/>
    </xf>
    <xf numFmtId="49" fontId="43" fillId="0" borderId="35" applyAlignment="1" pivotButton="0" quotePrefix="0" xfId="0">
      <alignment horizontal="center" vertical="center"/>
    </xf>
    <xf numFmtId="49" fontId="43" fillId="0" borderId="36" applyAlignment="1" pivotButton="0" quotePrefix="0" xfId="0">
      <alignment horizontal="center" vertical="center"/>
    </xf>
    <xf numFmtId="167" fontId="21" fillId="0" borderId="78" applyAlignment="1" pivotButton="0" quotePrefix="0" xfId="0">
      <alignment horizontal="center" vertical="center"/>
    </xf>
    <xf numFmtId="167" fontId="21" fillId="0" borderId="79" applyAlignment="1" pivotButton="0" quotePrefix="0" xfId="0">
      <alignment horizontal="center" vertical="center"/>
    </xf>
    <xf numFmtId="49" fontId="43" fillId="0" borderId="34" applyAlignment="1" pivotButton="0" quotePrefix="0" xfId="0">
      <alignment horizontal="center" vertical="center"/>
    </xf>
    <xf numFmtId="164" fontId="23" fillId="0" borderId="32" applyAlignment="1" pivotButton="0" quotePrefix="0" xfId="0">
      <alignment horizontal="center" vertical="center" shrinkToFit="1"/>
    </xf>
    <xf numFmtId="164" fontId="23" fillId="0" borderId="74" applyAlignment="1" pivotButton="0" quotePrefix="0" xfId="0">
      <alignment horizontal="center" vertical="center" shrinkToFit="1"/>
    </xf>
    <xf numFmtId="164" fontId="23" fillId="0" borderId="18" applyAlignment="1" pivotButton="0" quotePrefix="0" xfId="0">
      <alignment horizontal="center" vertical="center" shrinkToFit="1"/>
    </xf>
    <xf numFmtId="164" fontId="23" fillId="0" borderId="12" applyAlignment="1" pivotButton="0" quotePrefix="0" xfId="0">
      <alignment horizontal="center" vertical="center" shrinkToFit="1"/>
    </xf>
    <xf numFmtId="164" fontId="43" fillId="0" borderId="12" applyAlignment="1" pivotButton="0" quotePrefix="0" xfId="0">
      <alignment horizontal="center" vertical="center" shrinkToFit="1"/>
    </xf>
    <xf numFmtId="164" fontId="43" fillId="0" borderId="19" applyAlignment="1" pivotButton="0" quotePrefix="0" xfId="0">
      <alignment horizontal="center" vertical="center" shrinkToFit="1"/>
    </xf>
    <xf numFmtId="164" fontId="43" fillId="0" borderId="32" applyAlignment="1" pivotButton="0" quotePrefix="0" xfId="0">
      <alignment horizontal="center" vertical="center" wrapText="1" shrinkToFit="1"/>
    </xf>
    <xf numFmtId="164" fontId="43" fillId="0" borderId="15" applyAlignment="1" pivotButton="0" quotePrefix="0" xfId="0">
      <alignment horizontal="left" vertical="center" shrinkToFit="1"/>
    </xf>
    <xf numFmtId="49" fontId="43" fillId="0" borderId="103" applyAlignment="1" pivotButton="0" quotePrefix="0" xfId="0">
      <alignment horizontal="distributed" vertical="center" wrapText="1" indent="1"/>
    </xf>
    <xf numFmtId="164" fontId="23" fillId="0" borderId="27" applyAlignment="1" pivotButton="0" quotePrefix="0" xfId="0">
      <alignment horizontal="center" vertical="center" shrinkToFit="1"/>
    </xf>
    <xf numFmtId="164" fontId="43" fillId="0" borderId="0" applyAlignment="1" pivotButton="0" quotePrefix="0" xfId="0">
      <alignment horizontal="center" vertical="center" shrinkToFit="1"/>
    </xf>
    <xf numFmtId="164" fontId="23" fillId="0" borderId="0" applyAlignment="1" pivotButton="0" quotePrefix="0" xfId="0">
      <alignment horizontal="center" vertical="center" shrinkToFit="1"/>
    </xf>
    <xf numFmtId="164" fontId="43" fillId="0" borderId="28" applyAlignment="1" pivotButton="0" quotePrefix="0" xfId="0">
      <alignment horizontal="center" vertical="center" shrinkToFit="1"/>
    </xf>
    <xf numFmtId="164" fontId="23" fillId="0" borderId="20" applyAlignment="1" pivotButton="0" quotePrefix="0" xfId="0">
      <alignment horizontal="center" vertical="center" shrinkToFit="1"/>
    </xf>
    <xf numFmtId="164" fontId="23" fillId="0" borderId="21" applyAlignment="1" pivotButton="0" quotePrefix="0" xfId="0">
      <alignment horizontal="center" vertical="center" shrinkToFit="1"/>
    </xf>
    <xf numFmtId="164" fontId="43" fillId="0" borderId="21" applyAlignment="1" pivotButton="0" quotePrefix="0" xfId="0">
      <alignment horizontal="center" vertical="center" shrinkToFit="1"/>
    </xf>
    <xf numFmtId="164" fontId="43" fillId="0" borderId="22" applyAlignment="1" pivotButton="0" quotePrefix="0" xfId="0">
      <alignment horizontal="center" vertical="center" shrinkToFit="1"/>
    </xf>
    <xf numFmtId="49" fontId="40" fillId="0" borderId="284" applyAlignment="1" pivotButton="0" quotePrefix="0" xfId="0">
      <alignment horizontal="distributed" vertical="center" wrapText="1"/>
    </xf>
    <xf numFmtId="49" fontId="40" fillId="24" borderId="74" applyAlignment="1" pivotButton="0" quotePrefix="0" xfId="0">
      <alignment horizontal="center" vertical="center" shrinkToFit="1"/>
    </xf>
    <xf numFmtId="170" fontId="21" fillId="0" borderId="16" applyAlignment="1" pivotButton="0" quotePrefix="0" xfId="0">
      <alignment horizontal="right" vertical="center" wrapText="1"/>
    </xf>
    <xf numFmtId="165" fontId="40" fillId="0" borderId="23" applyAlignment="1" pivotButton="0" quotePrefix="0" xfId="0">
      <alignment horizontal="left" vertical="center" wrapText="1"/>
    </xf>
    <xf numFmtId="165" fontId="21" fillId="0" borderId="16" applyAlignment="1" pivotButton="0" quotePrefix="0" xfId="0">
      <alignment horizontal="right" vertical="center" wrapText="1"/>
    </xf>
    <xf numFmtId="171" fontId="21" fillId="0" borderId="16" applyAlignment="1" pivotButton="0" quotePrefix="0" xfId="0">
      <alignment horizontal="right" vertical="center" wrapText="1"/>
    </xf>
    <xf numFmtId="49" fontId="44" fillId="0" borderId="100" applyAlignment="1" pivotButton="0" quotePrefix="0" xfId="0">
      <alignment horizontal="center" vertical="center"/>
    </xf>
    <xf numFmtId="49" fontId="43" fillId="0" borderId="35" applyAlignment="1" pivotButton="0" quotePrefix="0" xfId="0">
      <alignment horizontal="distributed" vertical="center"/>
    </xf>
    <xf numFmtId="49" fontId="40" fillId="0" borderId="282" applyAlignment="1" pivotButton="0" quotePrefix="0" xfId="0">
      <alignment horizontal="center" vertical="center" textRotation="255"/>
    </xf>
    <xf numFmtId="0" fontId="0" fillId="0" borderId="169" pivotButton="0" quotePrefix="0" xfId="0"/>
    <xf numFmtId="49" fontId="43" fillId="0" borderId="192" applyAlignment="1" pivotButton="0" quotePrefix="0" xfId="0">
      <alignment horizontal="distributed" vertical="center"/>
    </xf>
    <xf numFmtId="0" fontId="0" fillId="0" borderId="171" pivotButton="0" quotePrefix="0" xfId="0"/>
    <xf numFmtId="0" fontId="0" fillId="0" borderId="172" pivotButton="0" quotePrefix="0" xfId="0"/>
    <xf numFmtId="0" fontId="0" fillId="0" borderId="173" pivotButton="0" quotePrefix="0" xfId="0"/>
    <xf numFmtId="49" fontId="44" fillId="0" borderId="284" applyAlignment="1" pivotButton="0" quotePrefix="0" xfId="0">
      <alignment horizontal="center" vertical="center" textRotation="255" wrapText="1"/>
    </xf>
    <xf numFmtId="49" fontId="51" fillId="0" borderId="311" applyAlignment="1" pivotButton="0" quotePrefix="0" xfId="0">
      <alignment horizontal="left" vertical="center" wrapText="1"/>
    </xf>
    <xf numFmtId="49" fontId="43" fillId="0" borderId="74" applyAlignment="1" pivotButton="0" quotePrefix="0" xfId="0">
      <alignment horizontal="center" vertical="center"/>
    </xf>
    <xf numFmtId="167" fontId="21" fillId="0" borderId="80" applyAlignment="1" pivotButton="0" quotePrefix="0" xfId="0">
      <alignment horizontal="center" vertical="center"/>
    </xf>
    <xf numFmtId="167" fontId="21" fillId="0" borderId="168" applyAlignment="1" pivotButton="0" quotePrefix="0" xfId="0">
      <alignment horizontal="center" vertical="center"/>
    </xf>
    <xf numFmtId="164" fontId="23" fillId="0" borderId="35" applyAlignment="1" pivotButton="0" quotePrefix="0" xfId="0">
      <alignment horizontal="center" vertical="center" shrinkToFit="1"/>
    </xf>
    <xf numFmtId="164" fontId="23" fillId="0" borderId="36" applyAlignment="1" pivotButton="0" quotePrefix="0" xfId="0">
      <alignment horizontal="center" vertical="center" shrinkToFit="1"/>
    </xf>
    <xf numFmtId="49" fontId="51" fillId="0" borderId="315" applyAlignment="1" pivotButton="0" quotePrefix="0" xfId="0">
      <alignment horizontal="left" vertical="center" wrapText="1"/>
    </xf>
    <xf numFmtId="0" fontId="0" fillId="0" borderId="179" pivotButton="0" quotePrefix="0" xfId="0"/>
    <xf numFmtId="0" fontId="0" fillId="0" borderId="187" pivotButton="0" quotePrefix="0" xfId="0"/>
    <xf numFmtId="167" fontId="43" fillId="0" borderId="318" applyAlignment="1" pivotButton="0" quotePrefix="0" xfId="0">
      <alignment horizontal="center" vertical="center" shrinkToFit="1"/>
    </xf>
    <xf numFmtId="0" fontId="0" fillId="0" borderId="178" pivotButton="0" quotePrefix="0" xfId="0"/>
    <xf numFmtId="0" fontId="0" fillId="0" borderId="202" pivotButton="0" quotePrefix="0" xfId="0"/>
    <xf numFmtId="167" fontId="43" fillId="0" borderId="32" applyAlignment="1" pivotButton="0" quotePrefix="0" xfId="0">
      <alignment horizontal="center" vertical="center" shrinkToFit="1"/>
    </xf>
    <xf numFmtId="167" fontId="43" fillId="0" borderId="16" applyAlignment="1" pivotButton="0" quotePrefix="0" xfId="0">
      <alignment horizontal="center" vertical="center" shrinkToFit="1"/>
    </xf>
    <xf numFmtId="167" fontId="43" fillId="0" borderId="74" applyAlignment="1" pivotButton="0" quotePrefix="0" xfId="0">
      <alignment horizontal="center" vertical="center" shrinkToFit="1"/>
    </xf>
    <xf numFmtId="167" fontId="43" fillId="0" borderId="78" applyAlignment="1" pivotButton="0" quotePrefix="0" xfId="0">
      <alignment horizontal="center" vertical="center"/>
    </xf>
    <xf numFmtId="167" fontId="43" fillId="0" borderId="80" applyAlignment="1" pivotButton="0" quotePrefix="0" xfId="0">
      <alignment horizontal="center" vertical="center"/>
    </xf>
    <xf numFmtId="167" fontId="43" fillId="0" borderId="87" applyAlignment="1" pivotButton="0" quotePrefix="0" xfId="0">
      <alignment horizontal="center" vertical="center"/>
    </xf>
    <xf numFmtId="167" fontId="43" fillId="0" borderId="184" applyAlignment="1" pivotButton="0" quotePrefix="0" xfId="0">
      <alignment horizontal="center" vertical="center"/>
    </xf>
    <xf numFmtId="167" fontId="59" fillId="0" borderId="32" applyAlignment="1" pivotButton="0" quotePrefix="0" xfId="0">
      <alignment horizontal="center" vertical="center" shrinkToFit="1"/>
    </xf>
    <xf numFmtId="167" fontId="59" fillId="0" borderId="16" applyAlignment="1" pivotButton="0" quotePrefix="0" xfId="0">
      <alignment horizontal="center" vertical="center" shrinkToFit="1"/>
    </xf>
    <xf numFmtId="167" fontId="59" fillId="0" borderId="74" applyAlignment="1" pivotButton="0" quotePrefix="0" xfId="0">
      <alignment horizontal="center" vertical="center" shrinkToFit="1"/>
    </xf>
    <xf numFmtId="167" fontId="43" fillId="0" borderId="79" applyAlignment="1" pivotButton="0" quotePrefix="0" xfId="0">
      <alignment horizontal="center" vertical="center"/>
    </xf>
    <xf numFmtId="167" fontId="43" fillId="0" borderId="88" applyAlignment="1" pivotButton="0" quotePrefix="0" xfId="0">
      <alignment horizontal="center" vertical="center"/>
    </xf>
    <xf numFmtId="49" fontId="44" fillId="0" borderId="315" applyAlignment="1" pivotButton="0" quotePrefix="0" xfId="0">
      <alignment horizontal="left" vertical="center" wrapText="1"/>
    </xf>
    <xf numFmtId="167" fontId="23" fillId="0" borderId="242" applyAlignment="1" pivotButton="0" quotePrefix="0" xfId="0">
      <alignment horizontal="center" vertical="center" shrinkToFit="1"/>
    </xf>
    <xf numFmtId="0" fontId="0" fillId="0" borderId="185" pivotButton="0" quotePrefix="0" xfId="0"/>
    <xf numFmtId="167" fontId="23" fillId="0" borderId="316" applyAlignment="1" pivotButton="0" quotePrefix="0" xfId="0">
      <alignment horizontal="center" vertical="center" shrinkToFit="1"/>
    </xf>
    <xf numFmtId="167" fontId="23" fillId="0" borderId="317" applyAlignment="1" pivotButton="0" quotePrefix="0" xfId="0">
      <alignment horizontal="center" vertical="center" shrinkToFit="1"/>
    </xf>
    <xf numFmtId="0" fontId="0" fillId="0" borderId="180" pivotButton="0" quotePrefix="0" xfId="0"/>
    <xf numFmtId="164" fontId="23" fillId="0" borderId="19" applyAlignment="1" pivotButton="0" quotePrefix="0" xfId="0">
      <alignment horizontal="center" vertical="center" shrinkToFit="1"/>
    </xf>
    <xf numFmtId="164" fontId="43" fillId="0" borderId="32" applyAlignment="1" pivotButton="0" quotePrefix="0" xfId="0">
      <alignment horizontal="center" vertical="center" shrinkToFit="1"/>
    </xf>
    <xf numFmtId="167" fontId="23" fillId="0" borderId="16" applyAlignment="1" pivotButton="0" quotePrefix="0" xfId="0">
      <alignment horizontal="right" vertical="center" shrinkToFit="1"/>
    </xf>
    <xf numFmtId="164" fontId="43" fillId="0" borderId="23" applyAlignment="1" pivotButton="0" quotePrefix="0" xfId="0">
      <alignment horizontal="center" vertical="center" shrinkToFit="1"/>
    </xf>
    <xf numFmtId="164" fontId="43" fillId="24" borderId="74" applyAlignment="1" pivotButton="0" quotePrefix="0" xfId="0">
      <alignment horizontal="center" vertical="center" wrapText="1"/>
    </xf>
    <xf numFmtId="164" fontId="23" fillId="0" borderId="28" applyAlignment="1" pivotButton="0" quotePrefix="0" xfId="0">
      <alignment horizontal="center" vertical="center" shrinkToFit="1"/>
    </xf>
    <xf numFmtId="164" fontId="23" fillId="0" borderId="22" applyAlignment="1" pivotButton="0" quotePrefix="0" xfId="0">
      <alignment horizontal="center" vertical="center" shrinkToFit="1"/>
    </xf>
    <xf numFmtId="49" fontId="40" fillId="0" borderId="284" applyAlignment="1" pivotButton="0" quotePrefix="0" xfId="0">
      <alignment horizontal="center" vertical="center" wrapText="1"/>
    </xf>
    <xf numFmtId="49" fontId="44" fillId="24" borderId="36" applyAlignment="1" pivotButton="0" quotePrefix="0" xfId="0">
      <alignment horizontal="left" wrapText="1"/>
    </xf>
    <xf numFmtId="49" fontId="44" fillId="24" borderId="200" applyAlignment="1" pivotButton="0" quotePrefix="0" xfId="0">
      <alignment horizontal="left" vertical="center" shrinkToFit="1"/>
    </xf>
    <xf numFmtId="49" fontId="43" fillId="0" borderId="275" applyAlignment="1" pivotButton="0" quotePrefix="0" xfId="0">
      <alignment horizontal="center" vertical="center" wrapText="1"/>
    </xf>
    <xf numFmtId="49" fontId="44" fillId="0" borderId="32" applyAlignment="1" pivotButton="0" quotePrefix="0" xfId="0">
      <alignment horizontal="center" vertical="center" shrinkToFit="1"/>
    </xf>
    <xf numFmtId="165" fontId="21" fillId="24" borderId="18" applyAlignment="1" pivotButton="0" quotePrefix="0" xfId="0">
      <alignment vertical="center" shrinkToFit="1"/>
    </xf>
    <xf numFmtId="165" fontId="40" fillId="24" borderId="12" applyAlignment="1" pivotButton="0" quotePrefix="0" xfId="0">
      <alignment horizontal="left" vertical="center" wrapText="1"/>
    </xf>
    <xf numFmtId="165" fontId="21" fillId="24" borderId="12" applyAlignment="1" pivotButton="0" quotePrefix="0" xfId="0">
      <alignment vertical="center" wrapText="1"/>
    </xf>
    <xf numFmtId="166" fontId="21" fillId="24" borderId="12" applyAlignment="1" pivotButton="0" quotePrefix="0" xfId="0">
      <alignment vertical="center" wrapText="1"/>
    </xf>
    <xf numFmtId="166" fontId="21" fillId="24" borderId="12" applyAlignment="1" pivotButton="0" quotePrefix="0" xfId="0">
      <alignment vertical="center" shrinkToFit="1"/>
    </xf>
    <xf numFmtId="165" fontId="40" fillId="24" borderId="13" applyAlignment="1" pivotButton="0" quotePrefix="0" xfId="0">
      <alignment horizontal="center" vertical="center" wrapText="1"/>
    </xf>
    <xf numFmtId="0" fontId="0" fillId="0" borderId="188" pivotButton="0" quotePrefix="0" xfId="0"/>
    <xf numFmtId="165" fontId="21" fillId="24" borderId="189" applyAlignment="1" pivotButton="0" quotePrefix="0" xfId="0">
      <alignment vertical="center" shrinkToFit="1"/>
    </xf>
    <xf numFmtId="165" fontId="40" fillId="24" borderId="17" applyAlignment="1" pivotButton="0" quotePrefix="0" xfId="0">
      <alignment horizontal="left" vertical="center" wrapText="1"/>
    </xf>
    <xf numFmtId="165" fontId="21" fillId="24" borderId="17" applyAlignment="1" pivotButton="0" quotePrefix="0" xfId="0">
      <alignment vertical="center" wrapText="1"/>
    </xf>
    <xf numFmtId="166" fontId="40" fillId="24" borderId="17" applyAlignment="1" pivotButton="0" quotePrefix="0" xfId="0">
      <alignment horizontal="left" vertical="center" wrapText="1"/>
    </xf>
    <xf numFmtId="166" fontId="21" fillId="24" borderId="17" applyAlignment="1" pivotButton="0" quotePrefix="0" xfId="0">
      <alignment vertical="center" wrapText="1"/>
    </xf>
    <xf numFmtId="166" fontId="21" fillId="24" borderId="17" applyAlignment="1" pivotButton="0" quotePrefix="0" xfId="0">
      <alignment vertical="center" shrinkToFit="1"/>
    </xf>
    <xf numFmtId="165" fontId="40" fillId="24" borderId="73" applyAlignment="1" pivotButton="0" quotePrefix="0" xfId="0">
      <alignment horizontal="center" vertical="center" wrapText="1"/>
    </xf>
    <xf numFmtId="49" fontId="40" fillId="0" borderId="192" applyAlignment="1" pivotButton="0" quotePrefix="0" xfId="0">
      <alignment horizontal="left" vertical="center" textRotation="255"/>
    </xf>
    <xf numFmtId="0" fontId="0" fillId="0" borderId="198" pivotButton="0" quotePrefix="0" xfId="0"/>
    <xf numFmtId="0" fontId="0" fillId="0" borderId="189" pivotButton="0" quotePrefix="0" xfId="0"/>
    <xf numFmtId="0" fontId="0" fillId="0" borderId="292" pivotButton="0" quotePrefix="0" xfId="0"/>
    <xf numFmtId="49" fontId="40" fillId="0" borderId="141" applyAlignment="1" pivotButton="0" quotePrefix="0" xfId="0">
      <alignment horizontal="center" vertical="center" textRotation="255"/>
    </xf>
    <xf numFmtId="49" fontId="44" fillId="0" borderId="23" applyAlignment="1" pivotButton="0" quotePrefix="0" xfId="0">
      <alignment vertical="center" textRotation="255" shrinkToFit="1"/>
    </xf>
    <xf numFmtId="49" fontId="40" fillId="0" borderId="141" applyAlignment="1" pivotButton="0" quotePrefix="0" xfId="0">
      <alignment horizontal="left" vertical="center" textRotation="255"/>
    </xf>
    <xf numFmtId="49" fontId="40" fillId="0" borderId="32" applyAlignment="1" pivotButton="0" quotePrefix="0" xfId="0">
      <alignment horizontal="distributed" vertical="center" wrapText="1"/>
    </xf>
    <xf numFmtId="49" fontId="44" fillId="0" borderId="32" applyAlignment="1" pivotButton="0" quotePrefix="0" xfId="0">
      <alignment horizontal="distributed" vertical="center" wrapText="1"/>
    </xf>
    <xf numFmtId="49" fontId="43" fillId="0" borderId="141" applyAlignment="1" pivotButton="0" quotePrefix="0" xfId="0">
      <alignment horizontal="distributed" vertical="center"/>
    </xf>
    <xf numFmtId="49" fontId="39" fillId="24" borderId="74" applyAlignment="1" pivotButton="0" quotePrefix="0" xfId="0">
      <alignment horizontal="left" vertical="center"/>
    </xf>
    <xf numFmtId="49" fontId="43" fillId="0" borderId="14" applyAlignment="1" pivotButton="0" quotePrefix="0" xfId="0">
      <alignment horizontal="distributed" vertical="center" wrapText="1" shrinkToFit="1"/>
    </xf>
    <xf numFmtId="49" fontId="39" fillId="0" borderId="16" applyAlignment="1" pivotButton="0" quotePrefix="0" xfId="0">
      <alignment horizontal="left" vertical="center"/>
    </xf>
    <xf numFmtId="49" fontId="60" fillId="0" borderId="78" applyAlignment="1" pivotButton="0" quotePrefix="0" xfId="0">
      <alignment horizontal="distributed" vertical="center" wrapText="1"/>
    </xf>
    <xf numFmtId="49" fontId="21" fillId="0" borderId="32" applyAlignment="1" pivotButton="0" quotePrefix="0" xfId="0">
      <alignment horizontal="left" vertical="center" shrinkToFit="1"/>
    </xf>
    <xf numFmtId="49" fontId="39" fillId="0" borderId="111" applyAlignment="1" pivotButton="0" quotePrefix="0" xfId="0">
      <alignment horizontal="distributed" vertical="center"/>
    </xf>
    <xf numFmtId="49" fontId="34" fillId="0" borderId="15" applyAlignment="1" pivotButton="0" quotePrefix="0" xfId="0">
      <alignment horizontal="left" wrapText="1"/>
    </xf>
    <xf numFmtId="49" fontId="24" fillId="0" borderId="141" applyAlignment="1" pivotButton="0" quotePrefix="0" xfId="0">
      <alignment horizontal="left" vertical="center"/>
    </xf>
    <xf numFmtId="49" fontId="24" fillId="0" borderId="139" applyAlignment="1" pivotButton="0" quotePrefix="0" xfId="0">
      <alignment horizontal="left" vertical="center"/>
    </xf>
    <xf numFmtId="49" fontId="47" fillId="0" borderId="35" applyAlignment="1" pivotButton="0" quotePrefix="0" xfId="0">
      <alignment horizontal="center" vertical="center" shrinkToFit="1"/>
    </xf>
    <xf numFmtId="49" fontId="47" fillId="0" borderId="36" applyAlignment="1" pivotButton="0" quotePrefix="0" xfId="0">
      <alignment horizontal="center" vertical="center" shrinkToFit="1"/>
    </xf>
    <xf numFmtId="49" fontId="43" fillId="0" borderId="318" applyAlignment="1" pivotButton="0" quotePrefix="0" xfId="0">
      <alignment horizontal="center" vertical="center" shrinkToFit="1"/>
    </xf>
    <xf numFmtId="49" fontId="43" fillId="0" borderId="32" applyAlignment="1" pivotButton="0" quotePrefix="0" xfId="0">
      <alignment horizontal="center" vertical="center" shrinkToFit="1"/>
    </xf>
    <xf numFmtId="49" fontId="43" fillId="0" borderId="74" applyAlignment="1" pivotButton="0" quotePrefix="0" xfId="0">
      <alignment horizontal="center" vertical="center" shrinkToFit="1"/>
    </xf>
    <xf numFmtId="49" fontId="43" fillId="0" borderId="321" applyAlignment="1" pivotButton="0" quotePrefix="0" xfId="0">
      <alignment horizontal="center" vertical="center"/>
    </xf>
    <xf numFmtId="0" fontId="0" fillId="0" borderId="204" pivotButton="0" quotePrefix="0" xfId="0"/>
    <xf numFmtId="0" fontId="0" fillId="0" borderId="205" pivotButton="0" quotePrefix="0" xfId="0"/>
    <xf numFmtId="49" fontId="47" fillId="0" borderId="321" applyAlignment="1" pivotButton="0" quotePrefix="0" xfId="0">
      <alignment horizontal="center" vertical="center" shrinkToFit="1"/>
    </xf>
    <xf numFmtId="49" fontId="47" fillId="0" borderId="322" applyAlignment="1" pivotButton="0" quotePrefix="0" xfId="0">
      <alignment horizontal="center" vertical="center" shrinkToFit="1"/>
    </xf>
    <xf numFmtId="0" fontId="0" fillId="0" borderId="206" pivotButton="0" quotePrefix="0" xfId="0"/>
    <xf numFmtId="49" fontId="43" fillId="0" borderId="200" applyAlignment="1" pivotButton="0" quotePrefix="0" xfId="0">
      <alignment horizontal="center" vertical="center" shrinkToFit="1"/>
    </xf>
    <xf numFmtId="49" fontId="59" fillId="0" borderId="32" applyAlignment="1" pivotButton="0" quotePrefix="0" xfId="0">
      <alignment horizontal="center" vertical="center" shrinkToFit="1"/>
    </xf>
    <xf numFmtId="49" fontId="59" fillId="0" borderId="74" applyAlignment="1" pivotButton="0" quotePrefix="0" xfId="0">
      <alignment horizontal="center" vertical="center" shrinkToFit="1"/>
    </xf>
    <xf numFmtId="49" fontId="47" fillId="0" borderId="242" applyAlignment="1" pivotButton="0" quotePrefix="0" xfId="0">
      <alignment horizontal="center" vertical="center" shrinkToFit="1"/>
    </xf>
    <xf numFmtId="49" fontId="47" fillId="0" borderId="316" applyAlignment="1" pivotButton="0" quotePrefix="0" xfId="0">
      <alignment horizontal="center" vertical="center" shrinkToFit="1"/>
    </xf>
    <xf numFmtId="49" fontId="23" fillId="0" borderId="317" applyAlignment="1" pivotButton="0" quotePrefix="0" xfId="0">
      <alignment horizontal="center" vertical="center" shrinkToFit="1"/>
    </xf>
    <xf numFmtId="49" fontId="39" fillId="0" borderId="111" applyAlignment="1" pivotButton="0" quotePrefix="0" xfId="0">
      <alignment horizontal="center" vertical="center"/>
    </xf>
    <xf numFmtId="0" fontId="0" fillId="0" borderId="209" pivotButton="0" quotePrefix="0" xfId="0"/>
    <xf numFmtId="49" fontId="24" fillId="0" borderId="32" applyAlignment="1" pivotButton="0" quotePrefix="0" xfId="0">
      <alignment horizontal="left" vertical="center" shrinkToFit="1"/>
    </xf>
    <xf numFmtId="0" fontId="0" fillId="0" borderId="286" pivotButton="0" quotePrefix="0" xfId="0"/>
    <xf numFmtId="0" fontId="0" fillId="0" borderId="298" pivotButton="0" quotePrefix="0" xfId="0"/>
    <xf numFmtId="0" fontId="0" fillId="0" borderId="214" pivotButton="0" quotePrefix="0" xfId="0"/>
    <xf numFmtId="49" fontId="21" fillId="0" borderId="323" applyAlignment="1" pivotButton="0" quotePrefix="0" xfId="0">
      <alignment horizontal="center" vertical="center"/>
    </xf>
    <xf numFmtId="0" fontId="0" fillId="0" borderId="215" pivotButton="0" quotePrefix="0" xfId="0"/>
    <xf numFmtId="0" fontId="0" fillId="0" borderId="216" pivotButton="0" quotePrefix="0" xfId="0"/>
    <xf numFmtId="49" fontId="43" fillId="0" borderId="275" applyAlignment="1" pivotButton="0" quotePrefix="0" xfId="0">
      <alignment horizontal="center" vertical="center" textRotation="255" wrapText="1"/>
    </xf>
    <xf numFmtId="169" fontId="23" fillId="0" borderId="32" applyAlignment="1" pivotButton="0" quotePrefix="0" xfId="0">
      <alignment horizontal="center" vertical="center" shrinkToFit="1"/>
    </xf>
    <xf numFmtId="169" fontId="23" fillId="0" borderId="74" applyAlignment="1" pivotButton="0" quotePrefix="0" xfId="0">
      <alignment horizontal="center" vertical="center" shrinkToFit="1"/>
    </xf>
    <xf numFmtId="168" fontId="21" fillId="0" borderId="80" applyAlignment="1" pivotButton="0" quotePrefix="0" xfId="0">
      <alignment horizontal="center" vertical="center"/>
    </xf>
    <xf numFmtId="168" fontId="21" fillId="0" borderId="168" applyAlignment="1" pivotButton="0" quotePrefix="0" xfId="0">
      <alignment horizontal="center" vertical="center"/>
    </xf>
    <xf numFmtId="168" fontId="23" fillId="0" borderId="32" applyAlignment="1" pivotButton="0" quotePrefix="0" xfId="0">
      <alignment horizontal="center" vertical="center" shrinkToFit="1"/>
    </xf>
    <xf numFmtId="168" fontId="23" fillId="0" borderId="74" applyAlignment="1" pivotButton="0" quotePrefix="0" xfId="0">
      <alignment horizontal="center" vertical="center" shrinkToFit="1"/>
    </xf>
    <xf numFmtId="49" fontId="43" fillId="0" borderId="36" applyAlignment="1" pivotButton="0" quotePrefix="0" xfId="0">
      <alignment horizontal="center" vertical="center" shrinkToFit="1"/>
    </xf>
    <xf numFmtId="169" fontId="23" fillId="0" borderId="276" applyAlignment="1" pivotButton="0" quotePrefix="0" xfId="0">
      <alignment horizontal="center" vertical="center" shrinkToFit="1"/>
    </xf>
    <xf numFmtId="169" fontId="23" fillId="0" borderId="307" applyAlignment="1" pivotButton="0" quotePrefix="0" xfId="0">
      <alignment horizontal="center" vertical="center" shrinkToFit="1"/>
    </xf>
    <xf numFmtId="49" fontId="44" fillId="0" borderId="282" applyAlignment="1" pivotButton="0" quotePrefix="0" xfId="0">
      <alignment horizontal="center" vertical="center" wrapText="1" shrinkToFit="1"/>
    </xf>
    <xf numFmtId="49" fontId="40" fillId="24" borderId="283" applyAlignment="1" pivotButton="0" quotePrefix="0" xfId="0">
      <alignment horizontal="center" vertical="center"/>
    </xf>
    <xf numFmtId="49" fontId="43" fillId="0" borderId="284" applyAlignment="1" pivotButton="0" quotePrefix="0" xfId="0">
      <alignment horizontal="distributed" vertical="center" wrapText="1" indent="1"/>
    </xf>
    <xf numFmtId="164" fontId="43" fillId="0" borderId="23" applyAlignment="1" pivotButton="0" quotePrefix="0" xfId="0">
      <alignment horizontal="left" vertical="center" shrinkToFit="1"/>
    </xf>
    <xf numFmtId="164" fontId="23" fillId="24" borderId="74" applyAlignment="1" pivotButton="0" quotePrefix="0" xfId="0">
      <alignment horizontal="center" vertical="center" shrinkToFit="1"/>
    </xf>
    <xf numFmtId="49" fontId="40" fillId="0" borderId="275" applyAlignment="1" pivotButton="0" quotePrefix="0" xfId="0">
      <alignment horizontal="center" vertical="center" wrapText="1"/>
    </xf>
    <xf numFmtId="49" fontId="21" fillId="0" borderId="303" applyAlignment="1" pivotButton="0" quotePrefix="0" xfId="0">
      <alignment horizontal="left" vertical="center" wrapText="1"/>
    </xf>
    <xf numFmtId="0" fontId="0" fillId="0" borderId="293" pivotButton="0" quotePrefix="0" xfId="0"/>
    <xf numFmtId="49" fontId="40" fillId="0" borderId="121" applyAlignment="1" pivotButton="0" quotePrefix="0" xfId="0">
      <alignment horizontal="center" vertical="center"/>
    </xf>
    <xf numFmtId="0" fontId="0" fillId="0" borderId="144" pivotButton="0" quotePrefix="0" xfId="0"/>
    <xf numFmtId="49" fontId="40" fillId="0" borderId="124" applyAlignment="1" pivotButton="0" quotePrefix="0" xfId="0">
      <alignment horizontal="center" vertical="center"/>
    </xf>
    <xf numFmtId="0" fontId="0" fillId="24" borderId="15" applyAlignment="1" pivotButton="0" quotePrefix="0" xfId="0">
      <alignment vertical="center"/>
    </xf>
    <xf numFmtId="49" fontId="52" fillId="0" borderId="137" applyAlignment="1" pivotButton="0" quotePrefix="0" xfId="0">
      <alignment horizontal="distributed" vertical="center"/>
    </xf>
    <xf numFmtId="0" fontId="0" fillId="0" borderId="220" pivotButton="0" quotePrefix="0" xfId="0"/>
    <xf numFmtId="49" fontId="39" fillId="24" borderId="36" applyAlignment="1" pivotButton="0" quotePrefix="0" xfId="0">
      <alignment horizontal="left" vertical="center"/>
    </xf>
    <xf numFmtId="49" fontId="43" fillId="24" borderId="74" applyAlignment="1" pivotButton="0" quotePrefix="0" xfId="0">
      <alignment horizontal="center" vertical="center"/>
    </xf>
    <xf numFmtId="49" fontId="21" fillId="0" borderId="74" applyAlignment="1" pivotButton="0" quotePrefix="0" xfId="0">
      <alignment horizontal="left" vertical="center" shrinkToFit="1"/>
    </xf>
    <xf numFmtId="49" fontId="43" fillId="0" borderId="284" applyAlignment="1" pivotButton="0" quotePrefix="0" xfId="0">
      <alignment horizontal="center" vertical="center" textRotation="255" wrapText="1"/>
    </xf>
    <xf numFmtId="49" fontId="44" fillId="0" borderId="61" applyAlignment="1" pivotButton="0" quotePrefix="0" xfId="0">
      <alignment horizontal="distributed" vertical="center" shrinkToFit="1"/>
    </xf>
    <xf numFmtId="49" fontId="40" fillId="0" borderId="325" applyAlignment="1" pivotButton="0" quotePrefix="0" xfId="0">
      <alignment horizontal="distributed" vertical="center" wrapText="1"/>
    </xf>
    <xf numFmtId="49" fontId="21" fillId="0" borderId="324" applyAlignment="1" pivotButton="0" quotePrefix="0" xfId="0">
      <alignment horizontal="center" vertical="center"/>
    </xf>
    <xf numFmtId="0" fontId="0" fillId="0" borderId="201" pivotButton="0" quotePrefix="0" xfId="0"/>
    <xf numFmtId="169" fontId="23" fillId="0" borderId="35" applyAlignment="1" pivotButton="0" quotePrefix="0" xfId="0">
      <alignment horizontal="center" vertical="center" shrinkToFit="1"/>
    </xf>
    <xf numFmtId="169" fontId="23" fillId="0" borderId="36" applyAlignment="1" pivotButton="0" quotePrefix="0" xfId="0">
      <alignment horizontal="center" vertical="center" shrinkToFit="1"/>
    </xf>
    <xf numFmtId="49" fontId="40" fillId="0" borderId="100" applyAlignment="1" pivotButton="0" quotePrefix="0" xfId="0">
      <alignment horizontal="center" vertical="center" wrapText="1"/>
    </xf>
    <xf numFmtId="49" fontId="40" fillId="0" borderId="275" applyAlignment="1" pivotButton="0" quotePrefix="0" xfId="0">
      <alignment horizontal="center" vertical="center" textRotation="255"/>
    </xf>
    <xf numFmtId="49" fontId="21" fillId="0" borderId="326" applyAlignment="1" pivotButton="0" quotePrefix="0" xfId="0">
      <alignment horizontal="left" vertical="center" wrapText="1"/>
    </xf>
    <xf numFmtId="0" fontId="0" fillId="0" borderId="327" pivotButton="0" quotePrefix="0" xfId="0"/>
    <xf numFmtId="0" fontId="0" fillId="0" borderId="328" pivotButton="0" quotePrefix="0" xfId="0"/>
    <xf numFmtId="0" fontId="0" fillId="0" borderId="329" pivotButton="0" quotePrefix="0" xfId="0"/>
    <xf numFmtId="49" fontId="40" fillId="0" borderId="276" applyAlignment="1" pivotButton="0" quotePrefix="0" xfId="0">
      <alignment horizontal="center" vertical="center"/>
    </xf>
    <xf numFmtId="49" fontId="25" fillId="0" borderId="283" applyAlignment="1" pivotButton="0" quotePrefix="0" xfId="0">
      <alignment horizontal="left" vertical="center"/>
    </xf>
    <xf numFmtId="49" fontId="23" fillId="0" borderId="32" applyAlignment="1" pivotButton="0" quotePrefix="0" xfId="0">
      <alignment horizontal="center" vertical="center" shrinkToFit="1"/>
    </xf>
    <xf numFmtId="49" fontId="23" fillId="0" borderId="36" applyAlignment="1" pivotButton="0" quotePrefix="0" xfId="0">
      <alignment horizontal="center" vertical="center" shrinkToFit="1"/>
    </xf>
    <xf numFmtId="49" fontId="52" fillId="0" borderId="74" applyAlignment="1" pivotButton="0" quotePrefix="0" xfId="0">
      <alignment horizontal="center" vertical="center" wrapText="1"/>
    </xf>
    <xf numFmtId="49" fontId="43" fillId="0" borderId="34" applyAlignment="1" pivotButton="0" quotePrefix="0" xfId="0">
      <alignment horizontal="distributed" vertical="center" wrapText="1"/>
    </xf>
    <xf numFmtId="49" fontId="23" fillId="0" borderId="74" applyAlignment="1" pivotButton="0" quotePrefix="0" xfId="0">
      <alignment horizontal="center" vertical="center"/>
    </xf>
    <xf numFmtId="49" fontId="40" fillId="0" borderId="129" applyAlignment="1" pivotButton="0" quotePrefix="0" xfId="0">
      <alignment horizontal="distributed" vertical="center" wrapText="1"/>
    </xf>
    <xf numFmtId="49" fontId="44" fillId="0" borderId="129" applyAlignment="1" pivotButton="0" quotePrefix="0" xfId="0">
      <alignment horizontal="distributed" vertical="center" wrapText="1"/>
    </xf>
    <xf numFmtId="0" fontId="0" fillId="0" borderId="231" pivotButton="0" quotePrefix="0" xfId="0"/>
    <xf numFmtId="0" fontId="0" fillId="0" borderId="232" pivotButton="0" quotePrefix="0" xfId="0"/>
    <xf numFmtId="49" fontId="40" fillId="0" borderId="268" applyAlignment="1" pivotButton="0" quotePrefix="0" xfId="0">
      <alignment horizontal="center" vertical="center" textRotation="255"/>
    </xf>
    <xf numFmtId="49" fontId="40" fillId="0" borderId="45" applyAlignment="1" pivotButton="0" quotePrefix="0" xfId="0">
      <alignment horizontal="distributed" vertical="center" wrapText="1"/>
    </xf>
    <xf numFmtId="49" fontId="38" fillId="0" borderId="46" applyAlignment="1" pivotButton="0" quotePrefix="0" xfId="0">
      <alignment vertical="center"/>
    </xf>
    <xf numFmtId="49" fontId="43" fillId="0" borderId="247" applyAlignment="1" pivotButton="0" quotePrefix="0" xfId="0">
      <alignment horizontal="center" vertical="center" textRotation="255" wrapText="1"/>
    </xf>
    <xf numFmtId="49" fontId="40" fillId="0" borderId="34" applyAlignment="1" pivotButton="0" quotePrefix="0" xfId="0">
      <alignment horizontal="distributed" vertical="center"/>
    </xf>
    <xf numFmtId="49" fontId="21" fillId="0" borderId="168" applyAlignment="1" pivotButton="0" quotePrefix="0" xfId="0">
      <alignment horizontal="center" vertical="center" wrapText="1"/>
    </xf>
    <xf numFmtId="49" fontId="44" fillId="0" borderId="23" applyAlignment="1" pivotButton="0" quotePrefix="0" xfId="0">
      <alignment horizontal="center" vertical="center" textRotation="255" wrapText="1"/>
    </xf>
    <xf numFmtId="49" fontId="44" fillId="0" borderId="253" applyAlignment="1" pivotButton="0" quotePrefix="0" xfId="0">
      <alignment horizontal="left" vertical="center" wrapText="1"/>
    </xf>
    <xf numFmtId="49" fontId="64" fillId="0" borderId="74" applyAlignment="1" pivotButton="0" quotePrefix="0" xfId="0">
      <alignment horizontal="left" vertical="center" wrapText="1"/>
    </xf>
    <xf numFmtId="49" fontId="57" fillId="0" borderId="37" applyAlignment="1" pivotButton="0" quotePrefix="0" xfId="0">
      <alignment horizontal="center" vertical="center"/>
    </xf>
    <xf numFmtId="49" fontId="57" fillId="0" borderId="229" applyAlignment="1" pivotButton="0" quotePrefix="0" xfId="0">
      <alignment horizontal="center" vertical="center"/>
    </xf>
    <xf numFmtId="49" fontId="40" fillId="0" borderId="271" applyAlignment="1" pivotButton="0" quotePrefix="0" xfId="0">
      <alignment horizontal="distributed" vertical="center"/>
    </xf>
    <xf numFmtId="0" fontId="0" fillId="0" borderId="331" pivotButton="0" quotePrefix="0" xfId="0"/>
    <xf numFmtId="49" fontId="43" fillId="0" borderId="271" applyAlignment="1" pivotButton="0" quotePrefix="0" xfId="0">
      <alignment horizontal="center" vertical="center"/>
    </xf>
    <xf numFmtId="169" fontId="61" fillId="0" borderId="35" applyAlignment="1" pivotButton="0" quotePrefix="0" xfId="0">
      <alignment horizontal="center" vertical="center" shrinkToFit="1"/>
    </xf>
    <xf numFmtId="168" fontId="57" fillId="0" borderId="78" applyAlignment="1" pivotButton="0" quotePrefix="0" xfId="0">
      <alignment horizontal="center" vertical="center"/>
    </xf>
    <xf numFmtId="169" fontId="61" fillId="0" borderId="32" applyAlignment="1" pivotButton="0" quotePrefix="0" xfId="0">
      <alignment horizontal="center" vertical="center" shrinkToFit="1"/>
    </xf>
    <xf numFmtId="49" fontId="40" fillId="0" borderId="332" applyAlignment="1" pivotButton="0" quotePrefix="0" xfId="0">
      <alignment horizontal="center" vertical="center" shrinkToFit="1"/>
    </xf>
    <xf numFmtId="0" fontId="0" fillId="0" borderId="236" pivotButton="0" quotePrefix="0" xfId="0"/>
    <xf numFmtId="0" fontId="0" fillId="0" borderId="237" pivotButton="0" quotePrefix="0" xfId="0"/>
    <xf numFmtId="49" fontId="21" fillId="0" borderId="333" applyAlignment="1" pivotButton="0" quotePrefix="0" xfId="0">
      <alignment horizontal="left" vertical="center" shrinkToFit="1"/>
    </xf>
    <xf numFmtId="0" fontId="0" fillId="0" borderId="238" pivotButton="0" quotePrefix="0" xfId="0"/>
    <xf numFmtId="49" fontId="40" fillId="0" borderId="34" applyAlignment="1" pivotButton="0" quotePrefix="0" xfId="0">
      <alignment horizontal="center" vertical="center" shrinkToFit="1"/>
    </xf>
    <xf numFmtId="49" fontId="41" fillId="0" borderId="200" applyAlignment="1" pivotButton="0" quotePrefix="0" xfId="0">
      <alignment horizontal="left" vertical="center" wrapText="1"/>
    </xf>
    <xf numFmtId="49" fontId="40" fillId="0" borderId="321" applyAlignment="1" pivotButton="0" quotePrefix="0" xfId="0">
      <alignment horizontal="center" vertical="center" shrinkToFit="1"/>
    </xf>
    <xf numFmtId="49" fontId="40" fillId="0" borderId="35" applyAlignment="1" pivotButton="0" quotePrefix="0" xfId="0">
      <alignment horizontal="distributed" vertical="center"/>
    </xf>
    <xf numFmtId="0" fontId="0" fillId="0" borderId="239" pivotButton="0" quotePrefix="0" xfId="0"/>
    <xf numFmtId="0" fontId="0" fillId="0" borderId="240" pivotButton="0" quotePrefix="0" xfId="0"/>
    <xf numFmtId="0" fontId="0" fillId="0" borderId="241" pivotButton="0" quotePrefix="0" xfId="0"/>
    <xf numFmtId="0" fontId="38" fillId="0" borderId="322" applyAlignment="1" pivotButton="0" quotePrefix="0" xfId="0">
      <alignment horizontal="center" vertical="center"/>
    </xf>
    <xf numFmtId="0" fontId="43" fillId="0" borderId="88" applyAlignment="1" pivotButton="0" quotePrefix="0" xfId="0">
      <alignment horizontal="center" vertical="center" wrapText="1"/>
    </xf>
    <xf numFmtId="0" fontId="43" fillId="0" borderId="89" applyAlignment="1" pivotButton="0" quotePrefix="0" xfId="0">
      <alignment horizontal="distributed" vertical="center" shrinkToFit="1"/>
    </xf>
    <xf numFmtId="0" fontId="43" fillId="0" borderId="184" applyAlignment="1" pivotButton="0" quotePrefix="0" xfId="0">
      <alignment horizontal="distributed" vertical="center" shrinkToFit="1"/>
    </xf>
    <xf numFmtId="49" fontId="23" fillId="0" borderId="79" applyAlignment="1" pivotButton="0" quotePrefix="0" xfId="0">
      <alignment horizontal="center" vertical="center"/>
    </xf>
    <xf numFmtId="0" fontId="0" fillId="0" borderId="14" applyProtection="1" pivotButton="0" quotePrefix="0" xfId="0">
      <protection locked="0" hidden="0"/>
    </xf>
    <xf numFmtId="0" fontId="43" fillId="0" borderId="35" applyAlignment="1" pivotButton="0" quotePrefix="0" xfId="0">
      <alignment horizontal="distributed" vertical="center" shrinkToFit="1" indent="1"/>
    </xf>
    <xf numFmtId="49" fontId="23" fillId="0" borderId="82" applyAlignment="1" pivotButton="0" quotePrefix="0" xfId="0">
      <alignment horizontal="center" vertical="center"/>
    </xf>
    <xf numFmtId="0" fontId="43" fillId="0" borderId="276" applyAlignment="1" pivotButton="0" quotePrefix="0" xfId="0">
      <alignment horizontal="distributed" vertical="center" shrinkToFit="1" indent="1"/>
    </xf>
    <xf numFmtId="49" fontId="23" fillId="0" borderId="334" applyAlignment="1" pivotButton="0" quotePrefix="0" xfId="0">
      <alignment horizontal="center" vertical="center"/>
    </xf>
    <xf numFmtId="0" fontId="0" fillId="0" borderId="243" pivotButton="0" quotePrefix="0" xfId="0"/>
    <xf numFmtId="49" fontId="40" fillId="0" borderId="291" applyAlignment="1" pivotButton="0" quotePrefix="0" xfId="0">
      <alignment horizontal="center" vertical="center" textRotation="255"/>
    </xf>
    <xf numFmtId="49" fontId="24" fillId="0" borderId="333" applyAlignment="1" pivotButton="0" quotePrefix="0" xfId="0">
      <alignment horizontal="left" vertical="center" shrinkToFit="1"/>
    </xf>
    <xf numFmtId="0" fontId="0" fillId="0" borderId="246" pivotButton="0" quotePrefix="0" xfId="0"/>
    <xf numFmtId="49" fontId="56" fillId="0" borderId="259" applyAlignment="1" pivotButton="0" quotePrefix="0" xfId="0">
      <alignment horizontal="left" vertical="center" wrapText="1"/>
    </xf>
    <xf numFmtId="49" fontId="40" fillId="0" borderId="203" applyAlignment="1" pivotButton="0" quotePrefix="0" xfId="0">
      <alignment horizontal="center" vertical="center" shrinkToFit="1"/>
    </xf>
    <xf numFmtId="49" fontId="43" fillId="0" borderId="242" applyAlignment="1" pivotButton="0" quotePrefix="0" xfId="0">
      <alignment horizontal="center" vertical="center" wrapText="1"/>
    </xf>
    <xf numFmtId="49" fontId="43" fillId="0" borderId="242" applyAlignment="1" pivotButton="0" quotePrefix="0" xfId="0">
      <alignment horizontal="center" vertical="center"/>
    </xf>
    <xf numFmtId="49" fontId="43" fillId="0" borderId="242" applyAlignment="1" pivotButton="0" quotePrefix="0" xfId="0">
      <alignment horizontal="distributed" vertical="center" wrapText="1" indent="1"/>
    </xf>
    <xf numFmtId="49" fontId="52" fillId="0" borderId="318" applyAlignment="1" pivotButton="0" quotePrefix="0" xfId="0">
      <alignment horizontal="center" vertical="center" wrapText="1"/>
    </xf>
    <xf numFmtId="49" fontId="47" fillId="0" borderId="32" applyAlignment="1" pivotButton="0" quotePrefix="0" xfId="0">
      <alignment horizontal="center" vertical="center"/>
    </xf>
    <xf numFmtId="49" fontId="40" fillId="0" borderId="33" applyAlignment="1" pivotButton="0" quotePrefix="0" xfId="0">
      <alignment horizontal="center" vertical="center" shrinkToFit="1"/>
    </xf>
    <xf numFmtId="0" fontId="0" fillId="0" borderId="247" pivotButton="0" quotePrefix="0" xfId="0"/>
    <xf numFmtId="49" fontId="43" fillId="0" borderId="276" applyAlignment="1" pivotButton="0" quotePrefix="0" xfId="0">
      <alignment horizontal="center" vertical="center" wrapText="1"/>
    </xf>
    <xf numFmtId="0" fontId="0" fillId="0" borderId="248" pivotButton="0" quotePrefix="0" xfId="0"/>
    <xf numFmtId="0" fontId="46" fillId="0" borderId="322" applyAlignment="1" pivotButton="0" quotePrefix="0" xfId="0">
      <alignment horizontal="center" vertical="center"/>
    </xf>
    <xf numFmtId="49" fontId="61" fillId="0" borderId="79" applyAlignment="1" pivotButton="0" quotePrefix="0" xfId="0">
      <alignment horizontal="center" vertical="center"/>
    </xf>
    <xf numFmtId="49" fontId="57" fillId="0" borderId="283" applyAlignment="1" pivotButton="0" quotePrefix="0" xfId="0">
      <alignment horizontal="left" vertical="center" shrinkToFit="1"/>
    </xf>
    <xf numFmtId="49" fontId="68" fillId="0" borderId="15" applyAlignment="1" pivotButton="0" quotePrefix="0" xfId="0">
      <alignment horizontal="left" wrapText="1"/>
    </xf>
    <xf numFmtId="49" fontId="61" fillId="0" borderId="32" applyAlignment="1" pivotButton="0" quotePrefix="0" xfId="0">
      <alignment horizontal="center" vertical="center"/>
    </xf>
    <xf numFmtId="49" fontId="59" fillId="0" borderId="275" applyAlignment="1" pivotButton="0" quotePrefix="0" xfId="0">
      <alignment horizontal="center" vertical="center" textRotation="255"/>
    </xf>
    <xf numFmtId="167" fontId="23" fillId="0" borderId="32" applyAlignment="1" pivotButton="0" quotePrefix="0" xfId="0">
      <alignment horizontal="right" vertical="center" shrinkToFit="1" indent="1"/>
    </xf>
    <xf numFmtId="167" fontId="23" fillId="0" borderId="74" applyAlignment="1" pivotButton="0" quotePrefix="0" xfId="0">
      <alignment horizontal="right" vertical="center" shrinkToFit="1" indent="1"/>
    </xf>
    <xf numFmtId="49" fontId="23" fillId="0" borderId="74" applyAlignment="1" pivotButton="0" quotePrefix="0" xfId="0">
      <alignment horizontal="center" vertical="center" shrinkToFit="1"/>
    </xf>
    <xf numFmtId="49" fontId="44" fillId="0" borderId="100" applyAlignment="1" pivotButton="0" quotePrefix="0" xfId="0">
      <alignment horizontal="distributed" vertical="center" textRotation="255" wrapText="1"/>
    </xf>
    <xf numFmtId="49" fontId="21" fillId="0" borderId="32" applyAlignment="1" pivotButton="0" quotePrefix="0" xfId="0">
      <alignment horizontal="left" vertical="center" wrapText="1" indent="1"/>
    </xf>
    <xf numFmtId="49" fontId="59" fillId="0" borderId="15" applyAlignment="1" pivotButton="0" quotePrefix="0" xfId="0">
      <alignment horizontal="center" vertical="center"/>
    </xf>
    <xf numFmtId="170" fontId="21" fillId="0" borderId="14" applyAlignment="1" pivotButton="0" quotePrefix="0" xfId="0">
      <alignment horizontal="right" vertical="center" wrapText="1"/>
    </xf>
    <xf numFmtId="166" fontId="40" fillId="0" borderId="23" applyAlignment="1" pivotButton="0" quotePrefix="0" xfId="0">
      <alignment horizontal="center" vertical="center" wrapText="1"/>
    </xf>
    <xf numFmtId="166" fontId="44" fillId="0" borderId="16" applyAlignment="1" pivotButton="0" quotePrefix="0" xfId="0">
      <alignment horizontal="left" vertical="center" wrapText="1"/>
    </xf>
    <xf numFmtId="165" fontId="21" fillId="0" borderId="14" applyAlignment="1" pivotButton="0" quotePrefix="0" xfId="0">
      <alignment horizontal="right" vertical="center" wrapText="1"/>
    </xf>
    <xf numFmtId="166" fontId="21" fillId="0" borderId="14" applyAlignment="1" pivotButton="0" quotePrefix="0" xfId="0">
      <alignment horizontal="right" vertical="center" wrapText="1"/>
    </xf>
    <xf numFmtId="49" fontId="44" fillId="0" borderId="275" applyAlignment="1" pivotButton="0" quotePrefix="0" xfId="0">
      <alignment horizontal="distributed" vertical="center" textRotation="255" wrapText="1"/>
    </xf>
    <xf numFmtId="167" fontId="44" fillId="0" borderId="276" applyAlignment="1" pivotButton="0" quotePrefix="0" xfId="0">
      <alignment horizontal="distributed" vertical="center" shrinkToFit="1"/>
    </xf>
    <xf numFmtId="167" fontId="40" fillId="0" borderId="16" applyAlignment="1" pivotButton="0" quotePrefix="0" xfId="0">
      <alignment horizontal="distributed" vertical="center" wrapText="1"/>
    </xf>
    <xf numFmtId="167" fontId="44" fillId="0" borderId="14" applyAlignment="1" pivotButton="0" quotePrefix="0" xfId="0">
      <alignment horizontal="distributed" vertical="center" wrapText="1"/>
    </xf>
    <xf numFmtId="167" fontId="40" fillId="0" borderId="23" applyAlignment="1" pivotButton="0" quotePrefix="0" xfId="0">
      <alignment horizontal="distributed" vertical="center" wrapText="1"/>
    </xf>
    <xf numFmtId="167" fontId="44" fillId="0" borderId="23" applyAlignment="1" pivotButton="0" quotePrefix="0" xfId="0">
      <alignment horizontal="distributed" vertical="center" wrapText="1"/>
    </xf>
    <xf numFmtId="49" fontId="43" fillId="0" borderId="276" applyAlignment="1" pivotButton="0" quotePrefix="0" xfId="0">
      <alignment horizontal="distributed" vertical="center" wrapText="1"/>
    </xf>
    <xf numFmtId="49" fontId="20" fillId="0" borderId="276" applyAlignment="1" pivotButton="0" quotePrefix="0" xfId="0">
      <alignment horizontal="center" vertical="center" wrapText="1"/>
    </xf>
    <xf numFmtId="49" fontId="59" fillId="0" borderId="268" applyAlignment="1" pivotButton="0" quotePrefix="0" xfId="0">
      <alignment horizontal="center" vertical="center" textRotation="255"/>
    </xf>
    <xf numFmtId="49" fontId="60" fillId="0" borderId="23" applyAlignment="1" pivotButton="0" quotePrefix="0" xfId="0">
      <alignment horizontal="center" vertical="center" wrapText="1"/>
    </xf>
    <xf numFmtId="167" fontId="47" fillId="0" borderId="32" applyAlignment="1" pivotButton="0" quotePrefix="0" xfId="0">
      <alignment horizontal="right" vertical="center" shrinkToFit="1" indent="1"/>
    </xf>
    <xf numFmtId="167" fontId="47" fillId="0" borderId="74" applyAlignment="1" pivotButton="0" quotePrefix="0" xfId="0">
      <alignment horizontal="right" vertical="center" shrinkToFit="1" indent="1"/>
    </xf>
    <xf numFmtId="164" fontId="47" fillId="0" borderId="32" applyAlignment="1" pivotButton="0" quotePrefix="0" xfId="0">
      <alignment horizontal="center" vertical="center" shrinkToFit="1"/>
    </xf>
    <xf numFmtId="164" fontId="47" fillId="0" borderId="74" applyAlignment="1" pivotButton="0" quotePrefix="0" xfId="0">
      <alignment horizontal="center" vertical="center" shrinkToFit="1"/>
    </xf>
    <xf numFmtId="49" fontId="47" fillId="0" borderId="32" applyAlignment="1" pivotButton="0" quotePrefix="0" xfId="0">
      <alignment horizontal="center" vertical="center" shrinkToFit="1"/>
    </xf>
    <xf numFmtId="164" fontId="47" fillId="0" borderId="35" applyAlignment="1" pivotButton="0" quotePrefix="0" xfId="0">
      <alignment horizontal="center" vertical="center" shrinkToFit="1"/>
    </xf>
    <xf numFmtId="164" fontId="47" fillId="0" borderId="36" applyAlignment="1" pivotButton="0" quotePrefix="0" xfId="0">
      <alignment horizontal="center" vertical="center" shrinkToFit="1"/>
    </xf>
    <xf numFmtId="49" fontId="24" fillId="0" borderId="32" applyAlignment="1" pivotButton="0" quotePrefix="0" xfId="0">
      <alignment horizontal="left" vertical="center" wrapText="1" indent="1"/>
    </xf>
    <xf numFmtId="49" fontId="47" fillId="0" borderId="16" applyAlignment="1" pivotButton="0" quotePrefix="0" xfId="0">
      <alignment horizontal="right" vertical="center"/>
    </xf>
    <xf numFmtId="170" fontId="24" fillId="0" borderId="14" applyAlignment="1" pivotButton="0" quotePrefix="0" xfId="0">
      <alignment horizontal="right" vertical="center" wrapText="1"/>
    </xf>
    <xf numFmtId="165" fontId="24" fillId="0" borderId="14" applyAlignment="1" pivotButton="0" quotePrefix="0" xfId="0">
      <alignment horizontal="right" vertical="center" wrapText="1"/>
    </xf>
    <xf numFmtId="166" fontId="24" fillId="0" borderId="14" applyAlignment="1" pivotButton="0" quotePrefix="0" xfId="0">
      <alignment horizontal="right" vertical="center" wrapText="1"/>
    </xf>
    <xf numFmtId="49" fontId="56" fillId="0" borderId="276" applyAlignment="1" pivotButton="0" quotePrefix="0" xfId="0">
      <alignment horizontal="center" vertical="center" wrapText="1"/>
    </xf>
    <xf numFmtId="49" fontId="69" fillId="0" borderId="38" applyAlignment="1" pivotButton="0" quotePrefix="0" xfId="0">
      <alignment horizontal="center" vertical="center"/>
    </xf>
    <xf numFmtId="49" fontId="40" fillId="0" borderId="111" applyAlignment="1" pivotButton="0" quotePrefix="0" xfId="0">
      <alignment horizontal="distributed" vertical="center"/>
    </xf>
    <xf numFmtId="49" fontId="43" fillId="0" borderId="250" applyAlignment="1" pivotButton="0" quotePrefix="0" xfId="0">
      <alignment horizontal="center" vertical="center" textRotation="255"/>
    </xf>
    <xf numFmtId="49" fontId="40" fillId="0" borderId="33" applyAlignment="1" pivotButton="0" quotePrefix="0" xfId="0">
      <alignment horizontal="left" vertical="center"/>
    </xf>
    <xf numFmtId="49" fontId="21" fillId="0" borderId="141" applyAlignment="1" pivotButton="0" quotePrefix="0" xfId="0">
      <alignment horizontal="center" vertical="center"/>
    </xf>
    <xf numFmtId="49" fontId="21" fillId="0" borderId="139" applyAlignment="1" pivotButton="0" quotePrefix="0" xfId="0">
      <alignment horizontal="center" vertical="center"/>
    </xf>
    <xf numFmtId="49" fontId="21" fillId="0" borderId="36" applyAlignment="1" pivotButton="0" quotePrefix="0" xfId="0">
      <alignment horizontal="center" vertical="center" wrapText="1"/>
    </xf>
    <xf numFmtId="49" fontId="40" fillId="0" borderId="200" applyAlignment="1" pivotButton="0" quotePrefix="0" xfId="0">
      <alignment horizontal="center" vertical="center"/>
    </xf>
    <xf numFmtId="164" fontId="21" fillId="0" borderId="32" applyAlignment="1" pivotButton="0" quotePrefix="0" xfId="0">
      <alignment horizontal="center" vertical="center"/>
    </xf>
    <xf numFmtId="164" fontId="21" fillId="0" borderId="74" applyAlignment="1" pivotButton="0" quotePrefix="0" xfId="0">
      <alignment horizontal="center" vertical="center"/>
    </xf>
    <xf numFmtId="49" fontId="40" fillId="0" borderId="284" applyAlignment="1" pivotButton="0" quotePrefix="0" xfId="0">
      <alignment horizontal="distributed" vertical="center"/>
    </xf>
    <xf numFmtId="0" fontId="40" fillId="0" borderId="23" applyAlignment="1" pivotButton="0" quotePrefix="0" xfId="0">
      <alignment horizontal="center" vertical="center"/>
    </xf>
    <xf numFmtId="164" fontId="21" fillId="0" borderId="12" applyAlignment="1" pivotButton="0" quotePrefix="0" xfId="0">
      <alignment horizontal="center" vertical="center"/>
    </xf>
    <xf numFmtId="164" fontId="21" fillId="0" borderId="19" applyAlignment="1" pivotButton="0" quotePrefix="0" xfId="0">
      <alignment horizontal="center" vertical="center"/>
    </xf>
    <xf numFmtId="49" fontId="44" fillId="0" borderId="284" applyAlignment="1" pivotButton="0" quotePrefix="0" xfId="0">
      <alignment horizontal="center" vertical="center" wrapText="1"/>
    </xf>
    <xf numFmtId="49" fontId="44" fillId="0" borderId="311" applyAlignment="1" pivotButton="0" quotePrefix="0" xfId="0">
      <alignment horizontal="center" vertical="center" wrapText="1"/>
    </xf>
    <xf numFmtId="49" fontId="40" fillId="0" borderId="34" applyAlignment="1" pivotButton="0" quotePrefix="0" xfId="0">
      <alignment horizontal="center" vertical="center" wrapText="1"/>
    </xf>
    <xf numFmtId="49" fontId="44" fillId="0" borderId="34" applyAlignment="1" pivotButton="0" quotePrefix="0" xfId="0">
      <alignment horizontal="center" vertical="center" wrapText="1"/>
    </xf>
    <xf numFmtId="49" fontId="70" fillId="0" borderId="32" applyAlignment="1" pivotButton="0" quotePrefix="0" xfId="0">
      <alignment horizontal="center" vertical="center" wrapText="1" shrinkToFit="1"/>
    </xf>
    <xf numFmtId="49" fontId="44" fillId="0" borderId="200" applyAlignment="1" pivotButton="0" quotePrefix="0" xfId="0">
      <alignment horizontal="center" vertical="center" wrapText="1" shrinkToFit="1"/>
    </xf>
    <xf numFmtId="49" fontId="44" fillId="0" borderId="32" applyAlignment="1" pivotButton="0" quotePrefix="0" xfId="0">
      <alignment horizontal="center" vertical="center" wrapText="1"/>
    </xf>
    <xf numFmtId="166" fontId="40" fillId="0" borderId="23" applyAlignment="1" pivotButton="0" quotePrefix="0" xfId="0">
      <alignment horizontal="left" vertical="center" wrapText="1"/>
    </xf>
    <xf numFmtId="166" fontId="21" fillId="0" borderId="32" applyAlignment="1" pivotButton="0" quotePrefix="0" xfId="0">
      <alignment horizontal="right" vertical="center" wrapText="1"/>
    </xf>
    <xf numFmtId="166" fontId="21" fillId="0" borderId="16" applyAlignment="1" pivotButton="0" quotePrefix="0" xfId="0">
      <alignment horizontal="right" vertical="center" shrinkToFit="1"/>
    </xf>
    <xf numFmtId="165" fontId="40" fillId="0" borderId="15" applyAlignment="1" pivotButton="0" quotePrefix="0" xfId="0">
      <alignment horizontal="center" vertical="center" wrapText="1"/>
    </xf>
    <xf numFmtId="49" fontId="44" fillId="0" borderId="284" applyAlignment="1" pivotButton="0" quotePrefix="0" xfId="0">
      <alignment horizontal="center" vertical="center" wrapText="1" shrinkToFit="1"/>
    </xf>
    <xf numFmtId="49" fontId="44" fillId="0" borderId="32" applyAlignment="1" pivotButton="0" quotePrefix="0" xfId="0">
      <alignment horizontal="center" vertical="center"/>
    </xf>
    <xf numFmtId="49" fontId="40" fillId="0" borderId="284" applyAlignment="1" pivotButton="0" quotePrefix="0" xfId="0">
      <alignment horizontal="distributed" vertical="center" textRotation="255"/>
    </xf>
    <xf numFmtId="49" fontId="23" fillId="0" borderId="74" applyAlignment="1" pivotButton="0" quotePrefix="0" xfId="0">
      <alignment horizontal="left" vertical="center"/>
    </xf>
    <xf numFmtId="49" fontId="47" fillId="0" borderId="74" applyAlignment="1" pivotButton="0" quotePrefix="0" xfId="0">
      <alignment horizontal="center" vertical="center"/>
    </xf>
    <xf numFmtId="167" fontId="24" fillId="0" borderId="78" applyAlignment="1" pivotButton="0" quotePrefix="0" xfId="0">
      <alignment horizontal="center" vertical="center"/>
    </xf>
    <xf numFmtId="167" fontId="24" fillId="0" borderId="80" applyAlignment="1" pivotButton="0" quotePrefix="0" xfId="0">
      <alignment horizontal="center" vertical="center"/>
    </xf>
    <xf numFmtId="167" fontId="24" fillId="0" borderId="168" applyAlignment="1" pivotButton="0" quotePrefix="0" xfId="0">
      <alignment horizontal="center" vertical="center"/>
    </xf>
    <xf numFmtId="164" fontId="24" fillId="0" borderId="32" applyAlignment="1" pivotButton="0" quotePrefix="0" xfId="0">
      <alignment horizontal="center" vertical="center"/>
    </xf>
    <xf numFmtId="164" fontId="24" fillId="0" borderId="74" applyAlignment="1" pivotButton="0" quotePrefix="0" xfId="0">
      <alignment horizontal="center" vertical="center"/>
    </xf>
    <xf numFmtId="49" fontId="44" fillId="0" borderId="74" applyAlignment="1" pivotButton="0" quotePrefix="0" xfId="0">
      <alignment horizontal="center" vertical="center" wrapText="1" shrinkToFit="1"/>
    </xf>
    <xf numFmtId="165" fontId="24" fillId="0" borderId="16" applyAlignment="1" pivotButton="0" quotePrefix="0" xfId="0">
      <alignment horizontal="right" vertical="center" wrapText="1"/>
    </xf>
    <xf numFmtId="166" fontId="24" fillId="0" borderId="32" applyAlignment="1" pivotButton="0" quotePrefix="0" xfId="0">
      <alignment horizontal="right" vertical="center" wrapText="1"/>
    </xf>
    <xf numFmtId="166" fontId="24" fillId="0" borderId="16" applyAlignment="1" pivotButton="0" quotePrefix="0" xfId="0">
      <alignment horizontal="right" vertical="center" shrinkToFit="1"/>
    </xf>
    <xf numFmtId="49" fontId="47" fillId="0" borderId="74" applyAlignment="1" pivotButton="0" quotePrefix="0" xfId="0">
      <alignment horizontal="left" vertical="center"/>
    </xf>
    <xf numFmtId="49" fontId="24" fillId="0" borderId="74" applyAlignment="1" pivotButton="0" quotePrefix="0" xfId="0">
      <alignment horizontal="left" vertical="center" shrinkToFit="1"/>
    </xf>
    <xf numFmtId="49" fontId="24" fillId="0" borderId="74" applyAlignment="1" pivotButton="0" quotePrefix="0" xfId="0">
      <alignment horizontal="left" vertical="center" wrapText="1"/>
    </xf>
    <xf numFmtId="49" fontId="60" fillId="0" borderId="268" applyAlignment="1" pivotButton="0" quotePrefix="0" xfId="0">
      <alignment horizontal="center" vertical="center" textRotation="255" wrapText="1"/>
    </xf>
    <xf numFmtId="49" fontId="41" fillId="0" borderId="36" applyAlignment="1" pivotButton="0" quotePrefix="0" xfId="0">
      <alignment horizontal="left" vertical="center" wrapText="1"/>
    </xf>
    <xf numFmtId="49" fontId="43" fillId="0" borderId="245" applyAlignment="1" pivotButton="0" quotePrefix="0" xfId="0">
      <alignment horizontal="center" vertical="center" textRotation="255" wrapText="1"/>
    </xf>
    <xf numFmtId="49" fontId="30" fillId="24" borderId="74" applyAlignment="1" pivotButton="0" quotePrefix="0" xfId="0">
      <alignment horizontal="left" vertical="center" wrapText="1"/>
    </xf>
    <xf numFmtId="49" fontId="40" fillId="0" borderId="33" applyAlignment="1" pivotButton="0" quotePrefix="0" xfId="0">
      <alignment horizontal="distributed" vertical="center"/>
    </xf>
    <xf numFmtId="49" fontId="21" fillId="0" borderId="74" applyAlignment="1" pivotButton="0" quotePrefix="0" xfId="0">
      <alignment horizontal="left" vertical="center" indent="1"/>
    </xf>
    <xf numFmtId="172" fontId="21" fillId="0" borderId="0" applyAlignment="1" applyProtection="1" pivotButton="0" quotePrefix="0" xfId="42">
      <alignment horizontal="right" vertical="center"/>
      <protection locked="0" hidden="0"/>
    </xf>
    <xf numFmtId="0" fontId="0" fillId="0" borderId="0" applyProtection="1" pivotButton="0" quotePrefix="0" xfId="0">
      <protection locked="0" hidden="0"/>
    </xf>
    <xf numFmtId="0" fontId="0" fillId="0" borderId="48" applyProtection="1" pivotButton="0" quotePrefix="0" xfId="0">
      <protection locked="0" hidden="0"/>
    </xf>
    <xf numFmtId="49" fontId="40" fillId="0" borderId="323" applyAlignment="1" pivotButton="0" quotePrefix="0" xfId="0">
      <alignment horizontal="distributed" vertical="center" indent="1"/>
    </xf>
    <xf numFmtId="49" fontId="40" fillId="0" borderId="23" applyAlignment="1" pivotButton="0" quotePrefix="0" xfId="0">
      <alignment vertical="center"/>
    </xf>
    <xf numFmtId="173" fontId="21" fillId="0" borderId="16" applyAlignment="1" pivotButton="0" quotePrefix="0" xfId="0">
      <alignment horizontal="right" vertical="center"/>
    </xf>
    <xf numFmtId="49" fontId="40" fillId="0" borderId="35" applyAlignment="1" pivotButton="0" quotePrefix="0" xfId="0">
      <alignment horizontal="distributed" vertical="center" wrapText="1" justifyLastLine="1"/>
    </xf>
    <xf numFmtId="49" fontId="40" fillId="0" borderId="32" applyAlignment="1" pivotButton="0" quotePrefix="0" xfId="0">
      <alignment horizontal="distributed" vertical="center" wrapText="1" justifyLastLine="1"/>
    </xf>
    <xf numFmtId="49" fontId="40" fillId="0" borderId="128" applyAlignment="1" pivotButton="0" quotePrefix="0" xfId="0">
      <alignment horizontal="center" vertical="center"/>
    </xf>
    <xf numFmtId="49" fontId="40" fillId="0" borderId="276" applyAlignment="1" pivotButton="0" quotePrefix="0" xfId="0">
      <alignment horizontal="distributed" vertical="center"/>
    </xf>
    <xf numFmtId="49" fontId="22" fillId="0" borderId="307" applyAlignment="1" pivotButton="0" quotePrefix="0" xfId="0">
      <alignment horizontal="left" vertical="center" wrapText="1"/>
    </xf>
    <xf numFmtId="49" fontId="43" fillId="0" borderId="268" applyAlignment="1" pivotButton="0" quotePrefix="0" xfId="0">
      <alignment horizontal="center" vertical="center" textRotation="255" wrapText="1"/>
    </xf>
    <xf numFmtId="49" fontId="40" fillId="0" borderId="276" applyAlignment="1" pivotButton="0" quotePrefix="0" xfId="0">
      <alignment horizontal="distributed" vertical="center" textRotation="255"/>
    </xf>
    <xf numFmtId="0" fontId="0" fillId="0" borderId="254" pivotButton="0" quotePrefix="0" xfId="0"/>
    <xf numFmtId="49" fontId="45" fillId="0" borderId="36" applyAlignment="1" pivotButton="0" quotePrefix="0" xfId="0">
      <alignment horizontal="left" vertical="center" wrapText="1"/>
    </xf>
    <xf numFmtId="49" fontId="30" fillId="26" borderId="74" applyAlignment="1" pivotButton="0" quotePrefix="0" xfId="0">
      <alignment horizontal="left" vertical="center" wrapText="1"/>
    </xf>
    <xf numFmtId="49" fontId="24" fillId="0" borderId="74" applyAlignment="1" pivotButton="0" quotePrefix="0" xfId="0">
      <alignment horizontal="left" vertical="center" indent="1"/>
    </xf>
    <xf numFmtId="172" fontId="24" fillId="0" borderId="0" applyAlignment="1" applyProtection="1" pivotButton="0" quotePrefix="0" xfId="42">
      <alignment horizontal="right" vertical="center"/>
      <protection locked="0" hidden="0"/>
    </xf>
    <xf numFmtId="173" fontId="24" fillId="0" borderId="16" applyAlignment="1" pivotButton="0" quotePrefix="0" xfId="0">
      <alignment horizontal="right" vertical="center"/>
    </xf>
    <xf numFmtId="49" fontId="33" fillId="0" borderId="74" applyAlignment="1" pivotButton="0" quotePrefix="0" xfId="0">
      <alignment horizontal="left" vertical="center"/>
    </xf>
    <xf numFmtId="49" fontId="62" fillId="0" borderId="38" applyAlignment="1" pivotButton="0" quotePrefix="0" xfId="0">
      <alignment horizontal="center" vertical="center"/>
    </xf>
    <xf numFmtId="49" fontId="48" fillId="0" borderId="307" applyAlignment="1" pivotButton="0" quotePrefix="0" xfId="0">
      <alignment horizontal="left" vertical="center" wrapText="1"/>
    </xf>
    <xf numFmtId="49" fontId="68" fillId="0" borderId="15" applyAlignment="1" pivotButton="0" quotePrefix="0" xfId="0">
      <alignment horizontal="left" vertical="center" wrapText="1"/>
    </xf>
    <xf numFmtId="49" fontId="20" fillId="0" borderId="74" applyAlignment="1" pivotButton="0" quotePrefix="0" xfId="0">
      <alignment horizontal="center" vertical="center"/>
    </xf>
    <xf numFmtId="49" fontId="44" fillId="0" borderId="32" applyAlignment="1" pivotButton="0" quotePrefix="0" xfId="0">
      <alignment horizontal="distributed" vertical="center" wrapText="1" justifyLastLine="1"/>
    </xf>
    <xf numFmtId="49" fontId="20" fillId="0" borderId="74" applyAlignment="1" pivotButton="0" quotePrefix="0" xfId="0">
      <alignment horizontal="left" vertical="center"/>
    </xf>
    <xf numFmtId="49" fontId="21" fillId="0" borderId="137" applyAlignment="1" pivotButton="0" quotePrefix="0" xfId="0">
      <alignment horizontal="center" vertical="center"/>
    </xf>
    <xf numFmtId="49" fontId="21" fillId="0" borderId="135" applyAlignment="1" pivotButton="0" quotePrefix="0" xfId="0">
      <alignment horizontal="center" vertical="center"/>
    </xf>
    <xf numFmtId="164" fontId="21" fillId="0" borderId="35" applyAlignment="1" pivotButton="0" quotePrefix="0" xfId="0">
      <alignment horizontal="center" vertical="center"/>
    </xf>
    <xf numFmtId="164" fontId="21" fillId="0" borderId="36" applyAlignment="1" pivotButton="0" quotePrefix="0" xfId="0">
      <alignment horizontal="center" vertical="center"/>
    </xf>
    <xf numFmtId="49" fontId="43" fillId="26" borderId="74" applyAlignment="1" pivotButton="0" quotePrefix="0" xfId="0">
      <alignment horizontal="center" vertical="center" wrapText="1"/>
    </xf>
    <xf numFmtId="49" fontId="44" fillId="0" borderId="284" applyAlignment="1" pivotButton="0" quotePrefix="0" xfId="0">
      <alignment horizontal="distributed" vertical="center" wrapText="1"/>
    </xf>
    <xf numFmtId="49" fontId="70" fillId="0" borderId="34" applyAlignment="1" pivotButton="0" quotePrefix="0" xfId="0">
      <alignment horizontal="center" vertical="center" wrapText="1" shrinkToFit="1"/>
    </xf>
    <xf numFmtId="165" fontId="23" fillId="0" borderId="16" applyAlignment="1" pivotButton="0" quotePrefix="0" xfId="0">
      <alignment horizontal="right" vertical="center" wrapText="1"/>
    </xf>
    <xf numFmtId="165" fontId="43" fillId="0" borderId="23" applyAlignment="1" pivotButton="0" quotePrefix="0" xfId="0">
      <alignment horizontal="left" vertical="center" wrapText="1"/>
    </xf>
    <xf numFmtId="166" fontId="43" fillId="0" borderId="23" applyAlignment="1" pivotButton="0" quotePrefix="0" xfId="0">
      <alignment horizontal="left" vertical="center" wrapText="1"/>
    </xf>
    <xf numFmtId="166" fontId="23" fillId="0" borderId="32" applyAlignment="1" pivotButton="0" quotePrefix="0" xfId="0">
      <alignment horizontal="right" vertical="center" wrapText="1"/>
    </xf>
    <xf numFmtId="166" fontId="23" fillId="0" borderId="16" applyAlignment="1" pivotButton="0" quotePrefix="0" xfId="0">
      <alignment horizontal="right" vertical="center" shrinkToFit="1"/>
    </xf>
    <xf numFmtId="165" fontId="43" fillId="0" borderId="15" applyAlignment="1" pivotButton="0" quotePrefix="0" xfId="0">
      <alignment horizontal="center" vertical="center" wrapText="1"/>
    </xf>
    <xf numFmtId="166" fontId="24" fillId="0" borderId="32" applyAlignment="1" pivotButton="0" quotePrefix="0" xfId="0">
      <alignment horizontal="center" vertical="center" shrinkToFit="1"/>
    </xf>
    <xf numFmtId="166" fontId="24" fillId="0" borderId="74" applyAlignment="1" pivotButton="0" quotePrefix="0" xfId="0">
      <alignment horizontal="center" vertical="center" shrinkToFit="1"/>
    </xf>
    <xf numFmtId="165" fontId="24" fillId="0" borderId="78" applyAlignment="1" pivotButton="0" quotePrefix="0" xfId="0">
      <alignment horizontal="center" vertical="center"/>
    </xf>
    <xf numFmtId="165" fontId="24" fillId="0" borderId="79" applyAlignment="1" pivotButton="0" quotePrefix="0" xfId="0">
      <alignment horizontal="center" vertical="center"/>
    </xf>
    <xf numFmtId="49" fontId="43" fillId="0" borderId="74" applyAlignment="1" pivotButton="0" quotePrefix="0" xfId="0">
      <alignment horizontal="distributed" vertical="center" shrinkToFit="1"/>
    </xf>
    <xf numFmtId="166" fontId="24" fillId="0" borderId="35" applyAlignment="1" pivotButton="0" quotePrefix="0" xfId="0">
      <alignment horizontal="center" vertical="center" shrinkToFit="1"/>
    </xf>
    <xf numFmtId="166" fontId="24" fillId="0" borderId="36" applyAlignment="1" pivotButton="0" quotePrefix="0" xfId="0">
      <alignment horizontal="center" vertical="center" shrinkToFit="1"/>
    </xf>
    <xf numFmtId="49" fontId="43" fillId="0" borderId="284" applyAlignment="1" pivotButton="0" quotePrefix="0" xfId="0">
      <alignment horizontal="distributed" vertical="center" wrapText="1"/>
    </xf>
    <xf numFmtId="49" fontId="56" fillId="0" borderId="74" applyAlignment="1" pivotButton="0" quotePrefix="0" xfId="0">
      <alignment vertical="center" shrinkToFit="1"/>
    </xf>
    <xf numFmtId="49" fontId="43" fillId="0" borderId="284" applyAlignment="1" pivotButton="0" quotePrefix="0" xfId="0">
      <alignment horizontal="distributed" vertical="center"/>
    </xf>
    <xf numFmtId="49" fontId="21" fillId="24" borderId="74" applyAlignment="1" pivotButton="0" quotePrefix="0" xfId="0">
      <alignment horizontal="center" vertical="center" wrapText="1"/>
    </xf>
    <xf numFmtId="49" fontId="43" fillId="0" borderId="275" applyAlignment="1" pivotButton="0" quotePrefix="0" xfId="0">
      <alignment horizontal="center" vertical="center"/>
    </xf>
    <xf numFmtId="49" fontId="44" fillId="24" borderId="307" applyAlignment="1" pivotButton="0" quotePrefix="0" xfId="0">
      <alignment horizontal="distributed" vertical="center" wrapText="1" shrinkToFit="1"/>
    </xf>
    <xf numFmtId="49" fontId="52" fillId="0" borderId="32" applyAlignment="1" pivotButton="0" quotePrefix="0" xfId="0">
      <alignment horizontal="center" vertical="center" wrapText="1"/>
    </xf>
    <xf numFmtId="49" fontId="40" fillId="0" borderId="282" applyAlignment="1" pivotButton="0" quotePrefix="0" xfId="0">
      <alignment horizontal="distributed" vertical="distributed" textRotation="255" indent="2"/>
    </xf>
    <xf numFmtId="49" fontId="43" fillId="0" borderId="271" applyAlignment="1" pivotButton="0" quotePrefix="0" xfId="0">
      <alignment horizontal="distributed" vertical="center" wrapText="1"/>
    </xf>
    <xf numFmtId="49" fontId="43" fillId="0" borderId="283" applyAlignment="1" pivotButton="0" quotePrefix="0" xfId="0">
      <alignment horizontal="distributed" vertical="center" indent="3"/>
    </xf>
    <xf numFmtId="49" fontId="43" fillId="0" borderId="129" applyAlignment="1" pivotButton="0" quotePrefix="0" xfId="0">
      <alignment horizontal="center" vertical="center" wrapText="1"/>
    </xf>
    <xf numFmtId="49" fontId="43" fillId="0" borderId="74" applyAlignment="1" pivotButton="0" quotePrefix="0" xfId="0">
      <alignment horizontal="center" vertical="center" wrapText="1"/>
    </xf>
    <xf numFmtId="49" fontId="43" fillId="0" borderId="89" applyAlignment="1" pivotButton="0" quotePrefix="0" xfId="0">
      <alignment horizontal="center" vertical="center"/>
    </xf>
    <xf numFmtId="49" fontId="43" fillId="0" borderId="87" applyAlignment="1" pivotButton="0" quotePrefix="0" xfId="0">
      <alignment horizontal="center" vertical="center" wrapText="1"/>
    </xf>
    <xf numFmtId="167" fontId="24" fillId="0" borderId="16" applyAlignment="1" pivotButton="0" quotePrefix="0" xfId="0">
      <alignment horizontal="right" vertical="center"/>
    </xf>
    <xf numFmtId="167" fontId="40" fillId="0" borderId="23" applyAlignment="1" pivotButton="0" quotePrefix="0" xfId="0">
      <alignment horizontal="left" vertical="center"/>
    </xf>
    <xf numFmtId="167" fontId="24" fillId="0" borderId="14" applyAlignment="1" pivotButton="0" quotePrefix="0" xfId="0">
      <alignment horizontal="right" vertical="center"/>
    </xf>
    <xf numFmtId="167" fontId="40" fillId="0" borderId="112" applyAlignment="1" pivotButton="0" quotePrefix="0" xfId="0">
      <alignment horizontal="left" vertical="center"/>
    </xf>
    <xf numFmtId="167" fontId="24" fillId="0" borderId="113" applyAlignment="1" pivotButton="0" quotePrefix="0" xfId="0">
      <alignment horizontal="right" vertical="center"/>
    </xf>
    <xf numFmtId="167" fontId="40" fillId="0" borderId="15" applyAlignment="1" pivotButton="0" quotePrefix="0" xfId="0">
      <alignment horizontal="left" vertical="center"/>
    </xf>
    <xf numFmtId="49" fontId="43" fillId="0" borderId="23" applyAlignment="1" pivotButton="0" quotePrefix="0" xfId="0">
      <alignment horizontal="center" vertical="center" textRotation="255" wrapText="1"/>
    </xf>
    <xf numFmtId="167" fontId="24" fillId="0" borderId="79" applyAlignment="1" pivotButton="0" quotePrefix="0" xfId="0">
      <alignment horizontal="center" vertical="center"/>
    </xf>
    <xf numFmtId="168" fontId="24" fillId="0" borderId="79" applyAlignment="1" pivotButton="0" quotePrefix="0" xfId="0">
      <alignment horizontal="center" vertical="center"/>
    </xf>
    <xf numFmtId="49" fontId="43" fillId="0" borderId="284" applyAlignment="1" pivotButton="0" quotePrefix="0" xfId="0">
      <alignment horizontal="center" vertical="center"/>
    </xf>
    <xf numFmtId="49" fontId="44" fillId="24" borderId="74" applyAlignment="1" pivotButton="0" quotePrefix="0" xfId="0">
      <alignment horizontal="distributed" vertical="center" wrapText="1" shrinkToFit="1"/>
    </xf>
    <xf numFmtId="49" fontId="43" fillId="0" borderId="275" applyAlignment="1" pivotButton="0" quotePrefix="0" xfId="0">
      <alignment horizontal="distributed" vertical="center"/>
    </xf>
    <xf numFmtId="49" fontId="21" fillId="24" borderId="307" applyAlignment="1" pivotButton="0" quotePrefix="0" xfId="0">
      <alignment horizontal="center" vertical="center" wrapText="1"/>
    </xf>
    <xf numFmtId="49" fontId="30" fillId="0" borderId="74" applyAlignment="1" pivotButton="0" quotePrefix="0" xfId="0">
      <alignment horizontal="left" vertical="center" wrapText="1"/>
    </xf>
    <xf numFmtId="49" fontId="40" fillId="0" borderId="34" applyAlignment="1" pivotButton="0" quotePrefix="0" xfId="0">
      <alignment horizontal="distributed" vertical="center" wrapText="1" indent="5"/>
    </xf>
    <xf numFmtId="49" fontId="43" fillId="0" borderId="32" applyAlignment="1" pivotButton="0" quotePrefix="0" xfId="0">
      <alignment horizontal="center" vertical="center" textRotation="255" shrinkToFit="1"/>
    </xf>
    <xf numFmtId="49" fontId="21" fillId="0" borderId="33" applyAlignment="1" pivotButton="0" quotePrefix="0" xfId="0">
      <alignment horizontal="left" vertical="center"/>
    </xf>
    <xf numFmtId="49" fontId="43" fillId="0" borderId="78" applyAlignment="1" pivotButton="0" quotePrefix="0" xfId="0">
      <alignment horizontal="left" vertical="center" textRotation="255"/>
    </xf>
    <xf numFmtId="49" fontId="60" fillId="0" borderId="78" applyAlignment="1" pivotButton="0" quotePrefix="0" xfId="0">
      <alignment vertical="center" textRotation="255"/>
    </xf>
    <xf numFmtId="49" fontId="22" fillId="0" borderId="168" applyAlignment="1" pivotButton="0" quotePrefix="0" xfId="0">
      <alignment vertical="center"/>
    </xf>
    <xf numFmtId="49" fontId="43" fillId="0" borderId="32" applyAlignment="1" pivotButton="0" quotePrefix="0" xfId="0">
      <alignment horizontal="left" vertical="center" textRotation="255"/>
    </xf>
    <xf numFmtId="0" fontId="0" fillId="0" borderId="258" pivotButton="0" quotePrefix="0" xfId="0"/>
    <xf numFmtId="165" fontId="21" fillId="0" borderId="16" applyAlignment="1" pivotButton="0" quotePrefix="0" xfId="0">
      <alignment horizontal="right" vertical="center" shrinkToFit="1"/>
    </xf>
    <xf numFmtId="165" fontId="21" fillId="0" borderId="18" applyAlignment="1" pivotButton="0" quotePrefix="0" xfId="0">
      <alignment horizontal="right" vertical="center" shrinkToFit="1"/>
    </xf>
    <xf numFmtId="165" fontId="40" fillId="0" borderId="19" applyAlignment="1" pivotButton="0" quotePrefix="0" xfId="0">
      <alignment horizontal="left" vertical="center" wrapText="1"/>
    </xf>
    <xf numFmtId="166" fontId="21" fillId="0" borderId="35" applyAlignment="1" pivotButton="0" quotePrefix="0" xfId="0">
      <alignment horizontal="right" vertical="center" shrinkToFit="1"/>
    </xf>
    <xf numFmtId="166" fontId="21" fillId="0" borderId="18" applyAlignment="1" pivotButton="0" quotePrefix="0" xfId="0">
      <alignment horizontal="right" vertical="center" shrinkToFit="1"/>
    </xf>
    <xf numFmtId="49" fontId="43" fillId="0" borderId="129" applyAlignment="1" pivotButton="0" quotePrefix="0" xfId="0">
      <alignment horizontal="distributed" vertical="center" wrapText="1" indent="3"/>
    </xf>
    <xf numFmtId="166" fontId="21" fillId="0" borderId="32" applyAlignment="1" pivotButton="0" quotePrefix="0" xfId="0">
      <alignment horizontal="right" vertical="center" shrinkToFit="1"/>
    </xf>
    <xf numFmtId="49" fontId="40" fillId="0" borderId="103" applyAlignment="1" pivotButton="0" quotePrefix="0" xfId="0">
      <alignment horizontal="center" vertical="center" textRotation="255" wrapText="1"/>
    </xf>
    <xf numFmtId="49" fontId="43" fillId="0" borderId="228" applyAlignment="1" pivotButton="0" quotePrefix="0" xfId="0">
      <alignment horizontal="center" vertical="center" wrapText="1"/>
    </xf>
    <xf numFmtId="49" fontId="40" fillId="0" borderId="275" applyAlignment="1" pivotButton="0" quotePrefix="0" xfId="0">
      <alignment horizontal="distributed" vertical="center" textRotation="255" wrapText="1"/>
    </xf>
    <xf numFmtId="167" fontId="44" fillId="0" borderId="32" applyAlignment="1" pivotButton="0" quotePrefix="0" xfId="0">
      <alignment horizontal="distributed" vertical="center" shrinkToFit="1"/>
    </xf>
    <xf numFmtId="167" fontId="21" fillId="0" borderId="12" applyAlignment="1" pivotButton="0" quotePrefix="0" xfId="0">
      <alignment vertical="center" wrapText="1"/>
    </xf>
    <xf numFmtId="167" fontId="21" fillId="0" borderId="16" applyAlignment="1" pivotButton="0" quotePrefix="0" xfId="0">
      <alignment vertical="center" wrapText="1"/>
    </xf>
    <xf numFmtId="167" fontId="21" fillId="0" borderId="19" applyAlignment="1" pivotButton="0" quotePrefix="0" xfId="0">
      <alignment vertical="center" wrapText="1"/>
    </xf>
    <xf numFmtId="49" fontId="21" fillId="0" borderId="16" applyAlignment="1" pivotButton="0" quotePrefix="0" xfId="0">
      <alignment horizontal="right" vertical="center" wrapText="1"/>
    </xf>
    <xf numFmtId="167" fontId="40" fillId="0" borderId="15" applyAlignment="1" pivotButton="0" quotePrefix="0" xfId="0">
      <alignment horizontal="left" vertical="center" wrapText="1"/>
    </xf>
    <xf numFmtId="167" fontId="43" fillId="0" borderId="0" applyAlignment="1" pivotButton="0" quotePrefix="0" xfId="0">
      <alignment horizontal="center" vertical="center" wrapText="1"/>
    </xf>
    <xf numFmtId="167" fontId="43" fillId="0" borderId="0" applyAlignment="1" pivotButton="0" quotePrefix="0" xfId="0">
      <alignment horizontal="distributed" vertical="center" wrapText="1"/>
    </xf>
    <xf numFmtId="167" fontId="44" fillId="0" borderId="0" applyAlignment="1" pivotButton="0" quotePrefix="0" xfId="0">
      <alignment horizontal="distributed" vertical="center" wrapText="1"/>
    </xf>
    <xf numFmtId="167" fontId="52" fillId="0" borderId="28" applyAlignment="1" pivotButton="0" quotePrefix="0" xfId="0">
      <alignment horizontal="distributed" vertical="center" wrapText="1"/>
    </xf>
    <xf numFmtId="167" fontId="44" fillId="0" borderId="21" applyAlignment="1" pivotButton="0" quotePrefix="0" xfId="0">
      <alignment horizontal="distributed" vertical="center" wrapText="1"/>
    </xf>
    <xf numFmtId="167" fontId="21" fillId="0" borderId="21" applyAlignment="1" pivotButton="0" quotePrefix="0" xfId="0">
      <alignment vertical="center" wrapText="1"/>
    </xf>
    <xf numFmtId="167" fontId="44" fillId="0" borderId="22" applyAlignment="1" pivotButton="0" quotePrefix="0" xfId="0">
      <alignment horizontal="distributed" vertical="center" wrapText="1"/>
    </xf>
    <xf numFmtId="49" fontId="51" fillId="0" borderId="276" applyAlignment="1" pivotButton="0" quotePrefix="0" xfId="0">
      <alignment horizontal="distributed" vertical="center" wrapText="1"/>
    </xf>
    <xf numFmtId="49" fontId="52" fillId="0" borderId="32" applyAlignment="1" pivotButton="0" quotePrefix="0" xfId="0">
      <alignment horizontal="distributed" vertical="center" wrapText="1"/>
    </xf>
    <xf numFmtId="165" fontId="21" fillId="0" borderId="110" applyAlignment="1" pivotButton="0" quotePrefix="0" xfId="0">
      <alignment horizontal="right" vertical="center" shrinkToFit="1"/>
    </xf>
    <xf numFmtId="165" fontId="40" fillId="0" borderId="46" applyAlignment="1" pivotButton="0" quotePrefix="0" xfId="0">
      <alignment horizontal="left" vertical="center" wrapText="1"/>
    </xf>
    <xf numFmtId="166" fontId="21" fillId="0" borderId="276" applyAlignment="1" pivotButton="0" quotePrefix="0" xfId="0">
      <alignment horizontal="right" vertical="center" shrinkToFit="1"/>
    </xf>
    <xf numFmtId="166" fontId="21" fillId="0" borderId="110" applyAlignment="1" pivotButton="0" quotePrefix="0" xfId="0">
      <alignment horizontal="right" vertical="center" shrinkToFit="1"/>
    </xf>
    <xf numFmtId="165" fontId="40" fillId="0" borderId="47" applyAlignment="1" pivotButton="0" quotePrefix="0" xfId="0">
      <alignment horizontal="center" vertical="center" wrapText="1"/>
    </xf>
    <xf numFmtId="49" fontId="73" fillId="0" borderId="74" applyAlignment="1" pivotButton="0" quotePrefix="0" xfId="0">
      <alignment horizontal="left" vertical="center" wrapText="1"/>
    </xf>
    <xf numFmtId="49" fontId="56" fillId="0" borderId="32" applyAlignment="1" pivotButton="0" quotePrefix="0" xfId="0">
      <alignment horizontal="center" vertical="center"/>
    </xf>
    <xf numFmtId="49" fontId="44" fillId="0" borderId="111" applyAlignment="1" pivotButton="0" quotePrefix="0" xfId="0">
      <alignment horizontal="distributed" vertical="center" shrinkToFit="1"/>
    </xf>
    <xf numFmtId="49" fontId="24" fillId="0" borderId="33" applyAlignment="1" pivotButton="0" quotePrefix="0" xfId="0">
      <alignment horizontal="left" vertical="center"/>
    </xf>
    <xf numFmtId="165" fontId="24" fillId="0" borderId="16" applyAlignment="1" pivotButton="0" quotePrefix="0" xfId="0">
      <alignment horizontal="right" vertical="center" shrinkToFit="1"/>
    </xf>
    <xf numFmtId="165" fontId="24" fillId="0" borderId="18" applyAlignment="1" pivotButton="0" quotePrefix="0" xfId="0">
      <alignment horizontal="right" vertical="center" shrinkToFit="1"/>
    </xf>
    <xf numFmtId="166" fontId="24" fillId="0" borderId="35" applyAlignment="1" pivotButton="0" quotePrefix="0" xfId="0">
      <alignment horizontal="right" vertical="center" shrinkToFit="1"/>
    </xf>
    <xf numFmtId="166" fontId="24" fillId="0" borderId="18" applyAlignment="1" pivotButton="0" quotePrefix="0" xfId="0">
      <alignment horizontal="right" vertical="center" shrinkToFit="1"/>
    </xf>
    <xf numFmtId="166" fontId="24" fillId="0" borderId="32" applyAlignment="1" pivotButton="0" quotePrefix="0" xfId="0">
      <alignment horizontal="right" vertical="center" shrinkToFit="1"/>
    </xf>
    <xf numFmtId="49" fontId="24" fillId="0" borderId="16" applyAlignment="1" pivotButton="0" quotePrefix="0" xfId="0">
      <alignment horizontal="right" vertical="center" wrapText="1"/>
    </xf>
    <xf numFmtId="49" fontId="43" fillId="0" borderId="111" applyAlignment="1" pivotButton="0" quotePrefix="0" xfId="0">
      <alignment horizontal="distributed" vertical="center" wrapText="1"/>
    </xf>
    <xf numFmtId="0" fontId="0" fillId="0" borderId="261" pivotButton="0" quotePrefix="0" xfId="0"/>
    <xf numFmtId="0" fontId="0" fillId="0" borderId="262" pivotButton="0" quotePrefix="0" xfId="0"/>
    <xf numFmtId="167" fontId="43" fillId="0" borderId="111" applyAlignment="1" pivotButton="0" quotePrefix="0" xfId="0">
      <alignment horizontal="distributed" vertical="center" wrapText="1"/>
    </xf>
    <xf numFmtId="0" fontId="0" fillId="0" borderId="263" pivotButton="0" quotePrefix="0" xfId="0"/>
    <xf numFmtId="0" fontId="0" fillId="0" borderId="264" pivotButton="0" quotePrefix="0" xfId="0"/>
    <xf numFmtId="0" fontId="0" fillId="0" borderId="265" pivotButton="0" quotePrefix="0" xfId="0"/>
    <xf numFmtId="165" fontId="24" fillId="0" borderId="110" applyAlignment="1" pivotButton="0" quotePrefix="0" xfId="0">
      <alignment horizontal="right" vertical="center" shrinkToFit="1"/>
    </xf>
    <xf numFmtId="166" fontId="24" fillId="0" borderId="276" applyAlignment="1" pivotButton="0" quotePrefix="0" xfId="0">
      <alignment horizontal="right" vertical="center" shrinkToFit="1"/>
    </xf>
    <xf numFmtId="166" fontId="24" fillId="0" borderId="110" applyAlignment="1" pivotButton="0" quotePrefix="0" xfId="0">
      <alignment horizontal="right" vertical="center" shrinkToFit="1"/>
    </xf>
    <xf numFmtId="49" fontId="43" fillId="0" borderId="44" applyAlignment="1" pivotButton="0" quotePrefix="0" xfId="0">
      <alignment horizontal="center" vertical="center" textRotation="255" wrapText="1"/>
    </xf>
    <xf numFmtId="49" fontId="44" fillId="0" borderId="16" applyAlignment="1" pivotButton="0" quotePrefix="0" xfId="0">
      <alignment horizontal="center" vertical="center" textRotation="255" wrapText="1"/>
    </xf>
    <xf numFmtId="49" fontId="44" fillId="0" borderId="23" applyAlignment="1" pivotButton="0" quotePrefix="0" xfId="0">
      <alignment horizontal="left" vertical="center" wrapText="1"/>
    </xf>
    <xf numFmtId="49" fontId="44" fillId="0" borderId="311" applyAlignment="1" pivotButton="0" quotePrefix="0" xfId="0">
      <alignment vertical="center" wrapText="1"/>
    </xf>
    <xf numFmtId="49" fontId="51" fillId="0" borderId="32" applyAlignment="1" pivotButton="0" quotePrefix="0" xfId="0">
      <alignment horizontal="distributed" vertical="center"/>
    </xf>
    <xf numFmtId="164" fontId="24" fillId="0" borderId="32" applyAlignment="1" pivotButton="0" quotePrefix="0" xfId="0">
      <alignment horizontal="center" vertical="center" shrinkToFit="1"/>
    </xf>
    <xf numFmtId="164" fontId="24" fillId="0" borderId="74" applyAlignment="1" pivotButton="0" quotePrefix="0" xfId="0">
      <alignment horizontal="center" vertical="center" shrinkToFit="1"/>
    </xf>
    <xf numFmtId="49" fontId="51" fillId="0" borderId="311" applyAlignment="1" pivotButton="0" quotePrefix="0" xfId="0">
      <alignment vertical="center" wrapText="1"/>
    </xf>
    <xf numFmtId="49" fontId="47" fillId="0" borderId="74" applyAlignment="1" pivotButton="0" quotePrefix="0" xfId="0">
      <alignment horizontal="center" vertical="center" shrinkToFit="1"/>
    </xf>
    <xf numFmtId="49" fontId="51" fillId="0" borderId="276" applyAlignment="1" pivotButton="0" quotePrefix="0" xfId="0">
      <alignment horizontal="distributed" vertical="center"/>
    </xf>
    <xf numFmtId="164" fontId="24" fillId="0" borderId="276" applyAlignment="1" pivotButton="0" quotePrefix="0" xfId="0">
      <alignment horizontal="center" vertical="center" shrinkToFit="1"/>
    </xf>
    <xf numFmtId="164" fontId="24" fillId="0" borderId="307" applyAlignment="1" pivotButton="0" quotePrefix="0" xfId="0">
      <alignment horizontal="center" vertical="center" shrinkToFit="1"/>
    </xf>
    <xf numFmtId="49" fontId="40" fillId="0" borderId="74" applyAlignment="1" pivotButton="0" quotePrefix="0" xfId="0">
      <alignment horizontal="left" vertical="center"/>
    </xf>
    <xf numFmtId="49" fontId="59" fillId="0" borderId="275" applyAlignment="1" pivotButton="0" quotePrefix="0" xfId="0">
      <alignment horizontal="center" vertical="center" textRotation="255" wrapText="1"/>
    </xf>
    <xf numFmtId="164" fontId="43" fillId="0" borderId="34" applyAlignment="1" pivotButton="0" quotePrefix="0" xfId="0">
      <alignment horizontal="center" vertical="center" shrinkToFit="1"/>
    </xf>
    <xf numFmtId="167" fontId="23" fillId="0" borderId="20" applyAlignment="1" pivotButton="0" quotePrefix="0" xfId="0">
      <alignment horizontal="right" vertical="center" shrinkToFit="1"/>
    </xf>
    <xf numFmtId="164" fontId="43" fillId="24" borderId="200" applyAlignment="1" pivotButton="0" quotePrefix="0" xfId="0">
      <alignment horizontal="center" vertical="center" wrapText="1"/>
    </xf>
    <xf numFmtId="165" fontId="21" fillId="0" borderId="110" applyAlignment="1" pivotButton="0" quotePrefix="0" xfId="0">
      <alignment horizontal="right" vertical="center" wrapText="1"/>
    </xf>
    <xf numFmtId="166" fontId="40" fillId="0" borderId="45" applyAlignment="1" pivotButton="0" quotePrefix="0" xfId="0">
      <alignment horizontal="center" vertical="center" wrapText="1"/>
    </xf>
    <xf numFmtId="167" fontId="40" fillId="0" borderId="46" applyAlignment="1" pivotButton="0" quotePrefix="0" xfId="0">
      <alignment horizontal="right" vertical="center" wrapText="1"/>
    </xf>
    <xf numFmtId="164" fontId="40" fillId="0" borderId="110" applyAlignment="1" pivotButton="0" quotePrefix="0" xfId="0">
      <alignment horizontal="right" vertical="center" wrapText="1"/>
    </xf>
    <xf numFmtId="49" fontId="40" fillId="0" borderId="271" applyAlignment="1" pivotButton="0" quotePrefix="0" xfId="0">
      <alignment horizontal="center" vertical="center"/>
    </xf>
    <xf numFmtId="49" fontId="39" fillId="0" borderId="32" applyAlignment="1" pivotButton="0" quotePrefix="0" xfId="0">
      <alignment horizontal="center" vertical="center" wrapText="1"/>
    </xf>
    <xf numFmtId="164" fontId="43" fillId="0" borderId="16" applyAlignment="1" pivotButton="0" quotePrefix="0" xfId="0">
      <alignment horizontal="center" vertical="center" wrapText="1"/>
    </xf>
    <xf numFmtId="164" fontId="40" fillId="24" borderId="18" applyAlignment="1" pivotButton="0" quotePrefix="0" xfId="0">
      <alignment vertical="center"/>
    </xf>
    <xf numFmtId="164" fontId="40" fillId="24" borderId="12" applyAlignment="1" pivotButton="0" quotePrefix="0" xfId="0">
      <alignment vertical="center"/>
    </xf>
    <xf numFmtId="165" fontId="21" fillId="0" borderId="0" applyAlignment="1" pivotButton="0" quotePrefix="0" xfId="0">
      <alignment horizontal="left" vertical="center"/>
    </xf>
    <xf numFmtId="166" fontId="40" fillId="0" borderId="0" applyAlignment="1" pivotButton="0" quotePrefix="0" xfId="0">
      <alignment horizontal="left" vertical="center"/>
    </xf>
    <xf numFmtId="167" fontId="40" fillId="0" borderId="0" applyAlignment="1" pivotButton="0" quotePrefix="0" xfId="0">
      <alignment horizontal="left" vertical="center"/>
    </xf>
    <xf numFmtId="164" fontId="40" fillId="0" borderId="107" applyAlignment="1" pivotButton="0" quotePrefix="0" xfId="0">
      <alignment horizontal="left" vertical="center"/>
    </xf>
    <xf numFmtId="164" fontId="40" fillId="0" borderId="0" applyAlignment="1" pivotButton="0" quotePrefix="0" xfId="0">
      <alignment horizontal="left" vertical="center"/>
    </xf>
    <xf numFmtId="165" fontId="40" fillId="0" borderId="0" applyAlignment="1" pivotButton="0" quotePrefix="0" xfId="0">
      <alignment horizontal="center" vertical="center"/>
    </xf>
    <xf numFmtId="165" fontId="40" fillId="0" borderId="0" applyAlignment="1" pivotButton="0" quotePrefix="0" xfId="0">
      <alignment vertical="center" justifyLastLine="1"/>
    </xf>
    <xf numFmtId="164" fontId="40" fillId="0" borderId="107" applyAlignment="1" pivotButton="0" quotePrefix="0" xfId="0">
      <alignment vertical="center"/>
    </xf>
    <xf numFmtId="164" fontId="40" fillId="0" borderId="0" applyAlignment="1" pivotButton="0" quotePrefix="0" xfId="0">
      <alignment horizontal="center" vertical="center"/>
    </xf>
    <xf numFmtId="165" fontId="40" fillId="0" borderId="0" applyAlignment="1" pivotButton="0" quotePrefix="0" xfId="0">
      <alignment horizontal="left" vertical="center"/>
    </xf>
    <xf numFmtId="165" fontId="40" fillId="0" borderId="0" applyAlignment="1" pivotButton="0" quotePrefix="0" xfId="0">
      <alignment horizontal="center" vertical="center" shrinkToFit="1"/>
    </xf>
    <xf numFmtId="165" fontId="40" fillId="0" borderId="0" applyAlignment="1" pivotButton="0" quotePrefix="0" xfId="0">
      <alignment vertical="center" shrinkToFit="1"/>
    </xf>
    <xf numFmtId="165" fontId="21" fillId="0" borderId="21" applyAlignment="1" pivotButton="0" quotePrefix="0" xfId="0">
      <alignment horizontal="left" vertical="center"/>
    </xf>
    <xf numFmtId="166" fontId="40" fillId="0" borderId="21" applyAlignment="1" pivotButton="0" quotePrefix="0" xfId="0">
      <alignment horizontal="left" vertical="center"/>
    </xf>
    <xf numFmtId="167" fontId="40" fillId="0" borderId="21" applyAlignment="1" pivotButton="0" quotePrefix="0" xfId="0">
      <alignment horizontal="left" vertical="center"/>
    </xf>
    <xf numFmtId="164" fontId="40" fillId="0" borderId="109" applyAlignment="1" pivotButton="0" quotePrefix="0" xfId="0">
      <alignment horizontal="left" vertical="center"/>
    </xf>
    <xf numFmtId="164" fontId="40" fillId="0" borderId="21" applyAlignment="1" pivotButton="0" quotePrefix="0" xfId="0">
      <alignment horizontal="left" vertical="center"/>
    </xf>
    <xf numFmtId="49" fontId="43" fillId="0" borderId="276" applyAlignment="1" pivotButton="0" quotePrefix="0" xfId="0">
      <alignment horizontal="center" vertical="center"/>
    </xf>
    <xf numFmtId="165" fontId="21" fillId="0" borderId="17" applyAlignment="1" pivotButton="0" quotePrefix="0" xfId="0">
      <alignment horizontal="left" vertical="center"/>
    </xf>
    <xf numFmtId="166" fontId="40" fillId="0" borderId="17" applyAlignment="1" pivotButton="0" quotePrefix="0" xfId="0">
      <alignment horizontal="left" vertical="center"/>
    </xf>
    <xf numFmtId="167" fontId="40" fillId="0" borderId="17" applyAlignment="1" pivotButton="0" quotePrefix="0" xfId="0">
      <alignment horizontal="left" vertical="center"/>
    </xf>
    <xf numFmtId="164" fontId="40" fillId="0" borderId="267" applyAlignment="1" pivotButton="0" quotePrefix="0" xfId="0">
      <alignment horizontal="left" vertical="center"/>
    </xf>
    <xf numFmtId="164" fontId="40" fillId="0" borderId="17" applyAlignment="1" pivotButton="0" quotePrefix="0" xfId="0">
      <alignment horizontal="left" vertical="center"/>
    </xf>
    <xf numFmtId="49" fontId="59" fillId="0" borderId="282" applyAlignment="1" pivotButton="0" quotePrefix="0" xfId="0">
      <alignment horizontal="center" vertical="center" textRotation="255" wrapText="1"/>
    </xf>
    <xf numFmtId="49" fontId="40" fillId="0" borderId="336" applyAlignment="1" pivotButton="0" quotePrefix="0" xfId="0">
      <alignment horizontal="center" vertical="center" wrapText="1"/>
    </xf>
    <xf numFmtId="49" fontId="60" fillId="24" borderId="16" applyAlignment="1" pivotButton="0" quotePrefix="0" xfId="0">
      <alignment horizontal="distributed" vertical="center" wrapText="1"/>
    </xf>
    <xf numFmtId="49" fontId="52" fillId="25" borderId="32" applyAlignment="1" pivotButton="0" quotePrefix="0" xfId="0">
      <alignment horizontal="center" vertical="center" textRotation="255"/>
    </xf>
    <xf numFmtId="49" fontId="40" fillId="25" borderId="32" applyAlignment="1" pivotButton="0" quotePrefix="0" xfId="0">
      <alignment horizontal="distributed" vertical="center" wrapText="1" shrinkToFit="1"/>
    </xf>
    <xf numFmtId="49" fontId="40" fillId="25" borderId="32" applyAlignment="1" pivotButton="0" quotePrefix="0" xfId="0">
      <alignment horizontal="distributed" vertical="center" wrapText="1"/>
    </xf>
    <xf numFmtId="49" fontId="40" fillId="25" borderId="32" applyAlignment="1" pivotButton="0" quotePrefix="0" xfId="0">
      <alignment horizontal="left" vertical="center" textRotation="255"/>
    </xf>
    <xf numFmtId="49" fontId="21" fillId="25" borderId="15" applyAlignment="1" pivotButton="0" quotePrefix="0" xfId="0">
      <alignment horizontal="left" vertical="center" wrapText="1"/>
    </xf>
    <xf numFmtId="49" fontId="40" fillId="25" borderId="32" applyAlignment="1" pivotButton="0" quotePrefix="0" xfId="0">
      <alignment horizontal="center" vertical="center"/>
    </xf>
    <xf numFmtId="49" fontId="60" fillId="0" borderId="34" applyAlignment="1" pivotButton="0" quotePrefix="0" xfId="0">
      <alignment horizontal="center" vertical="center" textRotation="255" wrapText="1"/>
    </xf>
    <xf numFmtId="49" fontId="59" fillId="0" borderId="32" applyAlignment="1" pivotButton="0" quotePrefix="0" xfId="0">
      <alignment horizontal="distributed" vertical="center" wrapText="1"/>
    </xf>
    <xf numFmtId="49" fontId="59" fillId="0" borderId="32" applyAlignment="1" pivotButton="0" quotePrefix="0" xfId="0">
      <alignment horizontal="center" vertical="center" wrapText="1"/>
    </xf>
    <xf numFmtId="49" fontId="39" fillId="0" borderId="275" applyAlignment="1" pivotButton="0" quotePrefix="0" xfId="0">
      <alignment horizontal="center" vertical="center"/>
    </xf>
    <xf numFmtId="49" fontId="6" fillId="0" borderId="32" applyAlignment="1" pivotButton="0" quotePrefix="0" xfId="0">
      <alignment horizontal="left" vertical="center"/>
    </xf>
    <xf numFmtId="49" fontId="6" fillId="0" borderId="32" applyAlignment="1" pivotButton="0" quotePrefix="0" xfId="0">
      <alignment horizontal="left" vertical="center" shrinkToFit="1"/>
    </xf>
    <xf numFmtId="49" fontId="76" fillId="0" borderId="74" applyAlignment="1" pivotButton="0" quotePrefix="0" xfId="0">
      <alignment horizontal="left" vertical="center" wrapText="1"/>
    </xf>
    <xf numFmtId="49" fontId="78" fillId="0" borderId="15" applyAlignment="1" pivotButton="0" quotePrefix="0" xfId="0">
      <alignment horizontal="left" vertical="center" wrapText="1"/>
    </xf>
    <xf numFmtId="49" fontId="79" fillId="0" borderId="141" applyAlignment="1" pivotButton="0" quotePrefix="0" xfId="0">
      <alignment horizontal="center" vertical="center"/>
    </xf>
    <xf numFmtId="49" fontId="79" fillId="0" borderId="139" applyAlignment="1" pivotButton="0" quotePrefix="0" xfId="0">
      <alignment horizontal="center" vertical="center"/>
    </xf>
    <xf numFmtId="167" fontId="79" fillId="0" borderId="78" applyAlignment="1" pivotButton="0" quotePrefix="0" xfId="0">
      <alignment horizontal="center" vertical="center"/>
    </xf>
    <xf numFmtId="164" fontId="77" fillId="0" borderId="32" applyAlignment="1" pivotButton="0" quotePrefix="0" xfId="0">
      <alignment horizontal="center" vertical="center" shrinkToFit="1"/>
    </xf>
    <xf numFmtId="49" fontId="81" fillId="0" borderId="141" applyAlignment="1" pivotButton="0" quotePrefix="0" xfId="0">
      <alignment horizontal="center" vertical="center"/>
    </xf>
    <xf numFmtId="49" fontId="81" fillId="0" borderId="140" applyAlignment="1" pivotButton="0" quotePrefix="0" xfId="0">
      <alignment horizontal="center" vertical="center"/>
    </xf>
    <xf numFmtId="49" fontId="82" fillId="0" borderId="14" applyAlignment="1" pivotButton="0" quotePrefix="0" xfId="0">
      <alignment horizontal="center" vertical="center"/>
    </xf>
    <xf numFmtId="165" fontId="40" fillId="0" borderId="32" applyAlignment="1" pivotButton="0" quotePrefix="0" xfId="0">
      <alignment horizontal="center" vertical="center" shrinkToFit="1"/>
    </xf>
    <xf numFmtId="165" fontId="40" fillId="0" borderId="32" applyAlignment="1" pivotButton="0" quotePrefix="0" xfId="0">
      <alignment horizontal="center" vertical="center"/>
    </xf>
    <xf numFmtId="165" fontId="39" fillId="0" borderId="0" applyAlignment="1" pivotButton="0" quotePrefix="0" xfId="0">
      <alignment horizontal="left" vertical="center"/>
    </xf>
    <xf numFmtId="49" fontId="21" fillId="0" borderId="115" applyAlignment="1" pivotButton="0" quotePrefix="0" xfId="0">
      <alignment horizontal="center" vertical="center"/>
    </xf>
    <xf numFmtId="0" fontId="0" fillId="0" borderId="150" pivotButton="0" quotePrefix="0" xfId="0"/>
    <xf numFmtId="0" fontId="0" fillId="0" borderId="191" pivotButton="0" quotePrefix="0" xfId="0"/>
    <xf numFmtId="0" fontId="59" fillId="0" borderId="282" applyAlignment="1" pivotButton="0" quotePrefix="0" xfId="43">
      <alignment horizontal="center" vertical="center" textRotation="255" wrapText="1"/>
    </xf>
    <xf numFmtId="0" fontId="6" fillId="0" borderId="339" applyAlignment="1" pivotButton="0" quotePrefix="0" xfId="43">
      <alignment horizontal="center" vertical="center"/>
    </xf>
    <xf numFmtId="0" fontId="59" fillId="0" borderId="284" applyAlignment="1" pivotButton="0" quotePrefix="0" xfId="43">
      <alignment horizontal="center" vertical="center" textRotation="255" wrapText="1"/>
    </xf>
    <xf numFmtId="0" fontId="59" fillId="0" borderId="36" applyAlignment="1" pivotButton="0" quotePrefix="0" xfId="43">
      <alignment horizontal="left" vertical="center"/>
    </xf>
    <xf numFmtId="0" fontId="6" fillId="0" borderId="34" applyAlignment="1" pivotButton="0" quotePrefix="0" xfId="43">
      <alignment horizontal="left" vertical="center"/>
    </xf>
    <xf numFmtId="0" fontId="59" fillId="0" borderId="200" applyAlignment="1" pivotButton="0" quotePrefix="0" xfId="43">
      <alignment horizontal="center"/>
    </xf>
    <xf numFmtId="0" fontId="19" fillId="0" borderId="32" applyAlignment="1" pivotButton="0" quotePrefix="0" xfId="43">
      <alignment horizontal="left" vertical="center" wrapText="1" shrinkToFit="1"/>
    </xf>
    <xf numFmtId="0" fontId="6" fillId="0" borderId="74" applyAlignment="1" pivotButton="0" quotePrefix="0" xfId="43">
      <alignment horizontal="left" vertical="center"/>
    </xf>
    <xf numFmtId="0" fontId="59" fillId="0" borderId="32" applyAlignment="1" pivotButton="0" quotePrefix="0" xfId="43">
      <alignment horizontal="left" vertical="center" wrapText="1"/>
    </xf>
    <xf numFmtId="0" fontId="6" fillId="0" borderId="338" applyAlignment="1" pivotButton="0" quotePrefix="0" xfId="43">
      <alignment horizontal="left" vertical="center"/>
    </xf>
    <xf numFmtId="0" fontId="0" fillId="0" borderId="274" pivotButton="0" quotePrefix="0" xfId="0"/>
    <xf numFmtId="0" fontId="6" fillId="0" borderId="339" applyAlignment="1" pivotButton="0" quotePrefix="0" xfId="43">
      <alignment horizontal="left" vertical="center"/>
    </xf>
    <xf numFmtId="0" fontId="59" fillId="0" borderId="284" applyAlignment="1" pivotButton="0" quotePrefix="0" xfId="43">
      <alignment horizontal="center" vertical="center" shrinkToFit="1"/>
    </xf>
    <xf numFmtId="0" fontId="6" fillId="0" borderId="284" applyAlignment="1" pivotButton="0" quotePrefix="0" xfId="43">
      <alignment horizontal="center" vertical="center" shrinkToFit="1"/>
    </xf>
    <xf numFmtId="0" fontId="6" fillId="0" borderId="74" applyAlignment="1" pivotButton="0" quotePrefix="0" xfId="43">
      <alignment horizontal="center" vertical="center"/>
    </xf>
    <xf numFmtId="0" fontId="59" fillId="0" borderId="284" applyAlignment="1" pivotButton="0" quotePrefix="0" xfId="43">
      <alignment horizontal="center" vertical="center" wrapText="1"/>
    </xf>
    <xf numFmtId="0" fontId="59" fillId="0" borderId="337" applyAlignment="1" pivotButton="0" quotePrefix="0" xfId="43">
      <alignment vertical="center" shrinkToFit="1"/>
    </xf>
    <xf numFmtId="0" fontId="60" fillId="0" borderId="36" applyAlignment="1" pivotButton="0" quotePrefix="0" xfId="43">
      <alignment horizontal="left" vertical="top"/>
    </xf>
    <xf numFmtId="0" fontId="59" fillId="0" borderId="34" applyAlignment="1" pivotButton="0" quotePrefix="0" xfId="43">
      <alignment vertical="center"/>
    </xf>
    <xf numFmtId="0" fontId="59" fillId="0" borderId="200" applyAlignment="1" pivotButton="0" quotePrefix="0" xfId="43">
      <alignment horizontal="center" vertical="center"/>
    </xf>
    <xf numFmtId="0" fontId="59" fillId="0" borderId="284" applyAlignment="1" pivotButton="0" quotePrefix="0" xfId="43">
      <alignment horizontal="center" vertical="center"/>
    </xf>
    <xf numFmtId="0" fontId="59" fillId="0" borderId="35" applyAlignment="1" pivotButton="0" quotePrefix="0" xfId="43">
      <alignment horizontal="center" vertical="center" shrinkToFit="1"/>
    </xf>
    <xf numFmtId="0" fontId="59" fillId="0" borderId="36" applyAlignment="1" pivotButton="0" quotePrefix="0" xfId="43">
      <alignment horizontal="center" vertical="center" shrinkToFit="1"/>
    </xf>
    <xf numFmtId="0" fontId="59" fillId="0" borderId="74" applyAlignment="1" pivotButton="0" quotePrefix="0" xfId="43">
      <alignment horizontal="center" vertical="center" shrinkToFit="1"/>
    </xf>
    <xf numFmtId="0" fontId="59" fillId="0" borderId="33" applyAlignment="1" pivotButton="0" quotePrefix="0" xfId="43">
      <alignment horizontal="center" vertical="center"/>
    </xf>
    <xf numFmtId="0" fontId="59" fillId="0" borderId="259" applyAlignment="1" pivotButton="0" quotePrefix="0" xfId="43">
      <alignment horizontal="left" vertical="center"/>
    </xf>
    <xf numFmtId="0" fontId="19" fillId="27" borderId="32" applyAlignment="1" pivotButton="0" quotePrefix="0" xfId="43">
      <alignment horizontal="left" vertical="center"/>
    </xf>
    <xf numFmtId="0" fontId="59" fillId="0" borderId="200" applyAlignment="1" pivotButton="0" quotePrefix="0" xfId="43">
      <alignment vertical="center"/>
    </xf>
    <xf numFmtId="0" fontId="59" fillId="0" borderId="36" applyAlignment="1" pivotButton="0" quotePrefix="0" xfId="43">
      <alignment horizontal="center" vertical="center"/>
    </xf>
    <xf numFmtId="0" fontId="59" fillId="0" borderId="35" applyAlignment="1" pivotButton="0" quotePrefix="0" xfId="43">
      <alignment horizontal="left" vertical="center"/>
    </xf>
    <xf numFmtId="0" fontId="60" fillId="0" borderId="284" applyAlignment="1" pivotButton="0" quotePrefix="0" xfId="43">
      <alignment horizontal="center" vertical="center" shrinkToFit="1"/>
    </xf>
    <xf numFmtId="0" fontId="60" fillId="0" borderId="307" applyAlignment="1" pivotButton="0" quotePrefix="0" xfId="43">
      <alignment horizontal="left" vertical="center" wrapText="1"/>
    </xf>
    <xf numFmtId="174" fontId="59" fillId="0" borderId="74" applyAlignment="1" pivotButton="0" quotePrefix="0" xfId="44">
      <alignment horizontal="center" vertical="center" shrinkToFit="1"/>
    </xf>
    <xf numFmtId="0" fontId="59" fillId="0" borderId="61" applyAlignment="1" pivotButton="0" quotePrefix="0" xfId="43">
      <alignment horizontal="center" vertical="center" wrapText="1" shrinkToFit="1"/>
    </xf>
    <xf numFmtId="0" fontId="60" fillId="0" borderId="284" applyAlignment="1" pivotButton="0" quotePrefix="0" xfId="43">
      <alignment horizontal="center" vertical="center"/>
    </xf>
    <xf numFmtId="0" fontId="59" fillId="0" borderId="283" applyAlignment="1" pivotButton="0" quotePrefix="0" xfId="43">
      <alignment horizontal="center" vertical="center"/>
    </xf>
    <xf numFmtId="0" fontId="59" fillId="27" borderId="32" applyAlignment="1" pivotButton="0" quotePrefix="0" xfId="43">
      <alignment horizontal="right" vertical="center"/>
    </xf>
    <xf numFmtId="0" fontId="83" fillId="0" borderId="276" applyAlignment="1" pivotButton="0" quotePrefix="0" xfId="43">
      <alignment horizontal="center" vertical="center"/>
    </xf>
    <xf numFmtId="0" fontId="19" fillId="0" borderId="32" applyAlignment="1" pivotButton="0" quotePrefix="0" xfId="43">
      <alignment horizontal="left" vertical="center"/>
    </xf>
    <xf numFmtId="0" fontId="59" fillId="27" borderId="254" applyAlignment="1" pivotButton="0" quotePrefix="0" xfId="43">
      <alignment horizontal="right" vertical="center"/>
    </xf>
    <xf numFmtId="0" fontId="59" fillId="0" borderId="282" applyAlignment="1" pivotButton="0" quotePrefix="0" xfId="43">
      <alignment horizontal="center" vertical="center"/>
    </xf>
    <xf numFmtId="0" fontId="59" fillId="0" borderId="272" applyAlignment="1" pivotButton="0" quotePrefix="0" xfId="43">
      <alignment horizontal="center" vertical="center"/>
    </xf>
    <xf numFmtId="0" fontId="59" fillId="0" borderId="259" applyAlignment="1" pivotButton="0" quotePrefix="0" xfId="43">
      <alignment horizontal="center" vertical="center"/>
    </xf>
    <xf numFmtId="0" fontId="59" fillId="0" borderId="268" applyAlignment="1" pivotButton="0" quotePrefix="0" xfId="46">
      <alignment horizontal="center" vertical="center"/>
    </xf>
    <xf numFmtId="0" fontId="59" fillId="0" borderId="250" applyAlignment="1" pivotButton="0" quotePrefix="0" xfId="46">
      <alignment horizontal="center" vertical="center" textRotation="255" wrapText="1"/>
    </xf>
    <xf numFmtId="0" fontId="6" fillId="0" borderId="340" applyAlignment="1" pivotButton="0" quotePrefix="0" xfId="46">
      <alignment horizontal="left" vertical="center"/>
    </xf>
    <xf numFmtId="0" fontId="0" fillId="0" borderId="280" pivotButton="0" quotePrefix="0" xfId="0"/>
    <xf numFmtId="0" fontId="0" fillId="0" borderId="281" pivotButton="0" quotePrefix="0" xfId="0"/>
    <xf numFmtId="0" fontId="6" fillId="0" borderId="339" applyAlignment="1" pivotButton="0" quotePrefix="0" xfId="46">
      <alignment horizontal="left" vertical="center"/>
    </xf>
    <xf numFmtId="0" fontId="59" fillId="0" borderId="284" applyAlignment="1" pivotButton="0" quotePrefix="0" xfId="46">
      <alignment horizontal="center" vertical="center" textRotation="255" shrinkToFit="1"/>
    </xf>
    <xf numFmtId="0" fontId="6" fillId="0" borderId="338" applyAlignment="1" pivotButton="0" quotePrefix="0" xfId="46">
      <alignment horizontal="left" vertical="center"/>
    </xf>
    <xf numFmtId="0" fontId="6" fillId="0" borderId="338" applyAlignment="1" pivotButton="0" quotePrefix="0" xfId="46">
      <alignment horizontal="center" vertical="center"/>
    </xf>
    <xf numFmtId="0" fontId="6" fillId="0" borderId="339" applyAlignment="1" pivotButton="0" quotePrefix="0" xfId="46">
      <alignment horizontal="center" vertical="center"/>
    </xf>
    <xf numFmtId="0" fontId="59" fillId="0" borderId="284" applyAlignment="1" pivotButton="0" quotePrefix="0" xfId="46">
      <alignment horizontal="center" vertical="center" textRotation="255" wrapText="1"/>
    </xf>
    <xf numFmtId="0" fontId="60" fillId="0" borderId="32" applyAlignment="1" pivotButton="0" quotePrefix="0" xfId="46">
      <alignment horizontal="left" vertical="center" wrapText="1" shrinkToFit="1"/>
    </xf>
    <xf numFmtId="0" fontId="59" fillId="0" borderId="32" applyAlignment="1" pivotButton="0" quotePrefix="0" xfId="46">
      <alignment horizontal="left" vertical="center"/>
    </xf>
    <xf numFmtId="0" fontId="59" fillId="0" borderId="32" applyAlignment="1" pivotButton="0" quotePrefix="0" xfId="46">
      <alignment horizontal="left" vertical="center" wrapText="1"/>
    </xf>
    <xf numFmtId="0" fontId="60" fillId="0" borderId="284" applyAlignment="1" pivotButton="0" quotePrefix="0" xfId="45">
      <alignment vertical="center" wrapText="1" shrinkToFit="1"/>
    </xf>
    <xf numFmtId="0" fontId="59" fillId="0" borderId="35" applyAlignment="1" pivotButton="0" quotePrefix="0" xfId="45">
      <alignment horizontal="center" vertical="center"/>
    </xf>
    <xf numFmtId="0" fontId="59" fillId="0" borderId="16" applyAlignment="1" pivotButton="0" quotePrefix="0" xfId="45">
      <alignment horizontal="center" vertical="center" shrinkToFit="1"/>
    </xf>
    <xf numFmtId="0" fontId="59" fillId="0" borderId="74" applyAlignment="1" pivotButton="0" quotePrefix="0" xfId="45">
      <alignment horizontal="center" vertical="center"/>
    </xf>
    <xf numFmtId="0" fontId="60" fillId="0" borderId="35" applyAlignment="1" pivotButton="0" quotePrefix="0" xfId="45">
      <alignment horizontal="center" vertical="center"/>
    </xf>
    <xf numFmtId="0" fontId="85" fillId="0" borderId="32" applyAlignment="1" pivotButton="0" quotePrefix="0" xfId="45">
      <alignment horizontal="center" vertical="center" wrapText="1"/>
    </xf>
    <xf numFmtId="0" fontId="60" fillId="0" borderId="74" applyAlignment="1" pivotButton="0" quotePrefix="0" xfId="45">
      <alignment horizontal="center" vertical="center" wrapText="1"/>
    </xf>
    <xf numFmtId="0" fontId="85" fillId="0" borderId="129" applyAlignment="1" pivotButton="0" quotePrefix="0" xfId="45">
      <alignment horizontal="center" vertical="center"/>
    </xf>
    <xf numFmtId="174" fontId="60" fillId="0" borderId="32" applyAlignment="1" pivotButton="0" quotePrefix="0" xfId="44">
      <alignment horizontal="center" vertical="center" wrapText="1"/>
    </xf>
    <xf numFmtId="0" fontId="60" fillId="0" borderId="307" applyAlignment="1" pivotButton="0" quotePrefix="0" xfId="45">
      <alignment horizontal="center" vertical="center" wrapText="1"/>
    </xf>
    <xf numFmtId="0" fontId="60" fillId="0" borderId="284" applyAlignment="1" pivotButton="0" quotePrefix="0" xfId="45">
      <alignment horizontal="center" vertical="center" shrinkToFit="1"/>
    </xf>
    <xf numFmtId="0" fontId="60" fillId="0" borderId="275" applyAlignment="1" pivotButton="0" quotePrefix="0" xfId="45">
      <alignment horizontal="center" vertical="center" shrinkToFit="1"/>
    </xf>
    <xf numFmtId="0" fontId="60" fillId="0" borderId="16" applyAlignment="1" pivotButton="0" quotePrefix="0" xfId="45">
      <alignment horizontal="center" vertical="center" wrapText="1"/>
    </xf>
    <xf numFmtId="0" fontId="60" fillId="0" borderId="32" applyAlignment="1" pivotButton="0" quotePrefix="0" xfId="45">
      <alignment horizontal="center" vertical="center" shrinkToFit="1"/>
    </xf>
    <xf numFmtId="0" fontId="60" fillId="0" borderId="307" applyAlignment="1" pivotButton="0" quotePrefix="0" xfId="45">
      <alignment horizontal="center" vertical="center"/>
    </xf>
    <xf numFmtId="49" fontId="21" fillId="0" borderId="15" applyAlignment="1" pivotButton="0" quotePrefix="0" xfId="0">
      <alignment horizontal="center" vertical="center" shrinkToFit="1"/>
    </xf>
    <xf numFmtId="49" fontId="40" fillId="0" borderId="32" applyAlignment="1" pivotButton="0" quotePrefix="0" xfId="0">
      <alignment horizontal="distributed" vertical="center" wrapText="1" indent="1"/>
    </xf>
    <xf numFmtId="49" fontId="40" fillId="0" borderId="337" applyAlignment="1" pivotButton="0" quotePrefix="0" xfId="0">
      <alignment horizontal="distributed" vertical="center"/>
    </xf>
    <xf numFmtId="0" fontId="0" fillId="0" borderId="160" pivotButton="0" quotePrefix="0" xfId="0"/>
    <xf numFmtId="0" fontId="0" fillId="0" borderId="287" pivotButton="0" quotePrefix="0" xfId="0"/>
    <xf numFmtId="49" fontId="43" fillId="0" borderId="211" applyAlignment="1" pivotButton="0" quotePrefix="0" xfId="0">
      <alignment horizontal="distributed" vertical="center"/>
    </xf>
    <xf numFmtId="49" fontId="40" fillId="0" borderId="211" applyAlignment="1" pivotButton="0" quotePrefix="0" xfId="0">
      <alignment horizontal="distributed" vertical="center"/>
    </xf>
    <xf numFmtId="49" fontId="40" fillId="0" borderId="323" applyAlignment="1" pivotButton="0" quotePrefix="0" xfId="0">
      <alignment horizontal="distributed" vertical="center"/>
    </xf>
    <xf numFmtId="164" fontId="20" fillId="29" borderId="74" applyAlignment="1" pivotButton="0" quotePrefix="0" xfId="0">
      <alignment horizontal="center" vertical="center" shrinkToFit="1"/>
    </xf>
    <xf numFmtId="49" fontId="44" fillId="0" borderId="275" applyAlignment="1" pivotButton="0" quotePrefix="0" xfId="0">
      <alignment horizontal="distributed" vertical="center" wrapText="1"/>
    </xf>
    <xf numFmtId="49" fontId="40" fillId="0" borderId="32" applyAlignment="1" pivotButton="0" quotePrefix="0" xfId="0">
      <alignment horizontal="left" vertical="center" wrapText="1"/>
    </xf>
    <xf numFmtId="165" fontId="24" fillId="0" borderId="110" applyAlignment="1" pivotButton="0" quotePrefix="0" xfId="0">
      <alignment horizontal="right" vertical="center" wrapText="1"/>
    </xf>
    <xf numFmtId="166" fontId="40" fillId="0" borderId="46" applyAlignment="1" pivotButton="0" quotePrefix="0" xfId="0">
      <alignment horizontal="left" vertical="center" wrapText="1"/>
    </xf>
    <xf numFmtId="49" fontId="40" fillId="0" borderId="129" applyAlignment="1" pivotButton="0" quotePrefix="0" xfId="0">
      <alignment horizontal="distributed" vertical="center" wrapText="1" indent="1"/>
    </xf>
    <xf numFmtId="49" fontId="40" fillId="0" borderId="256" applyAlignment="1" pivotButton="0" quotePrefix="0" xfId="0">
      <alignment horizontal="center" vertical="center" wrapText="1"/>
    </xf>
    <xf numFmtId="49" fontId="40" fillId="0" borderId="257" applyAlignment="1" pivotButton="0" quotePrefix="0" xfId="0">
      <alignment horizontal="center" vertical="center" wrapText="1"/>
    </xf>
    <xf numFmtId="49" fontId="40" fillId="0" borderId="32" applyAlignment="1" pivotButton="0" quotePrefix="0" xfId="0">
      <alignment horizontal="center" vertical="center" textRotation="255" wrapText="1"/>
    </xf>
    <xf numFmtId="49" fontId="93" fillId="0" borderId="74" applyAlignment="1" pivotButton="0" quotePrefix="0" xfId="47">
      <alignment horizontal="center" vertical="center" wrapText="1"/>
    </xf>
    <xf numFmtId="49" fontId="32" fillId="0" borderId="15" applyAlignment="1" pivotButton="0" quotePrefix="0" xfId="0">
      <alignment horizontal="center" vertical="center" shrinkToFit="1"/>
    </xf>
    <xf numFmtId="49" fontId="43" fillId="0" borderId="35" applyAlignment="1" pivotButton="0" quotePrefix="0" xfId="0">
      <alignment horizontal="distributed" vertical="center" wrapText="1"/>
    </xf>
    <xf numFmtId="49" fontId="94" fillId="0" borderId="32" applyAlignment="1" pivotButton="0" quotePrefix="0" xfId="0">
      <alignment horizontal="center" vertical="center" shrinkToFit="1"/>
    </xf>
    <xf numFmtId="49" fontId="47" fillId="0" borderId="276" applyAlignment="1" pivotButton="0" quotePrefix="0" xfId="0">
      <alignment horizontal="center" vertical="center" shrinkToFit="1"/>
    </xf>
    <xf numFmtId="49" fontId="47" fillId="0" borderId="307" applyAlignment="1" pivotButton="0" quotePrefix="0" xfId="0">
      <alignment horizontal="center" vertical="center" shrinkToFit="1"/>
    </xf>
    <xf numFmtId="167" fontId="47" fillId="0" borderId="271" applyAlignment="1" pivotButton="0" quotePrefix="0" xfId="0">
      <alignment horizontal="center" vertical="center" shrinkToFit="1"/>
    </xf>
    <xf numFmtId="164" fontId="43" fillId="29" borderId="70" applyAlignment="1" pivotButton="0" quotePrefix="0" xfId="0">
      <alignment horizontal="center" vertical="center" wrapText="1"/>
    </xf>
    <xf numFmtId="164" fontId="43" fillId="0" borderId="111" applyAlignment="1" pivotButton="0" quotePrefix="0" xfId="0">
      <alignment horizontal="center" vertical="center" shrinkToFit="1"/>
    </xf>
    <xf numFmtId="49" fontId="24" fillId="0" borderId="70" applyAlignment="1" pivotButton="0" quotePrefix="0" xfId="0">
      <alignment horizontal="left" vertical="center" wrapText="1"/>
    </xf>
    <xf numFmtId="49" fontId="95" fillId="0" borderId="79" applyAlignment="1" pivotButton="0" quotePrefix="0" xfId="0">
      <alignment horizontal="center" vertical="center"/>
    </xf>
    <xf numFmtId="49" fontId="95" fillId="0" borderId="80" applyAlignment="1" pivotButton="0" quotePrefix="0" xfId="0">
      <alignment horizontal="center" vertical="center"/>
    </xf>
    <xf numFmtId="49" fontId="95" fillId="0" borderId="32" applyAlignment="1" pivotButton="0" quotePrefix="0" xfId="0">
      <alignment horizontal="center" vertical="center"/>
    </xf>
    <xf numFmtId="49" fontId="101" fillId="0" borderId="35" applyAlignment="1" pivotButton="0" quotePrefix="0" xfId="0">
      <alignment horizontal="center" vertical="center"/>
    </xf>
    <xf numFmtId="49" fontId="44" fillId="0" borderId="100" applyAlignment="1" pivotButton="0" quotePrefix="0" xfId="0">
      <alignment horizontal="distributed" vertical="center" wrapText="1"/>
    </xf>
    <xf numFmtId="49" fontId="101" fillId="0" borderId="32" applyAlignment="1" pivotButton="0" quotePrefix="0" xfId="0">
      <alignment horizontal="distributed" vertical="center" wrapText="1"/>
    </xf>
    <xf numFmtId="49" fontId="40" fillId="0" borderId="291" applyAlignment="1" pivotButton="0" quotePrefix="0" xfId="0">
      <alignment horizontal="center" vertical="center"/>
    </xf>
    <xf numFmtId="49" fontId="20" fillId="0" borderId="302" applyAlignment="1" pivotButton="0" quotePrefix="0" xfId="0">
      <alignment horizontal="center" vertical="center"/>
    </xf>
    <xf numFmtId="49" fontId="20" fillId="0" borderId="303" applyAlignment="1" pivotButton="0" quotePrefix="0" xfId="0">
      <alignment horizontal="center" vertical="center"/>
    </xf>
    <xf numFmtId="49" fontId="59" fillId="0" borderId="284" applyAlignment="1" pivotButton="0" quotePrefix="0" xfId="0">
      <alignment horizontal="center" vertical="center" textRotation="255" wrapText="1"/>
    </xf>
    <xf numFmtId="49" fontId="59" fillId="0" borderId="258" applyAlignment="1" pivotButton="0" quotePrefix="0" xfId="0">
      <alignment horizontal="center" vertical="center" textRotation="255" wrapText="1"/>
    </xf>
    <xf numFmtId="49" fontId="21" fillId="0" borderId="63" applyAlignment="1" pivotButton="0" quotePrefix="0" xfId="0">
      <alignment horizontal="left" vertical="center" wrapText="1"/>
    </xf>
    <xf numFmtId="49" fontId="51" fillId="0" borderId="86" applyAlignment="1" pivotButton="0" quotePrefix="0" xfId="0">
      <alignment horizontal="distributed" vertical="center" wrapText="1"/>
    </xf>
    <xf numFmtId="49" fontId="40" fillId="0" borderId="343" applyAlignment="1" pivotButton="0" quotePrefix="0" xfId="0">
      <alignment horizontal="distributed" vertical="center"/>
    </xf>
    <xf numFmtId="0" fontId="0" fillId="0" borderId="294" pivotButton="0" quotePrefix="0" xfId="0"/>
    <xf numFmtId="49" fontId="40" fillId="0" borderId="344" applyAlignment="1" pivotButton="0" quotePrefix="0" xfId="0">
      <alignment horizontal="center" vertical="center" wrapText="1"/>
    </xf>
    <xf numFmtId="49" fontId="40" fillId="0" borderId="341" applyAlignment="1" pivotButton="0" quotePrefix="0" xfId="0">
      <alignment horizontal="center" vertical="center"/>
    </xf>
    <xf numFmtId="0" fontId="0" fillId="0" borderId="296" pivotButton="0" quotePrefix="0" xfId="0"/>
    <xf numFmtId="49" fontId="40" fillId="0" borderId="341" applyAlignment="1" pivotButton="0" quotePrefix="0" xfId="0">
      <alignment horizontal="distributed" vertical="center"/>
    </xf>
    <xf numFmtId="49" fontId="40" fillId="0" borderId="84" applyAlignment="1" pivotButton="0" quotePrefix="0" xfId="0">
      <alignment horizontal="distributed" vertical="center"/>
    </xf>
    <xf numFmtId="49" fontId="59" fillId="0" borderId="284" applyAlignment="1" pivotButton="0" quotePrefix="0" xfId="0">
      <alignment horizontal="distributed" vertical="center" wrapText="1" indent="2"/>
    </xf>
    <xf numFmtId="49" fontId="59" fillId="0" borderId="103" applyAlignment="1" pivotButton="0" quotePrefix="0" xfId="0">
      <alignment horizontal="center" vertical="center" wrapText="1"/>
    </xf>
    <xf numFmtId="49" fontId="93" fillId="0" borderId="74" applyAlignment="1" pivotButton="0" quotePrefix="0" xfId="49">
      <alignment horizontal="center" vertical="center" wrapText="1"/>
    </xf>
    <xf numFmtId="167" fontId="47" fillId="0" borderId="32" applyAlignment="1" pivotButton="0" quotePrefix="0" xfId="0">
      <alignment horizontal="center" vertical="center" shrinkToFit="1"/>
    </xf>
    <xf numFmtId="164" fontId="43" fillId="29" borderId="15" applyAlignment="1" pivotButton="0" quotePrefix="0" xfId="0">
      <alignment horizontal="center" vertical="center" wrapText="1"/>
    </xf>
  </cellXfs>
  <cellStyles count="50">
    <cellStyle name="標準" xfId="0" builtinId="0"/>
    <cellStyle name="20% - アクセント 1" xfId="1" builtinId="30"/>
    <cellStyle name="20% - アクセント 2" xfId="2" builtinId="34"/>
    <cellStyle name="20% - アクセント 3" xfId="3" builtinId="38"/>
    <cellStyle name="20% - アクセント 4" xfId="4" builtinId="42"/>
    <cellStyle name="20% - アクセント 5" xfId="5" builtinId="46"/>
    <cellStyle name="20% - アクセント 6" xfId="6" builtinId="50"/>
    <cellStyle name="40% - アクセント 1" xfId="7" builtinId="31"/>
    <cellStyle name="40% - アクセント 2" xfId="8" builtinId="35"/>
    <cellStyle name="40% - アクセント 3" xfId="9" builtinId="39"/>
    <cellStyle name="40% - アクセント 4" xfId="10" builtinId="43"/>
    <cellStyle name="40% - アクセント 5" xfId="11" builtinId="47"/>
    <cellStyle name="40% - アクセント 6" xfId="12" builtinId="51"/>
    <cellStyle name="60% - アクセント 1" xfId="13" builtinId="32"/>
    <cellStyle name="60% - アクセント 2" xfId="14" builtinId="36"/>
    <cellStyle name="60% - アクセント 3" xfId="15" builtinId="40"/>
    <cellStyle name="60% - アクセント 4" xfId="16" builtinId="44"/>
    <cellStyle name="60% - アクセント 5" xfId="17" builtinId="48"/>
    <cellStyle name="60% - アクセント 6" xfId="18" builtinId="52"/>
    <cellStyle name="アクセント 1" xfId="19" builtinId="29"/>
    <cellStyle name="アクセント 2" xfId="20" builtinId="33"/>
    <cellStyle name="アクセント 3" xfId="21" builtinId="37"/>
    <cellStyle name="アクセント 4" xfId="22" builtinId="41"/>
    <cellStyle name="アクセント 5" xfId="23" builtinId="45"/>
    <cellStyle name="アクセント 6" xfId="24" builtinId="49"/>
    <cellStyle name="タイトル" xfId="25" builtinId="15"/>
    <cellStyle name="チェック セル" xfId="26" builtinId="23"/>
    <cellStyle name="どちらでもない" xfId="27" builtinId="28"/>
    <cellStyle name="メモ" xfId="28" builtinId="10"/>
    <cellStyle name="リンク セル" xfId="29" builtinId="24"/>
    <cellStyle name="悪い" xfId="30" builtinId="27"/>
    <cellStyle name="計算" xfId="31" builtinId="22"/>
    <cellStyle name="警告文" xfId="32" builtinId="11"/>
    <cellStyle name="見出し 1" xfId="33" builtinId="16"/>
    <cellStyle name="見出し 2" xfId="34" builtinId="17"/>
    <cellStyle name="見出し 3" xfId="35" builtinId="18"/>
    <cellStyle name="見出し 4" xfId="36" builtinId="19"/>
    <cellStyle name="集計" xfId="37" builtinId="25"/>
    <cellStyle name="出力" xfId="38" builtinId="21"/>
    <cellStyle name="説明文" xfId="39" builtinId="53"/>
    <cellStyle name="入力" xfId="40" builtinId="20"/>
    <cellStyle name="良い" xfId="41" builtinId="26"/>
    <cellStyle name="桁区切り 2" xfId="42"/>
    <cellStyle name="標準_240204指定申請書様式例" xfId="43"/>
    <cellStyle name="通貨 2" xfId="44"/>
    <cellStyle name="標準_⑨指定申請様式（案）（多機能用総括表）" xfId="45"/>
    <cellStyle name="標準_.指定申請関係様式（一式）" xfId="46"/>
    <cellStyle name="ハイパーリンク 2" xfId="47"/>
    <cellStyle name="標準 2" xfId="48"/>
    <cellStyle name="ハイパーリンク" xfId="49" builtinId="8"/>
  </cellStyles>
  <dxfs count="28">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strike val="0"/>
        <condense val="0"/>
        <color indexed="9"/>
        <extend val="0"/>
      </font>
    </dxf>
    <dxf>
      <font>
        <strike val="0"/>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
      <font>
        <condense val="0"/>
        <color indexed="9"/>
        <extend val="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styles" Target="styles.xml" Id="rId49"/><Relationship Type="http://schemas.openxmlformats.org/officeDocument/2006/relationships/theme" Target="theme/theme1.xml" Id="rId50"/></Relationships>
</file>

<file path=xl/comments/comment1.xml><?xml version="1.0" encoding="utf-8"?>
<comments xmlns="http://schemas.openxmlformats.org/spreadsheetml/2006/main">
  <authors>
    <author>作成者</author>
  </authors>
  <commentList>
    <comment ref="H2" authorId="0" shapeId="0">
      <text>
        <t xml:space="preserve">該当する項目に「○」を記入します。
該当する項目にカーソルをあわせて、右ク
リック→「セルの書式設定」→「罫線」→
「外枠」で囲むことができます。
</t>
      </text>
    </comment>
    <comment ref="M2" authorId="0" shapeId="0">
      <text>
        <t xml:space="preserve">該当する項目に「○」を記入します。
該当する項目にカーソルをあわせて、右ク
リック→「セルの書式設定」→「罫線」→
「外枠」で囲むことができます。
</t>
      </text>
    </comment>
    <comment ref="Q2" authorId="0" shapeId="0">
      <text>
        <t xml:space="preserve">該当する項目に「○」を記入します。
該当する項目にカーソルをあわせて、右ク
リック→「セルの書式設定」→「罫線」→
「外枠」で囲むことができます。
</t>
      </text>
    </comment>
    <comment ref="F11" authorId="0" shapeId="0">
      <text>
        <t>本市から各事業者あてのお知らせ等に使用させていただきますので、各事業者で使用しているアドレスをご記入ください。</t>
      </text>
    </comment>
    <comment ref="H44" authorId="0" shapeId="0">
      <text>
        <t>サービス提供日・サービス提供時間等を記入してください。（例１）「月～金9：00～18：00」（例２）「7：00～20：00土日祝含む」（例３）「24時間　年中無休」等</t>
      </text>
    </comment>
  </commentList>
</comments>
</file>

<file path=xl/comments/comment2.xml><?xml version="1.0" encoding="utf-8"?>
<comments xmlns="http://schemas.openxmlformats.org/spreadsheetml/2006/main">
  <authors>
    <author>作成者</author>
  </authors>
  <commentList>
    <comment ref="H2" authorId="0" shapeId="0">
      <text>
        <t xml:space="preserve">該当する項目に「○」を記入します。
該当する項目にカーソルをあわせて、右ク
リック→「セルの書式設定」→「罫線」→
「外枠」で囲むことができます。
</t>
      </text>
    </comment>
    <comment ref="M2" authorId="0" shapeId="0">
      <text>
        <t xml:space="preserve">該当する項目に「○」を記入します。
該当する項目にカーソルをあわせて、右ク
リック→「セルの書式設定」→「罫線」→
「外枠」で囲むことができます。
</t>
      </text>
    </comment>
    <comment ref="Q2" authorId="0" shapeId="0">
      <text>
        <t xml:space="preserve">該当する項目に「○」を記入します。
該当する項目にカーソルをあわせて、右ク
リック→「セルの書式設定」→「罫線」→
「外枠」で囲むことができます。
</t>
      </text>
    </comment>
    <comment ref="F11" authorId="0" shapeId="0">
      <text>
        <t>本市から各事業者あてのお知らせ等に使用させていただきますので、各事業者で使用しているアドレスをご記入ください。</t>
      </text>
    </comment>
    <comment ref="H44" authorId="0" shapeId="0">
      <text>
        <t>サービス提供日・サービス提供時間等を記入してください。（例１）「月～金9：00～18：00」（例２）「7：00～20：00土日祝含む」（例３）「24時間　年中無休」等</t>
      </text>
    </comment>
  </commentList>
</comments>
</file>

<file path=xl/comments/comment3.xml><?xml version="1.0" encoding="utf-8"?>
<comments xmlns="http://schemas.openxmlformats.org/spreadsheetml/2006/main">
  <authors>
    <author>作成者</author>
  </authors>
  <commentLis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AE26" authorId="0" shapeId="0">
      <text>
        <t>サービス提供責任者の資格を記入します。
プルダウンメニューから選択することも
できます。
※プルダウンメニューの中の「居宅介護」
は障害者（児）ヘルパー養成研修修了者又
は居宅介護従業者養成研修修了者を指し、
「訪問介護員」は訪問介護員養成研修終了
者を指します。</t>
      </text>
    </comment>
    <comment ref="R27" authorId="0" shapeId="0">
      <text>
        <t>該当する項目に「○」を記入します。
該当する項目にカーソルをあわせて、右ク
リック→「セルの書式設定」→「罫線」→
「外枠」で囲むことができます。</t>
      </text>
    </comment>
    <comment ref="W27" authorId="0" shapeId="0">
      <text>
        <t>該当する項目に「○」を記入します。
該当する項目にカーソルをあわせて、右ク
リック→「セルの書式設定」→「罫線」→
「外枠」で囲むことができます。</t>
      </text>
    </comment>
    <comment ref="K53" authorId="0" shapeId="0">
      <text>
        <t>Ⅰ類型：重度訪問介護の対象であって、四
肢すべてに麻痺等があり、寝たきり状態に
ある障害者のうち、気管切開を伴う人工呼
吸器による呼吸管理を行っている身体障害
者
Ⅱ類型：重度訪問介護の対象であって、四
肢すべてに麻痺等があり、寝たきり状態に
ある障害者のうち、最重度知的障害者
Ⅲ類型：障害程度区分の認定調査項目のう
ち行動関連項目(11項目)等の合計点数が15
点以上である者</t>
      </text>
    </comment>
    <comment ref="D55" authorId="0" shapeId="0">
      <text>
        <t>「法定代理受領分：厚生労働大臣が定める
基準の10/100、法定代理受領分以外：厚生
労働大臣が定める基準」と記入します。
また、プルダウンメニューから選択するこ
ともできます。</t>
      </text>
    </comment>
    <comment ref="D56" authorId="0" shapeId="0">
      <text>
        <t>上記の利用料以外に利用者に費用負担を求
めることがある場合に、当該費用の内容及
び金額等を具体的に記入します。
「運営規程に定めるとおり」と記入するこ
ともできます。
また、プルダウンメニューから選択するこ
ともできます。</t>
      </text>
    </comment>
    <comment ref="D57" authorId="0" shapeId="0">
      <text>
        <t>通常の事業の実施地域を具体的に記入しま
す。</t>
      </text>
    </comment>
    <comment ref="E59" authorId="0" shapeId="0">
      <text>
        <t>「第三者評価」と「第三者委員」とは異な
りますので注意してください。
また、「財団法人大阪府地域福祉推進財団
(大阪府介護サービス情報公表センター)」
が行っている「介護サービス情報の公表に
伴う調査」は第三者評価ではありません。</t>
      </text>
    </comment>
  </commentList>
</comments>
</file>

<file path=xl/comments/comment4.xml><?xml version="1.0" encoding="utf-8"?>
<comments xmlns="http://schemas.openxmlformats.org/spreadsheetml/2006/main">
  <authors>
    <author>作成者</author>
  </authors>
  <commentLis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AE26" authorId="0" shapeId="0">
      <text>
        <t>サービス提供責任者の資格を記入します。
プルダウンメニューから選択することも
できます。
※プルダウンメニューの中の「居宅介護」
は障害者（児）ヘルパー養成研修修了者又
は居宅介護従業者養成研修修了者を指し、
「訪問介護員」は訪問介護員養成研修終了
者を指します。</t>
      </text>
    </comment>
    <comment ref="R27" authorId="0" shapeId="0">
      <text>
        <t>該当する項目に「○」を記入します。
該当する項目にカーソルをあわせて、右ク
リック→「セルの書式設定」→「罫線」→
「外枠」で囲むことができます。</t>
      </text>
    </comment>
    <comment ref="W27" authorId="0" shapeId="0">
      <text>
        <t>該当する項目に「○」を記入します。
該当する項目にカーソルをあわせて、右ク
リック→「セルの書式設定」→「罫線」→
「外枠」で囲むことができます。</t>
      </text>
    </comment>
    <comment ref="K53" authorId="0" shapeId="0">
      <text>
        <t>Ⅰ類型：重度訪問介護の対象であって、四
肢すべてに麻痺等があり、寝たきり状態に
ある障害者のうち、気管切開を伴う人工呼
吸器による呼吸管理を行っている身体障害
者
Ⅱ類型：重度訪問介護の対象であって、四
肢すべてに麻痺等があり、寝たきり状態に
ある障害者のうち、最重度知的障害者
Ⅲ類型：障害程度区分の認定調査項目のう
ち行動関連項目(11項目)等の合計点数が15
点以上である者</t>
      </text>
    </comment>
    <comment ref="D55" authorId="0" shapeId="0">
      <text>
        <t>「法定代理受領分：厚生労働大臣が定める
基準の10/100、法定代理受領分以外：厚生
労働大臣が定める基準」と記入します。
また、プルダウンメニューから選択するこ
ともできます。</t>
      </text>
    </comment>
    <comment ref="D56" authorId="0" shapeId="0">
      <text>
        <t>上記の利用料以外に利用者に費用負担を求
めることがある場合に、当該費用の内容及
び金額等を具体的に記入します。
「運営規程に定めるとおり」と記入するこ
ともできます。
また、プルダウンメニューから選択するこ
ともできます。</t>
      </text>
    </comment>
    <comment ref="D57" authorId="0" shapeId="0">
      <text>
        <t>通常の事業の実施地域を具体的に記入しま
す。</t>
      </text>
    </comment>
    <comment ref="E59" authorId="0" shapeId="0">
      <text>
        <t>「第三者評価」と「第三者委員」とは異な
りますので注意してください。
また、「財団法人大阪府地域福祉推進財団
(大阪府介護サービス情報公表センター)」
が行っている「介護サービス情報の公表に
伴う調査」は第三者評価ではありません。</t>
      </text>
    </comment>
  </commentList>
</comments>
</file>

<file path=xl/comments/comment5.xml><?xml version="1.0" encoding="utf-8"?>
<comments xmlns="http://schemas.openxmlformats.org/spreadsheetml/2006/main">
  <authors>
    <author>作成者</author>
  </authors>
  <commentLis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R24" authorId="0" shapeId="0">
      <text>
        <t>該当する項目に「○」を記入します。
該当する項目にカーソルをあわせて、右ク
リック→「セルの書式設定」→「罫線」→
「外枠」で囲むことができます。</t>
      </text>
    </comment>
    <comment ref="W24" authorId="0" shapeId="0">
      <text>
        <t>該当する項目に「○」を記入します。
該当する項目にカーソルをあわせて、右ク
リック→「セルの書式設定」→「罫線」→
「外枠」で囲むことができます。</t>
      </text>
    </comment>
    <comment ref="R28" authorId="0" shapeId="0">
      <text>
        <t>該当する項目に「○」を記入します。
該当する項目にカーソルをあわせて、右ク
リック→「セルの書式設定」→「罫線」→
「外枠」で囲むことができます。</t>
      </text>
    </comment>
    <comment ref="W28" authorId="0" shapeId="0">
      <text>
        <t>該当する項目に「○」を記入します。
該当する項目にカーソルをあわせて、右ク
リック→「セルの書式設定」→「罫線」→
「外枠」で囲むことができます。</t>
      </text>
    </comment>
    <comment ref="R32" authorId="0" shapeId="0">
      <text>
        <t>該当する項目に「○」を記入します。
該当する項目にカーソルをあわせて、右ク
リック→「セルの書式設定」→「罫線」→
「外枠」で囲むことができます。</t>
      </text>
    </comment>
    <comment ref="W32" authorId="0" shapeId="0">
      <text>
        <t>該当する項目に「○」を記入します。
該当する項目にカーソルをあわせて、右ク
リック→「セルの書式設定」→「罫線」→
「外枠」で囲むことができます。</t>
      </text>
    </comment>
    <comment ref="D41" authorId="0" shapeId="0">
      <text>
        <t>該当する項目に「○」を記入するか、プル
ダウンメニューから選択します。</t>
      </text>
    </comment>
    <comment ref="S41" authorId="0" shapeId="0">
      <text>
        <t>「○月○日～○月○日」など、具体的に記
入します。</t>
      </text>
    </comment>
    <comment ref="D44"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45" authorId="0" shapeId="0">
      <text>
        <t>プルダウンメニューから選択できます。</t>
      </text>
    </comment>
    <comment ref="D59" authorId="0" shapeId="0">
      <text>
        <t>該当する項目に「○」を記入するか、プルダウ
ンメニューから選択することもできます。</t>
      </text>
    </comment>
    <comment ref="D61" authorId="0" shapeId="0">
      <text>
        <t>利用者に費用負担を求めることがある場合
に、当該費用の内容及び金額等を具体的に
記入します。
「運営規程に定めるとおり」と記入するこ
ともできます。
また、プルダウンメニューから選択するこ
ともできます。</t>
      </text>
    </comment>
    <comment ref="D62" authorId="0" shapeId="0">
      <text>
        <t>通常の事業の実施地域を具体的に記入しま
す。</t>
      </text>
    </comment>
    <comment ref="E64" authorId="0" shapeId="0">
      <text>
        <t>「第三者評価」と「第三者委員」とは異な
りますので注意してください。
また、「財団法人大阪府地域福祉推進財団
(大阪府介護サービス情報公表センター)」
が行っている「介護サービス情報の公表に
伴う調査」は第三者評価ではありません。</t>
      </text>
    </comment>
  </commentList>
</comments>
</file>

<file path=xl/comments/comment6.xml><?xml version="1.0" encoding="utf-8"?>
<comments xmlns="http://schemas.openxmlformats.org/spreadsheetml/2006/main">
  <authors>
    <author>作成者</author>
  </authors>
  <commentLis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R24" authorId="0" shapeId="0">
      <text>
        <t>該当する項目に「○」を記入します。
該当する項目にカーソルをあわせて、右ク
リック→「セルの書式設定」→「罫線」→
「外枠」で囲むことができます。</t>
      </text>
    </comment>
    <comment ref="W24" authorId="0" shapeId="0">
      <text>
        <t>該当する項目に「○」を記入します。
該当する項目にカーソルをあわせて、右ク
リック→「セルの書式設定」→「罫線」→
「外枠」で囲むことができます。</t>
      </text>
    </comment>
    <comment ref="R28" authorId="0" shapeId="0">
      <text>
        <t>該当する項目に「○」を記入します。
該当する項目にカーソルをあわせて、右ク
リック→「セルの書式設定」→「罫線」→
「外枠」で囲むことができます。</t>
      </text>
    </comment>
    <comment ref="W28" authorId="0" shapeId="0">
      <text>
        <t>該当する項目に「○」を記入します。
該当する項目にカーソルをあわせて、右ク
リック→「セルの書式設定」→「罫線」→
「外枠」で囲むことができます。</t>
      </text>
    </comment>
    <comment ref="R32" authorId="0" shapeId="0">
      <text>
        <t>該当する項目に「○」を記入します。
該当する項目にカーソルをあわせて、右ク
リック→「セルの書式設定」→「罫線」→
「外枠」で囲むことができます。</t>
      </text>
    </comment>
    <comment ref="W32" authorId="0" shapeId="0">
      <text>
        <t>該当する項目に「○」を記入します。
該当する項目にカーソルをあわせて、右ク
リック→「セルの書式設定」→「罫線」→
「外枠」で囲むことができます。</t>
      </text>
    </comment>
    <comment ref="D41" authorId="0" shapeId="0">
      <text>
        <t>該当する項目に「○」を記入するか、プル
ダウンメニューから選択します。</t>
      </text>
    </comment>
    <comment ref="S41" authorId="0" shapeId="0">
      <text>
        <t>「○月○日～○月○日」など、具体的に記
入します。</t>
      </text>
    </comment>
    <comment ref="D44"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45" authorId="0" shapeId="0">
      <text>
        <t>プルダウンメニューから選択できます。</t>
      </text>
    </comment>
    <comment ref="D59" authorId="0" shapeId="0">
      <text>
        <t>該当する項目に「○」を記入するか、プルダウ
ンメニューから選択することもできます。</t>
      </text>
    </comment>
    <comment ref="D61" authorId="0" shapeId="0">
      <text>
        <t>利用者に費用負担を求めることがある場合
に、当該費用の内容及び金額等を具体的に
記入します。
「運営規程に定めるとおり」と記入するこ
ともできます。
また、プルダウンメニューから選択するこ
ともできます。</t>
      </text>
    </comment>
    <comment ref="D62" authorId="0" shapeId="0">
      <text>
        <t>通常の事業の実施地域を具体的に記入しま
す。</t>
      </text>
    </comment>
    <comment ref="E64" authorId="0" shapeId="0">
      <text>
        <t>「第三者評価」と「第三者委員」とは異な
りますので注意してください。
また、「財団法人大阪府地域福祉推進財団
(大阪府介護サービス情報公表センター)」
が行っている「介護サービス情報の公表に
伴う調査」は第三者評価ではありません。</t>
      </text>
    </comment>
  </commentList>
</comments>
</file>

<file path=xl/comments/comment7.xml><?xml version="1.0" encoding="utf-8"?>
<comments xmlns="http://schemas.openxmlformats.org/spreadsheetml/2006/main">
  <authors>
    <author>作成者</author>
  </authors>
  <commentList>
    <comment ref="AB1" authorId="0" shapeId="0">
      <text>
        <t>複数の単位を設定する場合は、単位ごとに
付表を作成します。</t>
      </text>
    </commen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7" authorId="0" shapeId="0">
      <text>
        <t>該当する項目に「○」を記入します。
また、該当する項目にカーソルをあわせ、
右クリック→「セルの書式設定」→
「罫線」→「外枠」で囲むことができま
す。</t>
      </text>
    </comment>
    <comment ref="W27" authorId="0" shapeId="0">
      <text>
        <t>該当する項目に「○」を記入します。
また、該当する項目にカーソルをあわせ、
右クリック→「セルの書式設定」→
「罫線」→「外枠」で囲むことができま
す。</t>
      </text>
    </comment>
    <comment ref="O31"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C33" authorId="0" shapeId="0">
      <text>
        <t>サービス管理責任者の資格要件としての実
務経験は
(1)相談支援業務5年以上 (2)直接支援業
務10年以上 (3)直接支援業務5年以上＋有
資格 (4)相談支援業務3年以上＋国家資格
業務5年以上 (5)直接支援業務3年以上＋国
家資格業務5年以上　のいずれかに限定さ
れています。
※「有資格」の資格とは、
(1)社会福祉主事任用資格 (2)訪問介護員
2級以上相当 (4)児童指導員任用資格 (5)
保育士　を指します。
※「国家資格業務5年以上」とは、
(1)医師、歯科医師 (2)薬剤師 (3)保健師
(4)助産師 (5)看護師、准看護師 (6)理学
療法士 (7)作業療法士 (8)社会福祉士 
(9)介護福祉士 (10)視能訓練士 (11)義肢
装具士 (12)歯科衛生士 (13)言語聴覚士
(14)あん摩マッサージ指圧師 (15)はり師
(16)きゅう師 (17)柔道整復師 (18)栄養
士、管理栄養士 (19)精神保健福祉士
のいずれかの資格を有し、当該資格による
業務に5年以上従事した者をいいます。
いずれもプルダウンメニューから選択でき
ます。</t>
      </text>
    </comment>
    <comment ref="V34" authorId="0" shapeId="0">
      <text>
        <t>サービス管理責任者の要件である「研修の
受講」について、該当する項目に「○」を
記入します。※平成21年3月までは、これ
らの研修を受講・修了することを条件に、
サービス管理責任者として配置できる経過
措置が設けられています。
※「受講済」「未受講」については、該当
する方にカーソルをあわせ、右クリック→
「セルの書式設定」→「罫線」→「外枠」
で囲むことができます。</t>
      </text>
    </comment>
    <comment ref="R40" authorId="0" shapeId="0">
      <text>
        <t>該当する項目に「○」を記入します。
また、該当する項目にカーソルをあわせ、
右クリック→「セルの書式設定」→
「罫線」→「外枠」で囲むことができま
す。</t>
      </text>
    </comment>
    <comment ref="W40" authorId="0" shapeId="0">
      <text>
        <t>該当する項目に「○」を記入します。
また、該当する項目にカーソルをあわせ、
右クリック→「セルの書式設定」→
「罫線」→「外枠」で囲むことができま
す。</t>
      </text>
    </comment>
    <comment ref="A63" authorId="0" shapeId="0">
      <text>
        <t>該当する項目に「○」を記入します。
該当する項目にカーソルをあわせて、右ク
リック→「セルの書式設定」→「罫線」→
「外枠」で囲むことができます。</t>
      </text>
    </comment>
    <comment ref="A65" authorId="0" shapeId="0">
      <text>
        <t>別シート「作成にあたって」を参照してく
ださい。</t>
      </text>
    </comment>
    <comment ref="A68" authorId="0" shapeId="0">
      <text>
        <t>該当する項目に「○」を記入します。
該当する項目にカーソルをあわせて、右ク
リック→「セルの書式設定」→「罫線」→
「外枠」で囲むことができます。</t>
      </text>
    </comment>
    <comment ref="D71" authorId="0" shapeId="0">
      <text>
        <t>複数の単位を設定している場合は、「利用
定員」欄には、各単位の合計定員数を記入
し、各単位ごとの定員は、右の「単位ごと
の定員」欄に記入します。</t>
      </text>
    </comment>
    <comment ref="D72" authorId="0" shapeId="0">
      <text>
        <t>「法定代理受領分：厚生労働大臣
が定める基準の10/100、法定代
理受領分以外：厚生労働大臣が定
める基準」と記入します。
また、プルダウンメニューから選
択することもできます。</t>
      </text>
    </comment>
    <comment ref="D73" authorId="0" shapeId="0">
      <text>
        <t>上記の利用料以外に利用者に費用
負担を求めることがある場合に、
当該費用の内容及び金額等を具体
的に記入します。
「運営規程に定めるとおり」と記
入することもできます。
また、プルダウンメニューから選
択することもできます。</t>
      </text>
    </comment>
    <comment ref="E74" authorId="0" shapeId="0">
      <text>
        <t>「第三者評価」と「第三者委員」
とは異なりますので注意してくだ
さい。
また、「財団法人大阪府地域福祉
推進財団（大阪府介護サービス情
報公表センター）」が行っている
「介護サービス情報の公表に伴う
調査」は第三者評価ではありませ
ん。</t>
      </text>
    </comment>
  </commentList>
</comments>
</file>

<file path=xl/comments/comment8.xml><?xml version="1.0" encoding="utf-8"?>
<comments xmlns="http://schemas.openxmlformats.org/spreadsheetml/2006/main">
  <authors>
    <author>作成者</author>
  </authors>
  <commentList>
    <comment ref="AB1" authorId="0" shapeId="0">
      <text>
        <t>複数の単位を設定する場合は、単位ごとに
付表を作成します。</t>
      </text>
    </comment>
    <comment ref="N2" authorId="0" shapeId="0">
      <text>
        <t>該当する項目に「○」を記入します。
該当する項目にカーソルをあわせて、右ク
リック→「セルの書式設定」→「罫線」→
「外枠」で囲むことができます。</t>
      </text>
    </commen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7" authorId="0" shapeId="0">
      <text>
        <t>該当する項目に「○」を記入します。
また、該当する項目にカーソルをあわせ、
右クリック→「セルの書式設定」→
「罫線」→「外枠」で囲むことができま
す。</t>
      </text>
    </comment>
    <comment ref="W27" authorId="0" shapeId="0">
      <text>
        <t>該当する項目に「○」を記入します。
また、該当する項目にカーソルをあわせ、
右クリック→「セルの書式設定」→
「罫線」→「外枠」で囲むことができま
す。</t>
      </text>
    </comment>
    <comment ref="W31" authorId="0" shapeId="0">
      <text>
        <t>該当する項目に「○」を記入します。
また、該当する項目にカーソルをあわせ、
右クリック→「セルの書式設定」→
「罫線」→「外枠」で囲むことができま
す。</t>
      </text>
    </comment>
    <comment ref="A57" authorId="0" shapeId="0">
      <text>
        <t>該当する項目に「○」を記入します。
該当する項目にカーソルをあわせて、右ク
リック→「セルの書式設定」→「罫線」→
「外枠」で囲むことができます。</t>
      </text>
    </comment>
    <comment ref="S63" authorId="0" shapeId="0">
      <text>
        <t>「○月○日～○月○日」など、具体的に記
入します。</t>
      </text>
    </comment>
    <comment ref="D66"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U67" authorId="0" shapeId="0">
      <text>
        <t>プルダウンメニューから選択できます。</t>
      </text>
    </comment>
    <comment ref="L79" authorId="0" shapeId="0">
      <text>
        <t>プルダウンメニューから選択できます。</t>
      </text>
    </comment>
    <comment ref="T79" authorId="0" shapeId="0">
      <text>
        <t>プルダウンメニューから選択できます。</t>
      </text>
    </comment>
    <comment ref="D81" authorId="0" shapeId="0">
      <text>
        <t>該当する項目に「○」を記入するか、プル
ダウンメニューから選択します。</t>
      </text>
    </comment>
    <comment ref="D84" authorId="0" shapeId="0">
      <text>
        <t>複数の単位を設定している場合は、「利用
定員」欄には、各単位の合計定員数を記入
し、各単位ごとの定員は、右の「単位ごと
の定員」欄に記入します。</t>
      </text>
    </comment>
    <comment ref="D85" authorId="0" shapeId="0">
      <text>
        <t>従たる事業所を有する場合は「有」を、有
しない場合は「無」に「○」を記入します。
「有」の場合、従たる事業所において実施
するサービスを右欄に記入します。
※「有」、「無」のいずれかにカーソルを
あわせ、右クリック→「セルの書式設定」
→「罫線」→「外枠」で囲むことができま
す。
また、「サービス種別」は、プルダウンメ
ニューから選択できます。</t>
      </text>
    </comment>
    <comment ref="D92" authorId="0" shapeId="0">
      <text>
        <t>「法定代理受領分：厚生労働大臣が定める
基準の10/100、法定代理受領分以外：厚生
労働大臣が定める基準」と記入します。
また、プルダウンメニューから選択するこ
ともできます。</t>
      </text>
    </comment>
    <comment ref="D93" authorId="0" shapeId="0">
      <text>
        <t>上記の利用料以外に利用者に費用
負担を求めることがある場合に、
当該費用の内容及び金額等を具体
的に記入します。
「運営規程に定めるとおり」と記
入することもできます。
また、プルダウンメニューから選
択することもできます。</t>
      </text>
    </comment>
    <comment ref="D94" authorId="0" shapeId="0">
      <text>
        <t>通常の事業の実施地域を
具体的に記入します。</t>
      </text>
    </comment>
    <comment ref="E96" authorId="0" shapeId="0">
      <text>
        <t>「第三者評価」と「第三者委員」
とは異なりますので注意してくだ
さい。
また、「財団法人大阪府地域福祉
推進財団（大阪府介護サービス情
報公表センター）」が行っている
「介護サービス情報の公表に伴う
調査」は第三者評価ではありませ
ん。</t>
      </text>
    </comment>
  </commentList>
</comments>
</file>

<file path=xl/comments/comment9.xml><?xml version="1.0" encoding="utf-8"?>
<comments xmlns="http://schemas.openxmlformats.org/spreadsheetml/2006/main">
  <authors>
    <author>作成者</author>
  </authors>
  <commentList>
    <comment ref="AB1" authorId="0" shapeId="0">
      <text>
        <t>複数の単位を設定する場合は、単位ごとに
付表を作成します。</t>
      </text>
    </comment>
    <comment ref="N2" authorId="0" shapeId="0">
      <text>
        <t>該当する項目に「○」を記入します。
該当する項目にカーソルをあわせて、右ク
リック→「セルの書式設定」→「罫線」→
「外枠」で囲むことができます。</t>
      </text>
    </commen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7" authorId="0" shapeId="0">
      <text>
        <t>該当する項目に「○」を記入します。
また、該当する項目にカーソルをあわせ、
右クリック→「セルの書式設定」→
「罫線」→「外枠」で囲むことができま
す。</t>
      </text>
    </comment>
    <comment ref="W27" authorId="0" shapeId="0">
      <text>
        <t>該当する項目に「○」を記入します。
また、該当する項目にカーソルをあわせ、
右クリック→「セルの書式設定」→
「罫線」→「外枠」で囲むことができま
す。</t>
      </text>
    </comment>
    <comment ref="W31" authorId="0" shapeId="0">
      <text>
        <t>該当する項目に「○」を記入します。
また、該当する項目にカーソルをあわせ、
右クリック→「セルの書式設定」→
「罫線」→「外枠」で囲むことができま
す。</t>
      </text>
    </comment>
    <comment ref="S60" authorId="0" shapeId="0">
      <text>
        <t>「○月○日～○月○日」など、具体的に記
入します。</t>
      </text>
    </comment>
    <comment ref="D63"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64" authorId="0" shapeId="0">
      <text>
        <t>プルダウンメニューから選択できます。</t>
      </text>
    </comment>
    <comment ref="D78" authorId="0" shapeId="0">
      <text>
        <t>該当する項目に「○」を記入するか、プル
ダウンメニューから選択します。</t>
      </text>
    </comment>
    <comment ref="D81" authorId="0" shapeId="0">
      <text>
        <t>複数の単位を設定している場合は、「利用
定員」欄には、各単位の合計定員数を記入
し、各単位ごとの定員は、右の「単位ごと
の定員」欄に記入します。</t>
      </text>
    </comment>
    <comment ref="D82" authorId="0" shapeId="0">
      <text>
        <t>従たる事業所を有する場合は「有」を、有
しない場合は「無」に「○」を記入します。
「有」の場合、従たる事業所において実施
するサービスを右欄に記入します。
※「有」、「無」のいずれかにカーソルを
あわせ、右クリック→「セルの書式設定」
→「罫線」→「外枠」で囲むことができま
す。
また、「サービス種別」は、プルダウンメ
ニューから選択できます。</t>
      </text>
    </comment>
    <comment ref="D89" authorId="0" shapeId="0">
      <text>
        <t>「法定代理受領分：厚生労働大臣が定める
基準の10/100、法定代理受領分以外：厚生
労働大臣が定める基準」と記入します。
また、プルダウンメニューから選択するこ
ともできます。</t>
      </text>
    </comment>
    <comment ref="D90" authorId="0" shapeId="0">
      <text>
        <t>上記の利用料以外に利用者に費用
負担を求めることがある場合に、
当該費用の内容及び金額等を具体
的に記入します。
「運営規程に定めるとおり」と記
入することもできます。
また、プルダウンメニューから選
択することもできます。</t>
      </text>
    </comment>
    <comment ref="D91" authorId="0" shapeId="0">
      <text>
        <t>通常の事業の実施地域を
具体的に記入します。</t>
      </text>
    </comment>
    <comment ref="E93" authorId="0" shapeId="0">
      <text>
        <t>「第三者評価」と「第三者委員」
とは異なりますので注意してくだ
さい。
また、「財団法人大阪府地域福祉
推進財団（大阪府介護サービス情
報公表センター）」が行っている
「介護サービス情報の公表に伴う
調査」は第三者評価ではありませ
ん。</t>
      </text>
    </comment>
  </commentList>
</comments>
</file>

<file path=xl/comments/comment10.xml><?xml version="1.0" encoding="utf-8"?>
<comments xmlns="http://schemas.openxmlformats.org/spreadsheetml/2006/main">
  <authors>
    <author>作成者</author>
  </authors>
  <commentList>
    <comment ref="N2" authorId="0" shapeId="0">
      <text>
        <t>該当する項目に「○」を記入します。
該当する項目にカーソルをあわせて、右ク
リック→「セルの書式設定」→「罫線」→
「外枠」で囲むことができます。</t>
      </text>
    </commen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7" authorId="0" shapeId="0">
      <text>
        <t>該当する項目に「○」を記入します。
また、該当する項目にカーソルをあわせ、
右クリック→「セルの書式設定」→
「罫線」→「外枠」で囲むことができま
す。</t>
      </text>
    </comment>
    <comment ref="W27" authorId="0" shapeId="0">
      <text>
        <t>該当する項目に「○」を記入します。
また、該当する項目にカーソルをあわせ、
右クリック→「セルの書式設定」→
「罫線」→「外枠」で囲むことができま
す。</t>
      </text>
    </comment>
    <comment ref="W31" authorId="0" shapeId="0">
      <text>
        <t>該当する項目に「○」を記入します。
また、該当する項目にカーソルをあわせ、
右クリック→「セルの書式設定」→
「罫線」→「外枠」で囲むことができま
す。</t>
      </text>
    </comment>
    <comment ref="O57" authorId="0" shapeId="0">
      <text>
        <t>該当する項目に「○」を記入します。
該当する項目にカーソルをあわせて、右ク
リック→「セルの書式設定」→「罫線」→
「外枠」で囲むことができます。</t>
      </text>
    </comment>
    <comment ref="D63" authorId="0" shapeId="0">
      <text>
        <t>該当する項目に「○」を記入するか、プル
ダウンメニューから選択します。</t>
      </text>
    </comment>
    <comment ref="S63" authorId="0" shapeId="0">
      <text>
        <t>「○月○日～○月○日」など、具体的に記
入します。</t>
      </text>
    </comment>
    <comment ref="D66"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67" authorId="0" shapeId="0">
      <text>
        <t>プルダウンメニューから選択できます。</t>
      </text>
    </comment>
    <comment ref="D81" authorId="0" shapeId="0">
      <text>
        <t>該当する項目に「○」を記入するか、プル
ダウンメニューから選択します。</t>
      </text>
    </comment>
    <comment ref="D85" authorId="0" shapeId="0">
      <text>
        <t>従たる事業所を有する場合は「有」を、有
しない場合は「無」に「○」を記入します。
「有」の場合、従たる事業所において実施
するサービスを右欄に記入します。
※「有」、「無」のいずれかにカーソルを
あわせ、右クリック→「セルの書式設定」
→「罫線」→「外枠」で囲むことができま
す。
また、「サービス種別」は、プルダウンメ
ニューから選択できます。</t>
      </text>
    </comment>
    <comment ref="D92" authorId="0" shapeId="0">
      <text>
        <t>「法定代理受領分：厚生労働大臣が定める
基準の10/100、法定代理受領分以外：厚生
労働大臣が定める基準」と記入します。
また、プルダウンメニューから選択するこ
ともできます。</t>
      </text>
    </comment>
    <comment ref="D93" authorId="0" shapeId="0">
      <text>
        <t>上記の利用料以外に利用者に費用負担を求
めることがある場合に、当該費用の内容及
び金額等を具体的に記入します。
「運営規程に定めるとおり」と記入するこ
ともできます。
また、プルダウンメニューから選択するこ
ともできます。</t>
      </text>
    </comment>
    <comment ref="D94" authorId="0" shapeId="0">
      <text>
        <t>通常の事業の実施地域を
具体的に記入します。</t>
      </text>
    </comment>
    <comment ref="D97" authorId="0" shapeId="0">
      <text>
        <t>該当する項目に「○」を記入します。
該当する項目にカーソルをあわせて、右ク
リック→「セルの書式設定」→「罫線」→
「外枠」で囲むことができます。</t>
      </text>
    </comment>
    <comment ref="E99" authorId="0" shapeId="0">
      <text>
        <t>「第三者評価」と「第三者委員」
とは異なりますので注意してくだ
さい。
また、「財団法人大阪府地域福祉
推進財団（大阪府介護サービス情
報公表センター）」が行っている
「介護サービス情報の公表に伴う
調査」は第三者評価ではありませ
ん。</t>
      </text>
    </comment>
  </commentList>
</comments>
</file>

<file path=xl/comments/comment11.xml><?xml version="1.0" encoding="utf-8"?>
<comments xmlns="http://schemas.openxmlformats.org/spreadsheetml/2006/main">
  <authors>
    <author>作成者</author>
  </authors>
  <commentList>
    <comment ref="N2" authorId="0" shapeId="0">
      <text>
        <t>該当する項目に「○」を記入します。
該当する項目にカーソルをあわせて、右ク
リック→「セルの書式設定」→「罫線」→
「外枠」で囲むことができます。</t>
      </text>
    </commen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7" authorId="0" shapeId="0">
      <text>
        <t>該当する項目に「○」を記入します。
また、該当する項目にカーソルをあわせ、
右クリック→「セルの書式設定」→
「罫線」→「外枠」で囲むことができま
す。</t>
      </text>
    </comment>
    <comment ref="W27" authorId="0" shapeId="0">
      <text>
        <t>該当する項目に「○」を記入します。
また、該当する項目にカーソルをあわせ、
右クリック→「セルの書式設定」→
「罫線」→「外枠」で囲むことができま
す。</t>
      </text>
    </comment>
    <comment ref="W31" authorId="0" shapeId="0">
      <text>
        <t>該当する項目に「○」を記入します。
また、該当する項目にカーソルをあわせ、
右クリック→「セルの書式設定」→
「罫線」→「外枠」で囲むことができま
す。</t>
      </text>
    </comment>
    <comment ref="A50" authorId="0" shapeId="0">
      <text>
        <t>該当する項目に「○」を記入します。
該当する項目にカーソルをあわせて、右ク
リック→「セルの書式設定」→「罫線」→
「外枠」で囲むことができます。</t>
      </text>
    </comment>
    <comment ref="Q50" authorId="0" shapeId="0">
      <text>
        <t>該当する項目に「○」を記入します。
該当する項目にカーソルをあわせて、右ク
リック→「セルの書式設定」→「罫線」→
「外枠」で囲むことができます。</t>
      </text>
    </comment>
    <comment ref="A53" authorId="0" shapeId="0">
      <text>
        <t>該当する項目に「○」を記入します。
該当する項目にカーソルをあわせて、右ク
リック→「セルの書式設定」→「罫線」→
「外枠」で囲むことができます。</t>
      </text>
    </comment>
    <comment ref="D60" authorId="0" shapeId="0">
      <text>
        <t>該当する項目に「○」を記入するか、プル
ダウンメニューから選択します。</t>
      </text>
    </comment>
    <comment ref="S60" authorId="0" shapeId="0">
      <text>
        <t>「○月○日～○月○日」など、具体的に記
入します。</t>
      </text>
    </comment>
    <comment ref="D63"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64" authorId="0" shapeId="0">
      <text>
        <t>プルダウンメニューから選択できます。</t>
      </text>
    </comment>
    <comment ref="D76" authorId="0" shapeId="0">
      <text>
        <t>該当する項目に「○」を記入するか、プル
ダウンメニューから選択します。</t>
      </text>
    </comment>
    <comment ref="Z78" authorId="0" shapeId="0">
      <text>
        <t>「宿泊型生活訓練」を実施する場合のみ記
入します。</t>
      </text>
    </comment>
    <comment ref="D79" authorId="0" shapeId="0">
      <text>
        <t>従たる事業所を有する場合は「有」を、有
しない場合は「無」に「○」を記入します。
「有」の場合、従たる事業所において実施
するサービスを右欄に記入します。
※「有」、「無」のいずれかにカーソルを
あわせ、右クリック→「セルの書式設定」
→「罫線」→「外枠」で囲むことができま
す。
また、「サービス種別」は、プルダウンメ
ニューから選択できます。</t>
      </text>
    </comment>
    <comment ref="D86" authorId="0" shapeId="0">
      <text>
        <t>「法定代理受領分：厚生労働大臣が定める
基準の10/100、法定代理受領分以外：厚生
労働大臣が定める基準」と記入します。
また、プルダウンメニューから選択するこ
ともできます。</t>
      </text>
    </comment>
    <comment ref="D87" authorId="0" shapeId="0">
      <text>
        <t>上記の利用料以外に利用者に費用負担を
求めることがある場合に、当該費用の内
容及び金額等を具体的に記入します。
「運営規程に定めるとおり」と記入する
こともできます。
また、プルダウンメニューから選択する
こともできます。</t>
      </text>
    </comment>
    <comment ref="D88" authorId="0" shapeId="0">
      <text>
        <t>通常の事業の実施地域を
具体的に記入します。</t>
      </text>
    </comment>
    <comment ref="D91" authorId="0" shapeId="0">
      <text>
        <t>該当する項目に「○」を記入
します。
該当する項目にカーソルをあ
わせて、右クリック→「セル
の書式設定」→「罫線」→
「外枠」で囲むことができま
す。</t>
      </text>
    </comment>
    <comment ref="E93" authorId="0" shapeId="0">
      <text>
        <t>「第三者評価」と「第三者委員」
とは異なりますので注意してくだ
さい。
また、「財団法人大阪府地域福祉
推進財団（大阪府介護サービス情
報公表センター）」が行っている
「介護サービス情報の公表に伴う
調査」は第三者評価ではありませ
ん。</t>
      </text>
    </comment>
  </commentList>
</comments>
</file>

<file path=xl/comments/comment12.xml><?xml version="1.0" encoding="utf-8"?>
<comments xmlns="http://schemas.openxmlformats.org/spreadsheetml/2006/main">
  <authors>
    <author>作成者</author>
  </authors>
  <commentList>
    <comment ref="H2" authorId="0" shapeId="0">
      <text>
        <t>「養成施設」
当該事業所が、あん摩マッサージ指圧師、
はり師及びきゅう師の養成施設として認定
されている場合。</t>
      </text>
    </comment>
    <comment ref="N2" authorId="0" shapeId="0">
      <text>
        <t>該当する項目に「○」を記入します。
該当する項目にカーソルをあわせて、右ク
リック→「セルの書式設定」→「罫線」→
「外枠」で囲むことができます。</t>
      </text>
    </commen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7" authorId="0" shapeId="0">
      <text>
        <t>該当する項目に「○」を記入します。
また、該当する項目にカーソルをあわせ、
右クリック→「セルの書式設定」→
「罫線」→「外枠」で囲むことができま
す。</t>
      </text>
    </comment>
    <comment ref="W27" authorId="0" shapeId="0">
      <text>
        <t>該当する項目に「○」を記入します。
また、該当する項目にカーソルをあわせ、
右クリック→「セルの書式設定」→
「罫線」→「外枠」で囲むことができま
す。</t>
      </text>
    </comment>
    <comment ref="W31" authorId="0" shapeId="0">
      <text>
        <t>該当する項目に「○」を記入します。
また、該当する項目にカーソルをあわせ、
右クリック→「セルの書式設定」→
「罫線」→「外枠」で囲むことができま
す。</t>
      </text>
    </comment>
    <comment ref="D48" authorId="0" shapeId="0">
      <text>
        <t>該当する項目に「○」を記入するか、プル
ダウンメニューから選択します。</t>
      </text>
    </comment>
    <comment ref="S48" authorId="0" shapeId="0">
      <text>
        <t>「○月○日～○月○日」など、具体的に記
入します。</t>
      </text>
    </comment>
    <comment ref="D51"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52" authorId="0" shapeId="0">
      <text>
        <t>プルダウンメニューから選択できます。</t>
      </text>
    </comment>
    <comment ref="D64" authorId="0" shapeId="0">
      <text>
        <t>該当する項目に「○」を記入するか、プル
ダウンメニューから選択します。</t>
      </text>
    </comment>
    <comment ref="D68" authorId="0" shapeId="0">
      <text>
        <t>従たる事業所を有する場合は「有」を、有
しない場合は「無」に「○」を記入します。
「有」の場合、従たる事業所において実施
するサービスを右欄に記入します。
※「有」、「無」のいずれかにカーソルを
あわせ、右クリック→「セルの書式設定」
→「罫線」→「外枠」で囲むことができま
す。
また、「サービス種別」は、プルダウンメ
ニューから選択できます。</t>
      </text>
    </comment>
    <comment ref="D75" authorId="0" shapeId="0">
      <text>
        <t>「法定代理受領分：厚生労働大臣が定める
基準の10/100、法定代理受領分以外：厚生
労働大臣が定める基準」と記入します。
また、プルダウンメニューから選択するこ
ともできます。</t>
      </text>
    </comment>
    <comment ref="D76" authorId="0" shapeId="0">
      <text>
        <t>上記の利用料以外に利用者に費用負担を求
めることがある場合に、当該費用の内容及
び金額等を具体的に記入します。
また、「運営規程に定めるとおり」と記入
することもできます。
また、プルダウンメニューから選択するこ
ともできます。</t>
      </text>
    </comment>
    <comment ref="D77" authorId="0" shapeId="0">
      <text>
        <t>通常の事業の実施地域を
具体的に記入します。</t>
      </text>
    </comment>
    <comment ref="D80" authorId="0" shapeId="0">
      <text>
        <t>該当する項目に「○」を記入します。
該当する項目にカーソルをあわせて、右ク
リック→「セルの書式設定」→「罫線」→
「外枠」で囲むことができます。</t>
      </text>
    </comment>
    <comment ref="E82" authorId="0" shapeId="0">
      <text>
        <t>「第三者評価」と「第三者委員」
とは異なりますので注意してくだ
さい。
また、「財団法人大阪府地域福祉
推進財団（大阪府介護サービス情
報公表センター）」が行っている
「介護サービス情報の公表に伴う
調査」は第三者評価ではありませ
ん。</t>
      </text>
    </comment>
  </commentList>
</comments>
</file>

<file path=xl/comments/comment13.xml><?xml version="1.0" encoding="utf-8"?>
<comments xmlns="http://schemas.openxmlformats.org/spreadsheetml/2006/main">
  <authors>
    <author>作成者</author>
  </authors>
  <commentList>
    <comment ref="H2" authorId="0" shapeId="0">
      <text>
        <t/>
      </text>
    </comment>
    <comment ref="Q2" authorId="0" shapeId="0">
      <text>
        <t/>
      </text>
    </comment>
    <comment ref="F11" authorId="0" shapeId="0">
      <text>
        <t>本市から各事業者あてのお知らせ等に使用させていただきますので、各事業者で使用しているアドレスをご記入ください。</t>
      </text>
    </comment>
    <comment ref="R14" authorId="0" shapeId="0">
      <text>
        <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7" authorId="0" shapeId="0">
      <text>
        <t>該当する項目に「○」を記入します。
また、該当する項目にカーソルをあわせ、
右クリック→「セルの書式設定」→
「罫線」→「外枠」で囲むことができま
す。</t>
      </text>
    </comment>
    <comment ref="W27" authorId="0" shapeId="0">
      <text>
        <t>該当する項目に「○」を記入します。
また、該当する項目にカーソルをあわせ、
右クリック→「セルの書式設定」→
「罫線」→「外枠」で囲むことができま
す。</t>
      </text>
    </comment>
    <comment ref="W31" authorId="0" shapeId="0">
      <text>
        <t>該当する項目に「○」を記入します。
また、該当する項目にカーソルをあわせ、
右クリック→「セルの書式設定」→
「罫線」→「外枠」で囲むことができま
す。</t>
      </text>
    </comment>
    <comment ref="D48" authorId="0" shapeId="0">
      <text>
        <t>該当する項目に「○」を記入するか、プル
ダウンメニューから選択します。</t>
      </text>
    </comment>
    <comment ref="S48" authorId="0" shapeId="0">
      <text>
        <t>「○月○日～○月○日」など、具体的に記
入します。</t>
      </text>
    </comment>
    <comment ref="D51"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52" authorId="0" shapeId="0">
      <text>
        <t>プルダウンメニューから選択できます。</t>
      </text>
    </comment>
    <comment ref="D64" authorId="0" shapeId="0">
      <text>
        <t>該当する項目に「○」を記入するか、プル
ダウンメニューから選択します。</t>
      </text>
    </comment>
    <comment ref="D68" authorId="0" shapeId="0">
      <text>
        <t>従たる事業所を有する場合は「有」を、有
しない場合は「無」に「○」を記入します。
「有」の場合、従たる事業所において実施
するサービスを右欄に記入します。
※「有」、「無」のいずれかにカーソルを
あわせ、右クリック→「セルの書式設定」
→「罫線」→「外枠」で囲むことができま
す。
また、「サービス種別」は、プルダウンメ
ニューから選択できます。</t>
      </text>
    </comment>
    <comment ref="D75" authorId="0" shapeId="0">
      <text>
        <t>「法定代理受領分：厚生労働大臣が定める
基準の10/100、法定代理受領分以外：厚生
労働大臣が定める基準」と記入します。
また、プルダウンメニューから選択するこ
ともできます。</t>
      </text>
    </comment>
    <comment ref="D76" authorId="0" shapeId="0">
      <text>
        <t>上記の利用料以外に利用者に費用負担を求
めることがある場合に、当該費用の内容及
び金額等を具体的に記入します。
「運営規程に定めるとおり」と記入するこ
ともできます。
また、プルダウンメニューから選択するこ
ともできます。</t>
      </text>
    </comment>
    <comment ref="D77" authorId="0" shapeId="0">
      <text>
        <t>通常の事業の実施地域を
具体的に記入します。</t>
      </text>
    </comment>
    <comment ref="D80" authorId="0" shapeId="0">
      <text>
        <t>該当する項目に「○」を記入します。
該当する項目にカーソルをあわせて、右ク
リック→「セルの書式設定」→「罫線」→
「外枠」で囲むことができます。</t>
      </text>
    </comment>
    <comment ref="E82" authorId="0" shapeId="0">
      <text>
        <t>「第三者評価」と「第三者委員」
とは異なりますので注意してくだ
さい。
また、「財団法人大阪府地域福祉
推進財団（大阪府介護サービス情
報公表センター）」が行っている
「介護サービス情報の公表に伴う
調査」は第三者評価ではありませ
ん。</t>
      </text>
    </comment>
  </commentList>
</comments>
</file>

<file path=xl/comments/comment14.xml><?xml version="1.0" encoding="utf-8"?>
<comments xmlns="http://schemas.openxmlformats.org/spreadsheetml/2006/main">
  <authors>
    <author>作成者</author>
  </authors>
  <commentList>
    <comment ref="AB1" authorId="0" shapeId="0">
      <text>
        <t>複数の単位を設定する場合は、単位ごとに
付表を作成します。</t>
      </text>
    </comment>
    <comment ref="D18" authorId="0" shapeId="0">
      <text>
        <t>該当する項目に「○」を記入するか、プル
ダウンメニューから選択します。</t>
      </text>
    </comment>
    <comment ref="T39" authorId="0" shapeId="0">
      <text>
        <t>該当する項目に「○」を記入します。
該当する項目にカーソルをあわせて、右ク
リック→「セルの書式設定」→「罫線」→
「外枠」で囲むことができます。</t>
      </text>
    </comment>
    <comment ref="Y39" authorId="0" shapeId="0">
      <text>
        <t>該当する項目に「○」を記入します。
該当する項目にカーソルをあわせて、右ク
リック→「セルの書式設定」→「罫線」→
「外枠」で囲むことができます。</t>
      </text>
    </comment>
    <comment ref="Q43"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T52" authorId="0" shapeId="0">
      <text>
        <t>該当する項目に「○」を記入します。
また、該当する項目にカーソルをあわせ、
右クリック→「セルの書式設定」→
「罫線」→「外枠」で囲むことができま
す。</t>
      </text>
    </comment>
    <comment ref="Y52" authorId="0" shapeId="0">
      <text>
        <t>該当する項目に「○」を記入します。
また、該当する項目にカーソルをあわせ、
右クリック→「セルの書式設定」→
「罫線」→「外枠」で囲むことができま
す。</t>
      </text>
    </comment>
    <comment ref="Y56" authorId="0" shapeId="0">
      <text>
        <t>該当する項目に「○」を記入します。
また、該当する項目にカーソルをあわせ、
右クリック→「セルの書式設定」→
「罫線」→「外枠」で囲むことができま
す。</t>
      </text>
    </comment>
  </commentList>
</comments>
</file>

<file path=xl/comments/comment15.xml><?xml version="1.0" encoding="utf-8"?>
<comments xmlns="http://schemas.openxmlformats.org/spreadsheetml/2006/main">
  <authors>
    <author>作成者</author>
  </authors>
  <commentList>
    <comment ref="AB1" authorId="0" shapeId="0">
      <text>
        <t>複数の単位を設定する場合は、単位ごとに
付表を作成します。</t>
      </text>
    </comment>
    <comment ref="D18" authorId="0" shapeId="0">
      <text>
        <t>該当する項目に「○」を記入するか、プル
ダウンメニューから選択します。</t>
      </text>
    </comment>
    <comment ref="Q43"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T52" authorId="0" shapeId="0">
      <text>
        <t>該当する項目に「○」を記入します。
また、該当する項目にカーソルをあわせ、
右クリック→「セルの書式設定」→
「罫線」→「外枠」で囲むことができま
す。</t>
      </text>
    </comment>
    <comment ref="Y52" authorId="0" shapeId="0">
      <text>
        <t>該当する項目に「○」を記入します。
また、該当する項目にカーソルをあわせ、
右クリック→「セルの書式設定」→
「罫線」→「外枠」で囲むことができま
す。</t>
      </text>
    </comment>
    <comment ref="Y56" authorId="0" shapeId="0">
      <text>
        <t>該当する項目に「○」を記入します。
また、該当する項目にカーソルをあわせ、
右クリック→「セルの書式設定」→
「罫線」→「外枠」で囲むことができま
す。</t>
      </text>
    </comment>
  </commentList>
</comments>
</file>

<file path=xl/comments/comment16.xml><?xml version="1.0" encoding="utf-8"?>
<comments xmlns="http://schemas.openxmlformats.org/spreadsheetml/2006/main">
  <authors>
    <author>作成者</author>
  </authors>
  <commentList>
    <comment ref="AB1" authorId="0" shapeId="0">
      <text>
        <t>複数の単位を設定する場合は、単位ごとに
付表を作成します。</t>
      </text>
    </comment>
  </commentList>
</comments>
</file>

<file path=xl/comments/comment17.xml><?xml version="1.0" encoding="utf-8"?>
<comments xmlns="http://schemas.openxmlformats.org/spreadsheetml/2006/main">
  <authors>
    <author>作成者</author>
  </authors>
  <commentList>
    <comment ref="AB1" authorId="0" shapeId="0">
      <text>
        <t>複数の単位を設定する場合は、単位ごとに
付表を作成します。</t>
      </text>
    </comment>
  </commentList>
</comments>
</file>

<file path=xl/comments/comment18.xml><?xml version="1.0" encoding="utf-8"?>
<comments xmlns="http://schemas.openxmlformats.org/spreadsheetml/2006/main">
  <authors>
    <author>作成者</author>
  </authors>
  <commentLis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AE60" authorId="0" shapeId="0">
      <text>
        <t>（ア）、（イ）、（ウ）に入力すると、自
動的に計算します。</t>
      </text>
    </comment>
    <comment ref="D64" authorId="0" shapeId="0">
      <text>
        <t>該当する項目に「○」を記入するか、プル
ダウンメニューから選択します。</t>
      </text>
    </comment>
    <comment ref="S64" authorId="0" shapeId="0">
      <text>
        <t>「○月○日～○月○日」など、具体的に記
入します。</t>
      </text>
    </comment>
    <comment ref="D67"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68" authorId="0" shapeId="0">
      <text>
        <t>プルダウンメニューから選択できます。</t>
      </text>
    </comment>
    <comment ref="D82" authorId="0" shapeId="0">
      <text>
        <t>該当する項目に「○」を記入するか、プル
ダウンメニューから選択します。</t>
      </text>
    </comment>
    <comment ref="D84" authorId="0" shapeId="0">
      <text>
        <t>「法定代理受領分：厚生労働大臣が定める
基準の10/100、法定代理受領分以外：厚
生労働大臣が定める基準」と記入します。
また、プルダウンメニューから選択するこ
ともできます。</t>
      </text>
    </comment>
    <comment ref="D85" authorId="0" shapeId="0">
      <text>
        <t>上記の利用料以外に利用者に費用負担を求
めることがある場合に、当該費用の内容及
び金額等を具体的に記入します。
「運営規程に定めるとおり」と記入するこ
ともできます。
また、プルダウンメニューから選択するこ
ともできます。</t>
      </text>
    </comment>
    <comment ref="E86" authorId="0" shapeId="0">
      <text>
        <t>「第三者評価」と「第三者委員」とは異なり
ますので注意してください。
また、「財団法人大阪府地域福祉推進財団
（大阪府介護サービス情報公表センター）」
が行っている「介護サービス情報の公表に伴
う調査」は第三者評価ではありません。</t>
      </text>
    </comment>
    <comment ref="E91" authorId="0" shapeId="0">
      <text>
        <t>「単独型」の場合のみ記入
します。</t>
      </text>
    </comment>
  </commentList>
</comments>
</file>

<file path=xl/comments/comment19.xml><?xml version="1.0" encoding="utf-8"?>
<comments xmlns="http://schemas.openxmlformats.org/spreadsheetml/2006/main">
  <authors>
    <author>作成者</author>
  </authors>
  <commentLis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AE60" authorId="0" shapeId="0">
      <text>
        <t>（ア）、（イ）、（ウ）に入力すると、自
動的に計算します。</t>
      </text>
    </comment>
    <comment ref="D64" authorId="0" shapeId="0">
      <text>
        <t>該当する項目に「○」を記入するか、プル
ダウンメニューから選択します。</t>
      </text>
    </comment>
    <comment ref="S64" authorId="0" shapeId="0">
      <text>
        <t>「○月○日～○月○日」など、具体的に記
入します。</t>
      </text>
    </comment>
    <comment ref="D67"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68" authorId="0" shapeId="0">
      <text>
        <t>プルダウンメニューから選択できます。</t>
      </text>
    </comment>
    <comment ref="D82" authorId="0" shapeId="0">
      <text>
        <t>該当する項目に「○」を記入するか、プル
ダウンメニューから選択します。</t>
      </text>
    </comment>
    <comment ref="D84" authorId="0" shapeId="0">
      <text>
        <t>「法定代理受領分：厚生労働大臣が定める
基準の10/100、法定代理受領分以外：厚
生労働大臣が定める基準」と記入します。
また、プルダウンメニューから選択するこ
ともできます。</t>
      </text>
    </comment>
    <comment ref="D85" authorId="0" shapeId="0">
      <text>
        <t>上記の利用料以外に利用者に費用負担を求
めることがある場合に、当該費用の内容及
び金額等を具体的に記入します。
「運営規程に定めるとおり」と記入するこ
ともできます。
また、プルダウンメニューから選択するこ
ともできます。</t>
      </text>
    </comment>
    <comment ref="E86" authorId="0" shapeId="0">
      <text>
        <t>「第三者評価」と「第三者委員」とは異なり
ますので注意してください。
また、「財団法人大阪府地域福祉推進財団
（大阪府介護サービス情報公表センター）」
が行っている「介護サービス情報の公表に伴
う調査」は第三者評価ではありません。</t>
      </text>
    </comment>
    <comment ref="E91" authorId="0" shapeId="0">
      <text>
        <t>「単独型」の場合のみ記入
します。</t>
      </text>
    </comment>
  </commentList>
</comments>
</file>

<file path=xl/comments/comment20.xml><?xml version="1.0" encoding="utf-8"?>
<comments xmlns="http://schemas.openxmlformats.org/spreadsheetml/2006/main">
  <authors>
    <author>作成者</author>
  </authors>
  <commentList>
    <comment ref="A4" authorId="0" shapeId="0">
      <text>
        <t>複数の共同生活住居を１つのグループホー
ムとする場合は、これらの共同生活住居の
いずれにも概ね３０分で移動できる共同生
活住居を指します。</t>
      </text>
    </commen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7" authorId="0" shapeId="0">
      <text>
        <t>該当する項目に「○」を記入します。
該当する項目にカーソルをあわせて、右ク
リック→「セルの書式設定」→「罫線」→
「外枠」で囲むことができます。</t>
      </text>
    </comment>
    <comment ref="W27" authorId="0" shapeId="0">
      <text>
        <t>該当する項目に「○」を記入します。
該当する項目にカーソルをあわせて、右ク
リック→「セルの書式設定」→「罫線」→
「外枠」で囲むことができます。</t>
      </text>
    </comment>
    <comment ref="O31"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R34" authorId="0" shapeId="0">
      <text>
        <t>該当する項目に「○」を記入します。
また、該当する項目にカーソルをあわせ、
右クリック→「セルの書式設定」→
「罫線」→「外枠」で囲むことができま
す。</t>
      </text>
    </comment>
    <comment ref="W34" authorId="0" shapeId="0">
      <text>
        <t>該当する項目に「○」を記入します。
また、該当する項目にカーソルをあわせ、
右クリック→「セルの書式設定」→
「罫線」→「外枠」で囲むことができま
す。</t>
      </text>
    </comment>
    <comment ref="AC48" authorId="0" shapeId="0">
      <text>
        <t>人数、開所日数を半角数字で入力すると、
自動的に計算します。</t>
      </text>
    </comment>
    <comment ref="AF48" authorId="0" shapeId="0">
      <text>
        <t>人数、開所日数を半角数字で入力すると、
自動的に計算します。</t>
      </text>
    </comment>
    <comment ref="X52" authorId="0" shapeId="0">
      <text>
        <t>該当する項目に「○」を記入
します。
該当する項目にカーソルをあ
わせて、右クリック→「セル
の書式設定」→「罫線」→
「外枠」で囲むことができま
す。</t>
      </text>
    </comment>
    <comment ref="E58" authorId="0" shapeId="0">
      <text>
        <t>「第三者評価」と「第三者委員」
とは異なりますので注意してくだ
さい。
また、「財団法人大阪府地域福祉
推進財団（大阪府介護サービス情
報公表センター）」が行っている
「介護サービス情報の公表に伴う
調査」は第三者評価ではありませ
ん。</t>
      </text>
    </comment>
  </commentList>
</comments>
</file>

<file path=xl/comments/comment21.xml><?xml version="1.0" encoding="utf-8"?>
<comments xmlns="http://schemas.openxmlformats.org/spreadsheetml/2006/main">
  <authors>
    <author>作成者</author>
  </authors>
  <commentList>
    <comment ref="A4" authorId="0" shapeId="0">
      <text>
        <t>複数の共同生活住居を１つのグループホー
ムとする場合は、これらの共同生活住居の
いずれにも概ね３０分で移動できる共同生
活住居を指します。</t>
      </text>
    </commen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7" authorId="0" shapeId="0">
      <text>
        <t>該当する項目に「○」を記入します。
該当する項目にカーソルをあわせて、右ク
リック→「セルの書式設定」→「罫線」→
「外枠」で囲むことができます。</t>
      </text>
    </comment>
    <comment ref="W27" authorId="0" shapeId="0">
      <text>
        <t>該当する項目に「○」を記入します。
該当する項目にカーソルをあわせて、右ク
リック→「セルの書式設定」→「罫線」→
「外枠」で囲むことができます。</t>
      </text>
    </comment>
    <comment ref="O31"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R34" authorId="0" shapeId="0">
      <text>
        <t>該当する項目に「○」を記入します。
また、該当する項目にカーソルをあわせ、
右クリック→「セルの書式設定」→
「罫線」→「外枠」で囲むことができま
す。</t>
      </text>
    </comment>
    <comment ref="W34" authorId="0" shapeId="0">
      <text>
        <t>該当する項目に「○」を記入します。
また、該当する項目にカーソルをあわせ、
右クリック→「セルの書式設定」→
「罫線」→「外枠」で囲むことができま
す。</t>
      </text>
    </comment>
    <comment ref="AC48" authorId="0" shapeId="0">
      <text>
        <t>人数、開所日数を半角数字で入力すると、
自動的に計算します。</t>
      </text>
    </comment>
    <comment ref="AF48" authorId="0" shapeId="0">
      <text>
        <t>人数、開所日数を半角数字で入力すると、
自動的に計算します。</t>
      </text>
    </comment>
    <comment ref="X52" authorId="0" shapeId="0">
      <text>
        <t>該当する項目に「○」を記入
します。
該当する項目にカーソルをあ
わせて、右クリック→「セル
の書式設定」→「罫線」→
「外枠」で囲むことができま
す。</t>
      </text>
    </comment>
    <comment ref="E58" authorId="0" shapeId="0">
      <text>
        <t>「第三者評価」と「第三者委員」
とは異なりますので注意してくだ
さい。
また、「財団法人大阪府地域福祉
推進財団（大阪府介護サービス情
報公表センター）」が行っている
「介護サービス情報の公表に伴う
調査」は第三者評価ではありませ
ん。</t>
      </text>
    </comment>
  </commentList>
</comments>
</file>

<file path=xl/comments/comment22.xml><?xml version="1.0" encoding="utf-8"?>
<comments xmlns="http://schemas.openxmlformats.org/spreadsheetml/2006/main">
  <authors>
    <author>作成者</author>
  </authors>
  <commentList>
    <comment ref="D14" authorId="0" shapeId="0">
      <text>
        <t>該当する項目に「○」を記入します。
該当する項目にカーソルをあわせて、右ク
リック→「セルの書式設定」→「罫線」→
「外枠」で囲むことができます。</t>
      </text>
    </comment>
    <comment ref="D16" authorId="0" shapeId="0">
      <text>
        <t>所有者が他の法人の場合は、一般的に、当
該法人の代表者氏名ではなく、当該法人の
名称を記入します。</t>
      </text>
    </comment>
    <comment ref="L22" authorId="0" shapeId="0">
      <text>
        <t>プルダウンメニューから選択できます。</t>
      </text>
    </comment>
    <comment ref="P22" authorId="0" shapeId="0">
      <text>
        <t>プルダウンメニューから選択できます。</t>
      </text>
    </comment>
    <comment ref="K23" authorId="0" shapeId="0">
      <text>
        <t>該当する項目に「○」を記入します。
該当する項目にカーソルをあわせて、右ク
リック→「セルの書式設定」→「罫線」→
「外枠」で囲むことができます。</t>
      </text>
    </comment>
    <comment ref="Z24" authorId="0" shapeId="0">
      <text>
        <t>プルダウンメニューから選択できます。</t>
      </text>
    </comment>
    <comment ref="G26" authorId="0" shapeId="0">
      <text>
        <t>プルダウンメニューから選択できます。</t>
      </text>
    </comment>
    <comment ref="W27" authorId="0" shapeId="0">
      <text>
        <t>プルダウンメニューから選択できます。</t>
      </text>
    </comment>
    <comment ref="AD27" authorId="0" shapeId="0">
      <text>
        <t>プルダウンメニューから選択できます。</t>
      </text>
    </comment>
    <comment ref="D30" authorId="0" shapeId="0">
      <text>
        <t>該当する項目に「○」を記入します。
また、プルダウンメニューから選択することも
できます。</t>
      </text>
    </comment>
    <comment ref="D32" authorId="0" shapeId="0">
      <text>
        <t>「法定代理受領分：厚生労働大臣が定める
基準の10/100、法定代理受領分以外：厚生
労働大臣が定める基準」と記入します。
また、プルダウンメニューから選択するこ
ともできます。</t>
      </text>
    </comment>
    <comment ref="D33" authorId="0" shapeId="0">
      <text>
        <t>利用者から徴収する費用（家賃等）につい
て記入します。</t>
      </text>
    </comment>
    <comment ref="L50" authorId="0" shapeId="0">
      <text>
        <t>プルダウンメニューから選択できます。</t>
      </text>
    </comment>
    <comment ref="P50" authorId="0" shapeId="0">
      <text>
        <t>プルダウンメニューから選択できます。</t>
      </text>
    </comment>
    <comment ref="X50" authorId="0" shapeId="0">
      <text>
        <t>プルダウンメニューから選択できます。</t>
      </text>
    </comment>
    <comment ref="AB50" authorId="0" shapeId="0">
      <text>
        <t>プルダウンメニューから選択できます。</t>
      </text>
    </comment>
  </commentList>
</comments>
</file>

<file path=xl/comments/comment23.xml><?xml version="1.0" encoding="utf-8"?>
<comments xmlns="http://schemas.openxmlformats.org/spreadsheetml/2006/main">
  <authors>
    <author>作成者</author>
  </authors>
  <commentList>
    <comment ref="D14" authorId="0" shapeId="0">
      <text>
        <t>該当する項目に「○」を記入します。
該当する項目にカーソルをあわせて、右ク
リック→「セルの書式設定」→「罫線」→
「外枠」で囲むことができます。</t>
      </text>
    </comment>
    <comment ref="D16" authorId="0" shapeId="0">
      <text>
        <t>所有者が他の法人の場合は、一般的に、当
該法人の代表者氏名ではなく、当該法人の
名称を記入します。</t>
      </text>
    </comment>
    <comment ref="K23" authorId="0" shapeId="0">
      <text>
        <t>該当する項目に「○」を記入します。
該当する項目にカーソルをあわせて、右ク
リック→「セルの書式設定」→「罫線」→
「外枠」で囲むことができます。</t>
      </text>
    </comment>
    <comment ref="D30" authorId="0" shapeId="0">
      <text>
        <t>該当する項目に「○」を記入します。
また、プルダウンメニューから選択することも
できます。</t>
      </text>
    </comment>
    <comment ref="D32" authorId="0" shapeId="0">
      <text>
        <t>「法定代理受領分：厚生労働大臣が定める
基準の10/100、法定代理受領分以外：厚生
労働大臣が定める基準」と記入します。
また、プルダウンメニューから選択するこ
ともできます。</t>
      </text>
    </comment>
    <comment ref="D33" authorId="0" shapeId="0">
      <text>
        <t>利用者から徴収する費用（家賃等）につい
て記入します。</t>
      </text>
    </comment>
    <comment ref="L50" authorId="0" shapeId="0">
      <text>
        <t>プルダウンメニューから選択できます。</t>
      </text>
    </comment>
    <comment ref="P50" authorId="0" shapeId="0">
      <text>
        <t>プルダウンメニューから選択できます。</t>
      </text>
    </comment>
  </commentList>
</comments>
</file>

<file path=xl/comments/comment24.xml><?xml version="1.0" encoding="utf-8"?>
<comments xmlns="http://schemas.openxmlformats.org/spreadsheetml/2006/main">
  <authors>
    <author>作成者</author>
  </authors>
  <commentList>
    <comment ref="D12" authorId="0" shapeId="0">
      <text>
        <t>該当する項目に「○」を記入します。
該当する項目にカーソルをあわせて、右ク
リック→「セルの書式設定」→「罫線」→
「外枠」で囲むことができます。</t>
      </text>
    </comment>
    <comment ref="D14" authorId="0" shapeId="0">
      <text>
        <t>所有者が他の法人の場合は、一般的に、当
該法人の代表者氏名ではなく、当該法人の
名称を記入します。</t>
      </text>
    </comment>
    <comment ref="L20" authorId="0" shapeId="0">
      <text>
        <t>プルダウンメニューから選択できます。</t>
      </text>
    </comment>
    <comment ref="P20" authorId="0" shapeId="0">
      <text>
        <t>プルダウンメニューから選択できます。</t>
      </text>
    </comment>
    <comment ref="K21" authorId="0" shapeId="0">
      <text>
        <t>該当する項目に「○」を記入します。
該当する項目にカーソルをあわせて、右ク
リック→「セルの書式設定」→「罫線」→
「外枠」で囲むことができます。</t>
      </text>
    </comment>
    <comment ref="Z22" authorId="0" shapeId="0">
      <text>
        <t>プルダウンメニューから選択できます。</t>
      </text>
    </comment>
    <comment ref="G24" authorId="0" shapeId="0">
      <text>
        <t>プルダウンメニューから選択できます。</t>
      </text>
    </comment>
    <comment ref="D29" authorId="0" shapeId="0">
      <text>
        <t>該当する項目に「○」を記入します。
また、プルダウンメニューから選択することも
できます。</t>
      </text>
    </comment>
    <comment ref="D31" authorId="0" shapeId="0">
      <text>
        <t>「法定代理受領分：厚生労働大臣が定める
基準の10/100、法定代理受領分以外：厚生
労働大臣が定める基準」と記入します。
また、プルダウンメニューから選択するこ
ともできます。</t>
      </text>
    </comment>
    <comment ref="D32" authorId="0" shapeId="0">
      <text>
        <t>利用者から徴収する費用（家賃等）につい
て記入します。</t>
      </text>
    </comment>
    <comment ref="L47" authorId="0" shapeId="0">
      <text>
        <t>プルダウンメニューから選択できます。</t>
      </text>
    </comment>
    <comment ref="P47" authorId="0" shapeId="0">
      <text>
        <t>プルダウンメニューから選択できます。</t>
      </text>
    </comment>
    <comment ref="X47" authorId="0" shapeId="0">
      <text>
        <t>プルダウンメニューから選択できます。</t>
      </text>
    </comment>
    <comment ref="AB47" authorId="0" shapeId="0">
      <text>
        <t>プルダウンメニューから選択できます。</t>
      </text>
    </comment>
  </commentList>
</comments>
</file>

<file path=xl/comments/comment25.xml><?xml version="1.0" encoding="utf-8"?>
<comments xmlns="http://schemas.openxmlformats.org/spreadsheetml/2006/main">
  <authors>
    <author>作成者</author>
  </authors>
  <commentLis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7" authorId="0" shapeId="0">
      <text>
        <t>該当する項目に「○」を記入します。
また、該当する項目にカーソルをあわせ、
右クリック→「セルの書式設定」→
「罫線」→「外枠」で囲むことができま
す。</t>
      </text>
    </comment>
    <comment ref="W27" authorId="0" shapeId="0">
      <text>
        <t>該当する項目に「○」を記入します。
また、該当する項目にカーソルをあわせ、
右クリック→「セルの書式設定」→
「罫線」→「外枠」で囲むことができま
す。</t>
      </text>
    </comment>
    <comment ref="O31"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C33" authorId="0" shapeId="0">
      <text>
        <t>サービス管理責任者の資格要件としての実
務経験は
(1)相談支援業務5年以上 (2)直接支援業
務10年以上 (3)直接支援業務5年以上＋有
資格 (4)相談支援業務3年以上＋国家資格
業務5年以上 (5)直接支援業務3年以上＋
国家資格業務5年以上　のいずれかに限定
されています。
※「有資格」の資格とは、
(1)社会福祉主事任用資格 (2)訪問介護員
2級以上相当 (4)児童指導員任用資格 (5)
保育士　を指します。
※「国家資格業務5年以上」とは、
(1)医師、歯科医師 (2)薬剤師 (3)保健師
(4)助産師 (5)看護師、准看護師 (6)理学
療法士 (7)作業療法士 (8)社会福祉士 
(9)介護福祉士 (10)視能訓練士 (11)義肢
装具士 (12)歯科衛生士 (13)言語聴覚士
(14)あん摩マッサージ指圧師 (15)はり師
(16)きゅう師 (17)柔道整復師 (18)栄養
士、管理栄養士 (19)精神保健福祉士
のいずれかの資格を有し、当該資格による
業務に5年以上従事した者をいいます。
いずれもプルダウンメニューから選択でき
ます。</t>
      </text>
    </comment>
    <comment ref="V34" authorId="0" shapeId="0">
      <text>
        <t>サービス管理責任者の要件である「研修の
受講」について、該当する項目に「○」を
記入します。※平成21年3月までは、これ
らの研修を受講・修了することを条件に、
サービス管理責任者として配置できる経過
措置が設けられています。
※「受講済」「未受講」については、該当
する方にカーソルをあわせ、右クリック→
「セルの書式設定」→「罫線」→「外枠」
で囲むことができます。</t>
      </text>
    </comment>
    <comment ref="R40" authorId="0" shapeId="0">
      <text>
        <t>該当する項目に「○」を記入します。
また、該当する項目にカーソルをあわせ、
右クリック→「セルの書式設定」→
「罫線」→「外枠」で囲むことができま
す。</t>
      </text>
    </comment>
    <comment ref="W40" authorId="0" shapeId="0">
      <text>
        <t>該当する項目に「○」を記入します。
また、該当する項目にカーソルをあわせ、
右クリック→「セルの書式設定」→
「罫線」→「外枠」で囲むことができま
す。</t>
      </text>
    </comment>
    <comment ref="C46" authorId="0" shapeId="0">
      <text>
        <t>サービス管理責任者の資格要件としての実
務経験は
(1)相談支援業務5年以上 (2)直接支援業
務10年以上 (3)直接支援業務5年以上＋有
資格 (4)相談支援業務3年以上＋国家資格
業務5年以上 (5)直接支援業務3年以上＋
国家資格業務5年以上　のいずれかに限定
されています。
※「有資格」の資格とは、
(1)社会福祉主事任用資格 (2)訪問介護員
2級以上相当 (4)児童指導員任用資格 (5)
保育士　を指します。
※「国家資格業務5年以上」とは、
(1)医師、歯科医師 (2)薬剤師 (3)保健師
(4)助産師 (5)看護師、准看護師 (6)理学
療法士 (7)作業療法士 (8)社会福祉士 
(9)介護福祉士 (10)視能訓練士 (11)義肢
装具士 (12)歯科衛生士 (13)言語聴覚士
(14)あん摩マッサージ指圧師 (15)はり師
(16)きゅう師 (17)柔道整復師 (18)栄養
士、管理栄養士 (19)精神保健福祉士
のいずれかの資格を有し、当該資格による
業務に5年以上従事した者をいいます。
いずれもプルダウンメニューから選択でき
ます。</t>
      </text>
    </comment>
    <comment ref="AC58" authorId="0" shapeId="0">
      <text>
        <t>人数、開所日数を半角数字で入力すると、
自動的に計算します。</t>
      </text>
    </comment>
    <comment ref="AF58" authorId="0" shapeId="0">
      <text>
        <t>人数、開所日数を半角数字で入力すると、
自動的に計算します。</t>
      </text>
    </comment>
    <comment ref="E64" authorId="0" shapeId="0">
      <text>
        <t>「第三者評価」と「第三者委員」
とは異なりますので注意してくだ
さい。
また、「財団法人大阪府地域福祉
推進財団（大阪府介護サービス情
報公表センター）」が行っている
「介護サービス情報の公表に伴う
調査」は第三者評価ではありませ
ん。</t>
      </text>
    </comment>
  </commentList>
</comments>
</file>

<file path=xl/comments/comment26.xml><?xml version="1.0" encoding="utf-8"?>
<comments xmlns="http://schemas.openxmlformats.org/spreadsheetml/2006/main">
  <authors>
    <author>作成者</author>
  </authors>
  <commentLis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L59" authorId="0" shapeId="0">
      <text>
        <t>「経過措置」とは、旧法施設から障害者支
援施設への移行時に、特定旧法受給者の有
無により判断されます。
入所者の中に、特定旧法受給者を含む場合
は、法令上「経過的障害者支援施設」と、
含まない場合は「障害者支援施設」と呼称
され、区分されます。
経過措置の適用又は非適用により、職員の
配置基準に若干の相違があります。
該当する項目に「○」を記入します。
該当する項目にカーソルをあわせて、右ク
リック→「セルの書式設定」→「罫線」→
「外枠」で囲むことができます。</t>
      </text>
    </comment>
    <comment ref="D65" authorId="0" shapeId="0">
      <text>
        <t>該当するサービスの欄に定員数を記入して
ください。</t>
      </text>
    </comment>
    <comment ref="AF68" authorId="0" shapeId="0">
      <text>
        <t>「法定代理受領分：厚生労働大臣が定める
基準の10/100、法定代理受領分以外：厚生
労働大臣が定める基準」と記入します。
また、プルダウンメニューから選択するこ
ともできます。</t>
      </text>
    </comment>
    <comment ref="E69" authorId="0" shapeId="0">
      <text>
        <t>「第三者評価」と「第三者委員」とは異な
りますので注意してください。
また、「財団法人大阪府地域福祉推進財団
(大阪府介護サービス情報公表センター)」
が行っている「介護サービス情報の公表に
伴う調査」は第三者評価ではありません。</t>
      </text>
    </comment>
  </commentList>
</comments>
</file>

<file path=xl/comments/comment27.xml><?xml version="1.0" encoding="utf-8"?>
<comments xmlns="http://schemas.openxmlformats.org/spreadsheetml/2006/main">
  <authors>
    <author>作成者</author>
  </authors>
  <commentList>
    <comment ref="F11" authorId="0" shapeId="0">
      <text>
        <t>本市から各事業者あてのお知らせ等に使用させていただきますので、各事業者で使用しているアドレスをご記入ください。</t>
      </text>
    </commen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L62" authorId="0" shapeId="0">
      <text>
        <t>「経過措置」とは、旧法施設から障害者支
援施設への移行時に、特定旧法受給者の有
無により判断されます。
入所者の中に、特定旧法受給者を含む場合
は、法令上「経過的障害者支援施設」と、
含まない場合は「障害者支援施設」と呼称
され、区分されます。
経過措置の適用又は非適用により、職員の
配置基準に若干の相違があります。
該当する項目に「○」を記入します。
該当する項目にカーソルをあわせて、右ク
リック→「セルの書式設定」→「罫線」→
「外枠」で囲むことができます。</t>
      </text>
    </comment>
    <comment ref="D65" authorId="0" shapeId="0">
      <text>
        <t>該当するサービスの欄に定員数を記入して
ください。</t>
      </text>
    </comment>
    <comment ref="AF68" authorId="0" shapeId="0">
      <text>
        <t>「法定代理受領分：厚生労働大臣が定める
基準の10/100、法定代理受領分以外：厚生
労働大臣が定める基準」と記入します。
また、プルダウンメニューから選択するこ
ともできます。</t>
      </text>
    </comment>
    <comment ref="E69" authorId="0" shapeId="0">
      <text>
        <t>「第三者評価」と「第三者委員」とは異な
りますので注意してください。
また、「財団法人大阪府地域福祉推進財団
(大阪府介護サービス情報公表センター)」
が行っている「介護サービス情報の公表に
伴う調査」は第三者評価ではありません。</t>
      </text>
    </comment>
  </commentList>
</comments>
</file>

<file path=xl/comments/comment28.xml><?xml version="1.0" encoding="utf-8"?>
<comments xmlns="http://schemas.openxmlformats.org/spreadsheetml/2006/main">
  <authors>
    <author>作成者</author>
  </authors>
  <commentList>
    <comment ref="AB1" authorId="0" shapeId="0">
      <text>
        <t>３種類（生活介護を含まない場合は２種類
）以上の「昼間実施サービス」を実施して
いる場合は、２枚目以降を作成します。</t>
      </text>
    </comment>
    <comment ref="AB2" authorId="0" shapeId="0">
      <text>
        <t>「昼間実施サービス」で複数の単位を設定
している場合は、単位ごとに付表を作成し
ます。</t>
      </text>
    </comment>
    <comment ref="R10" authorId="0" shapeId="0">
      <text>
        <t>該当する項目に「○」を記入します。
該当する項目にカーソルをあわせて、右ク
リック→「セルの書式設定」→「罫線」→
「外枠」で囲むことができます。</t>
      </text>
    </comment>
    <comment ref="W10" authorId="0" shapeId="0">
      <text>
        <t>該当する項目に「○」を記入します。
該当する項目にカーソルをあわせて、右ク
リック→「セルの書式設定」→「罫線」→
「外枠」で囲むことができます。</t>
      </text>
    </comment>
    <comment ref="O14"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C16" authorId="0" shapeId="0">
      <text>
        <t>サービス管理責任者の資格要件としての実
務経験は
(1)相談支援業務5年以上 (2)直接支援業
務10年以上 (3)直接支援業務5年以上＋有
資格 (4)相談支援業務3年以上＋国家資格
業務5年以上 (5)直接支援業務3年以上＋
国家資格業務5年以上　のいずれかに限定
されています。
※「有資格」の資格とは、
(1)社会福祉主事任用資格 (2)訪問介護員
2級以上相当 (4)児童指導員任用資格 (5)
保育士　を指します。
※「国家資格業務5年以上」とは、
(1)医師、歯科医師 (2)薬剤師 (3)保健師
(4)助産師 (5)看護師、准看護師 (6)理学
療法士 (7)作業療法士 (8)社会福祉士 
(9)介護福祉士 (10)視能訓練士 (11)義肢
装具士 (12)歯科衛生士 (13)言語聴覚士
(14)あん摩マッサージ指圧師 (15)はり師
(16)きゅう師 (17)柔道整復師 (18)栄養
士、管理栄養士 (19)精神保健福祉士
のいずれかの資格を有し、当該資格による
業務に5年以上従事した者をいいます。
いずれもプルダウンメニューから選択でき
ます。</t>
      </text>
    </comment>
    <comment ref="V17" authorId="0" shapeId="0">
      <text>
        <t>サービス管理責任者の要件である「研修の
受講」について、該当する項目に「○」を
記入します。※平成21年3月までは、これ
らの研修を受講・修了することを条件に、
サービス管理責任者として配置できる経過
措置が設けられています。
※「受講済」「未受講」については、該当
する方にカーソルをあわせ、右クリック→
「セルの書式設定」→「罫線」→「外枠」
で囲むことができます。</t>
      </text>
    </comment>
    <comment ref="D28" authorId="0" shapeId="0">
      <text>
        <t>該当する項目に「○」を記入するか、プル
ダウンメニューから選択します。</t>
      </text>
    </comment>
    <comment ref="D31" authorId="0" shapeId="0">
      <text>
        <t>「法定代理受領分：厚生労働大臣が定める
基準の10/100、法定代理受領分以外：厚生
労働大臣が定める基準」と記入します。
また、プルダウンメニューから選択するこ
ともできます。</t>
      </text>
    </comment>
    <comment ref="D32" authorId="0" shapeId="0">
      <text>
        <t>上記の利用料以外に利用者に費用負担を求
めることがある場合に、当該費用の内容及
び金額等を具体的に記入します。
「運営規程に定めるとおり」と記入するこ
ともできます。
また、プルダウンメニューから選択するこ
ともできます。</t>
      </text>
    </comment>
    <comment ref="D33" authorId="0" shapeId="0">
      <text>
        <t>通常の事業の実施地域を具体的に記入しま
す。</t>
      </text>
    </comment>
    <comment ref="AC35" authorId="0" shapeId="0">
      <text>
        <t>人数、開所日数を半角数字で入力すると、
自動的に計算します。</t>
      </text>
    </comment>
    <comment ref="AF35" authorId="0" shapeId="0">
      <text>
        <t>人数、開所日数を半角数字で入力すると、
自動的に計算します。</t>
      </text>
    </comment>
    <comment ref="R39" authorId="0" shapeId="0">
      <text>
        <t>該当する項目に「○」を記入します。
該当する項目にカーソルをあわせて、右ク
リック→「セルの書式設定」→「罫線」→
「外枠」で囲むことができます。</t>
      </text>
    </comment>
    <comment ref="W39" authorId="0" shapeId="0">
      <text>
        <t>該当する項目に「○」を記入します。
該当する項目にカーソルをあわせて、右ク
リック→「セルの書式設定」→「罫線」→
「外枠」で囲むことができます。</t>
      </text>
    </comment>
    <comment ref="O43"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V46" authorId="0" shapeId="0">
      <text>
        <t>サービス管理責任者の要件である「研修の
受講」について、該当する項目に「○」を
記入します。※平成21年3月までは、これ
らの研修を受講・修了することを条件に、
サービス管理責任者として配置できる経過
措置が設けられています。
※「受講済」「未受講」については、該当
する方にカーソルをあわせ、右クリック→
「セルの書式設定」→「罫線」→「外枠」
で囲むことができます。</t>
      </text>
    </comment>
    <comment ref="D57" authorId="0" shapeId="0">
      <text>
        <t>該当する項目に「○」を記入するか、プル
ダウンメニューから選択します。</t>
      </text>
    </comment>
    <comment ref="D60" authorId="0" shapeId="0">
      <text>
        <t>「法定代理受領分：厚生労働大臣が定める
基準の10/100、法定代理受領分以外：厚生
労働大臣が定める基準」と記入します。
また、プルダウンメニューから選択するこ
ともできます。</t>
      </text>
    </comment>
    <comment ref="D61" authorId="0" shapeId="0">
      <text>
        <t>上記の利用料以外に利用者に費用負担を求
めることがある場合に、当該費用の内容及
び金額等を具体的に記入します。
「運営規程に定めるとおり」と記入するこ
ともできます。
また、プルダウンメニューから選択するこ
ともできます。</t>
      </text>
    </comment>
    <comment ref="D62" authorId="0" shapeId="0">
      <text>
        <t>通常の事業の実施地域を具体的に記入しま
す。</t>
      </text>
    </comment>
    <comment ref="D66" authorId="0" shapeId="0">
      <text>
        <t>該当する項目に「○」を記入するか、プル
ダウンメニューから選択します。</t>
      </text>
    </comment>
    <comment ref="M74" authorId="0" shapeId="0">
      <text>
        <t>「空床型」
　本体施設が旧法の入所施設又は法第５条第８項に
規定する施設であって、当該本体施設において当該
施設入所者の利用に供することとなっている居室の
うち、現に利用者に供していない居室を使用して短
期入所を実施するものをいいます。
「併設型」
　本体施設に併設して短期入所専用の居室を有し、
当該居室を使用して短期入所を実施するものをいい
ます。
該当する項目にカーソルをあわせて、右クリック→
「セルの書式設定」→「罫線」→「外枠」で囲むこ
とができます。</t>
      </text>
    </comment>
  </commentList>
</comments>
</file>

<file path=xl/comments/comment29.xml><?xml version="1.0" encoding="utf-8"?>
<comments xmlns="http://schemas.openxmlformats.org/spreadsheetml/2006/main">
  <authors>
    <author>作成者</author>
  </authors>
  <commentList>
    <comment ref="AB1" authorId="0" shapeId="0">
      <text>
        <t>３種類（生活介護を含まない場合は２種類
）以上の「昼間実施サービス」を実施して
いる場合は、２枚目以降を作成します。</t>
      </text>
    </comment>
    <comment ref="AB2" authorId="0" shapeId="0">
      <text>
        <t>「昼間実施サービス」で複数の単位を設定
している場合は、単位ごとに付表を作成し
ます。</t>
      </text>
    </comment>
    <comment ref="R10" authorId="0" shapeId="0">
      <text>
        <t>該当する項目に「○」を記入します。
該当する項目にカーソルをあわせて、右ク
リック→「セルの書式設定」→「罫線」→
「外枠」で囲むことができます。</t>
      </text>
    </comment>
    <comment ref="W10" authorId="0" shapeId="0">
      <text>
        <t>該当する項目に「○」を記入します。
該当する項目にカーソルをあわせて、右ク
リック→「セルの書式設定」→「罫線」→
「外枠」で囲むことができます。</t>
      </text>
    </comment>
    <comment ref="O14"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C16" authorId="0" shapeId="0">
      <text>
        <t>サービス管理責任者の資格要件としての実
務経験は
(1)相談支援業務5年以上 (2)直接支援業
務10年以上 (3)直接支援業務5年以上＋有
資格 (4)相談支援業務3年以上＋国家資格
業務5年以上 (5)直接支援業務3年以上＋
国家資格業務5年以上　のいずれかに限定
されています。
※「有資格」の資格とは、
(1)社会福祉主事任用資格 (2)訪問介護員
2級以上相当 (4)児童指導員任用資格 (5)
保育士　を指します。
※「国家資格業務5年以上」とは、
(1)医師、歯科医師 (2)薬剤師 (3)保健師
(4)助産師 (5)看護師、准看護師 (6)理学
療法士 (7)作業療法士 (8)社会福祉士 
(9)介護福祉士 (10)視能訓練士 (11)義肢
装具士 (12)歯科衛生士 (13)言語聴覚士
(14)あん摩マッサージ指圧師 (15)はり師
(16)きゅう師 (17)柔道整復師 (18)栄養
士、管理栄養士 (19)精神保健福祉士
のいずれかの資格を有し、当該資格による
業務に5年以上従事した者をいいます。
いずれもプルダウンメニューから選択でき
ます。</t>
      </text>
    </comment>
    <comment ref="V17" authorId="0" shapeId="0">
      <text>
        <t>サービス管理責任者の要件である「研修の
受講」について、該当する項目に「○」を
記入します。※平成21年3月までは、これ
らの研修を受講・修了することを条件に、
サービス管理責任者として配置できる経過
措置が設けられています。
※「受講済」「未受講」については、該当
する方にカーソルをあわせ、右クリック→
「セルの書式設定」→「罫線」→「外枠」
で囲むことができます。</t>
      </text>
    </comment>
    <comment ref="D28" authorId="0" shapeId="0">
      <text>
        <t>該当する項目に「○」を記入するか、プル
ダウンメニューから選択します。</t>
      </text>
    </comment>
    <comment ref="D31" authorId="0" shapeId="0">
      <text>
        <t>「法定代理受領分：厚生労働大臣が定める
基準の10/100、法定代理受領分以外：厚生
労働大臣が定める基準」と記入します。
また、プルダウンメニューから選択するこ
ともできます。</t>
      </text>
    </comment>
    <comment ref="D32" authorId="0" shapeId="0">
      <text>
        <t>上記の利用料以外に利用者に費用負担を求
めることがある場合に、当該費用の内容及
び金額等を具体的に記入します。
「運営規程に定めるとおり」と記入するこ
ともできます。
また、プルダウンメニューから選択するこ
ともできます。</t>
      </text>
    </comment>
    <comment ref="D33" authorId="0" shapeId="0">
      <text>
        <t>通常の事業の実施地域を具体的に記入しま
す。</t>
      </text>
    </comment>
    <comment ref="AC35" authorId="0" shapeId="0">
      <text>
        <t>人数、開所日数を半角数字で入力すると、
自動的に計算します。</t>
      </text>
    </comment>
    <comment ref="AF35" authorId="0" shapeId="0">
      <text>
        <t>人数、開所日数を半角数字で入力すると、
自動的に計算します。</t>
      </text>
    </comment>
    <comment ref="M74" authorId="0" shapeId="0">
      <text>
        <t>「空床型」
　本体施設が旧法の入所施設又は法第５条第８項に
規定する施設であって、当該本体施設において当該
施設入所者の利用に供することとなっている居室の
うち、現に利用者に供していない居室を使用して短
期入所を実施するものをいいます。
「併設型」
　本体施設に併設して短期入所専用の居室を有し、
当該居室を使用して短期入所を実施するものをいい
ます。
該当する項目にカーソルをあわせて、右クリック→
「セルの書式設定」→「罫線」→「外枠」で囲むこ
とができます。</t>
      </text>
    </comment>
  </commentList>
</comments>
</file>

<file path=xl/comments/comment30.xml><?xml version="1.0" encoding="utf-8"?>
<comments xmlns="http://schemas.openxmlformats.org/spreadsheetml/2006/main">
  <authors>
    <author>作成者</author>
  </authors>
  <commentList>
    <comment ref="AB1" authorId="0" shapeId="0">
      <text>
        <t>３種類（生活介護を含まない場合は２種類
）以上の「昼間実施サービス」を実施して
いる場合は、２枚目以降を作成します。</t>
      </text>
    </comment>
    <comment ref="AB2" authorId="0" shapeId="0">
      <text>
        <t>「昼間実施サービス」で複数の単位を設定
している場合は、単位ごとに付表を作成し
ます。</t>
      </text>
    </comment>
    <comment ref="C3" authorId="0" shapeId="0">
      <text>
        <t>該当する項目に「○」を記入します。
該当する項目にカーソルをあわせて、右ク
リック→「セルの書式設定」→「罫線」→
「外枠」で囲むことができます。
複数の日中サービスを実施する場合は、サ
ービスの種類ごとに本表を作成します。</t>
      </text>
    </comment>
  </commentList>
</comments>
</file>

<file path=xl/comments/comment31.xml><?xml version="1.0" encoding="utf-8"?>
<comments xmlns="http://schemas.openxmlformats.org/spreadsheetml/2006/main">
  <authors>
    <author>作成者</author>
  </authors>
  <commentList>
    <comment ref="F14" authorId="0" shapeId="0">
      <text>
        <t>本市から各事業者あてのお知らせ等に使用させていただきますので、各事業者で使用しているアドレスをご記入ください。</t>
      </text>
    </comment>
    <comment ref="R17" authorId="0" shapeId="0">
      <text>
        <t>該当する項目に「○」を記入します。
該当する項目にカーソルをあわせて、右ク
リック→「セルの書式設定」→「罫線」→
「外枠」で囲むことができます。</t>
      </text>
    </comment>
    <comment ref="W17" authorId="0" shapeId="0">
      <text>
        <t>該当する項目に「○」を記入します。
該当する項目にカーソルをあわせて、右ク
リック→「セルの書式設定」→「罫線」→
「外枠」で囲むことができます。</t>
      </text>
    </comment>
    <comment ref="O21"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8" authorId="0" shapeId="0">
      <text>
        <t>該当する項目に「○」を記入します。
また、該当する項目にカーソルをあわせ、
右クリック→「セルの書式設定」→
「罫線」→「外枠」で囲むことができま
す。</t>
      </text>
    </comment>
    <comment ref="W28" authorId="0" shapeId="0">
      <text>
        <t>該当する項目に「○」を記入します。
また、該当する項目にカーソルをあわせ、
右クリック→「セルの書式設定」→
「罫線」→「外枠」で囲むことができま
す。</t>
      </text>
    </comment>
    <comment ref="O32"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R35" authorId="0" shapeId="0">
      <text>
        <t>該当する項目に「○」を記入します。
また、該当する項目にカーソルをあわせ、
右クリック→「セルの書式設定」→
「罫線」→「外枠」で囲むことができま
す。</t>
      </text>
    </comment>
    <comment ref="W35" authorId="0" shapeId="0">
      <text>
        <t>該当する項目に「○」を記入します。
また、該当する項目にカーソルをあわせ、
右クリック→「セルの書式設定」→
「罫線」→「外枠」で囲むことができま
す。</t>
      </text>
    </comment>
    <comment ref="A52" authorId="0" shapeId="0">
      <text>
        <t>該当する項目に「○」を記入します。
該当する項目にカーソルをあわせて、右ク
リック→「セルの書式設定」→「罫線」→
「外枠」で囲むことができます。</t>
      </text>
    </comment>
    <comment ref="K55" authorId="0" shapeId="0">
      <text>
        <t>新規申請は定員×９割の人数になります。
前年度の実績を入れる場合は、延べ人数を入れてください。</t>
      </text>
    </comment>
    <comment ref="S55" authorId="0" shapeId="0">
      <text>
        <t xml:space="preserve">自動的に計算します。
</t>
      </text>
    </comment>
    <comment ref="D56" authorId="0" shapeId="0">
      <text>
        <t>該当する項目に「○」を記入
するか、プルダウンメニュー
から選択します。</t>
      </text>
    </comment>
    <comment ref="X61" authorId="0" shapeId="0">
      <text>
        <t>児童発達支援と放課後等デイサービスの両方を実施する場合で、各サービスの利用定員を定める場合のみ記入してください。
（定員の範囲内で一体的に受け入れを行う場合は記入不要です）</t>
      </text>
    </comment>
    <comment ref="D67" authorId="0" shapeId="0">
      <text>
        <t>該当する項目に「○」を記入
するか、プルダウンメニュー
から選択します。</t>
      </text>
    </comment>
    <comment ref="X72" authorId="0" shapeId="0">
      <text>
        <t>児童発達支援と放課後等デイサービスの両方を実施する場合で、各サービスの利用定員を定める場合のみ記入してください。
（定員の範囲内で一体的に受け入れを行う場合は記入不要です）</t>
      </text>
    </comment>
    <comment ref="D78" authorId="0" shapeId="0">
      <text>
        <t>該当する項目に「○」を記入
するか、プルダウンメニュー
から選択します。</t>
      </text>
    </comment>
    <comment ref="X83" authorId="0" shapeId="0">
      <text>
        <t>児童発達支援と放課後等デイサービスの両方を実施する場合で、各サービスの利用定員を定める場合のみ記入してください。
（定員の範囲内で一体的に受け入れを行う場合は記入不要です）</t>
      </text>
    </comment>
    <comment ref="N93" authorId="0" shapeId="0">
      <text>
        <t>プルダウンメニューから選択できます。</t>
      </text>
    </comment>
    <comment ref="D101" authorId="0" shapeId="0">
      <text>
        <t>従たる事業所を有する場合は「有」を、有
しない場合は「無」に「○」を記入します。
「有」の場合、従たる事業所において実施
するサービスを右欄に記入します。
※「有」、「無」のいずれかにカーソルを
あわせ、右クリック→「セルの書式設定」
→「罫線」→「外枠」で囲むことができま
す。
また、「サービス種別」は、プルダウンメ
ニューから選択できます。</t>
      </text>
    </comment>
    <comment ref="D105" authorId="0" shapeId="0">
      <text>
        <t>「法定代理受領分：厚生労働大臣
が定める基準の10/100、法定代理
受領分以外：厚生労働大臣が定め
る基準」と記入します。
また、プルダウンメニューから選
択することもできます。</t>
      </text>
    </comment>
    <comment ref="D106" authorId="0" shapeId="0">
      <text>
        <t>上記の利用料以外に利用者に費
用負担を求めることがある場合
に、当該費用の内容及び金額等
を具体的に記入します。
「運営規程に定めるとおり」と
記入することもできます。
また、プルダウンメニューから
選択することもできます。</t>
      </text>
    </comment>
    <comment ref="D107" authorId="0" shapeId="0">
      <text>
        <t>通常の事業の実施地域を
具体的に記入します。</t>
      </text>
    </comment>
    <comment ref="D110" authorId="0" shapeId="0">
      <text>
        <t>該当する項目に「○」を記入します。
該当する項目にカーソルをあわせて、右ク
リック→「セルの書式設定」→「罫線」→
「外枠」で囲むことができます。</t>
      </text>
    </comment>
    <comment ref="E115" authorId="0" shapeId="0">
      <text>
        <t>送迎サービスの実施地域を
具体的に記入します。</t>
      </text>
    </comment>
  </commentList>
</comments>
</file>

<file path=xl/comments/comment32.xml><?xml version="1.0" encoding="utf-8"?>
<comments xmlns="http://schemas.openxmlformats.org/spreadsheetml/2006/main">
  <authors>
    <author>作成者</author>
  </authors>
  <commentList>
    <comment ref="F14" authorId="0" shapeId="0">
      <text>
        <t>本市から各事業者あてのお知らせ等に使用させていただきますので、各事業者で使用しているアドレスをご記入ください。</t>
      </text>
    </comment>
    <comment ref="R17" authorId="0" shapeId="0">
      <text>
        <t>該当する項目に「○」を記入します。
該当する項目にカーソルをあわせて、右ク
リック→「セルの書式設定」→「罫線」→
「外枠」で囲むことができます。</t>
      </text>
    </comment>
    <comment ref="W17" authorId="0" shapeId="0">
      <text>
        <t>該当する項目に「○」を記入します。
該当する項目にカーソルをあわせて、右ク
リック→「セルの書式設定」→「罫線」→
「外枠」で囲むことができます。</t>
      </text>
    </comment>
    <comment ref="O21"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8" authorId="0" shapeId="0">
      <text>
        <t>該当する項目に「○」を記入します。
また、該当する項目にカーソルをあわせ、
右クリック→「セルの書式設定」→
「罫線」→「外枠」で囲むことができま
す。</t>
      </text>
    </comment>
    <comment ref="W28" authorId="0" shapeId="0">
      <text>
        <t>該当する項目に「○」を記入します。
また、該当する項目にカーソルをあわせ、
右クリック→「セルの書式設定」→
「罫線」→「外枠」で囲むことができま
す。</t>
      </text>
    </comment>
    <comment ref="O32"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R35" authorId="0" shapeId="0">
      <text>
        <t>該当する項目に「○」を記入します。
また、該当する項目にカーソルをあわせ、
右クリック→「セルの書式設定」→
「罫線」→「外枠」で囲むことができま
す。</t>
      </text>
    </comment>
    <comment ref="W35" authorId="0" shapeId="0">
      <text>
        <t>該当する項目に「○」を記入します。
また、該当する項目にカーソルをあわせ、
右クリック→「セルの書式設定」→
「罫線」→「外枠」で囲むことができま
す。</t>
      </text>
    </comment>
    <comment ref="A52" authorId="0" shapeId="0">
      <text>
        <t>該当する項目に「○」を記入します。
該当する項目にカーソルをあわせて、右ク
リック→「セルの書式設定」→「罫線」→
「外枠」で囲むことができます。</t>
      </text>
    </comment>
    <comment ref="K55" authorId="0" shapeId="0">
      <text>
        <t>新規申請は定員×９割の人数になります。
前年度の実績を入れる場合は、延べ人数を入れてください。</t>
      </text>
    </comment>
    <comment ref="S55" authorId="0" shapeId="0">
      <text>
        <t xml:space="preserve">自動的に計算します。
</t>
      </text>
    </comment>
    <comment ref="D56" authorId="0" shapeId="0">
      <text>
        <t>該当する項目に「○」を記入
するか、プルダウンメニュー
から選択します。</t>
      </text>
    </comment>
    <comment ref="D67" authorId="0" shapeId="0">
      <text>
        <t>該当する項目に「○」を記入
するか、プルダウンメニュー
から選択します。</t>
      </text>
    </comment>
    <comment ref="D78" authorId="0" shapeId="0">
      <text>
        <t>該当する項目に「○」を記入
するか、プルダウンメニュー
から選択します。</t>
      </text>
    </comment>
    <comment ref="D101" authorId="0" shapeId="0">
      <text>
        <t>従たる事業所を有する場合は「有」を、有
しない場合は「無」に「○」を記入します。
「有」の場合、従たる事業所において実施
するサービスを右欄に記入します。
※「有」、「無」のいずれかにカーソルを
あわせ、右クリック→「セルの書式設定」
→「罫線」→「外枠」で囲むことができま
す。
また、「サービス種別」は、プルダウンメ
ニューから選択できます。</t>
      </text>
    </comment>
    <comment ref="D105" authorId="0" shapeId="0">
      <text>
        <t>「法定代理受領分：厚生労働大臣
が定める基準の10/100、法定代理
受領分以外：厚生労働大臣が定め
る基準」と記入します。
また、プルダウンメニューから選
択することもできます。</t>
      </text>
    </comment>
    <comment ref="D106" authorId="0" shapeId="0">
      <text>
        <t>上記の利用料以外に利用者に費
用負担を求めることがある場合
に、当該費用の内容及び金額等
を具体的に記入します。
「運営規程に定めるとおり」と
記入することもできます。
また、プルダウンメニューから
選択することもできます。</t>
      </text>
    </comment>
    <comment ref="D107" authorId="0" shapeId="0">
      <text>
        <t>通常の事業の実施地域を
具体的に記入します。</t>
      </text>
    </comment>
    <comment ref="D110" authorId="0" shapeId="0">
      <text>
        <t>該当する項目に「○」を記入します。
該当する項目にカーソルをあわせて、右ク
リック→「セルの書式設定」→「罫線」→
「外枠」で囲むことができます。</t>
      </text>
    </comment>
    <comment ref="E115" authorId="0" shapeId="0">
      <text>
        <t>送迎サービスの実施地域を
具体的に記入します。</t>
      </text>
    </comment>
  </commentList>
</comments>
</file>

<file path=xl/comments/comment33.xml><?xml version="1.0" encoding="utf-8"?>
<comments xmlns="http://schemas.openxmlformats.org/spreadsheetml/2006/main">
  <authors>
    <author>作成者</author>
  </authors>
  <commentList>
    <comment ref="D10" authorId="0" shapeId="0">
      <text>
        <t>本市から各事業者あてのお知らせ等に使用させていただきますので、各事業者で使用しているアドレスをご記入ください。</t>
      </text>
    </comment>
  </commentList>
</comments>
</file>

<file path=xl/comments/comment34.xml><?xml version="1.0" encoding="utf-8"?>
<comments xmlns="http://schemas.openxmlformats.org/spreadsheetml/2006/main">
  <authors>
    <author>作成者</author>
  </authors>
  <commentList>
    <comment ref="D10" authorId="0" shapeId="0">
      <text>
        <t>本市から各事業者あてのお知らせ等に使用させていただきますので、各事業者で使用しているアドレスをご記入ください。</t>
      </text>
    </comment>
  </commentList>
</comments>
</file>

<file path=xl/comments/comment35.xml><?xml version="1.0" encoding="utf-8"?>
<comments xmlns="http://schemas.openxmlformats.org/spreadsheetml/2006/main">
  <authors>
    <author>作成者</author>
  </authors>
  <commentList>
    <comment ref="D11" authorId="0" shapeId="0">
      <text>
        <t>本市から各事業者あてのお知らせ等に使用させていただきますので、各事業者で使用しているアドレスをご記入ください。</t>
      </text>
    </comment>
  </commentList>
</comments>
</file>

<file path=xl/comments/comment36.xml><?xml version="1.0" encoding="utf-8"?>
<comments xmlns="http://schemas.openxmlformats.org/spreadsheetml/2006/main">
  <authors>
    <author>作成者</author>
  </authors>
  <commentList>
    <comment ref="D12" authorId="0" shapeId="0">
      <text>
        <t>本市から各事業者あてのお知らせ等に使用させていただきますので、各事業者で使用しているアドレスをご記入ください。</t>
      </text>
    </comment>
  </commentList>
</comments>
</file>

<file path=xl/comments/comment37.xml><?xml version="1.0" encoding="utf-8"?>
<comments xmlns="http://schemas.openxmlformats.org/spreadsheetml/2006/main">
  <authors>
    <author>作成者</author>
  </authors>
  <commentList>
    <comment ref="D12" authorId="0" shapeId="0">
      <text>
        <t>本市から各事業者あてのお知らせ等に使用させていただきますので、各事業者で使用しているアドレスをご記入ください。</t>
      </text>
    </comment>
  </commentList>
</comments>
</file>

<file path=xl/comments/comment38.xml><?xml version="1.0" encoding="utf-8"?>
<comments xmlns="http://schemas.openxmlformats.org/spreadsheetml/2006/main">
  <authors>
    <author>作成者</author>
  </authors>
  <commentList>
    <comment ref="D13" authorId="0" shapeId="0">
      <text>
        <t>本市から各事業者あてのお知らせ等に使用させていただきますので、各事業者で使用しているアドレスをご記入ください。</t>
      </text>
    </comment>
  </commentList>
</comments>
</file>

<file path=xl/comments/comment39.xml><?xml version="1.0" encoding="utf-8"?>
<comments xmlns="http://schemas.openxmlformats.org/spreadsheetml/2006/main">
  <authors>
    <author>作成者</author>
  </authors>
  <commentList>
    <comment ref="R13" authorId="0" shapeId="0">
      <text>
        <t>該当する項目に「○」を記入します。
該当する項目にカーソルをあわせて、右ク
リック→「セルの書式設定」→「罫線」→
「外枠」で囲むことができます。</t>
      </text>
    </comment>
    <comment ref="W13" authorId="0" shapeId="0">
      <text>
        <t>該当する項目に「○」を記入します。
該当する項目にカーソルをあわせて、右ク
リック→「セルの書式設定」→「罫線」→
「外枠」で囲むことができます。</t>
      </text>
    </comment>
    <comment ref="O17"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7" authorId="0" shapeId="0">
      <text>
        <t>該当する項目に「○」を記入します。
また、該当する項目にカーソルをあわせ、
右クリック→「セルの書式設定」→
「罫線」→「外枠」で囲むことができま
す。</t>
      </text>
    </comment>
    <comment ref="W27" authorId="0" shapeId="0">
      <text>
        <t>該当する項目に「○」を記入します。
また、該当する項目にカーソルをあわせ、
右クリック→「セルの書式設定」→
「罫線」→「外枠」で囲むことができま
す。</t>
      </text>
    </comment>
    <comment ref="O31"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C33" authorId="0" shapeId="0">
      <text>
        <t>サービス管理責任者の資格要件としての実
務経験は
(1)相談支援業務5年以上 (2)直接支援業
務10年以上 (3)直接支援業務5年以上＋有
資格 (4)相談支援業務3年以上＋国家資格
業務5年以上 (5)直接支援業務3年以上＋
国家資格業務5年以上　のいずれかに限定
されています。
※「有資格」の資格とは、
(1)社会福祉主事任用資格 (2)訪問介護員
2級以上相当 (4)児童指導員任用資格 (5)
保育士　を指します。
※「国家資格業務5年以上」とは、
(1)医師、歯科医師 (2)薬剤師 (3)保健師
(4)助産師 (5)看護師、准看護師 (6)理学
療法士 (7)作業療法士 (8)社会福祉士 
(9)介護福祉士 (10)視能訓練士 (11)義肢
装具士 (12)歯科衛生士 (13)言語聴覚士
(14)あん摩マッサージ指圧師 (15)はり師
(16)きゅう師 (17)柔道整復師 (18)栄養
士、管理栄養士 (19)精神保健福祉士
のいずれかの資格を有し、当該資格による
業務に5年以上従事した者をいいます。
いずれもプルダウンメニューから選択でき
ます。</t>
      </text>
    </comment>
    <comment ref="V34" authorId="0" shapeId="0">
      <text>
        <t>サービス管理責任者の要件である「研修の
受講」について、該当する項目に「○」を
記入します。※平成21年3月までは、これ
らの研修を受講・修了することを条件に、
サービス管理責任者として配置できる経過
措置が設けられています。
※「受講済」「未受講」については、該当
する方にカーソルをあわせ、右クリック→
「セルの書式設定」→「罫線」→「外枠」
で囲むことができます。</t>
      </text>
    </comment>
    <comment ref="R40" authorId="0" shapeId="0">
      <text>
        <t>該当する項目に「○」を記入します。
また、該当する項目にカーソルをあわせ、
右クリック→「セルの書式設定」→
「罫線」→「外枠」で囲むことができま
す。</t>
      </text>
    </comment>
    <comment ref="W40" authorId="0" shapeId="0">
      <text>
        <t>該当する項目に「○」を記入します。
また、該当する項目にカーソルをあわせ、
右クリック→「セルの書式設定」→
「罫線」→「外枠」で囲むことができま
す。</t>
      </text>
    </comment>
    <comment ref="A65" authorId="0" shapeId="0">
      <text>
        <t>別シート「作成にあたって」を参照してく
ださい。</t>
      </text>
    </comment>
    <comment ref="AF66" authorId="0" shapeId="0">
      <text>
        <t xml:space="preserve">人数、開所日数を半角数字で入力すると、
自動的に計算します。
　※新設の場合、推定数（一体的に運営する就労移行支援等を受けた後就労し、就労を継続している期間が６月に達した者の数の過去３年間の総数の７０％）を記入してください。
</t>
      </text>
    </comment>
    <comment ref="D68" authorId="0" shapeId="0">
      <text>
        <t>該当する項目に「○」を記入するか、プル
ダウンメニューから選択します。</t>
      </text>
    </comment>
    <comment ref="S68" authorId="0" shapeId="0">
      <text>
        <t>「○月○日～○月○日」など、具体的に記
入します。</t>
      </text>
    </comment>
    <comment ref="D71"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72" authorId="0" shapeId="0">
      <text>
        <t>プルダウンメニューから選択できます。</t>
      </text>
    </comment>
    <comment ref="D84" authorId="0" shapeId="0">
      <text>
        <t>該当する項目に「○」を記入するか、プル
ダウンメニューから選択します。</t>
      </text>
    </comment>
    <comment ref="D87" authorId="0" shapeId="0">
      <text>
        <t>「法定代理受領分：厚生労働大臣が定める
基準の10/100、法定代理受領分以外：厚生
労働大臣が定める基準」と記入します。
また、プルダウンメニューから選択するこ
ともできます。</t>
      </text>
    </comment>
    <comment ref="D88" authorId="0" shapeId="0">
      <text>
        <t>上記の利用料以外に利用者に費用負担を求
めることがある場合に、当該費用の内容及
び金額等を具体的に記入します。
また、「運営規程に定めるとおり」と記入
することもできます。
また、プルダウンメニューから選択するこ
ともできます。</t>
      </text>
    </comment>
    <comment ref="D89" authorId="0" shapeId="0">
      <text>
        <t>通常の事業の実施地域を
具体的に記入します。</t>
      </text>
    </comment>
  </commentList>
</comments>
</file>

<file path=xl/comments/comment40.xml><?xml version="1.0" encoding="utf-8"?>
<comments xmlns="http://schemas.openxmlformats.org/spreadsheetml/2006/main">
  <authors>
    <author>作成者</author>
  </authors>
  <commentList>
    <comment ref="R13" authorId="0" shapeId="0">
      <text>
        <t>該当する項目に「○」を記入します。
該当する項目にカーソルをあわせて、右ク
リック→「セルの書式設定」→「罫線」→
「外枠」で囲むことができます。</t>
      </text>
    </comment>
    <comment ref="W13" authorId="0" shapeId="0">
      <text>
        <t>該当する項目に「○」を記入します。
該当する項目にカーソルをあわせて、右ク
リック→「セルの書式設定」→「罫線」→
「外枠」で囲むことができます。</t>
      </text>
    </comment>
    <comment ref="O17"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7" authorId="0" shapeId="0">
      <text>
        <t>該当する項目に「○」を記入します。
また、該当する項目にカーソルをあわせ、
右クリック→「セルの書式設定」→
「罫線」→「外枠」で囲むことができま
す。</t>
      </text>
    </comment>
    <comment ref="W27" authorId="0" shapeId="0">
      <text>
        <t>該当する項目に「○」を記入します。
また、該当する項目にカーソルをあわせ、
右クリック→「セルの書式設定」→
「罫線」→「外枠」で囲むことができま
す。</t>
      </text>
    </comment>
    <comment ref="O31"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C33" authorId="0" shapeId="0">
      <text>
        <t>サービス管理責任者の資格要件としての実
務経験は
(1)相談支援業務5年以上 (2)直接支援業
務10年以上 (3)直接支援業務5年以上＋有
資格 (4)相談支援業務3年以上＋国家資格
業務5年以上 (5)直接支援業務3年以上＋国
家資格業務5年以上　のいずれかに限定さ
れています。
※「有資格」の資格とは、
(1)社会福祉主事任用資格 (2)訪問介護員
2級以上相当 (4)児童指導員任用資格 (5)
保育士　を指します。
※「国家資格業務5年以上」とは、
(1)医師、歯科医師 (2)薬剤師 (3)保健師
(4)助産師 (5)看護師、准看護師 (6)理学
療法士 (7)作業療法士 (8)社会福祉士 
(9)介護福祉士 (10)視能訓練士 (11)義肢
装具士 (12)歯科衛生士 (13)言語聴覚士
(14)あん摩マッサージ指圧師 (15)はり師
(16)きゅう師 (17)柔道整復師 (18)栄養
士、管理栄養士 (19)精神保健福祉士
のいずれかの資格を有し、当該資格による
業務に5年以上従事した者をいいます。
いずれもプルダウンメニューから選択でき
ます。</t>
      </text>
    </comment>
    <comment ref="V34" authorId="0" shapeId="0">
      <text>
        <t>サービス管理責任者の要件である「研修の
受講」について、該当する項目に「○」を
記入します。※平成31年3月までは、これ
らの研修を受講・修了することを条件に、
サービス管理責任者として配置できる経過
措置が設けられています。
※「受講済」「未受講」については、該当
する方にカーソルをあわせ、右クリック→
「セルの書式設定」→「罫線」→「外枠」
で囲むことができます。</t>
      </text>
    </comment>
    <comment ref="R40" authorId="0" shapeId="0">
      <text>
        <t>該当する項目に「○」を記入します。
また、該当する項目にカーソルをあわせ、
右クリック→「セルの書式設定」→
「罫線」→「外枠」で囲むことができま
す。</t>
      </text>
    </comment>
    <comment ref="W40" authorId="0" shapeId="0">
      <text>
        <t>該当する項目に「○」を記入します。
また、該当する項目にカーソルをあわせ、
右クリック→「セルの書式設定」→
「罫線」→「外枠」で囲むことができま
す。</t>
      </text>
    </comment>
    <comment ref="W62" authorId="0" shapeId="0">
      <text>
        <t xml:space="preserve">生活介護、自立訓練、就労移行支援、就労継続支援Ａ、Ｂから選択
</t>
      </text>
    </comment>
    <comment ref="A63" authorId="0" shapeId="0">
      <text>
        <t>該当する項目に「○」を記入します。
該当する項目にカーソルをあわせて、右ク
リック→「セルの書式設定」→「罫線」→
「外枠」で囲むことができます。</t>
      </text>
    </comment>
    <comment ref="A65" authorId="0" shapeId="0">
      <text>
        <t>別シート「作成にあたって」を参照してく
ださい。</t>
      </text>
    </comment>
    <comment ref="AF65" authorId="0" shapeId="0">
      <text>
        <t>人数、開所日数を半角数字で入力すると、
自動的に計算します。</t>
      </text>
    </comment>
    <comment ref="AF66" authorId="0" shapeId="0">
      <text>
        <t>人数、開所日数を半角数字で入力すると、自動的に計算します。
※新設の場合、推定数（一体的に運営する就労移行支援等を受けた後就労し、就労を継続している期間が６月に達した者の数の過去３年間の総数の７０％）を記入してください。</t>
      </text>
    </comment>
    <comment ref="S68" authorId="0" shapeId="0">
      <text>
        <t>「○月○日～○月○日」など、具体的に記
入します。</t>
      </text>
    </comment>
    <comment ref="D71"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72" authorId="0" shapeId="0">
      <text>
        <t>プルダウンメニューから選択できます。</t>
      </text>
    </comment>
    <comment ref="D86" authorId="0" shapeId="0">
      <text>
        <t>該当する項目に「○」を記入するか、プル
ダウンメニューから選択します。</t>
      </text>
    </comment>
    <comment ref="D89" authorId="0" shapeId="0">
      <text>
        <t>「厚生労働大臣が定める額」と記入します。
また、プルダウンメニューから選択するこ
ともできます。</t>
      </text>
    </comment>
    <comment ref="D90" authorId="0" shapeId="0">
      <text>
        <t>上記の利用料以外に利用者に費用
負担を求めることがある場合に、
当該費用の内容及び金額等を具体
的に記入します。
「運営規程に定めるとおり」と記
入することもできます。
また、プルダウンメニューから選
択することもできます。</t>
      </text>
    </comment>
    <comment ref="D91" authorId="0" shapeId="0">
      <text>
        <t>通常の事業の実施地域を
具体的に記入します。</t>
      </text>
    </comment>
    <comment ref="D94" authorId="0" shapeId="0">
      <text>
        <t>該当する項目に「○」を記入します。
該当する項目にカーソルをあわせて、右ク
リック→「セルの書式設定」→「罫線」→
「外枠」で囲むことができます。</t>
      </text>
    </comment>
    <comment ref="E96" authorId="0" shapeId="0">
      <text>
        <t>「第三者評価」と「第三者委員」
とは異なりますので注意してくだ
さい。
また、「財団法人大阪府地域福祉
推進財団（大阪府介護サービス情
報公表センター）」が行っている
「介護サービス情報の公表に伴う
調査」は第三者評価ではありませ
ん。</t>
      </text>
    </comment>
  </commentList>
</comments>
</file>

<file path=xl/comments/comment41.xml><?xml version="1.0" encoding="utf-8"?>
<comments xmlns="http://schemas.openxmlformats.org/spreadsheetml/2006/main">
  <authors>
    <author>作成者</author>
  </authors>
  <commentList>
    <comment ref="C9" authorId="0" shapeId="0">
      <text>
        <t xml:space="preserve">黄色の枠に数字を記入してください。
</t>
      </text>
    </comment>
  </commentList>
</comments>
</file>

<file path=xl/comments/comment42.xml><?xml version="1.0" encoding="utf-8"?>
<comments xmlns="http://schemas.openxmlformats.org/spreadsheetml/2006/main">
  <authors>
    <author>作成者</author>
  </authors>
  <commentLis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8" authorId="0" shapeId="0">
      <text>
        <t>該当する項目に「○」を記入します。
また、該当する項目にカーソルをあわせ、
右クリック→「セルの書式設定」→
「罫線」→「外枠」で囲むことができま
す。</t>
      </text>
    </comment>
    <comment ref="W28" authorId="0" shapeId="0">
      <text>
        <t>該当する項目に「○」を記入します。
また、該当する項目にカーソルをあわせ、
右クリック→「セルの書式設定」→
「罫線」→「外枠」で囲むことができま
す。</t>
      </text>
    </comment>
    <comment ref="O32"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C34" authorId="0" shapeId="0">
      <text>
        <t>サービス管理責任者の資格要件としての実
務経験は
(1)相談支援業務5年以上 (2)直接支援業
務10年以上 (3)直接支援業務5年以上＋有
資格 (4)相談支援業務3年以上＋国家資格
業務5年以上 (5)直接支援業務3年以上＋
国家資格業務5年以上　のいずれかに限定
されています。
※「有資格」の資格とは、
(1)社会福祉主事任用資格 (2)訪問介護員
2級以上相当 (4)児童指導員任用資格 (5)
保育士　を指します。
※「国家資格業務5年以上」とは、
(1)医師、歯科医師 (2)薬剤師 (3)保健師
(4)助産師 (5)看護師、准看護師 (6)理学
療法士 (7)作業療法士 (8)社会福祉士 
(9)介護福祉士 (10)視能訓練士 (11)義肢
装具士 (12)歯科衛生士 (13)言語聴覚士
(14)あん摩マッサージ指圧師 (15)はり師
(16)きゅう師 (17)柔道整復師 (18)栄養
士、管理栄養士 (19)精神保健福祉士
のいずれかの資格を有し、当該資格による
業務に5年以上従事した者をいいます。
いずれもプルダウンメニューから選択でき
ます。</t>
      </text>
    </comment>
    <comment ref="V35" authorId="0" shapeId="0">
      <text>
        <t>サービス管理責任者の要件である「研修の
受講」について、該当する項目に「○」を
記入します。※平成21年3月までは、これ
らの研修を受講・修了することを条件に、
サービス管理責任者として配置できる経過
措置が設けられています。
※「受講済」「未受講」については、該当
する方にカーソルをあわせ、右クリック→
「セルの書式設定」→「罫線」→「外枠」
で囲むことができます。</t>
      </text>
    </comment>
    <comment ref="R41" authorId="0" shapeId="0">
      <text>
        <t>該当する項目に「○」を記入します。
また、該当する項目にカーソルをあわせ、
右クリック→「セルの書式設定」→
「罫線」→「外枠」で囲むことができま
す。</t>
      </text>
    </comment>
    <comment ref="W41" authorId="0" shapeId="0">
      <text>
        <t>該当する項目に「○」を記入します。
また、該当する項目にカーソルをあわせ、
右クリック→「セルの書式設定」→
「罫線」→「外枠」で囲むことができま
す。</t>
      </text>
    </comment>
    <comment ref="A63" authorId="0" shapeId="0">
      <text>
        <t>別シート「作成にあたって」を参照してく
ださい。</t>
      </text>
    </comment>
    <comment ref="AF63" authorId="0" shapeId="0">
      <text>
        <t>人数、開所日数を半角数字で入力すると、
自動的に計算します。</t>
      </text>
    </comment>
    <comment ref="D65" authorId="0" shapeId="0">
      <text>
        <t>該当する項目に「○」を記入するか、プル
ダウンメニューから選択します。</t>
      </text>
    </comment>
    <comment ref="S65" authorId="0" shapeId="0">
      <text>
        <t>「○月○日～○月○日」など、具体的に記
入します。</t>
      </text>
    </comment>
    <comment ref="N69" authorId="0" shapeId="0">
      <text>
        <t>プルダウンメニューから選択できます。</t>
      </text>
    </comment>
    <comment ref="D81" authorId="0" shapeId="0">
      <text>
        <t>該当する項目に「○」を記入するか、プル
ダウンメニューから選択します。</t>
      </text>
    </comment>
    <comment ref="D84" authorId="0" shapeId="0">
      <text>
        <t>「法定代理受領分：厚生労働大臣が定める
基準の10/100、法定代理受領分以外：厚生
労働大臣が定める基準」と記入します。
また、プルダウンメニューから選択するこ
ともできます。</t>
      </text>
    </comment>
    <comment ref="D85" authorId="0" shapeId="0">
      <text>
        <t>上記の利用料以外に利用者に費用負担を求
めることがある場合に、当該費用の内容及
び金額等を具体的に記入します。
また、「運営規程に定めるとおり」と記入
することもできます。
また、プルダウンメニューから選択するこ
ともできます。</t>
      </text>
    </comment>
    <comment ref="D86" authorId="0" shapeId="0">
      <text>
        <t>通常の事業の実施地域を
具体的に記入します。</t>
      </text>
    </comment>
  </commentList>
</comments>
</file>

<file path=xl/comments/comment43.xml><?xml version="1.0" encoding="utf-8"?>
<comments xmlns="http://schemas.openxmlformats.org/spreadsheetml/2006/main">
  <authors>
    <author>作成者</author>
  </authors>
  <commentList>
    <comment ref="R14" authorId="0" shapeId="0">
      <text>
        <t>該当する項目に「○」を記入します。
該当する項目にカーソルをあわせて、右ク
リック→「セルの書式設定」→「罫線」→
「外枠」で囲むことができます。</t>
      </text>
    </comment>
    <comment ref="W14" authorId="0" shapeId="0">
      <text>
        <t>該当する項目に「○」を記入します。
該当する項目にカーソルをあわせて、右ク
リック→「セルの書式設定」→「罫線」→
「外枠」で囲むことができます。</t>
      </text>
    </comment>
    <comment ref="O18"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R28" authorId="0" shapeId="0">
      <text>
        <t>該当する項目に「○」を記入します。
また、該当する項目にカーソルをあわせ、
右クリック→「セルの書式設定」→
「罫線」→「外枠」で囲むことができま
す。</t>
      </text>
    </comment>
    <comment ref="W28" authorId="0" shapeId="0">
      <text>
        <t>該当する項目に「○」を記入します。
また、該当する項目にカーソルをあわせ、
右クリック→「セルの書式設定」→
「罫線」→「外枠」で囲むことができま
す。</t>
      </text>
    </comment>
    <comment ref="O32" authorId="0" shapeId="0">
      <text>
        <t>サービス管理責任者が、申請する事業所に
おいて、サービス管理責任者以外の職務に
従事するかどうかについて該当する項目に
「○」を記入し、「有」の場合は、右欄に
当該兼務する職種を記入します。
※「有」「無」については、該当する方に
カーソルをあわせ、右クリック→「セルの
書式設定」→「罫線」→「外枠」で囲むこ
とができます。
また、「職種」については、プルダウンメ
ニューから選択することができます。</t>
      </text>
    </comment>
    <comment ref="C34" authorId="0" shapeId="0">
      <text>
        <t>サービス管理責任者の資格要件としての実
務経験は
(1)相談支援業務5年以上 (2)直接支援業
務10年以上 (3)直接支援業務5年以上＋有
資格 (4)相談支援業務3年以上＋国家資格
業務5年以上 (5)直接支援業務3年以上＋国
家資格業務5年以上　のいずれかに限定さ
れています。
※「有資格」の資格とは、
(1)社会福祉主事任用資格 (2)訪問介護員
2級以上相当 (4)児童指導員任用資格 (5)
保育士　を指します。
※「国家資格業務5年以上」とは、
(1)医師、歯科医師 (2)薬剤師 (3)保健師
(4)助産師 (5)看護師、准看護師 (6)理学
療法士 (7)作業療法士 (8)社会福祉士 
(9)介護福祉士 (10)視能訓練士 (11)義肢
装具士 (12)歯科衛生士 (13)言語聴覚士
(14)あん摩マッサージ指圧師 (15)はり師
(16)きゅう師 (17)柔道整復師 (18)栄養
士、管理栄養士 (19)精神保健福祉士
のいずれかの資格を有し、当該資格による
業務に5年以上従事した者をいいます。
いずれもプルダウンメニューから選択でき
ます。</t>
      </text>
    </comment>
    <comment ref="V35" authorId="0" shapeId="0">
      <text>
        <t>サービス管理責任者の要件である「研修の
受講」について、該当する項目に「○」を
記入します。※平成21年3月までは、これ
らの研修を受講・修了することを条件に、
サービス管理責任者として配置できる経過
措置が設けられています。
※「受講済」「未受講」については、該当
する方にカーソルをあわせ、右クリック→
「セルの書式設定」→「罫線」→「外枠」
で囲むことができます。</t>
      </text>
    </comment>
    <comment ref="R41" authorId="0" shapeId="0">
      <text>
        <t>該当する項目に「○」を記入します。
また、該当する項目にカーソルをあわせ、
右クリック→「セルの書式設定」→
「罫線」→「外枠」で囲むことができま
す。</t>
      </text>
    </comment>
    <comment ref="W41" authorId="0" shapeId="0">
      <text>
        <t>該当する項目に「○」を記入します。
また、該当する項目にカーソルをあわせ、
右クリック→「セルの書式設定」→
「罫線」→「外枠」で囲むことができま
す。</t>
      </text>
    </comment>
    <comment ref="A63" authorId="0" shapeId="0">
      <text>
        <t>別シート「作成にあたって」を参照してく
ださい。</t>
      </text>
    </comment>
    <comment ref="AF63" authorId="0" shapeId="0">
      <text>
        <t>人数、開所日数を半角数字で入力すると、
自動的に計算します。</t>
      </text>
    </comment>
    <comment ref="S65" authorId="0" shapeId="0">
      <text>
        <t>「○月○日～○月○日」など、具体的に記
入します。</t>
      </text>
    </comment>
    <comment ref="D68"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69" authorId="0" shapeId="0">
      <text>
        <t>プルダウンメニューから選択できます。</t>
      </text>
    </comment>
    <comment ref="D83" authorId="0" shapeId="0">
      <text>
        <t>該当する項目に「○」を記入するか、プル
ダウンメニューから選択します。</t>
      </text>
    </comment>
    <comment ref="D86" authorId="0" shapeId="0">
      <text>
        <t>「厚生労働大臣が定める額」と記入します。
また、プルダウンメニューから選択するこ
ともできます。</t>
      </text>
    </comment>
    <comment ref="D87" authorId="0" shapeId="0">
      <text>
        <t>上記の利用料以外に利用者に費用
負担を求めることがある場合に、
当該費用の内容及び金額等を具体
的に記入します。
「運営規程に定めるとおり」と記
入することもできます。
また、プルダウンメニューから選
択することもできます。</t>
      </text>
    </comment>
    <comment ref="D88" authorId="0" shapeId="0">
      <text>
        <t>通常の事業の実施地域を
具体的に記入します。</t>
      </text>
    </comment>
  </commentList>
</comments>
</file>

<file path=xl/comments/comment44.xml><?xml version="1.0" encoding="utf-8"?>
<comments xmlns="http://schemas.openxmlformats.org/spreadsheetml/2006/main">
  <authors>
    <author>作成者</author>
  </authors>
  <commentList>
    <comment ref="R13" authorId="0" shapeId="0">
      <text>
        <t>該当する項目に「○」を記入します。
該当する項目にカーソルをあわせて、右ク
リック→「セルの書式設定」→「罫線」→
「外枠」で囲むことができます。</t>
      </text>
    </comment>
    <comment ref="W13" authorId="0" shapeId="0">
      <text>
        <t>該当する項目に「○」を記入します。
該当する項目にカーソルをあわせて、右ク
リック→「セルの書式設定」→「罫線」→
「外枠」で囲むことができます。</t>
      </text>
    </comment>
    <comment ref="O17" authorId="0" shapeId="0">
      <text>
        <t>管理者が、申請する事業所において、管理
者以外の職務に従事するかどうかについて
該当する項目に「○」を記入し、「有」の
場合は、右欄に当該兼務する職種を記入し
ます。
※「有」「無」については、該当する方に
カーソルをあわせ、右クリック→「セルの
書式設定」→「罫線」→「外枠」で囲むこ
とができます。
また、「職種」については、プルダウンメ
ニューから選択することができます。</t>
      </text>
    </comment>
    <comment ref="AF35" authorId="0" shapeId="0">
      <text>
        <t>人数、開所日数を半角数字で入力すると、
自動的に計算します。
※新設の場合は空白としてください。</t>
      </text>
    </comment>
    <comment ref="D37" authorId="0" shapeId="0">
      <text>
        <t>該当する項目に「○」を記入するか、プル
ダウンメニューから選択します。</t>
      </text>
    </comment>
    <comment ref="S37" authorId="0" shapeId="0">
      <text>
        <t>「○月○日～○月○日」など、具体的に記
入します。</t>
      </text>
    </comment>
    <comment ref="D40" authorId="0" shapeId="0">
      <text>
        <t>営業及びサービス提供の時間帯を記入しま
す。
時間にかかわらず、24時間営業又はサービ
スを提供する体制が整っている場合は、
「24時間」を「○」で囲みます。
※「24時間」にカーソルをあわせ、右ク
リック→「セルの書式設定」→「罫線」→
「外枠」で囲むことができます。
「時間」はプルダウンメニューから選択す
ることもできます。</t>
      </text>
    </comment>
    <comment ref="N41" authorId="0" shapeId="0">
      <text>
        <t>プルダウンメニューから選択できます。</t>
      </text>
    </comment>
    <comment ref="D53" authorId="0" shapeId="0">
      <text>
        <t>該当する項目に「○」を記入するか、プル
ダウンメニューから選択します。</t>
      </text>
    </comment>
    <comment ref="D56" authorId="0" shapeId="0">
      <text>
        <t>「法定代理受領分：厚生労働大臣が定める
基準の10/100、法定代理受領分以外：厚生
労働大臣が定める基準」と記入します。
また、プルダウンメニューから選択するこ
ともできます。</t>
      </text>
    </comment>
    <comment ref="D57" authorId="0" shapeId="0">
      <text>
        <t>上記の利用料以外に利用者に費用負担を求
めることがある場合に、当該費用の内容及
び金額等を具体的に記入します。
また、「運営規程に定めるとおり」と記入
することもできます。
また、プルダウンメニューから選択するこ
ともできます。</t>
      </text>
    </comment>
    <comment ref="D58" authorId="0" shapeId="0">
      <text>
        <t>通常の事業の実施地域を具体的に記入します。</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16.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17.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18.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19.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0.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1.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2.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23.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24.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_rels/sheet25.xml.rels><Relationships xmlns="http://schemas.openxmlformats.org/package/2006/relationships"><Relationship Type="http://schemas.openxmlformats.org/officeDocument/2006/relationships/comments" Target="/xl/comments/comment24.xml" Id="comments"/><Relationship Type="http://schemas.openxmlformats.org/officeDocument/2006/relationships/vmlDrawing" Target="/xl/drawings/commentsDrawing24.vml" Id="anysvml"/></Relationships>
</file>

<file path=xl/worksheets/_rels/sheet26.xml.rels><Relationships xmlns="http://schemas.openxmlformats.org/package/2006/relationships"><Relationship Type="http://schemas.openxmlformats.org/officeDocument/2006/relationships/comments" Target="/xl/comments/comment25.xml" Id="comments"/><Relationship Type="http://schemas.openxmlformats.org/officeDocument/2006/relationships/vmlDrawing" Target="/xl/drawings/commentsDrawing25.vml" Id="anysvml"/></Relationships>
</file>

<file path=xl/worksheets/_rels/sheet27.xml.rels><Relationships xmlns="http://schemas.openxmlformats.org/package/2006/relationships"><Relationship Type="http://schemas.openxmlformats.org/officeDocument/2006/relationships/comments" Target="/xl/comments/comment26.xml" Id="comments"/><Relationship Type="http://schemas.openxmlformats.org/officeDocument/2006/relationships/vmlDrawing" Target="/xl/drawings/commentsDrawing26.vml" Id="anysvml"/></Relationships>
</file>

<file path=xl/worksheets/_rels/sheet28.xml.rels><Relationships xmlns="http://schemas.openxmlformats.org/package/2006/relationships"><Relationship Type="http://schemas.openxmlformats.org/officeDocument/2006/relationships/comments" Target="/xl/comments/comment27.xml" Id="comments"/><Relationship Type="http://schemas.openxmlformats.org/officeDocument/2006/relationships/vmlDrawing" Target="/xl/drawings/commentsDrawing27.vml" Id="anysvml"/></Relationships>
</file>

<file path=xl/worksheets/_rels/sheet29.xml.rels><Relationships xmlns="http://schemas.openxmlformats.org/package/2006/relationships"><Relationship Type="http://schemas.openxmlformats.org/officeDocument/2006/relationships/comments" Target="/xl/comments/comment28.xml" Id="comments"/><Relationship Type="http://schemas.openxmlformats.org/officeDocument/2006/relationships/vmlDrawing" Target="/xl/drawings/commentsDrawing28.vml" Id="anysvml"/></Relationships>
</file>

<file path=xl/worksheets/_rels/sheet30.xml.rels><Relationships xmlns="http://schemas.openxmlformats.org/package/2006/relationships"><Relationship Type="http://schemas.openxmlformats.org/officeDocument/2006/relationships/comments" Target="/xl/comments/comment29.xml" Id="comments"/><Relationship Type="http://schemas.openxmlformats.org/officeDocument/2006/relationships/vmlDrawing" Target="/xl/drawings/commentsDrawing29.vml" Id="anysvml"/></Relationships>
</file>

<file path=xl/worksheets/_rels/sheet31.xml.rels><Relationships xmlns="http://schemas.openxmlformats.org/package/2006/relationships"><Relationship Type="http://schemas.openxmlformats.org/officeDocument/2006/relationships/comments" Target="/xl/comments/comment30.xml" Id="comments"/><Relationship Type="http://schemas.openxmlformats.org/officeDocument/2006/relationships/vmlDrawing" Target="/xl/drawings/commentsDrawing30.vml" Id="anysvml"/></Relationships>
</file>

<file path=xl/worksheets/_rels/sheet32.xml.rels><Relationships xmlns="http://schemas.openxmlformats.org/package/2006/relationships"><Relationship Type="http://schemas.openxmlformats.org/officeDocument/2006/relationships/comments" Target="/xl/comments/comment31.xml" Id="comments"/><Relationship Type="http://schemas.openxmlformats.org/officeDocument/2006/relationships/vmlDrawing" Target="/xl/drawings/commentsDrawing31.vml" Id="anysvml"/></Relationships>
</file>

<file path=xl/worksheets/_rels/sheet33.xml.rels><Relationships xmlns="http://schemas.openxmlformats.org/package/2006/relationships"><Relationship Type="http://schemas.openxmlformats.org/officeDocument/2006/relationships/comments" Target="/xl/comments/comment32.xml" Id="comments"/><Relationship Type="http://schemas.openxmlformats.org/officeDocument/2006/relationships/vmlDrawing" Target="/xl/drawings/commentsDrawing32.vml" Id="anysvml"/></Relationships>
</file>

<file path=xl/worksheets/_rels/sheet34.xml.rels><Relationships xmlns="http://schemas.openxmlformats.org/package/2006/relationships"><Relationship Type="http://schemas.openxmlformats.org/officeDocument/2006/relationships/comments" Target="/xl/comments/comment33.xml" Id="comments"/><Relationship Type="http://schemas.openxmlformats.org/officeDocument/2006/relationships/vmlDrawing" Target="/xl/drawings/commentsDrawing33.vml" Id="anysvml"/></Relationships>
</file>

<file path=xl/worksheets/_rels/sheet35.xml.rels><Relationships xmlns="http://schemas.openxmlformats.org/package/2006/relationships"><Relationship Type="http://schemas.openxmlformats.org/officeDocument/2006/relationships/comments" Target="/xl/comments/comment34.xml" Id="comments"/><Relationship Type="http://schemas.openxmlformats.org/officeDocument/2006/relationships/vmlDrawing" Target="/xl/drawings/commentsDrawing34.vml" Id="anysvml"/></Relationships>
</file>

<file path=xl/worksheets/_rels/sheet36.xml.rels><Relationships xmlns="http://schemas.openxmlformats.org/package/2006/relationships"><Relationship Type="http://schemas.openxmlformats.org/officeDocument/2006/relationships/comments" Target="/xl/comments/comment35.xml" Id="comments"/><Relationship Type="http://schemas.openxmlformats.org/officeDocument/2006/relationships/vmlDrawing" Target="/xl/drawings/commentsDrawing35.vml" Id="anysvml"/></Relationships>
</file>

<file path=xl/worksheets/_rels/sheet37.xml.rels><Relationships xmlns="http://schemas.openxmlformats.org/package/2006/relationships"><Relationship Type="http://schemas.openxmlformats.org/officeDocument/2006/relationships/comments" Target="/xl/comments/comment36.xml" Id="comments"/><Relationship Type="http://schemas.openxmlformats.org/officeDocument/2006/relationships/vmlDrawing" Target="/xl/drawings/commentsDrawing36.vml" Id="anysvml"/></Relationships>
</file>

<file path=xl/worksheets/_rels/sheet38.xml.rels><Relationships xmlns="http://schemas.openxmlformats.org/package/2006/relationships"><Relationship Type="http://schemas.openxmlformats.org/officeDocument/2006/relationships/comments" Target="/xl/comments/comment37.xml" Id="comments"/><Relationship Type="http://schemas.openxmlformats.org/officeDocument/2006/relationships/vmlDrawing" Target="/xl/drawings/commentsDrawing37.vml" Id="anysvml"/></Relationships>
</file>

<file path=xl/worksheets/_rels/sheet39.xml.rels><Relationships xmlns="http://schemas.openxmlformats.org/package/2006/relationships"><Relationship Type="http://schemas.openxmlformats.org/officeDocument/2006/relationships/comments" Target="/xl/comments/comment38.xml" Id="comments"/><Relationship Type="http://schemas.openxmlformats.org/officeDocument/2006/relationships/vmlDrawing" Target="/xl/drawings/commentsDrawing38.vml" Id="anysvml"/></Relationships>
</file>

<file path=xl/worksheets/_rels/sheet40.xml.rels><Relationships xmlns="http://schemas.openxmlformats.org/package/2006/relationships"><Relationship Type="http://schemas.openxmlformats.org/officeDocument/2006/relationships/comments" Target="/xl/comments/comment39.xml" Id="comments"/><Relationship Type="http://schemas.openxmlformats.org/officeDocument/2006/relationships/vmlDrawing" Target="/xl/drawings/commentsDrawing39.vml" Id="anysvml"/></Relationships>
</file>

<file path=xl/worksheets/_rels/sheet41.xml.rels><Relationships xmlns="http://schemas.openxmlformats.org/package/2006/relationships"><Relationship Type="http://schemas.openxmlformats.org/officeDocument/2006/relationships/hyperlink" Target="mailto:fa0260@city.osaka.lg.jp" TargetMode="External" Id="rId1"/><Relationship Type="http://schemas.openxmlformats.org/officeDocument/2006/relationships/comments" Target="/xl/comments/comment40.xml" Id="comments"/><Relationship Type="http://schemas.openxmlformats.org/officeDocument/2006/relationships/vmlDrawing" Target="/xl/drawings/commentsDrawing40.vml" Id="anysvml"/></Relationships>
</file>

<file path=xl/worksheets/_rels/sheet43.xml.rels><Relationships xmlns="http://schemas.openxmlformats.org/package/2006/relationships"><Relationship Type="http://schemas.openxmlformats.org/officeDocument/2006/relationships/comments" Target="/xl/comments/comment41.xml" Id="comments"/><Relationship Type="http://schemas.openxmlformats.org/officeDocument/2006/relationships/vmlDrawing" Target="/xl/drawings/commentsDrawing41.vml" Id="anysvml"/></Relationships>
</file>

<file path=xl/worksheets/_rels/sheet44.xml.rels><Relationships xmlns="http://schemas.openxmlformats.org/package/2006/relationships"><Relationship Type="http://schemas.openxmlformats.org/officeDocument/2006/relationships/comments" Target="/xl/comments/comment42.xml" Id="comments"/><Relationship Type="http://schemas.openxmlformats.org/officeDocument/2006/relationships/vmlDrawing" Target="/xl/drawings/commentsDrawing42.vml" Id="anysvml"/></Relationships>
</file>

<file path=xl/worksheets/_rels/sheet45.xml.rels><Relationships xmlns="http://schemas.openxmlformats.org/package/2006/relationships"><Relationship Type="http://schemas.openxmlformats.org/officeDocument/2006/relationships/hyperlink" Target="mailto:fa0260@city.osaka.lg.jp" TargetMode="External" Id="rId1"/><Relationship Type="http://schemas.openxmlformats.org/officeDocument/2006/relationships/comments" Target="/xl/comments/comment43.xml" Id="comments"/><Relationship Type="http://schemas.openxmlformats.org/officeDocument/2006/relationships/vmlDrawing" Target="/xl/drawings/commentsDrawing43.vml" Id="anysvml"/></Relationships>
</file>

<file path=xl/worksheets/_rels/sheet47.xml.rels><Relationships xmlns="http://schemas.openxmlformats.org/package/2006/relationships"><Relationship Type="http://schemas.openxmlformats.org/officeDocument/2006/relationships/comments" Target="/xl/comments/comment44.xml" Id="comments"/><Relationship Type="http://schemas.openxmlformats.org/officeDocument/2006/relationships/vmlDrawing" Target="/xl/drawings/commentsDrawing44.vml" Id="anysvml"/></Relationships>
</file>

<file path=xl/worksheets/_rels/sheet48.xml.rels><Relationships xmlns="http://schemas.openxmlformats.org/package/2006/relationships"><Relationship Type="http://schemas.openxmlformats.org/officeDocument/2006/relationships/hyperlink" Target="mailto:fa0260@city.osaka.lg.jp" TargetMode="External" Id="rId1"/></Relationships>
</file>

<file path=xl/worksheets/sheet1.xml><?xml version="1.0" encoding="utf-8"?>
<worksheet xmlns="http://schemas.openxmlformats.org/spreadsheetml/2006/main">
  <sheetPr codeName="Sheet46">
    <outlinePr summaryBelow="1" summaryRight="1"/>
    <pageSetUpPr/>
  </sheetPr>
  <dimension ref="A1:B48"/>
  <sheetViews>
    <sheetView tabSelected="1" view="pageBreakPreview" zoomScaleNormal="220" zoomScaleSheetLayoutView="100" workbookViewId="0">
      <selection activeCell="A48" sqref="A48"/>
    </sheetView>
  </sheetViews>
  <sheetFormatPr baseColWidth="8" defaultRowHeight="17.25"/>
  <cols>
    <col width="45" customWidth="1" style="717" min="1" max="1"/>
    <col width="27.875" customWidth="1" style="4080" min="2" max="2"/>
  </cols>
  <sheetData>
    <row r="1">
      <c r="A1" s="717" t="inlineStr">
        <is>
          <t>目次</t>
        </is>
      </c>
    </row>
    <row r="2">
      <c r="A2" s="718" t="inlineStr">
        <is>
          <t>付表1(居宅・重訪・同行・行動）</t>
        </is>
      </c>
      <c r="B2" s="716" t="n"/>
    </row>
    <row r="3">
      <c r="A3" s="718" t="inlineStr">
        <is>
          <t>付表1【記入例】</t>
        </is>
      </c>
    </row>
    <row r="4">
      <c r="A4" s="718" t="inlineStr">
        <is>
          <t>付表2（重度包括）</t>
        </is>
      </c>
    </row>
    <row r="5">
      <c r="A5" s="718" t="inlineStr">
        <is>
          <t>付表2【記入例】</t>
        </is>
      </c>
    </row>
    <row r="6">
      <c r="A6" s="718" t="inlineStr">
        <is>
          <t>付表3（相談支援）</t>
        </is>
      </c>
    </row>
    <row r="7">
      <c r="A7" s="718" t="inlineStr">
        <is>
          <t>付表3　【記入例】</t>
        </is>
      </c>
    </row>
    <row r="8">
      <c r="A8" s="718" t="inlineStr">
        <is>
          <t>付表4（療養)</t>
        </is>
      </c>
    </row>
    <row r="9">
      <c r="A9" s="718" t="inlineStr">
        <is>
          <t>付表5（生介）</t>
        </is>
      </c>
    </row>
    <row r="10">
      <c r="A10" s="718" t="inlineStr">
        <is>
          <t>付表5【記入例】</t>
        </is>
      </c>
    </row>
    <row r="11">
      <c r="A11" s="718" t="inlineStr">
        <is>
          <t>付表6（機能）</t>
        </is>
      </c>
    </row>
    <row r="12">
      <c r="A12" s="718" t="inlineStr">
        <is>
          <t>付表7（生訓）</t>
        </is>
      </c>
    </row>
    <row r="13">
      <c r="A13" s="718" t="inlineStr">
        <is>
          <t>付表8（就移）</t>
        </is>
      </c>
    </row>
    <row r="14">
      <c r="A14" s="718" t="inlineStr">
        <is>
          <t>付表9（就継）</t>
        </is>
      </c>
    </row>
    <row r="15">
      <c r="A15" s="718" t="inlineStr">
        <is>
          <t xml:space="preserve">付表10（従たる） </t>
        </is>
      </c>
    </row>
    <row r="16">
      <c r="A16" s="718" t="inlineStr">
        <is>
          <t>付表10【記入例】</t>
        </is>
      </c>
    </row>
    <row r="17">
      <c r="A17" s="718" t="inlineStr">
        <is>
          <t>付表11（多機能型）</t>
        </is>
      </c>
    </row>
    <row r="18">
      <c r="A18" s="718" t="inlineStr">
        <is>
          <t>付表11【記入例】</t>
        </is>
      </c>
    </row>
    <row r="19">
      <c r="A19" s="718" t="inlineStr">
        <is>
          <t>付表12（短期）</t>
        </is>
      </c>
    </row>
    <row r="20">
      <c r="A20" s="718" t="inlineStr">
        <is>
          <t>付表12【記入例】</t>
        </is>
      </c>
    </row>
    <row r="21">
      <c r="A21" s="718" t="inlineStr">
        <is>
          <t>付表13（GH)</t>
        </is>
      </c>
    </row>
    <row r="22">
      <c r="A22" s="718" t="inlineStr">
        <is>
          <t>付表13【記入例】</t>
        </is>
      </c>
    </row>
    <row r="23">
      <c r="A23" s="718" t="inlineStr">
        <is>
          <t>付表13（その２）</t>
        </is>
      </c>
    </row>
    <row r="24">
      <c r="A24" s="718" t="inlineStr">
        <is>
          <t>付表13（その２）【記入例】</t>
        </is>
      </c>
    </row>
    <row r="25">
      <c r="A25" s="718" t="inlineStr">
        <is>
          <t>付表13（その３）</t>
        </is>
      </c>
    </row>
    <row r="26">
      <c r="A26" s="718" t="inlineStr">
        <is>
          <t>付表13の2（居宅利用型）</t>
        </is>
      </c>
    </row>
    <row r="27">
      <c r="A27" s="718" t="inlineStr">
        <is>
          <t>付表14(入所）</t>
        </is>
      </c>
    </row>
    <row r="28">
      <c r="A28" s="718" t="inlineStr">
        <is>
          <t>付表14【記入例】</t>
        </is>
      </c>
    </row>
    <row r="29">
      <c r="A29" s="718" t="inlineStr">
        <is>
          <t>付表14の2</t>
        </is>
      </c>
    </row>
    <row r="30">
      <c r="A30" s="718" t="inlineStr">
        <is>
          <t>付表14の2【記入例】</t>
        </is>
      </c>
    </row>
    <row r="31">
      <c r="A31" s="718" t="inlineStr">
        <is>
          <t>付表14の3</t>
        </is>
      </c>
    </row>
    <row r="32">
      <c r="A32" s="718" t="inlineStr">
        <is>
          <t xml:space="preserve">付表１5・16（放課後・児童） </t>
        </is>
      </c>
    </row>
    <row r="33">
      <c r="A33" s="718" t="inlineStr">
        <is>
          <t>付表１5・16（放課後・児童）  (記入例)</t>
        </is>
      </c>
    </row>
    <row r="34">
      <c r="A34" s="718" t="inlineStr">
        <is>
          <t>付表17（福祉型センタ）</t>
        </is>
      </c>
    </row>
    <row r="35">
      <c r="A35" s="718" t="inlineStr">
        <is>
          <t>付表18（医療型センタ）</t>
        </is>
      </c>
    </row>
    <row r="36">
      <c r="A36" s="718" t="inlineStr">
        <is>
          <t>付表19（保育所等訪問）</t>
        </is>
      </c>
    </row>
    <row r="37">
      <c r="A37" s="718" t="inlineStr">
        <is>
          <t>付表20（福祉型入所）</t>
        </is>
      </c>
    </row>
    <row r="38">
      <c r="A38" s="718" t="inlineStr">
        <is>
          <t>付表21（医療型入所）</t>
        </is>
      </c>
    </row>
    <row r="39">
      <c r="A39" s="718" t="inlineStr">
        <is>
          <t>付表22（児多機能）</t>
        </is>
      </c>
    </row>
    <row r="40">
      <c r="A40" s="718" t="inlineStr">
        <is>
          <t>付表23</t>
        </is>
      </c>
    </row>
    <row r="41">
      <c r="A41" s="718" t="inlineStr">
        <is>
          <t>付表23【記入例】</t>
        </is>
      </c>
    </row>
    <row r="42">
      <c r="A42" s="718" t="inlineStr">
        <is>
          <t>付表23の２</t>
        </is>
      </c>
    </row>
    <row r="43">
      <c r="A43" s="718" t="inlineStr">
        <is>
          <t>付表23の３</t>
        </is>
      </c>
    </row>
    <row r="44">
      <c r="A44" s="718" t="inlineStr">
        <is>
          <t>付表24</t>
        </is>
      </c>
    </row>
    <row r="45">
      <c r="A45" s="718" t="inlineStr">
        <is>
          <t>付表24【記入例】</t>
        </is>
      </c>
    </row>
    <row r="46">
      <c r="A46" s="718" t="inlineStr">
        <is>
          <t>付表25</t>
        </is>
      </c>
    </row>
    <row r="47">
      <c r="A47" s="718" t="inlineStr">
        <is>
          <t>付表26</t>
        </is>
      </c>
    </row>
    <row r="48">
      <c r="A48" s="718" t="inlineStr">
        <is>
          <t>付表26【記入例】</t>
        </is>
      </c>
    </row>
  </sheetData>
  <hyperlinks>
    <hyperlink ref="A2" location="'付表1(居宅・重訪・同行・行動）'!A1" display="付表1(居宅・重訪・同行・行動）"/>
    <hyperlink ref="A3" location="付表1【記入例】!A1" display="付表1【記入例】"/>
    <hyperlink ref="A4" location="'付表2（重度包括）'!A1" display="付表2（重度包括）"/>
    <hyperlink ref="A5" location="付表2【記入例】!A1" display="付表2【記入例】"/>
    <hyperlink ref="A6" location="'付表3（相談支援）'!A1" display="付表3（相談支援）"/>
    <hyperlink ref="A7" location="'付表3　【記入例】'!A1" display="付表3　【記入例】"/>
    <hyperlink ref="A8" location="'付表4（療養)'!A1" display="付表4（療養)"/>
    <hyperlink ref="A9" location="'付表5（生介）'!A1" display="付表5（生介）"/>
    <hyperlink ref="A10" location="付表5【記入例】!A1" display="付表5【記入例】"/>
    <hyperlink ref="A11" location="'付表6（機能）'!A1" display="付表6（機能）"/>
    <hyperlink ref="A12" location="'付表7（生訓）'!A1" display="付表7（生訓）"/>
    <hyperlink ref="A13" location="'付表8（就移）'!A1" display="付表8（就移）"/>
    <hyperlink ref="A14" location="'付表9（就継）'!A1" display="付表9（就継）"/>
    <hyperlink ref="A15" location="'付表10（従たる） '!A1" display="付表10（従たる） "/>
    <hyperlink ref="A16" location="付表10【記入例】!A1" display="付表10【記入例】"/>
    <hyperlink ref="A17" location="'付表11（多機能型）'!A1" display="付表11（多機能型）"/>
    <hyperlink ref="A18" location="付表11【記入例】!A1" display="付表11【記入例】"/>
    <hyperlink ref="A19" location="'付表12（短期）'!A1" display="付表12（短期）"/>
    <hyperlink ref="A20" location="付表12【記入例】!A1" display="付表12【記入例】"/>
    <hyperlink ref="A21" location="'付表13（GH)'!A1" display="付表13（GH)"/>
    <hyperlink ref="A22" location="付表13【記入例】!A1" display="付表13【記入例】"/>
    <hyperlink ref="A23" location="'付表13（その２）'!A1" display="付表13（その２）"/>
    <hyperlink ref="A24" location="'付表13（その２）【記入例】'!A1" display="付表13（その２）【記入例】"/>
    <hyperlink ref="A25" location="'付表13（その３）'!A1" display="付表13（その３）"/>
    <hyperlink ref="A26" location="'付表13の2（居宅利用型）'!A1" display="付表13の2（居宅利用型）"/>
    <hyperlink ref="A27" location="'付表14(入所）'!A1" display="付表14(入所）"/>
    <hyperlink ref="A28" location="付表14【記入例】!A1" display="付表14【記入例】"/>
    <hyperlink ref="A29" location="付表14の2!A1" display="付表14の2"/>
    <hyperlink ref="A30" location="付表14の2【記入例】!A1" display="付表14の2【記入例】"/>
    <hyperlink ref="A31" location="付表14の3!A1" display="付表14の3"/>
    <hyperlink ref="A32" location="'付表１5・16（放課後・児童） '!A1" display="付表１5・16（放課後・児童） "/>
    <hyperlink ref="A33" location="'付表１5・16（放課後・児童）  (記入例)'!A1" display="付表１5・16（放課後・児童）  (記入例)"/>
    <hyperlink ref="A34" location="'付表17（福祉型センタ）'!A1" display="付表17（福祉型センタ）"/>
    <hyperlink ref="A35" location="'付表18（医療型センタ）'!A1" display="付表18（医療型センタ）"/>
    <hyperlink ref="A36" location="'付表19（保育所等訪問）'!A1" display="付表19（保育所等訪問）"/>
    <hyperlink ref="A37" location="'付表20（福祉型入所）'!A1" display="付表20（福祉型入所）"/>
    <hyperlink ref="A38" location="'付表21（医療型入所）'!A1" display="付表21（医療型入所）"/>
    <hyperlink ref="A39" location="'付表22（児多機能）'!A1" display="付表22（児多機能）"/>
    <hyperlink ref="A40" location="付表23!A1" display="付表23"/>
    <hyperlink ref="A41" location="付表23【記入例】!A1" display="付表23【記入例】"/>
    <hyperlink ref="A42" location="付表23の２!A1" display="付表23の２"/>
    <hyperlink ref="A43" location="付表23の３!A1" display="付表23の３"/>
    <hyperlink ref="A44" location="付表24!A1" display="付表24"/>
    <hyperlink ref="A45" location="付表24【記入例】!A1" display="付表24【記入例】"/>
    <hyperlink ref="A46" location="付表25!A1" display="付表25"/>
    <hyperlink ref="A47" location="付表26!A1" display="付表26"/>
    <hyperlink ref="A48" location="付表26【記入例】!Print_Area" display="付表26【記入例】"/>
  </hyperlinks>
  <pageMargins left="0.7" right="0.7" top="0.75" bottom="0.75" header="0.3" footer="0.3"/>
  <pageSetup orientation="portrait" paperSize="9"/>
</worksheet>
</file>

<file path=xl/worksheets/sheet2.xml><?xml version="1.0" encoding="utf-8"?>
<worksheet xmlns="http://schemas.openxmlformats.org/spreadsheetml/2006/main">
  <sheetPr codeName="Sheet1">
    <outlinePr summaryBelow="1" summaryRight="1"/>
    <pageSetUpPr/>
  </sheetPr>
  <dimension ref="A1:AN55"/>
  <sheetViews>
    <sheetView showGridLines="0" view="pageBreakPreview" zoomScaleNormal="100" workbookViewId="0">
      <selection activeCell="G15" sqref="G15"/>
    </sheetView>
  </sheetViews>
  <sheetFormatPr baseColWidth="8" defaultColWidth="9" defaultRowHeight="12"/>
  <cols>
    <col width="2.25" customWidth="1" style="936" min="1" max="2"/>
    <col width="2.625" customWidth="1" style="936" min="3" max="13"/>
    <col width="2.75" customWidth="1" style="936" min="14" max="15"/>
    <col width="2.625" customWidth="1" style="936" min="16" max="17"/>
    <col width="2.75" customWidth="1" style="936" min="18" max="18"/>
    <col width="2.625" customWidth="1" style="936" min="19" max="27"/>
    <col width="3" customWidth="1" style="936" min="28" max="28"/>
    <col width="2.25" customWidth="1" style="936" min="29" max="29"/>
    <col width="3.125" customWidth="1" style="936" min="30" max="30"/>
    <col width="2.625" customWidth="1" style="936" min="31" max="33"/>
    <col width="3.75" customWidth="1" style="936" min="34" max="34"/>
    <col width="1.625" customWidth="1" style="936" min="35" max="35"/>
    <col width="9" customWidth="1" style="936" min="36" max="16384"/>
  </cols>
  <sheetData>
    <row r="1" ht="17.1" customHeight="1" s="4080" thickBot="1">
      <c r="A1" s="799" t="inlineStr">
        <is>
          <t>付表１　居宅介護、重度訪問介護、同行援護、行動援護事業所の指定に係る記載事項</t>
        </is>
      </c>
      <c r="AN1" s="720">
        <f>HYPERLINK("#目次!A1","目次へ戻る")</f>
        <v/>
      </c>
    </row>
    <row r="2" ht="12.95" customHeight="1" s="4080">
      <c r="B2" s="1388" t="n"/>
      <c r="C2" s="1388" t="inlineStr">
        <is>
          <t>（</t>
        </is>
      </c>
      <c r="D2" s="1626" t="inlineStr">
        <is>
          <t>居宅介護</t>
        </is>
      </c>
      <c r="G2" s="1626" t="inlineStr">
        <is>
          <t>・</t>
        </is>
      </c>
      <c r="H2" s="802" t="inlineStr">
        <is>
          <t>重度訪問介護</t>
        </is>
      </c>
      <c r="L2" s="1626" t="inlineStr">
        <is>
          <t>・</t>
        </is>
      </c>
      <c r="M2" s="936" t="inlineStr">
        <is>
          <t>同行援護</t>
        </is>
      </c>
      <c r="P2" s="2373" t="inlineStr">
        <is>
          <t>・</t>
        </is>
      </c>
      <c r="Q2" s="2373" t="inlineStr">
        <is>
          <t>行動援護</t>
        </is>
      </c>
      <c r="T2" s="936" t="inlineStr">
        <is>
          <t>）</t>
        </is>
      </c>
      <c r="U2" s="4081" t="inlineStr">
        <is>
          <t>事業所番号</t>
        </is>
      </c>
      <c r="V2" s="4082" t="n"/>
      <c r="W2" s="4082" t="n"/>
      <c r="X2" s="4083" t="n"/>
      <c r="Y2" s="811" t="n"/>
      <c r="Z2" s="811" t="n"/>
      <c r="AA2" s="4084" t="n"/>
      <c r="AB2" s="4084" t="n"/>
      <c r="AC2" s="811" t="n"/>
      <c r="AD2" s="811" t="n"/>
      <c r="AE2" s="4084" t="n"/>
      <c r="AF2" s="4084" t="n"/>
      <c r="AG2" s="4084" t="n"/>
      <c r="AH2" s="4085" t="n"/>
    </row>
    <row r="3" ht="3.95" customHeight="1" s="4080" thickBot="1">
      <c r="B3" s="1388" t="n"/>
      <c r="C3" s="1753" t="n"/>
      <c r="D3" s="1753" t="n"/>
      <c r="E3" s="1753" t="n"/>
      <c r="F3" s="20" t="n"/>
      <c r="G3" s="1753" t="n"/>
      <c r="H3" s="1753" t="n"/>
      <c r="I3" s="1753" t="n"/>
      <c r="J3" s="20" t="n"/>
      <c r="K3" s="1753" t="n"/>
      <c r="L3" s="1753" t="n"/>
      <c r="M3" s="1753" t="n"/>
      <c r="P3" s="936" t="n"/>
      <c r="Q3" s="20" t="n"/>
      <c r="R3" s="20" t="n"/>
      <c r="S3" s="20" t="n"/>
      <c r="T3" s="20" t="n"/>
      <c r="U3" s="4086" t="n"/>
      <c r="V3" s="4087" t="n"/>
      <c r="W3" s="4087" t="n"/>
      <c r="X3" s="4088" t="n"/>
      <c r="Y3" s="812" t="n"/>
      <c r="Z3" s="812" t="n"/>
      <c r="AA3" s="4089" t="n"/>
      <c r="AB3" s="4089" t="n"/>
      <c r="AC3" s="812" t="n"/>
      <c r="AD3" s="812" t="n"/>
      <c r="AE3" s="4089" t="n"/>
      <c r="AF3" s="4089" t="n"/>
      <c r="AG3" s="4089" t="n"/>
      <c r="AH3" s="4090" t="n"/>
    </row>
    <row r="4" ht="18" customHeight="1" s="4080">
      <c r="A4" s="4091" t="inlineStr">
        <is>
          <t>事　業　所</t>
        </is>
      </c>
      <c r="B4" s="4082" t="n"/>
      <c r="C4" s="4092"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8" customHeight="1" s="4080">
      <c r="A5" s="4097" t="n"/>
      <c r="C5" s="844" t="inlineStr">
        <is>
          <t>名　称</t>
        </is>
      </c>
      <c r="D5" s="4098" t="n"/>
      <c r="E5" s="4099" t="n"/>
      <c r="F5" s="4100"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8"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5" customHeight="1" s="4080">
      <c r="A7" s="4097" t="n"/>
      <c r="C7" s="844" t="inlineStr">
        <is>
          <t>所在地</t>
        </is>
      </c>
      <c r="D7" s="4098" t="n"/>
      <c r="E7" s="4099" t="n"/>
      <c r="F7" s="832" t="inlineStr">
        <is>
          <t>郵便番号（</t>
        </is>
      </c>
      <c r="G7" s="4098" t="n"/>
      <c r="H7" s="4098" t="n"/>
      <c r="I7" s="4098" t="n"/>
      <c r="J7" s="1246" t="n"/>
      <c r="K7" s="4098" t="n"/>
      <c r="L7" s="4098" t="n"/>
      <c r="M7" s="4098" t="n"/>
      <c r="N7" s="4098" t="n"/>
      <c r="O7" s="933" t="inlineStr">
        <is>
          <t>）</t>
        </is>
      </c>
      <c r="P7" s="924" t="n"/>
      <c r="Q7" s="924" t="n"/>
      <c r="R7" s="924" t="n"/>
      <c r="S7" s="924" t="n"/>
      <c r="T7" s="924" t="n"/>
      <c r="U7" s="924" t="n"/>
      <c r="V7" s="924" t="n"/>
      <c r="W7" s="924" t="n"/>
      <c r="X7" s="924" t="n"/>
      <c r="Y7" s="924" t="n"/>
      <c r="Z7" s="924" t="n"/>
      <c r="AA7" s="924" t="n"/>
      <c r="AB7" s="924" t="n"/>
      <c r="AC7" s="924" t="n"/>
      <c r="AD7" s="924" t="n"/>
      <c r="AE7" s="924" t="n"/>
      <c r="AF7" s="924" t="n"/>
      <c r="AG7" s="924" t="n"/>
      <c r="AH7" s="925" t="n"/>
    </row>
    <row r="8" ht="22.5" customHeight="1" s="4080">
      <c r="A8" s="4097" t="n"/>
      <c r="C8" s="4106" t="n"/>
      <c r="E8" s="4107" t="n"/>
      <c r="F8" s="4108" t="n"/>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8" customHeight="1" s="4080">
      <c r="A10" s="4097" t="n"/>
      <c r="C10" s="844" t="inlineStr">
        <is>
          <t>連絡先</t>
        </is>
      </c>
      <c r="D10" s="4098" t="n"/>
      <c r="E10" s="4099" t="n"/>
      <c r="F10" s="896" t="inlineStr">
        <is>
          <t>電話番号</t>
        </is>
      </c>
      <c r="G10" s="4110" t="n"/>
      <c r="H10" s="4111" t="n"/>
      <c r="I10" s="882" t="n"/>
      <c r="J10" s="4110" t="n"/>
      <c r="K10" s="4110" t="n"/>
      <c r="L10" s="954" t="inlineStr">
        <is>
          <t>－</t>
        </is>
      </c>
      <c r="M10" s="920" t="n"/>
      <c r="N10" s="4110" t="n"/>
      <c r="O10" s="4110" t="n"/>
      <c r="P10" s="954" t="inlineStr">
        <is>
          <t>－</t>
        </is>
      </c>
      <c r="Q10" s="878" t="n"/>
      <c r="R10" s="4110" t="n"/>
      <c r="S10" s="4111" t="n"/>
      <c r="T10" s="4112" t="inlineStr">
        <is>
          <t>ＦＡＸ番号</t>
        </is>
      </c>
      <c r="U10" s="4110" t="n"/>
      <c r="V10" s="4110" t="n"/>
      <c r="W10" s="4111" t="n"/>
      <c r="X10" s="882" t="n"/>
      <c r="Y10" s="4110" t="n"/>
      <c r="Z10" s="4110" t="n"/>
      <c r="AA10" s="954" t="inlineStr">
        <is>
          <t>－</t>
        </is>
      </c>
      <c r="AB10" s="920" t="n"/>
      <c r="AC10" s="4110" t="n"/>
      <c r="AD10" s="4110" t="n"/>
      <c r="AE10" s="954" t="inlineStr">
        <is>
          <t>－</t>
        </is>
      </c>
      <c r="AF10" s="955" t="n"/>
      <c r="AG10" s="4110" t="n"/>
      <c r="AH10" s="4113" t="n"/>
      <c r="AI10" s="936" t="n"/>
    </row>
    <row r="11" ht="18" customHeight="1" s="4080">
      <c r="A11" s="4114" t="n"/>
      <c r="B11" s="4103" t="n"/>
      <c r="C11" s="4102" t="n"/>
      <c r="D11" s="4103" t="n"/>
      <c r="E11" s="4104" t="n"/>
      <c r="F11" s="4115" t="inlineStr">
        <is>
          <t>メールアドレス</t>
        </is>
      </c>
      <c r="G11" s="4110" t="n"/>
      <c r="H11" s="4110" t="n"/>
      <c r="I11" s="4110" t="n"/>
      <c r="J11" s="4111" t="n"/>
      <c r="K11" s="411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c r="AI11" s="936" t="n"/>
    </row>
    <row r="12" ht="15" customFormat="1" customHeight="1" s="936">
      <c r="A12" s="4117" t="inlineStr">
        <is>
          <t>当該事業の実施について定めてある定款・寄附行為等又は条例等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882" t="inlineStr">
        <is>
          <t>第</t>
        </is>
      </c>
      <c r="U12" s="920" t="n"/>
      <c r="V12" s="4110" t="n"/>
      <c r="W12" s="921" t="inlineStr">
        <is>
          <t>条第</t>
        </is>
      </c>
      <c r="X12" s="4110" t="n"/>
      <c r="Y12" s="920" t="n"/>
      <c r="Z12" s="4110" t="n"/>
      <c r="AA12" s="921" t="inlineStr">
        <is>
          <t>項第</t>
        </is>
      </c>
      <c r="AB12" s="4110" t="n"/>
      <c r="AC12" s="920" t="n"/>
      <c r="AD12" s="4110" t="n"/>
      <c r="AE12" s="921" t="inlineStr">
        <is>
          <t>号（</t>
        </is>
      </c>
      <c r="AF12" s="4110" t="n"/>
      <c r="AG12" s="920" t="n"/>
      <c r="AH12" s="955" t="inlineStr">
        <is>
          <t>）</t>
        </is>
      </c>
    </row>
    <row r="13" ht="18" customHeight="1" s="4080">
      <c r="A13" s="4118" t="inlineStr">
        <is>
          <t>管　　理　　者</t>
        </is>
      </c>
      <c r="B13" s="4099" t="n"/>
      <c r="C13" s="4112" t="inlineStr">
        <is>
          <t>ﾌﾘｶﾞﾅ</t>
        </is>
      </c>
      <c r="D13" s="4110" t="n"/>
      <c r="E13" s="4111" t="n"/>
      <c r="F13" s="988" t="n"/>
      <c r="G13" s="4110" t="n"/>
      <c r="H13" s="4110" t="n"/>
      <c r="I13" s="4110" t="n"/>
      <c r="J13" s="4110" t="n"/>
      <c r="K13" s="4110" t="n"/>
      <c r="L13" s="4110" t="n"/>
      <c r="M13" s="4111" t="n"/>
      <c r="N13" s="4119" t="inlineStr">
        <is>
          <t>住所</t>
        </is>
      </c>
      <c r="O13" s="4098" t="n"/>
      <c r="P13" s="832" t="inlineStr">
        <is>
          <t>郵便番号（</t>
        </is>
      </c>
      <c r="Q13" s="4098" t="n"/>
      <c r="R13" s="4098" t="n"/>
      <c r="S13" s="4098" t="n"/>
      <c r="T13" s="906" t="n"/>
      <c r="U13" s="4098" t="n"/>
      <c r="V13" s="4098" t="n"/>
      <c r="W13" s="4098" t="n"/>
      <c r="X13" s="4098" t="n"/>
      <c r="Y13" s="933" t="inlineStr">
        <is>
          <t>）</t>
        </is>
      </c>
      <c r="Z13" s="1017" t="n"/>
      <c r="AA13" s="1017" t="n"/>
      <c r="AB13" s="1017" t="n"/>
      <c r="AC13" s="1017" t="n"/>
      <c r="AD13" s="1017" t="n"/>
      <c r="AE13" s="1017" t="n"/>
      <c r="AF13" s="1017" t="n"/>
      <c r="AG13" s="1017" t="n"/>
      <c r="AH13" s="1424" t="n"/>
    </row>
    <row r="14" ht="18" customHeight="1" s="4080">
      <c r="A14" s="4097" t="n"/>
      <c r="B14" s="4107" t="n"/>
      <c r="C14" s="4112" t="inlineStr">
        <is>
          <t>氏名</t>
        </is>
      </c>
      <c r="D14" s="4098" t="n"/>
      <c r="E14" s="4099" t="n"/>
      <c r="F14" s="988" t="n"/>
      <c r="G14" s="4098" t="n"/>
      <c r="H14" s="4098" t="n"/>
      <c r="I14" s="4098" t="n"/>
      <c r="J14" s="4098" t="n"/>
      <c r="K14" s="4098" t="n"/>
      <c r="L14" s="4098" t="n"/>
      <c r="M14" s="4099" t="n"/>
      <c r="N14" s="4106" t="n"/>
      <c r="P14" s="4120" t="n"/>
      <c r="AH14" s="4109" t="n"/>
      <c r="AN14" s="1762" t="n"/>
    </row>
    <row r="15" ht="18" customFormat="1" customHeight="1" s="936">
      <c r="A15" s="4097" t="n"/>
      <c r="B15" s="4107" t="n"/>
      <c r="C15" s="4102" t="n"/>
      <c r="D15" s="4103" t="n"/>
      <c r="E15" s="4104" t="n"/>
      <c r="F15" s="4102" t="n"/>
      <c r="G15" s="4103" t="n"/>
      <c r="H15" s="4103" t="n"/>
      <c r="I15" s="4103" t="n"/>
      <c r="J15" s="4103" t="n"/>
      <c r="K15" s="4103" t="n"/>
      <c r="L15" s="4103" t="n"/>
      <c r="M15" s="4104" t="n"/>
      <c r="N15" s="4102" t="n"/>
      <c r="O15" s="4103" t="n"/>
      <c r="P15" s="4102" t="n"/>
      <c r="Q15" s="4103" t="n"/>
      <c r="R15" s="4103" t="n"/>
      <c r="S15" s="4103" t="n"/>
      <c r="T15" s="4103" t="n"/>
      <c r="U15" s="4103" t="n"/>
      <c r="V15" s="4103" t="n"/>
      <c r="W15" s="4103" t="n"/>
      <c r="X15" s="4103" t="n"/>
      <c r="Y15" s="4103" t="n"/>
      <c r="Z15" s="4103" t="n"/>
      <c r="AA15" s="4103" t="n"/>
      <c r="AB15" s="4103" t="n"/>
      <c r="AC15" s="4103" t="n"/>
      <c r="AD15" s="4103" t="n"/>
      <c r="AE15" s="4103" t="n"/>
      <c r="AF15" s="4103" t="n"/>
      <c r="AG15" s="4103" t="n"/>
      <c r="AH15" s="4105" t="n"/>
    </row>
    <row r="16" ht="15" customFormat="1" customHeight="1" s="936">
      <c r="A16" s="4097" t="n"/>
      <c r="B16" s="4107" t="n"/>
      <c r="C16" s="4121" t="inlineStr">
        <is>
          <t>他の職務との兼務の状況（兼務がある場合のみ記入）</t>
        </is>
      </c>
      <c r="D16" s="4110" t="n"/>
      <c r="E16" s="4110" t="n"/>
      <c r="F16" s="4110" t="n"/>
      <c r="G16" s="4110" t="n"/>
      <c r="H16" s="4110" t="n"/>
      <c r="I16" s="4110" t="n"/>
      <c r="J16" s="4110" t="n"/>
      <c r="K16" s="4110" t="n"/>
      <c r="L16" s="4110" t="n"/>
      <c r="M16" s="4110" t="n"/>
      <c r="N16" s="4110" t="n"/>
      <c r="O16" s="4110" t="n"/>
      <c r="P16" s="4110" t="n"/>
      <c r="Q16" s="4110" t="n"/>
      <c r="R16" s="4110" t="n"/>
      <c r="S16" s="4110" t="n"/>
      <c r="T16" s="4110" t="n"/>
      <c r="U16" s="4110" t="n"/>
      <c r="V16" s="4110" t="n"/>
      <c r="W16" s="4110" t="n"/>
      <c r="X16" s="4110" t="n"/>
      <c r="Y16" s="4110" t="n"/>
      <c r="Z16" s="4110" t="n"/>
      <c r="AA16" s="4110" t="n"/>
      <c r="AB16" s="4110" t="n"/>
      <c r="AC16" s="4110" t="n"/>
      <c r="AD16" s="4110" t="n"/>
      <c r="AE16" s="4110" t="n"/>
      <c r="AF16" s="4110" t="n"/>
      <c r="AG16" s="4110" t="n"/>
      <c r="AH16" s="4113" t="n"/>
    </row>
    <row r="17" ht="15" customFormat="1" customHeight="1" s="936">
      <c r="A17" s="4097" t="n"/>
      <c r="B17" s="4107" t="n"/>
      <c r="C17" s="957" t="n"/>
      <c r="D17" s="1690" t="inlineStr">
        <is>
          <t>当該事業所内での他の職務との兼務</t>
        </is>
      </c>
      <c r="E17" s="4098" t="n"/>
      <c r="F17" s="4098" t="n"/>
      <c r="G17" s="4098" t="n"/>
      <c r="H17" s="4098" t="n"/>
      <c r="I17" s="4098" t="n"/>
      <c r="J17" s="4098" t="n"/>
      <c r="K17" s="4099" t="n"/>
      <c r="L17" s="988" t="inlineStr">
        <is>
          <t>職種</t>
        </is>
      </c>
      <c r="M17" s="4099" t="n"/>
      <c r="N17" s="2767" t="n"/>
      <c r="O17" s="4098" t="n"/>
      <c r="P17" s="4098" t="n"/>
      <c r="Q17" s="4098" t="n"/>
      <c r="R17" s="4098" t="n"/>
      <c r="S17" s="4098" t="n"/>
      <c r="T17" s="4098" t="n"/>
      <c r="U17" s="4098" t="n"/>
      <c r="V17" s="4098" t="n"/>
      <c r="W17" s="4098" t="n"/>
      <c r="X17" s="4098" t="n"/>
      <c r="Y17" s="4098" t="n"/>
      <c r="Z17" s="4098" t="n"/>
      <c r="AA17" s="4098" t="n"/>
      <c r="AB17" s="4098" t="n"/>
      <c r="AC17" s="4098" t="n"/>
      <c r="AD17" s="4098" t="n"/>
      <c r="AE17" s="4098" t="n"/>
      <c r="AF17" s="4098" t="n"/>
      <c r="AG17" s="4098" t="n"/>
      <c r="AH17" s="4101" t="n"/>
    </row>
    <row r="18" ht="15" customFormat="1" customHeight="1" s="936">
      <c r="A18" s="4097" t="n"/>
      <c r="B18" s="4107" t="n"/>
      <c r="C18" s="4122" t="n"/>
      <c r="D18" s="4103" t="n"/>
      <c r="E18" s="4103" t="n"/>
      <c r="F18" s="4103" t="n"/>
      <c r="G18" s="4103" t="n"/>
      <c r="H18" s="4103" t="n"/>
      <c r="I18" s="4103" t="n"/>
      <c r="J18" s="4103" t="n"/>
      <c r="K18" s="4104" t="n"/>
      <c r="L18" s="4102" t="n"/>
      <c r="M18" s="4104" t="n"/>
      <c r="N18" s="4103" t="n"/>
      <c r="O18" s="4103" t="n"/>
      <c r="P18" s="4103" t="n"/>
      <c r="Q18" s="4103" t="n"/>
      <c r="R18" s="4103" t="n"/>
      <c r="S18" s="4103" t="n"/>
      <c r="T18" s="4103" t="n"/>
      <c r="U18" s="4103" t="n"/>
      <c r="V18" s="4103" t="n"/>
      <c r="W18" s="4103" t="n"/>
      <c r="X18" s="4103" t="n"/>
      <c r="Y18" s="4103" t="n"/>
      <c r="Z18" s="4103" t="n"/>
      <c r="AA18" s="4103" t="n"/>
      <c r="AB18" s="4103" t="n"/>
      <c r="AC18" s="4103" t="n"/>
      <c r="AD18" s="4103" t="n"/>
      <c r="AE18" s="4103" t="n"/>
      <c r="AF18" s="4103" t="n"/>
      <c r="AG18" s="4103" t="n"/>
      <c r="AH18" s="4105" t="n"/>
    </row>
    <row r="19" ht="15" customFormat="1" customHeight="1" s="936">
      <c r="A19" s="4097" t="n"/>
      <c r="B19" s="4107" t="n"/>
      <c r="C19" s="4122" t="n"/>
      <c r="D19" s="1688" t="inlineStr">
        <is>
          <t>同一敷地内の他の事業所又は施設の職務との兼務</t>
        </is>
      </c>
      <c r="E19" s="4098" t="n"/>
      <c r="F19" s="4098" t="n"/>
      <c r="G19" s="4098" t="n"/>
      <c r="H19" s="4098" t="n"/>
      <c r="I19" s="4123" t="inlineStr">
        <is>
          <t>事業所又は施設の名称及び事業又は施設の種類</t>
        </is>
      </c>
      <c r="J19" s="4098" t="n"/>
      <c r="K19" s="4098" t="n"/>
      <c r="L19" s="4098" t="n"/>
      <c r="M19" s="4098" t="n"/>
      <c r="N19" s="4098" t="n"/>
      <c r="O19" s="4098" t="n"/>
      <c r="P19" s="4099" t="n"/>
      <c r="Q19" s="4121" t="n"/>
      <c r="R19" s="4098" t="n"/>
      <c r="S19" s="4098" t="n"/>
      <c r="T19" s="4098" t="n"/>
      <c r="U19" s="4098" t="n"/>
      <c r="V19" s="4098" t="n"/>
      <c r="W19" s="4098" t="n"/>
      <c r="X19" s="4098" t="n"/>
      <c r="Y19" s="4098" t="n"/>
      <c r="Z19" s="4098" t="n"/>
      <c r="AA19" s="4098" t="n"/>
      <c r="AB19" s="4098" t="n"/>
      <c r="AC19" s="4098" t="n"/>
      <c r="AD19" s="4098" t="n"/>
      <c r="AE19" s="4098" t="n"/>
      <c r="AF19" s="4098" t="n"/>
      <c r="AG19" s="4098" t="n"/>
      <c r="AH19" s="4101" t="n"/>
    </row>
    <row r="20" ht="15" customFormat="1" customHeight="1" s="936">
      <c r="A20" s="4097" t="n"/>
      <c r="B20" s="4107" t="n"/>
      <c r="C20" s="4122" t="n"/>
      <c r="D20" s="4106" t="n"/>
      <c r="I20" s="4102" t="n"/>
      <c r="J20" s="4103" t="n"/>
      <c r="K20" s="4103" t="n"/>
      <c r="L20" s="4103" t="n"/>
      <c r="M20" s="4103" t="n"/>
      <c r="N20" s="4103" t="n"/>
      <c r="O20" s="4103" t="n"/>
      <c r="P20" s="4104" t="n"/>
      <c r="Q20" s="4102" t="n"/>
      <c r="R20" s="4103" t="n"/>
      <c r="S20" s="4103" t="n"/>
      <c r="T20" s="4103" t="n"/>
      <c r="U20" s="4103" t="n"/>
      <c r="V20" s="4103" t="n"/>
      <c r="W20" s="4103" t="n"/>
      <c r="X20" s="4103" t="n"/>
      <c r="Y20" s="4103" t="n"/>
      <c r="Z20" s="4103" t="n"/>
      <c r="AA20" s="4103" t="n"/>
      <c r="AB20" s="4103" t="n"/>
      <c r="AC20" s="4103" t="n"/>
      <c r="AD20" s="4103" t="n"/>
      <c r="AE20" s="4103" t="n"/>
      <c r="AF20" s="4103" t="n"/>
      <c r="AG20" s="4103" t="n"/>
      <c r="AH20" s="4105" t="n"/>
    </row>
    <row r="21" ht="15" customFormat="1" customHeight="1" s="936">
      <c r="A21" s="4097" t="n"/>
      <c r="B21" s="4107" t="n"/>
      <c r="C21" s="4122" t="n"/>
      <c r="D21" s="4106" t="n"/>
      <c r="I21" s="4123" t="inlineStr">
        <is>
          <t>兼務する職種及び勤務時間</t>
        </is>
      </c>
      <c r="J21" s="4098" t="n"/>
      <c r="K21" s="4098" t="n"/>
      <c r="L21" s="4098" t="n"/>
      <c r="M21" s="4098" t="n"/>
      <c r="N21" s="4098" t="n"/>
      <c r="O21" s="4098" t="n"/>
      <c r="P21" s="4099" t="n"/>
      <c r="Q21" s="955" t="n"/>
      <c r="R21" s="4098" t="n"/>
      <c r="S21" s="4098" t="n"/>
      <c r="T21" s="4098" t="n"/>
      <c r="U21" s="4098" t="n"/>
      <c r="V21" s="4098" t="n"/>
      <c r="W21" s="4098" t="n"/>
      <c r="X21" s="4098" t="n"/>
      <c r="Y21" s="4098" t="n"/>
      <c r="Z21" s="4098" t="n"/>
      <c r="AA21" s="4098" t="n"/>
      <c r="AB21" s="4098" t="n"/>
      <c r="AC21" s="4098" t="n"/>
      <c r="AD21" s="4098" t="n"/>
      <c r="AE21" s="4098" t="n"/>
      <c r="AF21" s="4098" t="n"/>
      <c r="AG21" s="4098" t="n"/>
      <c r="AH21" s="4101" t="n"/>
    </row>
    <row r="22" ht="15" customFormat="1" customHeight="1" s="936">
      <c r="A22" s="4097" t="n"/>
      <c r="B22" s="4107" t="n"/>
      <c r="C22" s="4124" t="n"/>
      <c r="D22" s="4102" t="n"/>
      <c r="E22" s="4103" t="n"/>
      <c r="F22" s="4103" t="n"/>
      <c r="G22" s="4103" t="n"/>
      <c r="H22" s="4103" t="n"/>
      <c r="I22" s="4102" t="n"/>
      <c r="J22" s="4103" t="n"/>
      <c r="K22" s="4103" t="n"/>
      <c r="L22" s="4103" t="n"/>
      <c r="M22" s="4103" t="n"/>
      <c r="N22" s="4103" t="n"/>
      <c r="O22" s="4103" t="n"/>
      <c r="P22" s="4104" t="n"/>
      <c r="Q22" s="4103" t="n"/>
      <c r="R22" s="4103" t="n"/>
      <c r="S22" s="4103" t="n"/>
      <c r="T22" s="4103" t="n"/>
      <c r="U22" s="4103" t="n"/>
      <c r="V22" s="4103" t="n"/>
      <c r="W22" s="4103" t="n"/>
      <c r="X22" s="4103" t="n"/>
      <c r="Y22" s="4103" t="n"/>
      <c r="Z22" s="4103" t="n"/>
      <c r="AA22" s="4103" t="n"/>
      <c r="AB22" s="4103" t="n"/>
      <c r="AC22" s="4103" t="n"/>
      <c r="AD22" s="4103" t="n"/>
      <c r="AE22" s="4103" t="n"/>
      <c r="AF22" s="4103" t="n"/>
      <c r="AG22" s="4103" t="n"/>
      <c r="AH22" s="4105" t="n"/>
    </row>
    <row r="23" ht="15" customHeight="1" s="4080">
      <c r="A23" s="4125" t="inlineStr">
        <is>
          <t>サービス提供責任者</t>
        </is>
      </c>
      <c r="B23" s="4099" t="n"/>
      <c r="C23" s="4112" t="inlineStr">
        <is>
          <t>ﾌﾘｶﾞﾅ</t>
        </is>
      </c>
      <c r="D23" s="4110" t="n"/>
      <c r="E23" s="4111" t="n"/>
      <c r="F23" s="988" t="n"/>
      <c r="G23" s="4110" t="n"/>
      <c r="H23" s="4110" t="n"/>
      <c r="I23" s="4110" t="n"/>
      <c r="J23" s="4110" t="n"/>
      <c r="K23" s="4110" t="n"/>
      <c r="L23" s="4110" t="n"/>
      <c r="M23" s="4111" t="n"/>
      <c r="N23" s="988" t="inlineStr">
        <is>
          <t>住所</t>
        </is>
      </c>
      <c r="O23" s="4099" t="n"/>
      <c r="P23" s="832" t="inlineStr">
        <is>
          <t>郵便番号（</t>
        </is>
      </c>
      <c r="Q23" s="4098" t="n"/>
      <c r="R23" s="4098" t="n"/>
      <c r="S23" s="4098" t="n"/>
      <c r="T23" s="3077" t="n"/>
      <c r="U23" s="4098" t="n"/>
      <c r="V23" s="4098" t="n"/>
      <c r="W23" s="4098" t="n"/>
      <c r="X23" s="4098" t="n"/>
      <c r="Y23" s="933" t="inlineStr">
        <is>
          <t>）</t>
        </is>
      </c>
      <c r="Z23" s="1017" t="n"/>
      <c r="AA23" s="3273" t="inlineStr">
        <is>
          <t>資格</t>
        </is>
      </c>
      <c r="AB23" s="4099" t="n"/>
      <c r="AC23" s="4126" t="inlineStr">
        <is>
          <t xml:space="preserve">　</t>
        </is>
      </c>
      <c r="AD23" s="4098" t="n"/>
      <c r="AE23" s="4098" t="n"/>
      <c r="AF23" s="4098" t="n"/>
      <c r="AG23" s="4098" t="n"/>
      <c r="AH23" s="4101" t="n"/>
    </row>
    <row r="24" ht="15" customHeight="1" s="4080">
      <c r="A24" s="4097" t="n"/>
      <c r="B24" s="4107" t="n"/>
      <c r="C24" s="4127" t="inlineStr">
        <is>
          <t>氏　　名</t>
        </is>
      </c>
      <c r="D24" s="4098" t="n"/>
      <c r="E24" s="4099" t="n"/>
      <c r="F24" s="988" t="n"/>
      <c r="G24" s="4098" t="n"/>
      <c r="H24" s="4098" t="n"/>
      <c r="I24" s="4098" t="n"/>
      <c r="J24" s="4098" t="n"/>
      <c r="K24" s="4098" t="n"/>
      <c r="L24" s="4098" t="n"/>
      <c r="M24" s="4099" t="n"/>
      <c r="N24" s="4106" t="n"/>
      <c r="O24" s="4107" t="n"/>
      <c r="P24" s="4128" t="n"/>
      <c r="Z24" s="4107" t="n"/>
      <c r="AA24" s="4106" t="n"/>
      <c r="AB24" s="4107" t="n"/>
      <c r="AC24" s="4106" t="n"/>
      <c r="AH24" s="4109" t="n"/>
    </row>
    <row r="25" ht="15" customHeight="1" s="4080">
      <c r="A25" s="4097" t="n"/>
      <c r="B25" s="4107" t="n"/>
      <c r="C25" s="4106" t="n"/>
      <c r="E25" s="4107" t="n"/>
      <c r="F25" s="4106" t="n"/>
      <c r="M25" s="4107" t="n"/>
      <c r="N25" s="4106" t="n"/>
      <c r="O25" s="4107" t="n"/>
      <c r="P25" s="4106" t="n"/>
      <c r="Z25" s="4107" t="n"/>
      <c r="AA25" s="4106" t="n"/>
      <c r="AB25" s="4107" t="n"/>
      <c r="AC25" s="4106" t="n"/>
      <c r="AH25" s="4109" t="n"/>
    </row>
    <row r="26" ht="4.5" customHeight="1" s="4080">
      <c r="A26" s="4097" t="n"/>
      <c r="B26" s="4107" t="n"/>
      <c r="C26" s="4102" t="n"/>
      <c r="D26" s="4103" t="n"/>
      <c r="E26" s="4104" t="n"/>
      <c r="F26" s="4102" t="n"/>
      <c r="G26" s="4103" t="n"/>
      <c r="H26" s="4103" t="n"/>
      <c r="I26" s="4103" t="n"/>
      <c r="J26" s="4103" t="n"/>
      <c r="K26" s="4103" t="n"/>
      <c r="L26" s="4103" t="n"/>
      <c r="M26" s="4104" t="n"/>
      <c r="N26" s="4102" t="n"/>
      <c r="O26" s="4104" t="n"/>
      <c r="P26" s="4102" t="n"/>
      <c r="Q26" s="4103" t="n"/>
      <c r="R26" s="4103" t="n"/>
      <c r="S26" s="4103" t="n"/>
      <c r="T26" s="4103" t="n"/>
      <c r="U26" s="4103" t="n"/>
      <c r="V26" s="4103" t="n"/>
      <c r="W26" s="4103" t="n"/>
      <c r="X26" s="4103" t="n"/>
      <c r="Y26" s="4103" t="n"/>
      <c r="Z26" s="4104" t="n"/>
      <c r="AA26" s="4102" t="n"/>
      <c r="AB26" s="4104" t="n"/>
      <c r="AC26" s="4102" t="n"/>
      <c r="AD26" s="4103" t="n"/>
      <c r="AE26" s="4103" t="n"/>
      <c r="AF26" s="4103" t="n"/>
      <c r="AG26" s="4103" t="n"/>
      <c r="AH26" s="4105" t="n"/>
    </row>
    <row r="27" ht="15" customHeight="1" s="4080">
      <c r="A27" s="4097" t="n"/>
      <c r="B27" s="4107" t="n"/>
      <c r="C27" s="4112" t="inlineStr">
        <is>
          <t>ﾌﾘｶﾞﾅ</t>
        </is>
      </c>
      <c r="D27" s="4110" t="n"/>
      <c r="E27" s="4111" t="n"/>
      <c r="F27" s="988" t="n"/>
      <c r="G27" s="4110" t="n"/>
      <c r="H27" s="4110" t="n"/>
      <c r="I27" s="4110" t="n"/>
      <c r="J27" s="4110" t="n"/>
      <c r="K27" s="4110" t="n"/>
      <c r="L27" s="4110" t="n"/>
      <c r="M27" s="4111" t="n"/>
      <c r="N27" s="988" t="inlineStr">
        <is>
          <t>住所</t>
        </is>
      </c>
      <c r="O27" s="4099" t="n"/>
      <c r="P27" s="832" t="inlineStr">
        <is>
          <t>郵便番号（</t>
        </is>
      </c>
      <c r="Q27" s="4098" t="n"/>
      <c r="R27" s="4098" t="n"/>
      <c r="S27" s="4098" t="n"/>
      <c r="T27" s="3077" t="n"/>
      <c r="U27" s="4098" t="n"/>
      <c r="V27" s="4098" t="n"/>
      <c r="W27" s="4098" t="n"/>
      <c r="X27" s="4098" t="n"/>
      <c r="Y27" s="933" t="inlineStr">
        <is>
          <t>）</t>
        </is>
      </c>
      <c r="Z27" s="1017" t="n"/>
      <c r="AA27" s="3273" t="inlineStr">
        <is>
          <t>資格</t>
        </is>
      </c>
      <c r="AB27" s="4099" t="n"/>
      <c r="AC27" s="4126" t="inlineStr">
        <is>
          <t xml:space="preserve">　</t>
        </is>
      </c>
      <c r="AD27" s="4098" t="n"/>
      <c r="AE27" s="4098" t="n"/>
      <c r="AF27" s="4098" t="n"/>
      <c r="AG27" s="4098" t="n"/>
      <c r="AH27" s="4101" t="n"/>
    </row>
    <row r="28" ht="15" customHeight="1" s="4080">
      <c r="A28" s="4097" t="n"/>
      <c r="B28" s="4107" t="n"/>
      <c r="C28" s="4127" t="inlineStr">
        <is>
          <t>氏　　名</t>
        </is>
      </c>
      <c r="D28" s="4098" t="n"/>
      <c r="E28" s="4099" t="n"/>
      <c r="F28" s="988" t="n"/>
      <c r="G28" s="4098" t="n"/>
      <c r="H28" s="4098" t="n"/>
      <c r="I28" s="4098" t="n"/>
      <c r="J28" s="4098" t="n"/>
      <c r="K28" s="4098" t="n"/>
      <c r="L28" s="4098" t="n"/>
      <c r="M28" s="4099" t="n"/>
      <c r="N28" s="4106" t="n"/>
      <c r="O28" s="4107" t="n"/>
      <c r="P28" s="4128" t="n"/>
      <c r="Z28" s="4107" t="n"/>
      <c r="AA28" s="4106" t="n"/>
      <c r="AB28" s="4107" t="n"/>
      <c r="AC28" s="4106" t="n"/>
      <c r="AH28" s="4109" t="n"/>
    </row>
    <row r="29" ht="15" customHeight="1" s="4080">
      <c r="A29" s="4097" t="n"/>
      <c r="B29" s="4107" t="n"/>
      <c r="C29" s="4106" t="n"/>
      <c r="E29" s="4107" t="n"/>
      <c r="F29" s="4106" t="n"/>
      <c r="M29" s="4107" t="n"/>
      <c r="N29" s="4106" t="n"/>
      <c r="O29" s="4107" t="n"/>
      <c r="P29" s="4106" t="n"/>
      <c r="Z29" s="4107" t="n"/>
      <c r="AA29" s="4106" t="n"/>
      <c r="AB29" s="4107" t="n"/>
      <c r="AC29" s="4106" t="n"/>
      <c r="AH29" s="4109" t="n"/>
    </row>
    <row r="30" ht="3" customHeight="1" s="4080">
      <c r="A30" s="4097" t="n"/>
      <c r="B30" s="4107" t="n"/>
      <c r="C30" s="4102" t="n"/>
      <c r="D30" s="4103" t="n"/>
      <c r="E30" s="4104" t="n"/>
      <c r="F30" s="4102" t="n"/>
      <c r="G30" s="4103" t="n"/>
      <c r="H30" s="4103" t="n"/>
      <c r="I30" s="4103" t="n"/>
      <c r="J30" s="4103" t="n"/>
      <c r="K30" s="4103" t="n"/>
      <c r="L30" s="4103" t="n"/>
      <c r="M30" s="4104" t="n"/>
      <c r="N30" s="4102" t="n"/>
      <c r="O30" s="4104" t="n"/>
      <c r="P30" s="4102" t="n"/>
      <c r="Q30" s="4103" t="n"/>
      <c r="R30" s="4103" t="n"/>
      <c r="S30" s="4103" t="n"/>
      <c r="T30" s="4103" t="n"/>
      <c r="U30" s="4103" t="n"/>
      <c r="V30" s="4103" t="n"/>
      <c r="W30" s="4103" t="n"/>
      <c r="X30" s="4103" t="n"/>
      <c r="Y30" s="4103" t="n"/>
      <c r="Z30" s="4104" t="n"/>
      <c r="AA30" s="4102" t="n"/>
      <c r="AB30" s="4104" t="n"/>
      <c r="AC30" s="4102" t="n"/>
      <c r="AD30" s="4103" t="n"/>
      <c r="AE30" s="4103" t="n"/>
      <c r="AF30" s="4103" t="n"/>
      <c r="AG30" s="4103" t="n"/>
      <c r="AH30" s="4105" t="n"/>
    </row>
    <row r="31" ht="15" customHeight="1" s="4080">
      <c r="A31" s="4097" t="n"/>
      <c r="B31" s="4107" t="n"/>
      <c r="C31" s="4112" t="inlineStr">
        <is>
          <t>ﾌﾘｶﾞﾅ</t>
        </is>
      </c>
      <c r="D31" s="4110" t="n"/>
      <c r="E31" s="4111" t="n"/>
      <c r="F31" s="988" t="n"/>
      <c r="G31" s="4110" t="n"/>
      <c r="H31" s="4110" t="n"/>
      <c r="I31" s="4110" t="n"/>
      <c r="J31" s="4110" t="n"/>
      <c r="K31" s="4110" t="n"/>
      <c r="L31" s="4110" t="n"/>
      <c r="M31" s="4111" t="n"/>
      <c r="N31" s="988" t="inlineStr">
        <is>
          <t>住所</t>
        </is>
      </c>
      <c r="O31" s="4099" t="n"/>
      <c r="P31" s="832" t="inlineStr">
        <is>
          <t>郵便番号（</t>
        </is>
      </c>
      <c r="Q31" s="4098" t="n"/>
      <c r="R31" s="4098" t="n"/>
      <c r="S31" s="4098" t="n"/>
      <c r="T31" s="3077" t="n"/>
      <c r="U31" s="4098" t="n"/>
      <c r="V31" s="4098" t="n"/>
      <c r="W31" s="4098" t="n"/>
      <c r="X31" s="4098" t="n"/>
      <c r="Y31" s="933" t="inlineStr">
        <is>
          <t>）</t>
        </is>
      </c>
      <c r="Z31" s="1017" t="n"/>
      <c r="AA31" s="3273" t="inlineStr">
        <is>
          <t>資格</t>
        </is>
      </c>
      <c r="AB31" s="4099" t="n"/>
      <c r="AC31" s="4126" t="inlineStr">
        <is>
          <t xml:space="preserve">　</t>
        </is>
      </c>
      <c r="AD31" s="4098" t="n"/>
      <c r="AE31" s="4098" t="n"/>
      <c r="AF31" s="4098" t="n"/>
      <c r="AG31" s="4098" t="n"/>
      <c r="AH31" s="4101" t="n"/>
    </row>
    <row r="32" ht="15" customHeight="1" s="4080">
      <c r="A32" s="4097" t="n"/>
      <c r="B32" s="4107" t="n"/>
      <c r="C32" s="4127" t="inlineStr">
        <is>
          <t>氏　　名</t>
        </is>
      </c>
      <c r="D32" s="4098" t="n"/>
      <c r="E32" s="4099" t="n"/>
      <c r="F32" s="988" t="n"/>
      <c r="G32" s="4098" t="n"/>
      <c r="H32" s="4098" t="n"/>
      <c r="I32" s="4098" t="n"/>
      <c r="J32" s="4098" t="n"/>
      <c r="K32" s="4098" t="n"/>
      <c r="L32" s="4098" t="n"/>
      <c r="M32" s="4099" t="n"/>
      <c r="N32" s="4106" t="n"/>
      <c r="O32" s="4107" t="n"/>
      <c r="P32" s="4128" t="n"/>
      <c r="Z32" s="4107" t="n"/>
      <c r="AA32" s="4106" t="n"/>
      <c r="AB32" s="4107" t="n"/>
      <c r="AC32" s="4106" t="n"/>
      <c r="AH32" s="4109" t="n"/>
    </row>
    <row r="33" ht="15" customHeight="1" s="4080">
      <c r="A33" s="4097" t="n"/>
      <c r="B33" s="4107" t="n"/>
      <c r="C33" s="4106" t="n"/>
      <c r="E33" s="4107" t="n"/>
      <c r="F33" s="4106" t="n"/>
      <c r="M33" s="4107" t="n"/>
      <c r="N33" s="4106" t="n"/>
      <c r="O33" s="4107" t="n"/>
      <c r="P33" s="4106" t="n"/>
      <c r="Z33" s="4107" t="n"/>
      <c r="AA33" s="4106" t="n"/>
      <c r="AB33" s="4107" t="n"/>
      <c r="AC33" s="4106" t="n"/>
      <c r="AH33" s="4109" t="n"/>
    </row>
    <row r="34" ht="3" customHeight="1" s="4080">
      <c r="A34" s="4114" t="n"/>
      <c r="B34" s="4104" t="n"/>
      <c r="C34" s="4102" t="n"/>
      <c r="D34" s="4103" t="n"/>
      <c r="E34" s="4104" t="n"/>
      <c r="F34" s="4102" t="n"/>
      <c r="G34" s="4103" t="n"/>
      <c r="H34" s="4103" t="n"/>
      <c r="I34" s="4103" t="n"/>
      <c r="J34" s="4103" t="n"/>
      <c r="K34" s="4103" t="n"/>
      <c r="L34" s="4103" t="n"/>
      <c r="M34" s="4104" t="n"/>
      <c r="N34" s="4102" t="n"/>
      <c r="O34" s="4104" t="n"/>
      <c r="P34" s="4102" t="n"/>
      <c r="Q34" s="4103" t="n"/>
      <c r="R34" s="4103" t="n"/>
      <c r="S34" s="4103" t="n"/>
      <c r="T34" s="4103" t="n"/>
      <c r="U34" s="4103" t="n"/>
      <c r="V34" s="4103" t="n"/>
      <c r="W34" s="4103" t="n"/>
      <c r="X34" s="4103" t="n"/>
      <c r="Y34" s="4103" t="n"/>
      <c r="Z34" s="4104" t="n"/>
      <c r="AA34" s="4102" t="n"/>
      <c r="AB34" s="4104" t="n"/>
      <c r="AC34" s="4102" t="n"/>
      <c r="AD34" s="4103" t="n"/>
      <c r="AE34" s="4103" t="n"/>
      <c r="AF34" s="4103" t="n"/>
      <c r="AG34" s="4103" t="n"/>
      <c r="AH34" s="4105" t="n"/>
    </row>
    <row r="35" ht="15" customFormat="1" customHeight="1" s="936">
      <c r="A35" s="4129" t="inlineStr">
        <is>
          <t>従　業　者</t>
        </is>
      </c>
      <c r="B35" s="4099" t="n"/>
      <c r="C35" s="4130" t="n"/>
      <c r="D35" s="4098" t="n"/>
      <c r="E35" s="4098" t="n"/>
      <c r="F35" s="4098" t="n"/>
      <c r="G35" s="4098" t="n"/>
      <c r="H35" s="4098" t="n"/>
      <c r="I35" s="4099" t="n"/>
      <c r="J35" s="4115" t="inlineStr">
        <is>
          <t>従　業　者・サービス提供責任者</t>
        </is>
      </c>
      <c r="K35" s="4110" t="n"/>
      <c r="L35" s="4110" t="n"/>
      <c r="M35" s="4110" t="n"/>
      <c r="N35" s="4110" t="n"/>
      <c r="O35" s="4110" t="n"/>
      <c r="P35" s="4110" t="n"/>
      <c r="Q35" s="4110" t="n"/>
      <c r="R35" s="4110" t="n"/>
      <c r="S35" s="4110" t="n"/>
      <c r="T35" s="4110" t="n"/>
      <c r="U35" s="4110" t="n"/>
      <c r="V35" s="4110" t="n"/>
      <c r="W35" s="4111" t="n"/>
      <c r="X35" s="4131" t="inlineStr">
        <is>
          <t xml:space="preserve">　</t>
        </is>
      </c>
      <c r="Y35" s="4098" t="n"/>
      <c r="Z35" s="4098" t="n"/>
      <c r="AA35" s="4098" t="n"/>
      <c r="AB35" s="4098" t="n"/>
      <c r="AC35" s="4098" t="n"/>
      <c r="AD35" s="4098" t="n"/>
      <c r="AE35" s="4098" t="n"/>
      <c r="AF35" s="4098" t="n"/>
      <c r="AG35" s="4098" t="n"/>
      <c r="AH35" s="4101" t="n"/>
    </row>
    <row r="36" ht="15" customFormat="1" customHeight="1" s="936">
      <c r="A36" s="4097" t="n"/>
      <c r="B36" s="4107" t="n"/>
      <c r="C36" s="4102" t="n"/>
      <c r="D36" s="4103" t="n"/>
      <c r="E36" s="4103" t="n"/>
      <c r="F36" s="4103" t="n"/>
      <c r="G36" s="4103" t="n"/>
      <c r="H36" s="4103" t="n"/>
      <c r="I36" s="4104" t="n"/>
      <c r="J36" s="988" t="inlineStr">
        <is>
          <t>専　　従</t>
        </is>
      </c>
      <c r="K36" s="4110" t="n"/>
      <c r="L36" s="4110" t="n"/>
      <c r="M36" s="4110" t="n"/>
      <c r="N36" s="4110" t="n"/>
      <c r="O36" s="4110" t="n"/>
      <c r="P36" s="4111" t="n"/>
      <c r="Q36" s="988" t="inlineStr">
        <is>
          <t>兼　　務</t>
        </is>
      </c>
      <c r="R36" s="4110" t="n"/>
      <c r="S36" s="4110" t="n"/>
      <c r="T36" s="4110" t="n"/>
      <c r="U36" s="4110" t="n"/>
      <c r="V36" s="4110" t="n"/>
      <c r="W36" s="4111" t="n"/>
      <c r="X36" s="4106" t="n"/>
      <c r="AH36" s="4109" t="n"/>
    </row>
    <row r="37" ht="19.5" customFormat="1" customHeight="1" s="936">
      <c r="A37" s="4097" t="n"/>
      <c r="B37" s="4107" t="n"/>
      <c r="C37" s="4132" t="inlineStr">
        <is>
          <t>常勤（人）</t>
        </is>
      </c>
      <c r="D37" s="4098" t="n"/>
      <c r="E37" s="4098" t="n"/>
      <c r="F37" s="4098" t="n"/>
      <c r="G37" s="4098" t="n"/>
      <c r="H37" s="4098" t="n"/>
      <c r="I37" s="4099" t="n"/>
      <c r="J37" s="2179" t="n"/>
      <c r="K37" s="4098" t="n"/>
      <c r="L37" s="4098" t="n"/>
      <c r="M37" s="4098" t="n"/>
      <c r="N37" s="4098" t="n"/>
      <c r="O37" s="4098" t="n"/>
      <c r="P37" s="4099" t="n"/>
      <c r="Q37" s="2179" t="n"/>
      <c r="R37" s="4098" t="n"/>
      <c r="S37" s="4098" t="n"/>
      <c r="T37" s="4098" t="n"/>
      <c r="U37" s="4098" t="n"/>
      <c r="V37" s="4098" t="n"/>
      <c r="W37" s="4099" t="n"/>
      <c r="X37" s="4106" t="n"/>
      <c r="AH37" s="4109" t="n"/>
    </row>
    <row r="38" ht="19.5" customFormat="1" customHeight="1" s="936">
      <c r="A38" s="4097" t="n"/>
      <c r="B38" s="4107" t="n"/>
      <c r="C38" s="4133" t="inlineStr">
        <is>
          <t>非常勤（人）</t>
        </is>
      </c>
      <c r="D38" s="4110" t="n"/>
      <c r="E38" s="4110" t="n"/>
      <c r="F38" s="4110" t="n"/>
      <c r="G38" s="4110" t="n"/>
      <c r="H38" s="4110" t="n"/>
      <c r="I38" s="4111" t="n"/>
      <c r="J38" s="988" t="n"/>
      <c r="K38" s="4110" t="n"/>
      <c r="L38" s="4110" t="n"/>
      <c r="M38" s="4110" t="n"/>
      <c r="N38" s="4110" t="n"/>
      <c r="O38" s="4110" t="n"/>
      <c r="P38" s="4111" t="n"/>
      <c r="Q38" s="988" t="n"/>
      <c r="R38" s="4110" t="n"/>
      <c r="S38" s="4110" t="n"/>
      <c r="T38" s="4110" t="n"/>
      <c r="U38" s="4110" t="n"/>
      <c r="V38" s="4110" t="n"/>
      <c r="W38" s="4111" t="n"/>
      <c r="X38" s="4106" t="n"/>
      <c r="AH38" s="4109" t="n"/>
    </row>
    <row r="39" ht="19.5" customFormat="1" customHeight="1" s="936">
      <c r="A39" s="4097" t="n"/>
      <c r="B39" s="4107" t="n"/>
      <c r="C39" s="4133" t="inlineStr">
        <is>
          <t>常勤換算後の人数</t>
        </is>
      </c>
      <c r="D39" s="4110" t="n"/>
      <c r="E39" s="4110" t="n"/>
      <c r="F39" s="4110" t="n"/>
      <c r="G39" s="4110" t="n"/>
      <c r="H39" s="4110" t="n"/>
      <c r="I39" s="4111" t="n"/>
      <c r="J39" s="988" t="n"/>
      <c r="K39" s="4110" t="n"/>
      <c r="L39" s="4110" t="n"/>
      <c r="M39" s="4110" t="n"/>
      <c r="N39" s="4110" t="n"/>
      <c r="O39" s="4110" t="n"/>
      <c r="P39" s="4110" t="n"/>
      <c r="Q39" s="4110" t="n"/>
      <c r="R39" s="4110" t="n"/>
      <c r="S39" s="4110" t="n"/>
      <c r="T39" s="4110" t="n"/>
      <c r="U39" s="4110" t="n"/>
      <c r="V39" s="4110" t="n"/>
      <c r="W39" s="4111" t="n"/>
      <c r="X39" s="4102" t="n"/>
      <c r="Y39" s="4103" t="n"/>
      <c r="Z39" s="4103" t="n"/>
      <c r="AA39" s="4103" t="n"/>
      <c r="AB39" s="4103" t="n"/>
      <c r="AC39" s="4103" t="n"/>
      <c r="AD39" s="4103" t="n"/>
      <c r="AE39" s="4103" t="n"/>
      <c r="AF39" s="4103" t="n"/>
      <c r="AG39" s="4103" t="n"/>
      <c r="AH39" s="4105" t="n"/>
    </row>
    <row r="40" ht="15" customHeight="1" s="4080">
      <c r="A40" s="4118" t="inlineStr">
        <is>
          <t>主　な　掲　示　事　項</t>
        </is>
      </c>
      <c r="B40" s="4099" t="n"/>
      <c r="C40" s="4127" t="inlineStr">
        <is>
          <t xml:space="preserve">営業日　</t>
        </is>
      </c>
      <c r="D40" s="4098" t="n"/>
      <c r="E40" s="4098" t="n"/>
      <c r="F40" s="4098" t="n"/>
      <c r="G40" s="4099" t="n"/>
      <c r="H40" s="967" t="inlineStr">
        <is>
          <t>日</t>
        </is>
      </c>
      <c r="I40" s="4110" t="n"/>
      <c r="J40" s="988" t="inlineStr">
        <is>
          <t>月</t>
        </is>
      </c>
      <c r="K40" s="4111" t="n"/>
      <c r="L40" s="988" t="inlineStr">
        <is>
          <t>火</t>
        </is>
      </c>
      <c r="M40" s="4111" t="n"/>
      <c r="N40" s="988" t="inlineStr">
        <is>
          <t>水</t>
        </is>
      </c>
      <c r="O40" s="4111" t="n"/>
      <c r="P40" s="988" t="inlineStr">
        <is>
          <t>木</t>
        </is>
      </c>
      <c r="Q40" s="4111" t="n"/>
      <c r="R40" s="988" t="inlineStr">
        <is>
          <t>金</t>
        </is>
      </c>
      <c r="S40" s="4111" t="n"/>
      <c r="T40" s="988" t="inlineStr">
        <is>
          <t>土</t>
        </is>
      </c>
      <c r="U40" s="4111" t="n"/>
      <c r="V40" s="968" t="inlineStr">
        <is>
          <t>祝</t>
        </is>
      </c>
      <c r="W40" s="4111" t="n"/>
      <c r="X40" s="4134" t="inlineStr">
        <is>
          <t>その他年間の休日</t>
        </is>
      </c>
      <c r="Y40" s="4099" t="n"/>
      <c r="Z40" s="1009" t="inlineStr">
        <is>
          <t>年末年始</t>
        </is>
      </c>
      <c r="AA40" s="4098" t="n"/>
      <c r="AB40" s="992" t="n"/>
      <c r="AC40" s="4098" t="n"/>
      <c r="AD40" s="4098" t="n"/>
      <c r="AE40" s="4098" t="n"/>
      <c r="AF40" s="4098" t="n"/>
      <c r="AG40" s="4098" t="n"/>
      <c r="AH40" s="4101" t="n"/>
    </row>
    <row r="41" ht="15" customHeight="1" s="4080">
      <c r="A41" s="4097" t="n"/>
      <c r="B41" s="4107" t="n"/>
      <c r="C41" s="4106" t="n"/>
      <c r="G41" s="4107" t="n"/>
      <c r="H41" s="960" t="inlineStr">
        <is>
          <t xml:space="preserve">　</t>
        </is>
      </c>
      <c r="J41" s="990" t="n"/>
      <c r="K41" s="4107" t="n"/>
      <c r="L41" s="990" t="n"/>
      <c r="M41" s="4107" t="n"/>
      <c r="N41" s="990" t="n"/>
      <c r="O41" s="4107" t="n"/>
      <c r="P41" s="990" t="n"/>
      <c r="Q41" s="4107" t="n"/>
      <c r="R41" s="990" t="n"/>
      <c r="S41" s="4107" t="n"/>
      <c r="T41" s="990" t="n"/>
      <c r="U41" s="4107" t="n"/>
      <c r="V41" s="961" t="n"/>
      <c r="W41" s="4107" t="n"/>
      <c r="X41" s="4106" t="n"/>
      <c r="Y41" s="4107" t="n"/>
      <c r="Z41" s="1010" t="inlineStr">
        <is>
          <t>夏季</t>
        </is>
      </c>
      <c r="AB41" s="994" t="n"/>
      <c r="AH41" s="4109" t="n"/>
    </row>
    <row r="42" ht="15" customHeight="1" s="4080">
      <c r="A42" s="4097" t="n"/>
      <c r="B42" s="4107" t="n"/>
      <c r="C42" s="4102" t="n"/>
      <c r="D42" s="4103" t="n"/>
      <c r="E42" s="4103" t="n"/>
      <c r="F42" s="4103" t="n"/>
      <c r="G42" s="4104" t="n"/>
      <c r="H42" s="4102" t="n"/>
      <c r="I42" s="4103" t="n"/>
      <c r="J42" s="4102" t="n"/>
      <c r="K42" s="4104" t="n"/>
      <c r="L42" s="4102" t="n"/>
      <c r="M42" s="4104" t="n"/>
      <c r="N42" s="4102" t="n"/>
      <c r="O42" s="4104" t="n"/>
      <c r="P42" s="4102" t="n"/>
      <c r="Q42" s="4104" t="n"/>
      <c r="R42" s="4102" t="n"/>
      <c r="S42" s="4104" t="n"/>
      <c r="T42" s="4102" t="n"/>
      <c r="U42" s="4104" t="n"/>
      <c r="V42" s="4103" t="n"/>
      <c r="W42" s="4104" t="n"/>
      <c r="X42" s="4102" t="n"/>
      <c r="Y42" s="4104" t="n"/>
      <c r="Z42" s="1011" t="inlineStr">
        <is>
          <t>その他</t>
        </is>
      </c>
      <c r="AA42" s="4103" t="n"/>
      <c r="AB42" s="996" t="n"/>
      <c r="AC42" s="4103" t="n"/>
      <c r="AD42" s="4103" t="n"/>
      <c r="AE42" s="4103" t="n"/>
      <c r="AF42" s="4103" t="n"/>
      <c r="AG42" s="4103" t="n"/>
      <c r="AH42" s="4105" t="n"/>
    </row>
    <row r="43" ht="19.5" customHeight="1" s="4080">
      <c r="A43" s="4097" t="n"/>
      <c r="B43" s="4107" t="n"/>
      <c r="C43" s="4123" t="inlineStr">
        <is>
          <t xml:space="preserve">営業時間　</t>
        </is>
      </c>
      <c r="D43" s="4098" t="n"/>
      <c r="E43" s="4098" t="n"/>
      <c r="F43" s="4098" t="n"/>
      <c r="G43" s="4099" t="n"/>
      <c r="H43" s="4135" t="inlineStr">
        <is>
          <t>平日</t>
        </is>
      </c>
      <c r="I43" s="4111" t="n"/>
      <c r="J43" s="865" t="n"/>
      <c r="K43" s="4098" t="n"/>
      <c r="L43" s="4098" t="n"/>
      <c r="M43" s="993" t="inlineStr">
        <is>
          <t>～</t>
        </is>
      </c>
      <c r="N43" s="867" t="n"/>
      <c r="O43" s="4098" t="n"/>
      <c r="P43" s="4099" t="n"/>
      <c r="Q43" s="2179" t="inlineStr">
        <is>
          <t>土曜</t>
        </is>
      </c>
      <c r="R43" s="4099" t="n"/>
      <c r="S43" s="865" t="n"/>
      <c r="T43" s="4098" t="n"/>
      <c r="U43" s="4098" t="n"/>
      <c r="V43" s="993" t="inlineStr">
        <is>
          <t>～</t>
        </is>
      </c>
      <c r="W43" s="867" t="n"/>
      <c r="X43" s="4098" t="n"/>
      <c r="Y43" s="4099" t="n"/>
      <c r="Z43" s="4136" t="inlineStr">
        <is>
          <t>日・祝</t>
        </is>
      </c>
      <c r="AA43" s="4099" t="n"/>
      <c r="AB43" s="865" t="n"/>
      <c r="AC43" s="4098" t="n"/>
      <c r="AD43" s="4098" t="n"/>
      <c r="AE43" s="993" t="inlineStr">
        <is>
          <t>～</t>
        </is>
      </c>
      <c r="AF43" s="1085" t="n"/>
      <c r="AG43" s="4098" t="n"/>
      <c r="AH43" s="4101" t="n"/>
    </row>
    <row r="44" ht="19.5" customHeight="1" s="4080">
      <c r="A44" s="4097" t="n"/>
      <c r="B44" s="4107" t="n"/>
      <c r="C44" s="4102" t="n"/>
      <c r="D44" s="4103" t="n"/>
      <c r="E44" s="4103" t="n"/>
      <c r="F44" s="4103" t="n"/>
      <c r="G44" s="4104" t="n"/>
      <c r="H44" s="989" t="inlineStr">
        <is>
          <t>備考</t>
        </is>
      </c>
      <c r="I44" s="4107" t="n"/>
      <c r="J44" s="4121" t="inlineStr">
        <is>
          <t>サービス提供日・時間：</t>
        </is>
      </c>
      <c r="K44" s="4110" t="n"/>
      <c r="L44" s="4110" t="n"/>
      <c r="M44" s="4110" t="n"/>
      <c r="N44" s="4110" t="n"/>
      <c r="O44" s="4110" t="n"/>
      <c r="P44" s="4110" t="n"/>
      <c r="Q44" s="4110" t="n"/>
      <c r="R44" s="4110" t="n"/>
      <c r="S44" s="4110" t="n"/>
      <c r="T44" s="4110" t="n"/>
      <c r="U44" s="4110" t="n"/>
      <c r="V44" s="4110" t="n"/>
      <c r="W44" s="4110" t="n"/>
      <c r="X44" s="4110" t="n"/>
      <c r="Y44" s="4110" t="n"/>
      <c r="Z44" s="4110" t="n"/>
      <c r="AA44" s="4110" t="n"/>
      <c r="AB44" s="4110" t="n"/>
      <c r="AC44" s="4110" t="n"/>
      <c r="AD44" s="4110" t="n"/>
      <c r="AE44" s="4110" t="n"/>
      <c r="AF44" s="4110" t="n"/>
      <c r="AG44" s="4110" t="n"/>
      <c r="AH44" s="4113" t="n"/>
    </row>
    <row r="45" ht="12" customFormat="1" customHeight="1" s="936">
      <c r="A45" s="4097" t="n"/>
      <c r="B45" s="4107" t="n"/>
      <c r="C45" s="4134" t="inlineStr">
        <is>
          <t>サービスを提供
する主たる対象者</t>
        </is>
      </c>
      <c r="D45" s="4098" t="n"/>
      <c r="E45" s="4098" t="n"/>
      <c r="F45" s="4098" t="n"/>
      <c r="G45" s="4099" t="n"/>
      <c r="H45" s="2179" t="inlineStr">
        <is>
          <t>身体障害者</t>
        </is>
      </c>
      <c r="I45" s="4098" t="n"/>
      <c r="J45" s="4098" t="n"/>
      <c r="K45" s="4098" t="n"/>
      <c r="L45" s="4098" t="n"/>
      <c r="M45" s="4099" t="n"/>
      <c r="N45" s="4137" t="inlineStr">
        <is>
          <t>知的障害者</t>
        </is>
      </c>
      <c r="O45" s="4138" t="n"/>
      <c r="P45" s="4138" t="n"/>
      <c r="Q45" s="4138" t="n"/>
      <c r="R45" s="4138" t="n"/>
      <c r="S45" s="4139" t="n"/>
      <c r="T45" s="2179" t="inlineStr">
        <is>
          <t>障害児</t>
        </is>
      </c>
      <c r="U45" s="4098" t="n"/>
      <c r="V45" s="4098" t="n"/>
      <c r="W45" s="4098" t="n"/>
      <c r="X45" s="4099" t="n"/>
      <c r="Y45" s="1086" t="inlineStr">
        <is>
          <t>精神障害者</t>
        </is>
      </c>
      <c r="Z45" s="4098" t="n"/>
      <c r="AA45" s="4098" t="n"/>
      <c r="AB45" s="4098" t="n"/>
      <c r="AC45" s="4099" t="n"/>
      <c r="AD45" s="1066" t="inlineStr">
        <is>
          <t>難病等対象者</t>
        </is>
      </c>
      <c r="AE45" s="4098" t="n"/>
      <c r="AF45" s="4098" t="n"/>
      <c r="AG45" s="4098" t="n"/>
      <c r="AH45" s="4099" t="n"/>
    </row>
    <row r="46" ht="15" customFormat="1" customHeight="1" s="936">
      <c r="A46" s="4097" t="n"/>
      <c r="B46" s="4107" t="n"/>
      <c r="C46" s="4102" t="n"/>
      <c r="D46" s="4103" t="n"/>
      <c r="E46" s="4103" t="n"/>
      <c r="F46" s="4103" t="n"/>
      <c r="G46" s="4104" t="n"/>
      <c r="H46" s="1663" t="inlineStr">
        <is>
          <t xml:space="preserve">　</t>
        </is>
      </c>
      <c r="I46" s="4140" t="n"/>
      <c r="J46" s="4140" t="n"/>
      <c r="K46" s="4140" t="n"/>
      <c r="L46" s="4140" t="n"/>
      <c r="M46" s="4141" t="n"/>
      <c r="N46" s="1663" t="inlineStr">
        <is>
          <t xml:space="preserve">　</t>
        </is>
      </c>
      <c r="O46" s="4140" t="n"/>
      <c r="P46" s="4140" t="n"/>
      <c r="Q46" s="4140" t="n"/>
      <c r="R46" s="4140" t="n"/>
      <c r="S46" s="4141" t="n"/>
      <c r="T46" s="1663" t="inlineStr">
        <is>
          <t xml:space="preserve">　</t>
        </is>
      </c>
      <c r="U46" s="4140" t="n"/>
      <c r="V46" s="4140" t="n"/>
      <c r="W46" s="4140" t="n"/>
      <c r="X46" s="4141" t="n"/>
      <c r="Y46" s="1663" t="inlineStr">
        <is>
          <t xml:space="preserve">　</t>
        </is>
      </c>
      <c r="Z46" s="4140" t="n"/>
      <c r="AA46" s="4140" t="n"/>
      <c r="AB46" s="4140" t="n"/>
      <c r="AC46" s="4141" t="n"/>
      <c r="AD46" s="1663" t="inlineStr">
        <is>
          <t xml:space="preserve">　</t>
        </is>
      </c>
      <c r="AE46" s="4140" t="n"/>
      <c r="AF46" s="4140" t="n"/>
      <c r="AG46" s="4140" t="n"/>
      <c r="AH46" s="4141" t="n"/>
      <c r="AI46" s="1626" t="n"/>
    </row>
    <row r="47" ht="12" customFormat="1" customHeight="1" s="936">
      <c r="A47" s="4097" t="n"/>
      <c r="B47" s="4107" t="n"/>
      <c r="C47" s="4142" t="inlineStr">
        <is>
          <t>提供する
サービスの内容</t>
        </is>
      </c>
      <c r="D47" s="4098" t="n"/>
      <c r="E47" s="4098" t="n"/>
      <c r="F47" s="4098" t="n"/>
      <c r="G47" s="4099" t="n"/>
      <c r="H47" s="4143" t="inlineStr">
        <is>
          <t>居宅介護</t>
        </is>
      </c>
      <c r="I47" s="4098" t="n"/>
      <c r="J47" s="4098" t="n"/>
      <c r="K47" s="4098" t="n"/>
      <c r="L47" s="4098" t="n"/>
      <c r="M47" s="4098" t="n"/>
      <c r="N47" s="4098" t="n"/>
      <c r="O47" s="4098" t="n"/>
      <c r="P47" s="4098" t="n"/>
      <c r="Q47" s="4098" t="n"/>
      <c r="R47" s="4098" t="n"/>
      <c r="S47" s="4099" t="n"/>
      <c r="T47" s="844" t="inlineStr">
        <is>
          <t>重度訪問介護</t>
        </is>
      </c>
      <c r="U47" s="4098" t="n"/>
      <c r="V47" s="4098" t="n"/>
      <c r="W47" s="4098" t="n"/>
      <c r="X47" s="4099" t="n"/>
      <c r="Y47" s="844" t="inlineStr">
        <is>
          <t>同行援護</t>
        </is>
      </c>
      <c r="Z47" s="4098" t="n"/>
      <c r="AA47" s="4098" t="n"/>
      <c r="AB47" s="4098" t="n"/>
      <c r="AC47" s="4099" t="n"/>
      <c r="AD47" s="988" t="inlineStr">
        <is>
          <t>行動援護</t>
        </is>
      </c>
      <c r="AE47" s="4098" t="n"/>
      <c r="AF47" s="4098" t="n"/>
      <c r="AG47" s="4098" t="n"/>
      <c r="AH47" s="4099" t="n"/>
    </row>
    <row r="48" ht="12" customFormat="1" customHeight="1" s="936">
      <c r="A48" s="4097" t="n"/>
      <c r="B48" s="4107" t="n"/>
      <c r="C48" s="4106" t="n"/>
      <c r="G48" s="4107" t="n"/>
      <c r="H48" s="4144" t="inlineStr">
        <is>
          <t>身体介護・家事援助・通院介助</t>
        </is>
      </c>
      <c r="I48" s="4098" t="n"/>
      <c r="J48" s="4098" t="n"/>
      <c r="K48" s="4098" t="n"/>
      <c r="L48" s="4098" t="n"/>
      <c r="M48" s="4099" t="n"/>
      <c r="N48" s="4144" t="inlineStr">
        <is>
          <t>通院等乗降介助</t>
        </is>
      </c>
      <c r="O48" s="4098" t="n"/>
      <c r="P48" s="4098" t="n"/>
      <c r="Q48" s="4098" t="n"/>
      <c r="R48" s="4098" t="n"/>
      <c r="S48" s="4099" t="n"/>
      <c r="T48" s="4106" t="n"/>
      <c r="X48" s="4107" t="n"/>
      <c r="Y48" s="4106" t="n"/>
      <c r="AC48" s="4107" t="n"/>
      <c r="AD48" s="4106" t="n"/>
      <c r="AH48" s="4107" t="n"/>
    </row>
    <row r="49" ht="12" customFormat="1" customHeight="1" s="936">
      <c r="A49" s="4097" t="n"/>
      <c r="B49" s="4107" t="n"/>
      <c r="C49" s="4106" t="n"/>
      <c r="G49" s="4107" t="n"/>
      <c r="H49" s="4145" t="n"/>
      <c r="I49" s="4146" t="n"/>
      <c r="J49" s="4146" t="n"/>
      <c r="K49" s="4146" t="n"/>
      <c r="L49" s="4146" t="n"/>
      <c r="M49" s="4147" t="n"/>
      <c r="N49" s="4145" t="n"/>
      <c r="O49" s="4146" t="n"/>
      <c r="P49" s="4146" t="n"/>
      <c r="Q49" s="4146" t="n"/>
      <c r="R49" s="4146" t="n"/>
      <c r="S49" s="4147" t="n"/>
      <c r="T49" s="4102" t="n"/>
      <c r="U49" s="4103" t="n"/>
      <c r="V49" s="4103" t="n"/>
      <c r="W49" s="4103" t="n"/>
      <c r="X49" s="4104" t="n"/>
      <c r="Y49" s="4102" t="n"/>
      <c r="Z49" s="4103" t="n"/>
      <c r="AA49" s="4103" t="n"/>
      <c r="AB49" s="4103" t="n"/>
      <c r="AC49" s="4104" t="n"/>
      <c r="AD49" s="4102" t="n"/>
      <c r="AE49" s="4103" t="n"/>
      <c r="AF49" s="4103" t="n"/>
      <c r="AG49" s="4103" t="n"/>
      <c r="AH49" s="4104" t="n"/>
    </row>
    <row r="50" ht="15" customFormat="1" customHeight="1" s="936">
      <c r="A50" s="4097" t="n"/>
      <c r="B50" s="4107" t="n"/>
      <c r="C50" s="4102" t="n"/>
      <c r="D50" s="4103" t="n"/>
      <c r="E50" s="4103" t="n"/>
      <c r="F50" s="4103" t="n"/>
      <c r="G50" s="4104" t="n"/>
      <c r="H50" s="990" t="inlineStr">
        <is>
          <t xml:space="preserve">　</t>
        </is>
      </c>
      <c r="I50" s="4103" t="n"/>
      <c r="J50" s="4103" t="n"/>
      <c r="K50" s="4103" t="n"/>
      <c r="L50" s="4103" t="n"/>
      <c r="M50" s="4104" t="n"/>
      <c r="N50" s="1663" t="inlineStr">
        <is>
          <t xml:space="preserve">　</t>
        </is>
      </c>
      <c r="O50" s="4140" t="n"/>
      <c r="P50" s="4140" t="n"/>
      <c r="Q50" s="4140" t="n"/>
      <c r="R50" s="4140" t="n"/>
      <c r="S50" s="4141" t="n"/>
      <c r="T50" s="1663" t="inlineStr">
        <is>
          <t xml:space="preserve">　</t>
        </is>
      </c>
      <c r="U50" s="4140" t="n"/>
      <c r="V50" s="4140" t="n"/>
      <c r="W50" s="4140" t="n"/>
      <c r="X50" s="4141" t="n"/>
      <c r="Y50" s="1663" t="inlineStr">
        <is>
          <t xml:space="preserve">　</t>
        </is>
      </c>
      <c r="Z50" s="4140" t="n"/>
      <c r="AA50" s="4140" t="n"/>
      <c r="AB50" s="4140" t="n"/>
      <c r="AC50" s="4141" t="n"/>
      <c r="AD50" s="1663" t="inlineStr">
        <is>
          <t xml:space="preserve">　</t>
        </is>
      </c>
      <c r="AE50" s="4140" t="n"/>
      <c r="AF50" s="4140" t="n"/>
      <c r="AG50" s="4140" t="n"/>
      <c r="AH50" s="4141" t="n"/>
    </row>
    <row r="51" ht="19.5" customHeight="1" s="4080">
      <c r="A51" s="4097" t="n"/>
      <c r="B51" s="4107" t="n"/>
      <c r="C51" s="4133" t="inlineStr">
        <is>
          <t>利用料</t>
        </is>
      </c>
      <c r="D51" s="4110" t="n"/>
      <c r="E51" s="4110" t="n"/>
      <c r="F51" s="4110" t="n"/>
      <c r="G51" s="4111" t="n"/>
      <c r="H51" s="4148" t="inlineStr">
        <is>
          <t xml:space="preserve">　</t>
        </is>
      </c>
      <c r="I51" s="4110" t="n"/>
      <c r="J51" s="4110" t="n"/>
      <c r="K51" s="4110" t="n"/>
      <c r="L51" s="4110" t="n"/>
      <c r="M51" s="4110" t="n"/>
      <c r="N51" s="4110" t="n"/>
      <c r="O51" s="4110" t="n"/>
      <c r="P51" s="4110" t="n"/>
      <c r="Q51" s="4110" t="n"/>
      <c r="R51" s="4110" t="n"/>
      <c r="S51" s="4110" t="n"/>
      <c r="T51" s="4110" t="n"/>
      <c r="U51" s="4110" t="n"/>
      <c r="V51" s="4110" t="n"/>
      <c r="W51" s="4110" t="n"/>
      <c r="X51" s="4110" t="n"/>
      <c r="Y51" s="4110" t="n"/>
      <c r="Z51" s="4110" t="n"/>
      <c r="AA51" s="4110" t="n"/>
      <c r="AB51" s="4110" t="n"/>
      <c r="AC51" s="4110" t="n"/>
      <c r="AD51" s="4110" t="n"/>
      <c r="AE51" s="4110" t="n"/>
      <c r="AF51" s="4110" t="n"/>
      <c r="AG51" s="4110" t="n"/>
      <c r="AH51" s="4113" t="n"/>
    </row>
    <row r="52" ht="19.5" customHeight="1" s="4080">
      <c r="A52" s="4097" t="n"/>
      <c r="B52" s="4107" t="n"/>
      <c r="C52" s="4133" t="inlineStr">
        <is>
          <t>その他の費用</t>
        </is>
      </c>
      <c r="D52" s="4110" t="n"/>
      <c r="E52" s="4110" t="n"/>
      <c r="F52" s="4110" t="n"/>
      <c r="G52" s="4111" t="n"/>
      <c r="H52" s="4149" t="inlineStr">
        <is>
          <t xml:space="preserve">　</t>
        </is>
      </c>
      <c r="I52" s="4110" t="n"/>
      <c r="J52" s="4110" t="n"/>
      <c r="K52" s="4110" t="n"/>
      <c r="L52" s="4110" t="n"/>
      <c r="M52" s="4110" t="n"/>
      <c r="N52" s="4110" t="n"/>
      <c r="O52" s="4110" t="n"/>
      <c r="P52" s="4110" t="n"/>
      <c r="Q52" s="4110" t="n"/>
      <c r="R52" s="4110" t="n"/>
      <c r="S52" s="4110" t="n"/>
      <c r="T52" s="4110" t="n"/>
      <c r="U52" s="4110" t="n"/>
      <c r="V52" s="4110" t="n"/>
      <c r="W52" s="4110" t="n"/>
      <c r="X52" s="4110" t="n"/>
      <c r="Y52" s="4110" t="n"/>
      <c r="Z52" s="4110" t="n"/>
      <c r="AA52" s="4110" t="n"/>
      <c r="AB52" s="4110" t="n"/>
      <c r="AC52" s="4110" t="n"/>
      <c r="AD52" s="4110" t="n"/>
      <c r="AE52" s="4110" t="n"/>
      <c r="AF52" s="4110" t="n"/>
      <c r="AG52" s="4110" t="n"/>
      <c r="AH52" s="4113" t="n"/>
    </row>
    <row r="53" ht="20.1" customHeight="1" s="4080">
      <c r="A53" s="4097" t="n"/>
      <c r="B53" s="4107" t="n"/>
      <c r="C53" s="4150" t="inlineStr">
        <is>
          <t>通常の事業
実施地域</t>
        </is>
      </c>
      <c r="D53" s="4098" t="n"/>
      <c r="E53" s="4098" t="n"/>
      <c r="F53" s="4098" t="n"/>
      <c r="G53" s="4099" t="n"/>
      <c r="H53" s="25" t="inlineStr">
        <is>
          <t>①</t>
        </is>
      </c>
      <c r="I53" s="1053" t="n"/>
      <c r="J53" s="4110" t="n"/>
      <c r="K53" s="4110" t="n"/>
      <c r="L53" s="4110" t="n"/>
      <c r="M53" s="4111" t="n"/>
      <c r="N53" s="967" t="inlineStr">
        <is>
          <t>②</t>
        </is>
      </c>
      <c r="O53" s="1053" t="n"/>
      <c r="P53" s="4110" t="n"/>
      <c r="Q53" s="4110" t="n"/>
      <c r="R53" s="4110" t="n"/>
      <c r="S53" s="4111" t="n"/>
      <c r="T53" s="25" t="inlineStr">
        <is>
          <t>③</t>
        </is>
      </c>
      <c r="U53" s="1053" t="n"/>
      <c r="V53" s="4110" t="n"/>
      <c r="W53" s="4110" t="n"/>
      <c r="X53" s="4111" t="n"/>
      <c r="Y53" s="25" t="inlineStr">
        <is>
          <t>④</t>
        </is>
      </c>
      <c r="Z53" s="1053" t="n"/>
      <c r="AA53" s="4110" t="n"/>
      <c r="AB53" s="4110" t="n"/>
      <c r="AC53" s="4111" t="n"/>
      <c r="AD53" s="25" t="inlineStr">
        <is>
          <t>⑤</t>
        </is>
      </c>
      <c r="AE53" s="1065" t="n"/>
      <c r="AF53" s="4110" t="n"/>
      <c r="AG53" s="4110" t="n"/>
      <c r="AH53" s="4113" t="n"/>
    </row>
    <row r="54" ht="20.1" customHeight="1" s="4080">
      <c r="A54" s="4097" t="n"/>
      <c r="B54" s="4107" t="n"/>
      <c r="C54" s="4102" t="n"/>
      <c r="D54" s="4103" t="n"/>
      <c r="E54" s="4103" t="n"/>
      <c r="F54" s="4103" t="n"/>
      <c r="G54" s="4104" t="n"/>
      <c r="H54" s="957" t="inlineStr">
        <is>
          <t>備考</t>
        </is>
      </c>
      <c r="I54" s="4104" t="n"/>
      <c r="J54" s="4151" t="n"/>
      <c r="K54" s="4103" t="n"/>
      <c r="L54" s="4103" t="n"/>
      <c r="M54" s="4103" t="n"/>
      <c r="N54" s="4103" t="n"/>
      <c r="O54" s="4103" t="n"/>
      <c r="P54" s="4103" t="n"/>
      <c r="Q54" s="4103" t="n"/>
      <c r="R54" s="4103" t="n"/>
      <c r="S54" s="4103" t="n"/>
      <c r="T54" s="4103" t="n"/>
      <c r="U54" s="4103" t="n"/>
      <c r="V54" s="4103" t="n"/>
      <c r="W54" s="4103" t="n"/>
      <c r="X54" s="4103" t="n"/>
      <c r="Y54" s="4103" t="n"/>
      <c r="Z54" s="4103" t="n"/>
      <c r="AA54" s="4103" t="n"/>
      <c r="AB54" s="4103" t="n"/>
      <c r="AC54" s="4103" t="n"/>
      <c r="AD54" s="4103" t="n"/>
      <c r="AE54" s="4103" t="n"/>
      <c r="AF54" s="4103" t="n"/>
      <c r="AG54" s="4103" t="n"/>
      <c r="AH54" s="4105" t="n"/>
    </row>
    <row r="55" ht="12.95" customHeight="1" s="4080" thickBot="1">
      <c r="A55" s="4152" t="inlineStr">
        <is>
          <t xml:space="preserve">　添　付　書　類</t>
        </is>
      </c>
      <c r="B55" s="4153" t="n"/>
      <c r="C55" s="4153" t="n"/>
      <c r="D55" s="4153" t="n"/>
      <c r="E55" s="4153" t="n"/>
      <c r="F55" s="4153" t="n"/>
      <c r="G55" s="4154" t="n"/>
      <c r="H55" s="1026" t="inlineStr">
        <is>
          <t xml:space="preserve">　別紙「添付書類一覧表」のとおり</t>
        </is>
      </c>
      <c r="I55" s="4153" t="n"/>
      <c r="J55" s="4153" t="n"/>
      <c r="K55" s="4153" t="n"/>
      <c r="L55" s="4153" t="n"/>
      <c r="M55" s="4153" t="n"/>
      <c r="N55" s="4153" t="n"/>
      <c r="O55" s="4153" t="n"/>
      <c r="P55" s="4153" t="n"/>
      <c r="Q55" s="4153" t="n"/>
      <c r="R55" s="4153" t="n"/>
      <c r="S55" s="4153" t="n"/>
      <c r="T55" s="4153" t="n"/>
      <c r="U55" s="4153" t="n"/>
      <c r="V55" s="4153" t="n"/>
      <c r="W55" s="4153" t="n"/>
      <c r="X55" s="4153" t="n"/>
      <c r="Y55" s="4153" t="n"/>
      <c r="Z55" s="4153" t="n"/>
      <c r="AA55" s="4153" t="n"/>
      <c r="AB55" s="4153" t="n"/>
      <c r="AC55" s="4153" t="n"/>
      <c r="AD55" s="4153" t="n"/>
      <c r="AE55" s="4153" t="n"/>
      <c r="AF55" s="4153" t="n"/>
      <c r="AG55" s="4153" t="n"/>
      <c r="AH55" s="4155" t="n"/>
    </row>
  </sheetData>
  <mergeCells count="177">
    <mergeCell ref="D2:F2"/>
    <mergeCell ref="C31:E31"/>
    <mergeCell ref="K11:AH11"/>
    <mergeCell ref="Y47:AC49"/>
    <mergeCell ref="AC27:AH30"/>
    <mergeCell ref="H48:M49"/>
    <mergeCell ref="H52:AH52"/>
    <mergeCell ref="C35:I36"/>
    <mergeCell ref="C23:E23"/>
    <mergeCell ref="F24:M26"/>
    <mergeCell ref="C53:G54"/>
    <mergeCell ref="Q37:W37"/>
    <mergeCell ref="C10:E11"/>
    <mergeCell ref="C32:E34"/>
    <mergeCell ref="I10:K10"/>
    <mergeCell ref="AB41:AH41"/>
    <mergeCell ref="Z53:AC53"/>
    <mergeCell ref="C7:E9"/>
    <mergeCell ref="AA2:AA3"/>
    <mergeCell ref="A4:B11"/>
    <mergeCell ref="P41:Q42"/>
    <mergeCell ref="F27:M27"/>
    <mergeCell ref="L40:M40"/>
    <mergeCell ref="S43:U43"/>
    <mergeCell ref="AA27:AB30"/>
    <mergeCell ref="N40:O40"/>
    <mergeCell ref="T31:X31"/>
    <mergeCell ref="Q38:W38"/>
    <mergeCell ref="C24:E26"/>
    <mergeCell ref="C17:C22"/>
    <mergeCell ref="J36:P36"/>
    <mergeCell ref="Q19:AH20"/>
    <mergeCell ref="D17:K18"/>
    <mergeCell ref="A13:B22"/>
    <mergeCell ref="AD47:AH49"/>
    <mergeCell ref="A12:S12"/>
    <mergeCell ref="M2:O2"/>
    <mergeCell ref="X40:Y42"/>
    <mergeCell ref="N46:S46"/>
    <mergeCell ref="J39:W39"/>
    <mergeCell ref="C47:G50"/>
    <mergeCell ref="F5:AH6"/>
    <mergeCell ref="H46:M46"/>
    <mergeCell ref="AF10:AH10"/>
    <mergeCell ref="P24:Z26"/>
    <mergeCell ref="H54:I54"/>
    <mergeCell ref="AC31:AH34"/>
    <mergeCell ref="F8:AH9"/>
    <mergeCell ref="Z41:AA41"/>
    <mergeCell ref="AB43:AD43"/>
    <mergeCell ref="C43:G44"/>
    <mergeCell ref="AC12:AD12"/>
    <mergeCell ref="H45:M45"/>
    <mergeCell ref="AE12:AF12"/>
    <mergeCell ref="J41:K42"/>
    <mergeCell ref="C14:E15"/>
    <mergeCell ref="L41:M42"/>
    <mergeCell ref="Z43:AA43"/>
    <mergeCell ref="V41:W42"/>
    <mergeCell ref="I19:P20"/>
    <mergeCell ref="J43:L43"/>
    <mergeCell ref="J38:P38"/>
    <mergeCell ref="AF2:AF3"/>
    <mergeCell ref="AH2:AH3"/>
    <mergeCell ref="N27:O30"/>
    <mergeCell ref="C13:E13"/>
    <mergeCell ref="J35:W35"/>
    <mergeCell ref="J7:N7"/>
    <mergeCell ref="C51:G51"/>
    <mergeCell ref="AB40:AH40"/>
    <mergeCell ref="A40:B54"/>
    <mergeCell ref="Y46:AC46"/>
    <mergeCell ref="T10:W10"/>
    <mergeCell ref="A1:AH1"/>
    <mergeCell ref="F32:M34"/>
    <mergeCell ref="D19:H22"/>
    <mergeCell ref="F23:M23"/>
    <mergeCell ref="F13:M13"/>
    <mergeCell ref="C45:G46"/>
    <mergeCell ref="H50:M50"/>
    <mergeCell ref="A55:G55"/>
    <mergeCell ref="AD50:AH50"/>
    <mergeCell ref="T46:X46"/>
    <mergeCell ref="Z40:AA40"/>
    <mergeCell ref="F11:J11"/>
    <mergeCell ref="P13:S13"/>
    <mergeCell ref="Q10:S10"/>
    <mergeCell ref="H43:I43"/>
    <mergeCell ref="F4:AH4"/>
    <mergeCell ref="N23:O26"/>
    <mergeCell ref="C38:I38"/>
    <mergeCell ref="T45:X45"/>
    <mergeCell ref="U2:X3"/>
    <mergeCell ref="H40:I40"/>
    <mergeCell ref="J40:K40"/>
    <mergeCell ref="R41:S42"/>
    <mergeCell ref="C5:E6"/>
    <mergeCell ref="T50:X50"/>
    <mergeCell ref="AB2:AB3"/>
    <mergeCell ref="H47:S47"/>
    <mergeCell ref="AD46:AH46"/>
    <mergeCell ref="F14:M15"/>
    <mergeCell ref="I53:M53"/>
    <mergeCell ref="Q21:AH22"/>
    <mergeCell ref="J37:P37"/>
    <mergeCell ref="X10:Z10"/>
    <mergeCell ref="L17:M18"/>
    <mergeCell ref="U12:V12"/>
    <mergeCell ref="T40:U40"/>
    <mergeCell ref="W12:X12"/>
    <mergeCell ref="AB10:AD10"/>
    <mergeCell ref="F7:I7"/>
    <mergeCell ref="Z42:AA42"/>
    <mergeCell ref="T23:X23"/>
    <mergeCell ref="C52:G52"/>
    <mergeCell ref="Y45:AC45"/>
    <mergeCell ref="C28:E30"/>
    <mergeCell ref="T13:X13"/>
    <mergeCell ref="P27:S27"/>
    <mergeCell ref="AC23:AH26"/>
    <mergeCell ref="H41:I42"/>
    <mergeCell ref="N48:S49"/>
    <mergeCell ref="F28:M30"/>
    <mergeCell ref="N50:S50"/>
    <mergeCell ref="P14:AH15"/>
    <mergeCell ref="H2:K2"/>
    <mergeCell ref="C4:E4"/>
    <mergeCell ref="T27:X27"/>
    <mergeCell ref="P28:Z30"/>
    <mergeCell ref="AE53:AH53"/>
    <mergeCell ref="X35:AH39"/>
    <mergeCell ref="J54:AH54"/>
    <mergeCell ref="Q36:W36"/>
    <mergeCell ref="M10:O10"/>
    <mergeCell ref="Q43:R43"/>
    <mergeCell ref="C39:I39"/>
    <mergeCell ref="I21:P22"/>
    <mergeCell ref="O53:S53"/>
    <mergeCell ref="H51:AH51"/>
    <mergeCell ref="AE2:AE3"/>
    <mergeCell ref="H44:I44"/>
    <mergeCell ref="AG2:AG3"/>
    <mergeCell ref="T41:U42"/>
    <mergeCell ref="C37:I37"/>
    <mergeCell ref="P40:Q40"/>
    <mergeCell ref="W43:Y43"/>
    <mergeCell ref="R40:S40"/>
    <mergeCell ref="C27:E27"/>
    <mergeCell ref="AB42:AH42"/>
    <mergeCell ref="T47:X49"/>
    <mergeCell ref="AA31:AB34"/>
    <mergeCell ref="N31:O34"/>
    <mergeCell ref="V40:W40"/>
    <mergeCell ref="Q2:S2"/>
    <mergeCell ref="C40:G42"/>
    <mergeCell ref="AD45:AH45"/>
    <mergeCell ref="C16:AH16"/>
    <mergeCell ref="Y50:AC50"/>
    <mergeCell ref="J44:AH44"/>
    <mergeCell ref="P31:S31"/>
    <mergeCell ref="N45:S45"/>
    <mergeCell ref="AA23:AB26"/>
    <mergeCell ref="P32:Z34"/>
    <mergeCell ref="AF43:AH43"/>
    <mergeCell ref="N13:O15"/>
    <mergeCell ref="F31:M31"/>
    <mergeCell ref="F10:H10"/>
    <mergeCell ref="Y12:Z12"/>
    <mergeCell ref="N17:AH18"/>
    <mergeCell ref="N41:O42"/>
    <mergeCell ref="P23:S23"/>
    <mergeCell ref="AA12:AB12"/>
    <mergeCell ref="U53:X53"/>
    <mergeCell ref="A23:B34"/>
    <mergeCell ref="N43:P43"/>
    <mergeCell ref="H55:AH55"/>
    <mergeCell ref="A35:B39"/>
  </mergeCells>
  <dataValidations count="7">
    <dataValidation sqref="H52" showDropDown="0" showInputMessage="1" showErrorMessage="1" allowBlank="1" type="list">
      <formula1>"　,運営規程に定めるとおり"</formula1>
    </dataValidation>
    <dataValidation sqref="H51" showDropDown="0" showInputMessage="1" showErrorMessage="1" allowBlank="1" type="list" errorStyle="warning">
      <formula1>"　,法定代理受領分：厚生労働大臣が定める基準の10/100、法定代理受領分以外：厚生労働大臣が定める基準"</formula1>
    </dataValidation>
    <dataValidation sqref="H41 H46 H50 J41 L41 N41 N46 N50 P41 R41 T41 T46 T50 V41 Y46 Y50 AD46 AD50" showDropDown="0" showInputMessage="1" showErrorMessage="1" allowBlank="1" type="list">
      <formula1>"　,○"</formula1>
    </dataValidation>
    <dataValidation sqref="AC23:AH34" showDropDown="0" showInputMessage="1" showErrorMessage="1" allowBlank="1" type="list" errorStyle="warning">
      <formula1>"　,看護師,准看護師,介護福祉士,訪問介護員１級,訪問介護員２級,居宅介護１級,居宅介護２級＋３年以上の実務経験,介護職員基礎研修,同行援護従業者養成研修,国立リハビリ学院視覚障害学科,行動援護研修＋３年以上の実務経験"</formula1>
    </dataValidation>
    <dataValidation sqref="F4:AH4 F13 F23 F27 F31" showDropDown="0" showInputMessage="1" showErrorMessage="1" allowBlank="1" imeMode="halfKatakana"/>
    <dataValidation sqref="M10:O10 Q10:S10 AB10:AD10 AF10:AH10" showDropDown="0" showInputMessage="1" showErrorMessage="1" allowBlank="1" error="全角数字で入力してください" imeMode="fullAlpha"/>
    <dataValidation sqref="I10:K10 T13:X13 U12:V12 X10 Y2:AH3 Y12:Z12 AC12:AD12" showDropDown="0" showInputMessage="1" showErrorMessage="1" allowBlank="1" imeMode="fullAlpha"/>
  </dataValidations>
  <printOptions horizontalCentered="1"/>
  <pageMargins left="0.7086614173228347" right="0.5905511811023623" top="0.3937007874015748" bottom="0" header="0.5118110236220472" footer="0.5118110236220472"/>
  <pageSetup orientation="portrait" paperSize="9" scale="98"/>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AN55"/>
  <sheetViews>
    <sheetView showGridLines="0" view="pageBreakPreview" zoomScaleNormal="100" workbookViewId="0">
      <selection activeCell="G15" sqref="G15"/>
    </sheetView>
  </sheetViews>
  <sheetFormatPr baseColWidth="8" defaultColWidth="9" defaultRowHeight="12"/>
  <cols>
    <col width="2.25" customWidth="1" style="936" min="1" max="2"/>
    <col width="2.625" customWidth="1" style="936" min="3" max="13"/>
    <col width="2.75" customWidth="1" style="936" min="14" max="15"/>
    <col width="2.625" customWidth="1" style="936" min="16" max="17"/>
    <col width="2.75" customWidth="1" style="936" min="18" max="18"/>
    <col width="2.625" customWidth="1" style="936" min="19" max="27"/>
    <col width="3" customWidth="1" style="936" min="28" max="28"/>
    <col width="2.25" customWidth="1" style="936" min="29" max="29"/>
    <col width="3.125" customWidth="1" style="936" min="30" max="30"/>
    <col width="2.625" customWidth="1" style="936" min="31" max="33"/>
    <col width="3.75" customWidth="1" style="936" min="34" max="34"/>
    <col width="1.625" customWidth="1" style="936" min="35" max="35"/>
    <col width="9" customWidth="1" style="936" min="36" max="16384"/>
  </cols>
  <sheetData>
    <row r="1" ht="17.1" customHeight="1" s="4080" thickBot="1">
      <c r="A1" s="799" t="inlineStr">
        <is>
          <t>付表１　居宅介護、重度訪問介護、同行援護、行動援護事業所の指定に係る記載事項</t>
        </is>
      </c>
      <c r="AN1" s="719">
        <f>HYPERLINK("#目次!A1","目次へ戻る")</f>
        <v/>
      </c>
    </row>
    <row r="2" ht="12.95" customHeight="1" s="4080">
      <c r="B2" s="1388" t="n"/>
      <c r="C2" s="1388" t="inlineStr">
        <is>
          <t>（</t>
        </is>
      </c>
      <c r="D2" s="4156" t="inlineStr">
        <is>
          <t>居宅介護</t>
        </is>
      </c>
      <c r="E2" s="4157" t="n"/>
      <c r="F2" s="4158" t="n"/>
      <c r="G2" s="1626" t="inlineStr">
        <is>
          <t>・</t>
        </is>
      </c>
      <c r="H2" s="4159" t="inlineStr">
        <is>
          <t>重度訪問介護</t>
        </is>
      </c>
      <c r="I2" s="4157" t="n"/>
      <c r="J2" s="4157" t="n"/>
      <c r="K2" s="4158" t="n"/>
      <c r="L2" s="1626" t="inlineStr">
        <is>
          <t>・</t>
        </is>
      </c>
      <c r="M2" s="4160" t="inlineStr">
        <is>
          <t>同行援護</t>
        </is>
      </c>
      <c r="N2" s="4157" t="n"/>
      <c r="O2" s="4158" t="n"/>
      <c r="P2" s="2373" t="inlineStr">
        <is>
          <t>・</t>
        </is>
      </c>
      <c r="Q2" s="2373" t="inlineStr">
        <is>
          <t>行動援護</t>
        </is>
      </c>
      <c r="T2" s="936" t="inlineStr">
        <is>
          <t>）</t>
        </is>
      </c>
      <c r="U2" s="4081" t="inlineStr">
        <is>
          <t>事業所番号</t>
        </is>
      </c>
      <c r="V2" s="4082" t="n"/>
      <c r="W2" s="4082" t="n"/>
      <c r="X2" s="4083" t="n"/>
      <c r="Y2" s="811" t="n"/>
      <c r="Z2" s="811" t="n"/>
      <c r="AA2" s="4084" t="n"/>
      <c r="AB2" s="4084" t="n"/>
      <c r="AC2" s="811" t="n"/>
      <c r="AD2" s="811" t="n"/>
      <c r="AE2" s="4084" t="n"/>
      <c r="AF2" s="4084" t="n"/>
      <c r="AG2" s="4084" t="n"/>
      <c r="AH2" s="4085" t="n"/>
    </row>
    <row r="3" ht="3.95" customHeight="1" s="4080" thickBot="1">
      <c r="B3" s="1388" t="n"/>
      <c r="C3" s="1753" t="n"/>
      <c r="D3" s="1753" t="n"/>
      <c r="E3" s="1753" t="n"/>
      <c r="F3" s="20" t="n"/>
      <c r="G3" s="1753" t="n"/>
      <c r="H3" s="1753" t="n"/>
      <c r="I3" s="1753" t="n"/>
      <c r="J3" s="20" t="n"/>
      <c r="K3" s="1753" t="n"/>
      <c r="L3" s="1753" t="n"/>
      <c r="M3" s="1753" t="n"/>
      <c r="P3" s="936" t="n"/>
      <c r="Q3" s="20" t="n"/>
      <c r="R3" s="20" t="n"/>
      <c r="S3" s="20" t="n"/>
      <c r="T3" s="20" t="n"/>
      <c r="U3" s="4086" t="n"/>
      <c r="V3" s="4087" t="n"/>
      <c r="W3" s="4087" t="n"/>
      <c r="X3" s="4088" t="n"/>
      <c r="Y3" s="812" t="n"/>
      <c r="Z3" s="812" t="n"/>
      <c r="AA3" s="4089" t="n"/>
      <c r="AB3" s="4089" t="n"/>
      <c r="AC3" s="812" t="n"/>
      <c r="AD3" s="812" t="n"/>
      <c r="AE3" s="4089" t="n"/>
      <c r="AF3" s="4089" t="n"/>
      <c r="AG3" s="4089" t="n"/>
      <c r="AH3" s="4090" t="n"/>
    </row>
    <row r="4" ht="18" customHeight="1" s="4080">
      <c r="A4" s="4091" t="inlineStr">
        <is>
          <t>事　業　所</t>
        </is>
      </c>
      <c r="B4" s="4082" t="n"/>
      <c r="C4" s="4092" t="inlineStr">
        <is>
          <t>ﾌﾘｶﾞﾅ</t>
        </is>
      </c>
      <c r="D4" s="4093" t="n"/>
      <c r="E4" s="4094" t="n"/>
      <c r="F4" s="4161" t="inlineStr">
        <is>
          <t>ﾅｶﾉｼﾏﾍﾙﾊﾟｰｽﾃｰｼｮﾝ</t>
        </is>
      </c>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8" customHeight="1" s="4080">
      <c r="A5" s="4097" t="n"/>
      <c r="C5" s="844" t="inlineStr">
        <is>
          <t>名　称</t>
        </is>
      </c>
      <c r="D5" s="4098" t="n"/>
      <c r="E5" s="4099" t="n"/>
      <c r="F5" s="4162" t="inlineStr">
        <is>
          <t>中之島ヘルパーステーション</t>
        </is>
      </c>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8"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5" customHeight="1" s="4080">
      <c r="A7" s="4097" t="n"/>
      <c r="C7" s="844" t="inlineStr">
        <is>
          <t>所在地</t>
        </is>
      </c>
      <c r="D7" s="4098" t="n"/>
      <c r="E7" s="4099" t="n"/>
      <c r="F7" s="832" t="inlineStr">
        <is>
          <t>郵便番号（</t>
        </is>
      </c>
      <c r="G7" s="4098" t="n"/>
      <c r="H7" s="4098" t="n"/>
      <c r="I7" s="4098" t="n"/>
      <c r="J7" s="1198" t="inlineStr">
        <is>
          <t>５３０－８２０１</t>
        </is>
      </c>
      <c r="K7" s="4098" t="n"/>
      <c r="L7" s="4098" t="n"/>
      <c r="M7" s="4098" t="n"/>
      <c r="N7" s="4098" t="n"/>
      <c r="O7" s="933" t="inlineStr">
        <is>
          <t>）</t>
        </is>
      </c>
      <c r="P7" s="1107" t="n"/>
      <c r="Q7" s="1107" t="n"/>
      <c r="R7" s="1107" t="n"/>
      <c r="S7" s="1107" t="n"/>
      <c r="T7" s="1107" t="n"/>
      <c r="U7" s="1107" t="n"/>
      <c r="V7" s="1107" t="n"/>
      <c r="W7" s="1107" t="n"/>
      <c r="X7" s="1107" t="n"/>
      <c r="Y7" s="1107" t="n"/>
      <c r="Z7" s="1107" t="n"/>
      <c r="AA7" s="1107" t="n"/>
      <c r="AB7" s="1107" t="n"/>
      <c r="AC7" s="1107" t="n"/>
      <c r="AD7" s="1107" t="n"/>
      <c r="AE7" s="1107" t="n"/>
      <c r="AF7" s="1107" t="n"/>
      <c r="AG7" s="1107" t="n"/>
      <c r="AH7" s="1108" t="n"/>
    </row>
    <row r="8" ht="22.5" customHeight="1" s="4080">
      <c r="A8" s="4097" t="n"/>
      <c r="C8" s="4106" t="n"/>
      <c r="E8" s="4107" t="n"/>
      <c r="F8" s="4163" t="inlineStr">
        <is>
          <t>大阪市北区中之島一丁目３番２０号</t>
        </is>
      </c>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8" customHeight="1" s="4080">
      <c r="A10" s="4097" t="n"/>
      <c r="C10" s="844" t="inlineStr">
        <is>
          <t>連絡先</t>
        </is>
      </c>
      <c r="D10" s="4098" t="n"/>
      <c r="E10" s="4099" t="n"/>
      <c r="F10" s="896" t="inlineStr">
        <is>
          <t>電話番号</t>
        </is>
      </c>
      <c r="G10" s="4110" t="n"/>
      <c r="H10" s="4111" t="n"/>
      <c r="I10" s="1176" t="inlineStr">
        <is>
          <t>０６</t>
        </is>
      </c>
      <c r="J10" s="4110" t="n"/>
      <c r="K10" s="4110" t="n"/>
      <c r="L10" s="954" t="inlineStr">
        <is>
          <t>－</t>
        </is>
      </c>
      <c r="M10" s="1202" t="inlineStr">
        <is>
          <t>６２４１</t>
        </is>
      </c>
      <c r="N10" s="4110" t="n"/>
      <c r="O10" s="4110" t="n"/>
      <c r="P10" s="954" t="inlineStr">
        <is>
          <t>－</t>
        </is>
      </c>
      <c r="Q10" s="1174" t="inlineStr">
        <is>
          <t>６５２０</t>
        </is>
      </c>
      <c r="R10" s="4110" t="n"/>
      <c r="S10" s="4111" t="n"/>
      <c r="T10" s="4112" t="inlineStr">
        <is>
          <t>ＦＡＸ番号</t>
        </is>
      </c>
      <c r="U10" s="4110" t="n"/>
      <c r="V10" s="4110" t="n"/>
      <c r="W10" s="4111" t="n"/>
      <c r="X10" s="1176" t="inlineStr">
        <is>
          <t>０６</t>
        </is>
      </c>
      <c r="Y10" s="4110" t="n"/>
      <c r="Z10" s="4110" t="n"/>
      <c r="AA10" s="954" t="inlineStr">
        <is>
          <t>－</t>
        </is>
      </c>
      <c r="AB10" s="1202" t="inlineStr">
        <is>
          <t>６２４１</t>
        </is>
      </c>
      <c r="AC10" s="4110" t="n"/>
      <c r="AD10" s="4110" t="n"/>
      <c r="AE10" s="954" t="inlineStr">
        <is>
          <t>－</t>
        </is>
      </c>
      <c r="AF10" s="1212" t="inlineStr">
        <is>
          <t>６６０８</t>
        </is>
      </c>
      <c r="AG10" s="4110" t="n"/>
      <c r="AH10" s="4113" t="n"/>
      <c r="AI10" s="936" t="n"/>
    </row>
    <row r="11" ht="18" customHeight="1" s="4080">
      <c r="A11" s="4114" t="n"/>
      <c r="B11" s="4103" t="n"/>
      <c r="C11" s="4102" t="n"/>
      <c r="D11" s="4103" t="n"/>
      <c r="E11" s="4104" t="n"/>
      <c r="F11" s="4115" t="inlineStr">
        <is>
          <t>メールアドレス</t>
        </is>
      </c>
      <c r="G11" s="4110" t="n"/>
      <c r="H11" s="4110" t="n"/>
      <c r="I11" s="4110" t="n"/>
      <c r="J11" s="4111" t="n"/>
      <c r="K11" s="4164" t="inlineStr">
        <is>
          <t>fa0260@city.osaka.lg.jp</t>
        </is>
      </c>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c r="AI11" s="936" t="n"/>
    </row>
    <row r="12" ht="15" customFormat="1" customHeight="1" s="936">
      <c r="A12" s="4117" t="inlineStr">
        <is>
          <t>当該事業の実施について定めてある定款・寄附行為等又は条例等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882" t="inlineStr">
        <is>
          <t>第</t>
        </is>
      </c>
      <c r="U12" s="1202" t="inlineStr">
        <is>
          <t>２</t>
        </is>
      </c>
      <c r="V12" s="4110" t="n"/>
      <c r="W12" s="921" t="inlineStr">
        <is>
          <t>条第</t>
        </is>
      </c>
      <c r="X12" s="4110" t="n"/>
      <c r="Y12" s="1202" t="inlineStr">
        <is>
          <t>１</t>
        </is>
      </c>
      <c r="Z12" s="4110" t="n"/>
      <c r="AA12" s="921" t="inlineStr">
        <is>
          <t>項第</t>
        </is>
      </c>
      <c r="AB12" s="4110" t="n"/>
      <c r="AC12" s="1202" t="inlineStr">
        <is>
          <t>１４</t>
        </is>
      </c>
      <c r="AD12" s="4110" t="n"/>
      <c r="AE12" s="921" t="inlineStr">
        <is>
          <t>号（</t>
        </is>
      </c>
      <c r="AF12" s="4110" t="n"/>
      <c r="AG12" s="1202" t="inlineStr">
        <is>
          <t>ア</t>
        </is>
      </c>
      <c r="AH12" s="955" t="inlineStr">
        <is>
          <t>）</t>
        </is>
      </c>
    </row>
    <row r="13" ht="18" customHeight="1" s="4080">
      <c r="A13" s="4118" t="inlineStr">
        <is>
          <t>管　　理　　者</t>
        </is>
      </c>
      <c r="B13" s="4099" t="n"/>
      <c r="C13" s="4112" t="inlineStr">
        <is>
          <t>ﾌﾘｶﾞﾅ</t>
        </is>
      </c>
      <c r="D13" s="4110" t="n"/>
      <c r="E13" s="4111" t="n"/>
      <c r="F13" s="4165" t="inlineStr">
        <is>
          <t>ｵｵｻｶ ﾀﾛｳ</t>
        </is>
      </c>
      <c r="G13" s="4110" t="n"/>
      <c r="H13" s="4110" t="n"/>
      <c r="I13" s="4110" t="n"/>
      <c r="J13" s="4110" t="n"/>
      <c r="K13" s="4110" t="n"/>
      <c r="L13" s="4110" t="n"/>
      <c r="M13" s="4111" t="n"/>
      <c r="N13" s="4119" t="inlineStr">
        <is>
          <t>住所</t>
        </is>
      </c>
      <c r="O13" s="4098" t="n"/>
      <c r="P13" s="832" t="inlineStr">
        <is>
          <t>郵便番号（</t>
        </is>
      </c>
      <c r="Q13" s="4098" t="n"/>
      <c r="R13" s="4098" t="n"/>
      <c r="S13" s="4098" t="n"/>
      <c r="T13" s="1175" t="inlineStr">
        <is>
          <t>５４０－０００８</t>
        </is>
      </c>
      <c r="U13" s="4098" t="n"/>
      <c r="V13" s="4098" t="n"/>
      <c r="W13" s="4098" t="n"/>
      <c r="X13" s="4098" t="n"/>
      <c r="Y13" s="933" t="inlineStr">
        <is>
          <t>）</t>
        </is>
      </c>
      <c r="Z13" s="1017" t="n"/>
      <c r="AA13" s="1017" t="n"/>
      <c r="AB13" s="1017" t="n"/>
      <c r="AC13" s="1017" t="n"/>
      <c r="AD13" s="1017" t="n"/>
      <c r="AE13" s="1017" t="n"/>
      <c r="AF13" s="1017" t="n"/>
      <c r="AG13" s="1017" t="n"/>
      <c r="AH13" s="1424" t="n"/>
    </row>
    <row r="14" ht="18" customHeight="1" s="4080">
      <c r="A14" s="4097" t="n"/>
      <c r="B14" s="4107" t="n"/>
      <c r="C14" s="4112" t="inlineStr">
        <is>
          <t>氏名</t>
        </is>
      </c>
      <c r="D14" s="4098" t="n"/>
      <c r="E14" s="4099" t="n"/>
      <c r="F14" s="4165" t="inlineStr">
        <is>
          <t>大阪　太郎</t>
        </is>
      </c>
      <c r="G14" s="4098" t="n"/>
      <c r="H14" s="4098" t="n"/>
      <c r="I14" s="4098" t="n"/>
      <c r="J14" s="4098" t="n"/>
      <c r="K14" s="4098" t="n"/>
      <c r="L14" s="4098" t="n"/>
      <c r="M14" s="4099" t="n"/>
      <c r="N14" s="4106" t="n"/>
      <c r="P14" s="4166" t="inlineStr">
        <is>
          <t>大阪府大阪市中央区大手前○丁目○番○号　○○マンション○○○号室</t>
        </is>
      </c>
      <c r="AH14" s="4109" t="n"/>
    </row>
    <row r="15" ht="18" customFormat="1" customHeight="1" s="936">
      <c r="A15" s="4097" t="n"/>
      <c r="B15" s="4107" t="n"/>
      <c r="C15" s="4102" t="n"/>
      <c r="D15" s="4103" t="n"/>
      <c r="E15" s="4104" t="n"/>
      <c r="F15" s="4102" t="n"/>
      <c r="G15" s="4103" t="n"/>
      <c r="H15" s="4103" t="n"/>
      <c r="I15" s="4103" t="n"/>
      <c r="J15" s="4103" t="n"/>
      <c r="K15" s="4103" t="n"/>
      <c r="L15" s="4103" t="n"/>
      <c r="M15" s="4104" t="n"/>
      <c r="N15" s="4102" t="n"/>
      <c r="O15" s="4103" t="n"/>
      <c r="P15" s="4102" t="n"/>
      <c r="Q15" s="4103" t="n"/>
      <c r="R15" s="4103" t="n"/>
      <c r="S15" s="4103" t="n"/>
      <c r="T15" s="4103" t="n"/>
      <c r="U15" s="4103" t="n"/>
      <c r="V15" s="4103" t="n"/>
      <c r="W15" s="4103" t="n"/>
      <c r="X15" s="4103" t="n"/>
      <c r="Y15" s="4103" t="n"/>
      <c r="Z15" s="4103" t="n"/>
      <c r="AA15" s="4103" t="n"/>
      <c r="AB15" s="4103" t="n"/>
      <c r="AC15" s="4103" t="n"/>
      <c r="AD15" s="4103" t="n"/>
      <c r="AE15" s="4103" t="n"/>
      <c r="AF15" s="4103" t="n"/>
      <c r="AG15" s="4103" t="n"/>
      <c r="AH15" s="4105" t="n"/>
    </row>
    <row r="16" ht="15" customFormat="1" customHeight="1" s="936">
      <c r="A16" s="4097" t="n"/>
      <c r="B16" s="4107" t="n"/>
      <c r="C16" s="4121" t="inlineStr">
        <is>
          <t>他の職務との兼務の状況（兼務がある場合のみ記入）</t>
        </is>
      </c>
      <c r="D16" s="4110" t="n"/>
      <c r="E16" s="4110" t="n"/>
      <c r="F16" s="4110" t="n"/>
      <c r="G16" s="4110" t="n"/>
      <c r="H16" s="4110" t="n"/>
      <c r="I16" s="4110" t="n"/>
      <c r="J16" s="4110" t="n"/>
      <c r="K16" s="4110" t="n"/>
      <c r="L16" s="4110" t="n"/>
      <c r="M16" s="4110" t="n"/>
      <c r="N16" s="4110" t="n"/>
      <c r="O16" s="4110" t="n"/>
      <c r="P16" s="4110" t="n"/>
      <c r="Q16" s="4110" t="n"/>
      <c r="R16" s="4110" t="n"/>
      <c r="S16" s="4110" t="n"/>
      <c r="T16" s="4110" t="n"/>
      <c r="U16" s="4110" t="n"/>
      <c r="V16" s="4110" t="n"/>
      <c r="W16" s="4110" t="n"/>
      <c r="X16" s="4110" t="n"/>
      <c r="Y16" s="4110" t="n"/>
      <c r="Z16" s="4110" t="n"/>
      <c r="AA16" s="4110" t="n"/>
      <c r="AB16" s="4110" t="n"/>
      <c r="AC16" s="4110" t="n"/>
      <c r="AD16" s="4110" t="n"/>
      <c r="AE16" s="4110" t="n"/>
      <c r="AF16" s="4110" t="n"/>
      <c r="AG16" s="4110" t="n"/>
      <c r="AH16" s="4113" t="n"/>
    </row>
    <row r="17" ht="15" customFormat="1" customHeight="1" s="936">
      <c r="A17" s="4097" t="n"/>
      <c r="B17" s="4107" t="n"/>
      <c r="C17" s="957" t="n"/>
      <c r="D17" s="1690" t="inlineStr">
        <is>
          <t>当該事業所内での他の職務との兼務</t>
        </is>
      </c>
      <c r="E17" s="4098" t="n"/>
      <c r="F17" s="4098" t="n"/>
      <c r="G17" s="4098" t="n"/>
      <c r="H17" s="4098" t="n"/>
      <c r="I17" s="4098" t="n"/>
      <c r="J17" s="4098" t="n"/>
      <c r="K17" s="4099" t="n"/>
      <c r="L17" s="988" t="inlineStr">
        <is>
          <t>職種</t>
        </is>
      </c>
      <c r="M17" s="4099" t="n"/>
      <c r="N17" s="4167" t="inlineStr">
        <is>
          <t>サービス提供責任者</t>
        </is>
      </c>
      <c r="O17" s="4098" t="n"/>
      <c r="P17" s="4098" t="n"/>
      <c r="Q17" s="4098" t="n"/>
      <c r="R17" s="4098" t="n"/>
      <c r="S17" s="4098" t="n"/>
      <c r="T17" s="4098" t="n"/>
      <c r="U17" s="4098" t="n"/>
      <c r="V17" s="4098" t="n"/>
      <c r="W17" s="4098" t="n"/>
      <c r="X17" s="4098" t="n"/>
      <c r="Y17" s="4098" t="n"/>
      <c r="Z17" s="4098" t="n"/>
      <c r="AA17" s="4098" t="n"/>
      <c r="AB17" s="4098" t="n"/>
      <c r="AC17" s="4098" t="n"/>
      <c r="AD17" s="4098" t="n"/>
      <c r="AE17" s="4098" t="n"/>
      <c r="AF17" s="4098" t="n"/>
      <c r="AG17" s="4098" t="n"/>
      <c r="AH17" s="4101" t="n"/>
    </row>
    <row r="18" ht="15" customFormat="1" customHeight="1" s="936">
      <c r="A18" s="4097" t="n"/>
      <c r="B18" s="4107" t="n"/>
      <c r="C18" s="4122" t="n"/>
      <c r="D18" s="4103" t="n"/>
      <c r="E18" s="4103" t="n"/>
      <c r="F18" s="4103" t="n"/>
      <c r="G18" s="4103" t="n"/>
      <c r="H18" s="4103" t="n"/>
      <c r="I18" s="4103" t="n"/>
      <c r="J18" s="4103" t="n"/>
      <c r="K18" s="4104" t="n"/>
      <c r="L18" s="4102" t="n"/>
      <c r="M18" s="4104" t="n"/>
      <c r="N18" s="4103" t="n"/>
      <c r="O18" s="4103" t="n"/>
      <c r="P18" s="4103" t="n"/>
      <c r="Q18" s="4103" t="n"/>
      <c r="R18" s="4103" t="n"/>
      <c r="S18" s="4103" t="n"/>
      <c r="T18" s="4103" t="n"/>
      <c r="U18" s="4103" t="n"/>
      <c r="V18" s="4103" t="n"/>
      <c r="W18" s="4103" t="n"/>
      <c r="X18" s="4103" t="n"/>
      <c r="Y18" s="4103" t="n"/>
      <c r="Z18" s="4103" t="n"/>
      <c r="AA18" s="4103" t="n"/>
      <c r="AB18" s="4103" t="n"/>
      <c r="AC18" s="4103" t="n"/>
      <c r="AD18" s="4103" t="n"/>
      <c r="AE18" s="4103" t="n"/>
      <c r="AF18" s="4103" t="n"/>
      <c r="AG18" s="4103" t="n"/>
      <c r="AH18" s="4105" t="n"/>
    </row>
    <row r="19" ht="15" customFormat="1" customHeight="1" s="936">
      <c r="A19" s="4097" t="n"/>
      <c r="B19" s="4107" t="n"/>
      <c r="C19" s="4122" t="n"/>
      <c r="D19" s="1688" t="inlineStr">
        <is>
          <t>同一敷地内の他の事業所又は施設の職務との兼務</t>
        </is>
      </c>
      <c r="E19" s="4098" t="n"/>
      <c r="F19" s="4098" t="n"/>
      <c r="G19" s="4098" t="n"/>
      <c r="H19" s="4098" t="n"/>
      <c r="I19" s="4123" t="inlineStr">
        <is>
          <t>事業所又は施設の名称及び事業又は施設の種類</t>
        </is>
      </c>
      <c r="J19" s="4098" t="n"/>
      <c r="K19" s="4098" t="n"/>
      <c r="L19" s="4098" t="n"/>
      <c r="M19" s="4098" t="n"/>
      <c r="N19" s="4098" t="n"/>
      <c r="O19" s="4098" t="n"/>
      <c r="P19" s="4099" t="n"/>
      <c r="Q19" s="4168" t="inlineStr">
        <is>
          <t>中之島ヘルパーステーション、訪問介護、介護予防訪問介護</t>
        </is>
      </c>
      <c r="R19" s="4098" t="n"/>
      <c r="S19" s="4098" t="n"/>
      <c r="T19" s="4098" t="n"/>
      <c r="U19" s="4098" t="n"/>
      <c r="V19" s="4098" t="n"/>
      <c r="W19" s="4098" t="n"/>
      <c r="X19" s="4098" t="n"/>
      <c r="Y19" s="4098" t="n"/>
      <c r="Z19" s="4098" t="n"/>
      <c r="AA19" s="4098" t="n"/>
      <c r="AB19" s="4098" t="n"/>
      <c r="AC19" s="4098" t="n"/>
      <c r="AD19" s="4098" t="n"/>
      <c r="AE19" s="4098" t="n"/>
      <c r="AF19" s="4098" t="n"/>
      <c r="AG19" s="4098" t="n"/>
      <c r="AH19" s="4101" t="n"/>
    </row>
    <row r="20" ht="15" customFormat="1" customHeight="1" s="936">
      <c r="A20" s="4097" t="n"/>
      <c r="B20" s="4107" t="n"/>
      <c r="C20" s="4122" t="n"/>
      <c r="D20" s="4106" t="n"/>
      <c r="I20" s="4102" t="n"/>
      <c r="J20" s="4103" t="n"/>
      <c r="K20" s="4103" t="n"/>
      <c r="L20" s="4103" t="n"/>
      <c r="M20" s="4103" t="n"/>
      <c r="N20" s="4103" t="n"/>
      <c r="O20" s="4103" t="n"/>
      <c r="P20" s="4104" t="n"/>
      <c r="Q20" s="4102" t="n"/>
      <c r="R20" s="4103" t="n"/>
      <c r="S20" s="4103" t="n"/>
      <c r="T20" s="4103" t="n"/>
      <c r="U20" s="4103" t="n"/>
      <c r="V20" s="4103" t="n"/>
      <c r="W20" s="4103" t="n"/>
      <c r="X20" s="4103" t="n"/>
      <c r="Y20" s="4103" t="n"/>
      <c r="Z20" s="4103" t="n"/>
      <c r="AA20" s="4103" t="n"/>
      <c r="AB20" s="4103" t="n"/>
      <c r="AC20" s="4103" t="n"/>
      <c r="AD20" s="4103" t="n"/>
      <c r="AE20" s="4103" t="n"/>
      <c r="AF20" s="4103" t="n"/>
      <c r="AG20" s="4103" t="n"/>
      <c r="AH20" s="4105" t="n"/>
    </row>
    <row r="21" ht="15" customFormat="1" customHeight="1" s="936">
      <c r="A21" s="4097" t="n"/>
      <c r="B21" s="4107" t="n"/>
      <c r="C21" s="4122" t="n"/>
      <c r="D21" s="4106" t="n"/>
      <c r="I21" s="4123" t="inlineStr">
        <is>
          <t>兼務する職種及び勤務時間</t>
        </is>
      </c>
      <c r="J21" s="4098" t="n"/>
      <c r="K21" s="4098" t="n"/>
      <c r="L21" s="4098" t="n"/>
      <c r="M21" s="4098" t="n"/>
      <c r="N21" s="4098" t="n"/>
      <c r="O21" s="4098" t="n"/>
      <c r="P21" s="4099" t="n"/>
      <c r="Q21" s="1212" t="inlineStr">
        <is>
          <t>管理者兼サービス提供責任者、９：００～１８：００</t>
        </is>
      </c>
      <c r="R21" s="4098" t="n"/>
      <c r="S21" s="4098" t="n"/>
      <c r="T21" s="4098" t="n"/>
      <c r="U21" s="4098" t="n"/>
      <c r="V21" s="4098" t="n"/>
      <c r="W21" s="4098" t="n"/>
      <c r="X21" s="4098" t="n"/>
      <c r="Y21" s="4098" t="n"/>
      <c r="Z21" s="4098" t="n"/>
      <c r="AA21" s="4098" t="n"/>
      <c r="AB21" s="4098" t="n"/>
      <c r="AC21" s="4098" t="n"/>
      <c r="AD21" s="4098" t="n"/>
      <c r="AE21" s="4098" t="n"/>
      <c r="AF21" s="4098" t="n"/>
      <c r="AG21" s="4098" t="n"/>
      <c r="AH21" s="4101" t="n"/>
    </row>
    <row r="22" ht="15" customFormat="1" customHeight="1" s="936">
      <c r="A22" s="4097" t="n"/>
      <c r="B22" s="4107" t="n"/>
      <c r="C22" s="4124" t="n"/>
      <c r="D22" s="4102" t="n"/>
      <c r="E22" s="4103" t="n"/>
      <c r="F22" s="4103" t="n"/>
      <c r="G22" s="4103" t="n"/>
      <c r="H22" s="4103" t="n"/>
      <c r="I22" s="4102" t="n"/>
      <c r="J22" s="4103" t="n"/>
      <c r="K22" s="4103" t="n"/>
      <c r="L22" s="4103" t="n"/>
      <c r="M22" s="4103" t="n"/>
      <c r="N22" s="4103" t="n"/>
      <c r="O22" s="4103" t="n"/>
      <c r="P22" s="4104" t="n"/>
      <c r="Q22" s="4103" t="n"/>
      <c r="R22" s="4103" t="n"/>
      <c r="S22" s="4103" t="n"/>
      <c r="T22" s="4103" t="n"/>
      <c r="U22" s="4103" t="n"/>
      <c r="V22" s="4103" t="n"/>
      <c r="W22" s="4103" t="n"/>
      <c r="X22" s="4103" t="n"/>
      <c r="Y22" s="4103" t="n"/>
      <c r="Z22" s="4103" t="n"/>
      <c r="AA22" s="4103" t="n"/>
      <c r="AB22" s="4103" t="n"/>
      <c r="AC22" s="4103" t="n"/>
      <c r="AD22" s="4103" t="n"/>
      <c r="AE22" s="4103" t="n"/>
      <c r="AF22" s="4103" t="n"/>
      <c r="AG22" s="4103" t="n"/>
      <c r="AH22" s="4105" t="n"/>
    </row>
    <row r="23" ht="15" customHeight="1" s="4080">
      <c r="A23" s="4125" t="inlineStr">
        <is>
          <t>サービス提供責任者</t>
        </is>
      </c>
      <c r="B23" s="4099" t="n"/>
      <c r="C23" s="4112" t="inlineStr">
        <is>
          <t>ﾌﾘｶﾞﾅ</t>
        </is>
      </c>
      <c r="D23" s="4110" t="n"/>
      <c r="E23" s="4111" t="n"/>
      <c r="F23" s="4165" t="inlineStr">
        <is>
          <t>ｵｵｻｶ ﾀﾛｳ</t>
        </is>
      </c>
      <c r="G23" s="4110" t="n"/>
      <c r="H23" s="4110" t="n"/>
      <c r="I23" s="4110" t="n"/>
      <c r="J23" s="4110" t="n"/>
      <c r="K23" s="4110" t="n"/>
      <c r="L23" s="4110" t="n"/>
      <c r="M23" s="4111" t="n"/>
      <c r="N23" s="988" t="inlineStr">
        <is>
          <t>住所</t>
        </is>
      </c>
      <c r="O23" s="4099" t="n"/>
      <c r="P23" s="832" t="inlineStr">
        <is>
          <t>郵便番号（</t>
        </is>
      </c>
      <c r="Q23" s="4098" t="n"/>
      <c r="R23" s="4098" t="n"/>
      <c r="S23" s="4098" t="n"/>
      <c r="T23" s="1148" t="inlineStr">
        <is>
          <t>５４０－０００８</t>
        </is>
      </c>
      <c r="U23" s="4098" t="n"/>
      <c r="V23" s="4098" t="n"/>
      <c r="W23" s="4098" t="n"/>
      <c r="X23" s="4098" t="n"/>
      <c r="Y23" s="933" t="inlineStr">
        <is>
          <t>）</t>
        </is>
      </c>
      <c r="Z23" s="1017" t="n"/>
      <c r="AA23" s="3273" t="inlineStr">
        <is>
          <t>資格</t>
        </is>
      </c>
      <c r="AB23" s="4099" t="n"/>
      <c r="AC23" s="4169" t="inlineStr">
        <is>
          <t>介護福祉士</t>
        </is>
      </c>
      <c r="AD23" s="4098" t="n"/>
      <c r="AE23" s="4098" t="n"/>
      <c r="AF23" s="4098" t="n"/>
      <c r="AG23" s="4098" t="n"/>
      <c r="AH23" s="4101" t="n"/>
    </row>
    <row r="24" ht="15" customHeight="1" s="4080">
      <c r="A24" s="4097" t="n"/>
      <c r="B24" s="4107" t="n"/>
      <c r="C24" s="4127" t="inlineStr">
        <is>
          <t>氏　　名</t>
        </is>
      </c>
      <c r="D24" s="4098" t="n"/>
      <c r="E24" s="4099" t="n"/>
      <c r="F24" s="4165" t="inlineStr">
        <is>
          <t>大阪　太郎</t>
        </is>
      </c>
      <c r="G24" s="4098" t="n"/>
      <c r="H24" s="4098" t="n"/>
      <c r="I24" s="4098" t="n"/>
      <c r="J24" s="4098" t="n"/>
      <c r="K24" s="4098" t="n"/>
      <c r="L24" s="4098" t="n"/>
      <c r="M24" s="4099" t="n"/>
      <c r="N24" s="4106" t="n"/>
      <c r="O24" s="4107" t="n"/>
      <c r="P24" s="4170" t="inlineStr">
        <is>
          <t>大阪府大阪市中央区大手前○丁目○番○号　○○マンション○○○号室</t>
        </is>
      </c>
      <c r="Z24" s="4107" t="n"/>
      <c r="AA24" s="4106" t="n"/>
      <c r="AB24" s="4107" t="n"/>
      <c r="AC24" s="4106" t="n"/>
      <c r="AH24" s="4109" t="n"/>
    </row>
    <row r="25" ht="15" customHeight="1" s="4080">
      <c r="A25" s="4097" t="n"/>
      <c r="B25" s="4107" t="n"/>
      <c r="C25" s="4106" t="n"/>
      <c r="E25" s="4107" t="n"/>
      <c r="F25" s="4106" t="n"/>
      <c r="M25" s="4107" t="n"/>
      <c r="N25" s="4106" t="n"/>
      <c r="O25" s="4107" t="n"/>
      <c r="P25" s="4106" t="n"/>
      <c r="Z25" s="4107" t="n"/>
      <c r="AA25" s="4106" t="n"/>
      <c r="AB25" s="4107" t="n"/>
      <c r="AC25" s="4106" t="n"/>
      <c r="AH25" s="4109" t="n"/>
    </row>
    <row r="26" ht="4.5" customHeight="1" s="4080">
      <c r="A26" s="4097" t="n"/>
      <c r="B26" s="4107" t="n"/>
      <c r="C26" s="4102" t="n"/>
      <c r="D26" s="4103" t="n"/>
      <c r="E26" s="4104" t="n"/>
      <c r="F26" s="4102" t="n"/>
      <c r="G26" s="4103" t="n"/>
      <c r="H26" s="4103" t="n"/>
      <c r="I26" s="4103" t="n"/>
      <c r="J26" s="4103" t="n"/>
      <c r="K26" s="4103" t="n"/>
      <c r="L26" s="4103" t="n"/>
      <c r="M26" s="4104" t="n"/>
      <c r="N26" s="4102" t="n"/>
      <c r="O26" s="4104" t="n"/>
      <c r="P26" s="4102" t="n"/>
      <c r="Q26" s="4103" t="n"/>
      <c r="R26" s="4103" t="n"/>
      <c r="S26" s="4103" t="n"/>
      <c r="T26" s="4103" t="n"/>
      <c r="U26" s="4103" t="n"/>
      <c r="V26" s="4103" t="n"/>
      <c r="W26" s="4103" t="n"/>
      <c r="X26" s="4103" t="n"/>
      <c r="Y26" s="4103" t="n"/>
      <c r="Z26" s="4104" t="n"/>
      <c r="AA26" s="4102" t="n"/>
      <c r="AB26" s="4104" t="n"/>
      <c r="AC26" s="4102" t="n"/>
      <c r="AD26" s="4103" t="n"/>
      <c r="AE26" s="4103" t="n"/>
      <c r="AF26" s="4103" t="n"/>
      <c r="AG26" s="4103" t="n"/>
      <c r="AH26" s="4105" t="n"/>
    </row>
    <row r="27" ht="15" customHeight="1" s="4080">
      <c r="A27" s="4097" t="n"/>
      <c r="B27" s="4107" t="n"/>
      <c r="C27" s="4112" t="inlineStr">
        <is>
          <t>ﾌﾘｶﾞﾅ</t>
        </is>
      </c>
      <c r="D27" s="4110" t="n"/>
      <c r="E27" s="4111" t="n"/>
      <c r="F27" s="4165" t="inlineStr">
        <is>
          <t>ﾖﾄﾞﾔﾊﾞｼ ﾊﾅｺ</t>
        </is>
      </c>
      <c r="G27" s="4110" t="n"/>
      <c r="H27" s="4110" t="n"/>
      <c r="I27" s="4110" t="n"/>
      <c r="J27" s="4110" t="n"/>
      <c r="K27" s="4110" t="n"/>
      <c r="L27" s="4110" t="n"/>
      <c r="M27" s="4111" t="n"/>
      <c r="N27" s="988" t="inlineStr">
        <is>
          <t>住所</t>
        </is>
      </c>
      <c r="O27" s="4099" t="n"/>
      <c r="P27" s="832" t="inlineStr">
        <is>
          <t>郵便番号（</t>
        </is>
      </c>
      <c r="Q27" s="4098" t="n"/>
      <c r="R27" s="4098" t="n"/>
      <c r="S27" s="4098" t="n"/>
      <c r="T27" s="1148" t="inlineStr">
        <is>
          <t>５４０－０００８</t>
        </is>
      </c>
      <c r="U27" s="4098" t="n"/>
      <c r="V27" s="4098" t="n"/>
      <c r="W27" s="4098" t="n"/>
      <c r="X27" s="4098" t="n"/>
      <c r="Y27" s="933" t="inlineStr">
        <is>
          <t>）</t>
        </is>
      </c>
      <c r="Z27" s="1017" t="n"/>
      <c r="AA27" s="3273" t="inlineStr">
        <is>
          <t>資格</t>
        </is>
      </c>
      <c r="AB27" s="4099" t="n"/>
      <c r="AC27" s="4169" t="inlineStr">
        <is>
          <t>介護職員基礎研修</t>
        </is>
      </c>
      <c r="AD27" s="4098" t="n"/>
      <c r="AE27" s="4098" t="n"/>
      <c r="AF27" s="4098" t="n"/>
      <c r="AG27" s="4098" t="n"/>
      <c r="AH27" s="4101" t="n"/>
    </row>
    <row r="28" ht="15" customHeight="1" s="4080">
      <c r="A28" s="4097" t="n"/>
      <c r="B28" s="4107" t="n"/>
      <c r="C28" s="4127" t="inlineStr">
        <is>
          <t>氏　　名</t>
        </is>
      </c>
      <c r="D28" s="4098" t="n"/>
      <c r="E28" s="4099" t="n"/>
      <c r="F28" s="4171" t="inlineStr">
        <is>
          <t>淀屋橋　花子</t>
        </is>
      </c>
      <c r="G28" s="4098" t="n"/>
      <c r="H28" s="4098" t="n"/>
      <c r="I28" s="4098" t="n"/>
      <c r="J28" s="4098" t="n"/>
      <c r="K28" s="4098" t="n"/>
      <c r="L28" s="4098" t="n"/>
      <c r="M28" s="4099" t="n"/>
      <c r="N28" s="4106" t="n"/>
      <c r="O28" s="4107" t="n"/>
      <c r="P28" s="4170" t="inlineStr">
        <is>
          <t>大阪府大阪市中央区大手前△丁目△番△号</t>
        </is>
      </c>
      <c r="Z28" s="4107" t="n"/>
      <c r="AA28" s="4106" t="n"/>
      <c r="AB28" s="4107" t="n"/>
      <c r="AC28" s="4106" t="n"/>
      <c r="AH28" s="4109" t="n"/>
    </row>
    <row r="29" ht="15" customHeight="1" s="4080">
      <c r="A29" s="4097" t="n"/>
      <c r="B29" s="4107" t="n"/>
      <c r="C29" s="4106" t="n"/>
      <c r="E29" s="4107" t="n"/>
      <c r="F29" s="4106" t="n"/>
      <c r="M29" s="4107" t="n"/>
      <c r="N29" s="4106" t="n"/>
      <c r="O29" s="4107" t="n"/>
      <c r="P29" s="4106" t="n"/>
      <c r="Z29" s="4107" t="n"/>
      <c r="AA29" s="4106" t="n"/>
      <c r="AB29" s="4107" t="n"/>
      <c r="AC29" s="4106" t="n"/>
      <c r="AH29" s="4109" t="n"/>
    </row>
    <row r="30" ht="3" customHeight="1" s="4080">
      <c r="A30" s="4097" t="n"/>
      <c r="B30" s="4107" t="n"/>
      <c r="C30" s="4102" t="n"/>
      <c r="D30" s="4103" t="n"/>
      <c r="E30" s="4104" t="n"/>
      <c r="F30" s="4102" t="n"/>
      <c r="G30" s="4103" t="n"/>
      <c r="H30" s="4103" t="n"/>
      <c r="I30" s="4103" t="n"/>
      <c r="J30" s="4103" t="n"/>
      <c r="K30" s="4103" t="n"/>
      <c r="L30" s="4103" t="n"/>
      <c r="M30" s="4104" t="n"/>
      <c r="N30" s="4102" t="n"/>
      <c r="O30" s="4104" t="n"/>
      <c r="P30" s="4102" t="n"/>
      <c r="Q30" s="4103" t="n"/>
      <c r="R30" s="4103" t="n"/>
      <c r="S30" s="4103" t="n"/>
      <c r="T30" s="4103" t="n"/>
      <c r="U30" s="4103" t="n"/>
      <c r="V30" s="4103" t="n"/>
      <c r="W30" s="4103" t="n"/>
      <c r="X30" s="4103" t="n"/>
      <c r="Y30" s="4103" t="n"/>
      <c r="Z30" s="4104" t="n"/>
      <c r="AA30" s="4102" t="n"/>
      <c r="AB30" s="4104" t="n"/>
      <c r="AC30" s="4102" t="n"/>
      <c r="AD30" s="4103" t="n"/>
      <c r="AE30" s="4103" t="n"/>
      <c r="AF30" s="4103" t="n"/>
      <c r="AG30" s="4103" t="n"/>
      <c r="AH30" s="4105" t="n"/>
    </row>
    <row r="31" ht="15" customHeight="1" s="4080">
      <c r="A31" s="4097" t="n"/>
      <c r="B31" s="4107" t="n"/>
      <c r="C31" s="4112" t="inlineStr">
        <is>
          <t>ﾌﾘｶﾞﾅ</t>
        </is>
      </c>
      <c r="D31" s="4110" t="n"/>
      <c r="E31" s="4111" t="n"/>
      <c r="F31" s="988" t="n"/>
      <c r="G31" s="4110" t="n"/>
      <c r="H31" s="4110" t="n"/>
      <c r="I31" s="4110" t="n"/>
      <c r="J31" s="4110" t="n"/>
      <c r="K31" s="4110" t="n"/>
      <c r="L31" s="4110" t="n"/>
      <c r="M31" s="4111" t="n"/>
      <c r="N31" s="988" t="inlineStr">
        <is>
          <t>住所</t>
        </is>
      </c>
      <c r="O31" s="4099" t="n"/>
      <c r="P31" s="832" t="inlineStr">
        <is>
          <t>郵便番号（</t>
        </is>
      </c>
      <c r="Q31" s="4098" t="n"/>
      <c r="R31" s="4098" t="n"/>
      <c r="S31" s="4098" t="n"/>
      <c r="T31" s="3077" t="n"/>
      <c r="U31" s="4098" t="n"/>
      <c r="V31" s="4098" t="n"/>
      <c r="W31" s="4098" t="n"/>
      <c r="X31" s="4098" t="n"/>
      <c r="Y31" s="933" t="inlineStr">
        <is>
          <t>）</t>
        </is>
      </c>
      <c r="Z31" s="1017" t="n"/>
      <c r="AA31" s="3273" t="inlineStr">
        <is>
          <t>資格</t>
        </is>
      </c>
      <c r="AB31" s="4099" t="n"/>
      <c r="AC31" s="4126" t="inlineStr">
        <is>
          <t xml:space="preserve">　</t>
        </is>
      </c>
      <c r="AD31" s="4098" t="n"/>
      <c r="AE31" s="4098" t="n"/>
      <c r="AF31" s="4098" t="n"/>
      <c r="AG31" s="4098" t="n"/>
      <c r="AH31" s="4101" t="n"/>
    </row>
    <row r="32" ht="15" customHeight="1" s="4080">
      <c r="A32" s="4097" t="n"/>
      <c r="B32" s="4107" t="n"/>
      <c r="C32" s="4127" t="inlineStr">
        <is>
          <t>氏　　名</t>
        </is>
      </c>
      <c r="D32" s="4098" t="n"/>
      <c r="E32" s="4099" t="n"/>
      <c r="F32" s="988" t="n"/>
      <c r="G32" s="4098" t="n"/>
      <c r="H32" s="4098" t="n"/>
      <c r="I32" s="4098" t="n"/>
      <c r="J32" s="4098" t="n"/>
      <c r="K32" s="4098" t="n"/>
      <c r="L32" s="4098" t="n"/>
      <c r="M32" s="4099" t="n"/>
      <c r="N32" s="4106" t="n"/>
      <c r="O32" s="4107" t="n"/>
      <c r="P32" s="4128" t="n"/>
      <c r="Z32" s="4107" t="n"/>
      <c r="AA32" s="4106" t="n"/>
      <c r="AB32" s="4107" t="n"/>
      <c r="AC32" s="4106" t="n"/>
      <c r="AH32" s="4109" t="n"/>
    </row>
    <row r="33" ht="15" customHeight="1" s="4080">
      <c r="A33" s="4097" t="n"/>
      <c r="B33" s="4107" t="n"/>
      <c r="C33" s="4106" t="n"/>
      <c r="E33" s="4107" t="n"/>
      <c r="F33" s="4106" t="n"/>
      <c r="M33" s="4107" t="n"/>
      <c r="N33" s="4106" t="n"/>
      <c r="O33" s="4107" t="n"/>
      <c r="P33" s="4106" t="n"/>
      <c r="Z33" s="4107" t="n"/>
      <c r="AA33" s="4106" t="n"/>
      <c r="AB33" s="4107" t="n"/>
      <c r="AC33" s="4106" t="n"/>
      <c r="AH33" s="4109" t="n"/>
    </row>
    <row r="34" ht="3" customHeight="1" s="4080">
      <c r="A34" s="4114" t="n"/>
      <c r="B34" s="4104" t="n"/>
      <c r="C34" s="4102" t="n"/>
      <c r="D34" s="4103" t="n"/>
      <c r="E34" s="4104" t="n"/>
      <c r="F34" s="4102" t="n"/>
      <c r="G34" s="4103" t="n"/>
      <c r="H34" s="4103" t="n"/>
      <c r="I34" s="4103" t="n"/>
      <c r="J34" s="4103" t="n"/>
      <c r="K34" s="4103" t="n"/>
      <c r="L34" s="4103" t="n"/>
      <c r="M34" s="4104" t="n"/>
      <c r="N34" s="4102" t="n"/>
      <c r="O34" s="4104" t="n"/>
      <c r="P34" s="4102" t="n"/>
      <c r="Q34" s="4103" t="n"/>
      <c r="R34" s="4103" t="n"/>
      <c r="S34" s="4103" t="n"/>
      <c r="T34" s="4103" t="n"/>
      <c r="U34" s="4103" t="n"/>
      <c r="V34" s="4103" t="n"/>
      <c r="W34" s="4103" t="n"/>
      <c r="X34" s="4103" t="n"/>
      <c r="Y34" s="4103" t="n"/>
      <c r="Z34" s="4104" t="n"/>
      <c r="AA34" s="4102" t="n"/>
      <c r="AB34" s="4104" t="n"/>
      <c r="AC34" s="4102" t="n"/>
      <c r="AD34" s="4103" t="n"/>
      <c r="AE34" s="4103" t="n"/>
      <c r="AF34" s="4103" t="n"/>
      <c r="AG34" s="4103" t="n"/>
      <c r="AH34" s="4105" t="n"/>
    </row>
    <row r="35" ht="15" customFormat="1" customHeight="1" s="936">
      <c r="A35" s="4172" t="inlineStr">
        <is>
          <t>従　業　者</t>
        </is>
      </c>
      <c r="B35" s="4099" t="n"/>
      <c r="C35" s="4130" t="n"/>
      <c r="D35" s="4098" t="n"/>
      <c r="E35" s="4098" t="n"/>
      <c r="F35" s="4098" t="n"/>
      <c r="G35" s="4098" t="n"/>
      <c r="H35" s="4098" t="n"/>
      <c r="I35" s="4099" t="n"/>
      <c r="J35" s="4115" t="inlineStr">
        <is>
          <t>従　業　者・サービス提供責任者</t>
        </is>
      </c>
      <c r="K35" s="4110" t="n"/>
      <c r="L35" s="4110" t="n"/>
      <c r="M35" s="4110" t="n"/>
      <c r="N35" s="4110" t="n"/>
      <c r="O35" s="4110" t="n"/>
      <c r="P35" s="4110" t="n"/>
      <c r="Q35" s="4110" t="n"/>
      <c r="R35" s="4110" t="n"/>
      <c r="S35" s="4110" t="n"/>
      <c r="T35" s="4110" t="n"/>
      <c r="U35" s="4110" t="n"/>
      <c r="V35" s="4110" t="n"/>
      <c r="W35" s="4111" t="n"/>
      <c r="X35" s="4131" t="inlineStr">
        <is>
          <t xml:space="preserve">　</t>
        </is>
      </c>
      <c r="Y35" s="4098" t="n"/>
      <c r="Z35" s="4098" t="n"/>
      <c r="AA35" s="4098" t="n"/>
      <c r="AB35" s="4098" t="n"/>
      <c r="AC35" s="4098" t="n"/>
      <c r="AD35" s="4098" t="n"/>
      <c r="AE35" s="4098" t="n"/>
      <c r="AF35" s="4098" t="n"/>
      <c r="AG35" s="4098" t="n"/>
      <c r="AH35" s="4101" t="n"/>
    </row>
    <row r="36" ht="15" customFormat="1" customHeight="1" s="936">
      <c r="A36" s="4097" t="n"/>
      <c r="B36" s="4107" t="n"/>
      <c r="C36" s="4102" t="n"/>
      <c r="D36" s="4103" t="n"/>
      <c r="E36" s="4103" t="n"/>
      <c r="F36" s="4103" t="n"/>
      <c r="G36" s="4103" t="n"/>
      <c r="H36" s="4103" t="n"/>
      <c r="I36" s="4104" t="n"/>
      <c r="J36" s="988" t="inlineStr">
        <is>
          <t>専　　従</t>
        </is>
      </c>
      <c r="K36" s="4110" t="n"/>
      <c r="L36" s="4110" t="n"/>
      <c r="M36" s="4110" t="n"/>
      <c r="N36" s="4110" t="n"/>
      <c r="O36" s="4110" t="n"/>
      <c r="P36" s="4111" t="n"/>
      <c r="Q36" s="988" t="inlineStr">
        <is>
          <t>兼　　務</t>
        </is>
      </c>
      <c r="R36" s="4110" t="n"/>
      <c r="S36" s="4110" t="n"/>
      <c r="T36" s="4110" t="n"/>
      <c r="U36" s="4110" t="n"/>
      <c r="V36" s="4110" t="n"/>
      <c r="W36" s="4111" t="n"/>
      <c r="X36" s="4106" t="n"/>
      <c r="AH36" s="4109" t="n"/>
    </row>
    <row r="37" ht="19.5" customFormat="1" customHeight="1" s="936">
      <c r="A37" s="4097" t="n"/>
      <c r="B37" s="4107" t="n"/>
      <c r="C37" s="4132" t="inlineStr">
        <is>
          <t>常勤（人）</t>
        </is>
      </c>
      <c r="D37" s="4098" t="n"/>
      <c r="E37" s="4098" t="n"/>
      <c r="F37" s="4098" t="n"/>
      <c r="G37" s="4098" t="n"/>
      <c r="H37" s="4098" t="n"/>
      <c r="I37" s="4099" t="n"/>
      <c r="J37" s="2179" t="n"/>
      <c r="K37" s="4098" t="n"/>
      <c r="L37" s="4098" t="n"/>
      <c r="M37" s="4098" t="n"/>
      <c r="N37" s="4098" t="n"/>
      <c r="O37" s="4098" t="n"/>
      <c r="P37" s="4099" t="n"/>
      <c r="Q37" s="4173" t="inlineStr">
        <is>
          <t>４</t>
        </is>
      </c>
      <c r="R37" s="4098" t="n"/>
      <c r="S37" s="4098" t="n"/>
      <c r="T37" s="4098" t="n"/>
      <c r="U37" s="4098" t="n"/>
      <c r="V37" s="4098" t="n"/>
      <c r="W37" s="4099" t="n"/>
      <c r="X37" s="4106" t="n"/>
      <c r="AH37" s="4109" t="n"/>
    </row>
    <row r="38" ht="19.5" customFormat="1" customHeight="1" s="936">
      <c r="A38" s="4097" t="n"/>
      <c r="B38" s="4107" t="n"/>
      <c r="C38" s="4133" t="inlineStr">
        <is>
          <t>非常勤（人）</t>
        </is>
      </c>
      <c r="D38" s="4110" t="n"/>
      <c r="E38" s="4110" t="n"/>
      <c r="F38" s="4110" t="n"/>
      <c r="G38" s="4110" t="n"/>
      <c r="H38" s="4110" t="n"/>
      <c r="I38" s="4111" t="n"/>
      <c r="J38" s="988" t="n"/>
      <c r="K38" s="4110" t="n"/>
      <c r="L38" s="4110" t="n"/>
      <c r="M38" s="4110" t="n"/>
      <c r="N38" s="4110" t="n"/>
      <c r="O38" s="4110" t="n"/>
      <c r="P38" s="4111" t="n"/>
      <c r="Q38" s="4171" t="inlineStr">
        <is>
          <t>１５</t>
        </is>
      </c>
      <c r="R38" s="4110" t="n"/>
      <c r="S38" s="4110" t="n"/>
      <c r="T38" s="4110" t="n"/>
      <c r="U38" s="4110" t="n"/>
      <c r="V38" s="4110" t="n"/>
      <c r="W38" s="4111" t="n"/>
      <c r="X38" s="4106" t="n"/>
      <c r="AH38" s="4109" t="n"/>
    </row>
    <row r="39" ht="19.5" customFormat="1" customHeight="1" s="936">
      <c r="A39" s="4114" t="n"/>
      <c r="B39" s="4104" t="n"/>
      <c r="C39" s="4133" t="inlineStr">
        <is>
          <t>常勤換算後の人数</t>
        </is>
      </c>
      <c r="D39" s="4110" t="n"/>
      <c r="E39" s="4110" t="n"/>
      <c r="F39" s="4110" t="n"/>
      <c r="G39" s="4110" t="n"/>
      <c r="H39" s="4110" t="n"/>
      <c r="I39" s="4111" t="n"/>
      <c r="J39" s="4171" t="inlineStr">
        <is>
          <t>１０．４</t>
        </is>
      </c>
      <c r="K39" s="4110" t="n"/>
      <c r="L39" s="4110" t="n"/>
      <c r="M39" s="4110" t="n"/>
      <c r="N39" s="4110" t="n"/>
      <c r="O39" s="4110" t="n"/>
      <c r="P39" s="4110" t="n"/>
      <c r="Q39" s="4110" t="n"/>
      <c r="R39" s="4110" t="n"/>
      <c r="S39" s="4110" t="n"/>
      <c r="T39" s="4110" t="n"/>
      <c r="U39" s="4110" t="n"/>
      <c r="V39" s="4110" t="n"/>
      <c r="W39" s="4111" t="n"/>
      <c r="X39" s="4102" t="n"/>
      <c r="Y39" s="4103" t="n"/>
      <c r="Z39" s="4103" t="n"/>
      <c r="AA39" s="4103" t="n"/>
      <c r="AB39" s="4103" t="n"/>
      <c r="AC39" s="4103" t="n"/>
      <c r="AD39" s="4103" t="n"/>
      <c r="AE39" s="4103" t="n"/>
      <c r="AF39" s="4103" t="n"/>
      <c r="AG39" s="4103" t="n"/>
      <c r="AH39" s="4105" t="n"/>
    </row>
    <row r="40" ht="15" customHeight="1" s="4080">
      <c r="A40" s="4118" t="inlineStr">
        <is>
          <t>主　な　掲　示　事　項</t>
        </is>
      </c>
      <c r="B40" s="4099" t="n"/>
      <c r="C40" s="4127" t="inlineStr">
        <is>
          <t xml:space="preserve">営業日　</t>
        </is>
      </c>
      <c r="D40" s="4098" t="n"/>
      <c r="E40" s="4098" t="n"/>
      <c r="F40" s="4098" t="n"/>
      <c r="G40" s="4099" t="n"/>
      <c r="H40" s="967" t="inlineStr">
        <is>
          <t>日</t>
        </is>
      </c>
      <c r="I40" s="4110" t="n"/>
      <c r="J40" s="988" t="inlineStr">
        <is>
          <t>月</t>
        </is>
      </c>
      <c r="K40" s="4111" t="n"/>
      <c r="L40" s="988" t="inlineStr">
        <is>
          <t>火</t>
        </is>
      </c>
      <c r="M40" s="4111" t="n"/>
      <c r="N40" s="988" t="inlineStr">
        <is>
          <t>水</t>
        </is>
      </c>
      <c r="O40" s="4111" t="n"/>
      <c r="P40" s="988" t="inlineStr">
        <is>
          <t>木</t>
        </is>
      </c>
      <c r="Q40" s="4111" t="n"/>
      <c r="R40" s="988" t="inlineStr">
        <is>
          <t>金</t>
        </is>
      </c>
      <c r="S40" s="4111" t="n"/>
      <c r="T40" s="988" t="inlineStr">
        <is>
          <t>土</t>
        </is>
      </c>
      <c r="U40" s="4111" t="n"/>
      <c r="V40" s="968" t="inlineStr">
        <is>
          <t>祝</t>
        </is>
      </c>
      <c r="W40" s="4111" t="n"/>
      <c r="X40" s="4134" t="inlineStr">
        <is>
          <t>その他年間の休日</t>
        </is>
      </c>
      <c r="Y40" s="4099" t="n"/>
      <c r="Z40" s="1009" t="inlineStr">
        <is>
          <t>年末年始</t>
        </is>
      </c>
      <c r="AA40" s="4098" t="n"/>
      <c r="AB40" s="1124" t="inlineStr">
        <is>
          <t>12/29～1/3</t>
        </is>
      </c>
      <c r="AC40" s="4098" t="n"/>
      <c r="AD40" s="4098" t="n"/>
      <c r="AE40" s="4098" t="n"/>
      <c r="AF40" s="4098" t="n"/>
      <c r="AG40" s="4098" t="n"/>
      <c r="AH40" s="4101" t="n"/>
    </row>
    <row r="41" ht="15" customHeight="1" s="4080">
      <c r="A41" s="4097" t="n"/>
      <c r="B41" s="4107" t="n"/>
      <c r="C41" s="4106" t="n"/>
      <c r="G41" s="4107" t="n"/>
      <c r="H41" s="960" t="inlineStr">
        <is>
          <t xml:space="preserve">　</t>
        </is>
      </c>
      <c r="J41" s="1122" t="inlineStr">
        <is>
          <t>○</t>
        </is>
      </c>
      <c r="K41" s="4107" t="n"/>
      <c r="L41" s="1122" t="inlineStr">
        <is>
          <t>○</t>
        </is>
      </c>
      <c r="M41" s="4107" t="n"/>
      <c r="N41" s="1122" t="inlineStr">
        <is>
          <t>○</t>
        </is>
      </c>
      <c r="O41" s="4107" t="n"/>
      <c r="P41" s="1122" t="inlineStr">
        <is>
          <t>○</t>
        </is>
      </c>
      <c r="Q41" s="4107" t="n"/>
      <c r="R41" s="1122" t="inlineStr">
        <is>
          <t>○</t>
        </is>
      </c>
      <c r="S41" s="4107" t="n"/>
      <c r="T41" s="990" t="n"/>
      <c r="U41" s="4107" t="n"/>
      <c r="V41" s="961" t="n"/>
      <c r="W41" s="4107" t="n"/>
      <c r="X41" s="4106" t="n"/>
      <c r="Y41" s="4107" t="n"/>
      <c r="Z41" s="1010" t="inlineStr">
        <is>
          <t>夏季</t>
        </is>
      </c>
      <c r="AB41" s="1126" t="inlineStr">
        <is>
          <t>8/13～8/16</t>
        </is>
      </c>
      <c r="AH41" s="4109" t="n"/>
    </row>
    <row r="42" ht="15" customHeight="1" s="4080">
      <c r="A42" s="4097" t="n"/>
      <c r="B42" s="4107" t="n"/>
      <c r="C42" s="4102" t="n"/>
      <c r="D42" s="4103" t="n"/>
      <c r="E42" s="4103" t="n"/>
      <c r="F42" s="4103" t="n"/>
      <c r="G42" s="4104" t="n"/>
      <c r="H42" s="4102" t="n"/>
      <c r="I42" s="4103" t="n"/>
      <c r="J42" s="4102" t="n"/>
      <c r="K42" s="4104" t="n"/>
      <c r="L42" s="4102" t="n"/>
      <c r="M42" s="4104" t="n"/>
      <c r="N42" s="4102" t="n"/>
      <c r="O42" s="4104" t="n"/>
      <c r="P42" s="4102" t="n"/>
      <c r="Q42" s="4104" t="n"/>
      <c r="R42" s="4102" t="n"/>
      <c r="S42" s="4104" t="n"/>
      <c r="T42" s="4102" t="n"/>
      <c r="U42" s="4104" t="n"/>
      <c r="V42" s="4103" t="n"/>
      <c r="W42" s="4104" t="n"/>
      <c r="X42" s="4102" t="n"/>
      <c r="Y42" s="4104" t="n"/>
      <c r="Z42" s="1011" t="inlineStr">
        <is>
          <t>その他</t>
        </is>
      </c>
      <c r="AA42" s="4103" t="n"/>
      <c r="AB42" s="996" t="n"/>
      <c r="AC42" s="4103" t="n"/>
      <c r="AD42" s="4103" t="n"/>
      <c r="AE42" s="4103" t="n"/>
      <c r="AF42" s="4103" t="n"/>
      <c r="AG42" s="4103" t="n"/>
      <c r="AH42" s="4105" t="n"/>
    </row>
    <row r="43" ht="19.5" customHeight="1" s="4080">
      <c r="A43" s="4097" t="n"/>
      <c r="B43" s="4107" t="n"/>
      <c r="C43" s="4123" t="inlineStr">
        <is>
          <t xml:space="preserve">営業時間　</t>
        </is>
      </c>
      <c r="D43" s="4098" t="n"/>
      <c r="E43" s="4098" t="n"/>
      <c r="F43" s="4098" t="n"/>
      <c r="G43" s="4099" t="n"/>
      <c r="H43" s="4135" t="inlineStr">
        <is>
          <t>平日</t>
        </is>
      </c>
      <c r="I43" s="4111" t="n"/>
      <c r="J43" s="1131" t="inlineStr">
        <is>
          <t>9：00</t>
        </is>
      </c>
      <c r="K43" s="4098" t="n"/>
      <c r="L43" s="4098" t="n"/>
      <c r="M43" s="993" t="inlineStr">
        <is>
          <t>～</t>
        </is>
      </c>
      <c r="N43" s="1133" t="inlineStr">
        <is>
          <t>18：00</t>
        </is>
      </c>
      <c r="O43" s="4098" t="n"/>
      <c r="P43" s="4099" t="n"/>
      <c r="Q43" s="2179" t="inlineStr">
        <is>
          <t>土曜</t>
        </is>
      </c>
      <c r="R43" s="4099" t="n"/>
      <c r="S43" s="865" t="n"/>
      <c r="T43" s="4098" t="n"/>
      <c r="U43" s="4098" t="n"/>
      <c r="V43" s="993" t="inlineStr">
        <is>
          <t>～</t>
        </is>
      </c>
      <c r="W43" s="867" t="n"/>
      <c r="X43" s="4098" t="n"/>
      <c r="Y43" s="4099" t="n"/>
      <c r="Z43" s="4136" t="inlineStr">
        <is>
          <t>日・祝</t>
        </is>
      </c>
      <c r="AA43" s="4099" t="n"/>
      <c r="AB43" s="865" t="n"/>
      <c r="AC43" s="4098" t="n"/>
      <c r="AD43" s="4098" t="n"/>
      <c r="AE43" s="993" t="inlineStr">
        <is>
          <t>～</t>
        </is>
      </c>
      <c r="AF43" s="1085" t="n"/>
      <c r="AG43" s="4098" t="n"/>
      <c r="AH43" s="4101" t="n"/>
    </row>
    <row r="44" ht="19.5" customHeight="1" s="4080">
      <c r="A44" s="4097" t="n"/>
      <c r="B44" s="4107" t="n"/>
      <c r="C44" s="4102" t="n"/>
      <c r="D44" s="4103" t="n"/>
      <c r="E44" s="4103" t="n"/>
      <c r="F44" s="4103" t="n"/>
      <c r="G44" s="4104" t="n"/>
      <c r="H44" s="989" t="inlineStr">
        <is>
          <t>備考</t>
        </is>
      </c>
      <c r="I44" s="4107" t="n"/>
      <c r="J44" s="4174" t="inlineStr">
        <is>
          <t>サービス提供日・時間：２４時間　年中無休</t>
        </is>
      </c>
      <c r="K44" s="4110" t="n"/>
      <c r="L44" s="4110" t="n"/>
      <c r="M44" s="4110" t="n"/>
      <c r="N44" s="4110" t="n"/>
      <c r="O44" s="4110" t="n"/>
      <c r="P44" s="4110" t="n"/>
      <c r="Q44" s="4110" t="n"/>
      <c r="R44" s="4110" t="n"/>
      <c r="S44" s="4110" t="n"/>
      <c r="T44" s="4110" t="n"/>
      <c r="U44" s="4110" t="n"/>
      <c r="V44" s="4110" t="n"/>
      <c r="W44" s="4110" t="n"/>
      <c r="X44" s="4110" t="n"/>
      <c r="Y44" s="4110" t="n"/>
      <c r="Z44" s="4110" t="n"/>
      <c r="AA44" s="4110" t="n"/>
      <c r="AB44" s="4110" t="n"/>
      <c r="AC44" s="4110" t="n"/>
      <c r="AD44" s="4110" t="n"/>
      <c r="AE44" s="4110" t="n"/>
      <c r="AF44" s="4110" t="n"/>
      <c r="AG44" s="4110" t="n"/>
      <c r="AH44" s="4113" t="n"/>
    </row>
    <row r="45" ht="12" customFormat="1" customHeight="1" s="936">
      <c r="A45" s="4097" t="n"/>
      <c r="B45" s="4107" t="n"/>
      <c r="C45" s="4134" t="inlineStr">
        <is>
          <t>サービスを提供
する主たる対象者</t>
        </is>
      </c>
      <c r="D45" s="4098" t="n"/>
      <c r="E45" s="4098" t="n"/>
      <c r="F45" s="4098" t="n"/>
      <c r="G45" s="4099" t="n"/>
      <c r="H45" s="2179" t="inlineStr">
        <is>
          <t>身体障害者</t>
        </is>
      </c>
      <c r="I45" s="4098" t="n"/>
      <c r="J45" s="4098" t="n"/>
      <c r="K45" s="4098" t="n"/>
      <c r="L45" s="4098" t="n"/>
      <c r="M45" s="4099" t="n"/>
      <c r="N45" s="4137" t="inlineStr">
        <is>
          <t>知的障害者</t>
        </is>
      </c>
      <c r="O45" s="4138" t="n"/>
      <c r="P45" s="4138" t="n"/>
      <c r="Q45" s="4138" t="n"/>
      <c r="R45" s="4138" t="n"/>
      <c r="S45" s="4139" t="n"/>
      <c r="T45" s="2179" t="inlineStr">
        <is>
          <t>障害児</t>
        </is>
      </c>
      <c r="U45" s="4098" t="n"/>
      <c r="V45" s="4098" t="n"/>
      <c r="W45" s="4098" t="n"/>
      <c r="X45" s="4099" t="n"/>
      <c r="Y45" s="1086" t="inlineStr">
        <is>
          <t>精神障害者</t>
        </is>
      </c>
      <c r="Z45" s="4098" t="n"/>
      <c r="AA45" s="4098" t="n"/>
      <c r="AB45" s="4098" t="n"/>
      <c r="AC45" s="4099" t="n"/>
      <c r="AD45" s="1066" t="inlineStr">
        <is>
          <t>難病等対象者</t>
        </is>
      </c>
      <c r="AE45" s="4098" t="n"/>
      <c r="AF45" s="4098" t="n"/>
      <c r="AG45" s="4098" t="n"/>
      <c r="AH45" s="4099" t="n"/>
    </row>
    <row r="46" ht="15" customFormat="1" customHeight="1" s="936">
      <c r="A46" s="4097" t="n"/>
      <c r="B46" s="4107" t="n"/>
      <c r="C46" s="4102" t="n"/>
      <c r="D46" s="4103" t="n"/>
      <c r="E46" s="4103" t="n"/>
      <c r="F46" s="4103" t="n"/>
      <c r="G46" s="4104" t="n"/>
      <c r="H46" s="1105" t="inlineStr">
        <is>
          <t>○</t>
        </is>
      </c>
      <c r="I46" s="4140" t="n"/>
      <c r="J46" s="4140" t="n"/>
      <c r="K46" s="4140" t="n"/>
      <c r="L46" s="4140" t="n"/>
      <c r="M46" s="4141" t="n"/>
      <c r="N46" s="1105" t="inlineStr">
        <is>
          <t>○</t>
        </is>
      </c>
      <c r="O46" s="4140" t="n"/>
      <c r="P46" s="4140" t="n"/>
      <c r="Q46" s="4140" t="n"/>
      <c r="R46" s="4140" t="n"/>
      <c r="S46" s="4141" t="n"/>
      <c r="T46" s="1105" t="inlineStr">
        <is>
          <t>○</t>
        </is>
      </c>
      <c r="U46" s="4140" t="n"/>
      <c r="V46" s="4140" t="n"/>
      <c r="W46" s="4140" t="n"/>
      <c r="X46" s="4141" t="n"/>
      <c r="Y46" s="1105" t="inlineStr">
        <is>
          <t>○</t>
        </is>
      </c>
      <c r="Z46" s="4140" t="n"/>
      <c r="AA46" s="4140" t="n"/>
      <c r="AB46" s="4140" t="n"/>
      <c r="AC46" s="4141" t="n"/>
      <c r="AD46" s="1105" t="inlineStr">
        <is>
          <t>○</t>
        </is>
      </c>
      <c r="AE46" s="4140" t="n"/>
      <c r="AF46" s="4140" t="n"/>
      <c r="AG46" s="4140" t="n"/>
      <c r="AH46" s="4141" t="n"/>
      <c r="AI46" s="1626" t="n"/>
    </row>
    <row r="47" ht="12" customFormat="1" customHeight="1" s="936">
      <c r="A47" s="4097" t="n"/>
      <c r="B47" s="4107" t="n"/>
      <c r="C47" s="4142" t="inlineStr">
        <is>
          <t>提供する
サービスの内容</t>
        </is>
      </c>
      <c r="D47" s="4098" t="n"/>
      <c r="E47" s="4098" t="n"/>
      <c r="F47" s="4098" t="n"/>
      <c r="G47" s="4099" t="n"/>
      <c r="H47" s="4143" t="inlineStr">
        <is>
          <t>居宅介護</t>
        </is>
      </c>
      <c r="I47" s="4098" t="n"/>
      <c r="J47" s="4098" t="n"/>
      <c r="K47" s="4098" t="n"/>
      <c r="L47" s="4098" t="n"/>
      <c r="M47" s="4098" t="n"/>
      <c r="N47" s="4098" t="n"/>
      <c r="O47" s="4098" t="n"/>
      <c r="P47" s="4098" t="n"/>
      <c r="Q47" s="4098" t="n"/>
      <c r="R47" s="4098" t="n"/>
      <c r="S47" s="4099" t="n"/>
      <c r="T47" s="844" t="inlineStr">
        <is>
          <t>重度訪問介護</t>
        </is>
      </c>
      <c r="U47" s="4098" t="n"/>
      <c r="V47" s="4098" t="n"/>
      <c r="W47" s="4098" t="n"/>
      <c r="X47" s="4099" t="n"/>
      <c r="Y47" s="844" t="inlineStr">
        <is>
          <t>同行援護</t>
        </is>
      </c>
      <c r="Z47" s="4098" t="n"/>
      <c r="AA47" s="4098" t="n"/>
      <c r="AB47" s="4098" t="n"/>
      <c r="AC47" s="4099" t="n"/>
      <c r="AD47" s="988" t="inlineStr">
        <is>
          <t>行動援護</t>
        </is>
      </c>
      <c r="AE47" s="4098" t="n"/>
      <c r="AF47" s="4098" t="n"/>
      <c r="AG47" s="4098" t="n"/>
      <c r="AH47" s="4099" t="n"/>
    </row>
    <row r="48" ht="12" customFormat="1" customHeight="1" s="936">
      <c r="A48" s="4097" t="n"/>
      <c r="B48" s="4107" t="n"/>
      <c r="C48" s="4106" t="n"/>
      <c r="G48" s="4107" t="n"/>
      <c r="H48" s="4144" t="inlineStr">
        <is>
          <t>身体介護・家事援助・通院介助</t>
        </is>
      </c>
      <c r="I48" s="4098" t="n"/>
      <c r="J48" s="4098" t="n"/>
      <c r="K48" s="4098" t="n"/>
      <c r="L48" s="4098" t="n"/>
      <c r="M48" s="4099" t="n"/>
      <c r="N48" s="4144" t="inlineStr">
        <is>
          <t>通院等乗降介助</t>
        </is>
      </c>
      <c r="O48" s="4098" t="n"/>
      <c r="P48" s="4098" t="n"/>
      <c r="Q48" s="4098" t="n"/>
      <c r="R48" s="4098" t="n"/>
      <c r="S48" s="4099" t="n"/>
      <c r="T48" s="4106" t="n"/>
      <c r="X48" s="4107" t="n"/>
      <c r="Y48" s="4106" t="n"/>
      <c r="AC48" s="4107" t="n"/>
      <c r="AD48" s="4106" t="n"/>
      <c r="AH48" s="4107" t="n"/>
    </row>
    <row r="49" ht="12" customFormat="1" customHeight="1" s="936">
      <c r="A49" s="4097" t="n"/>
      <c r="B49" s="4107" t="n"/>
      <c r="C49" s="4106" t="n"/>
      <c r="G49" s="4107" t="n"/>
      <c r="H49" s="4145" t="n"/>
      <c r="I49" s="4146" t="n"/>
      <c r="J49" s="4146" t="n"/>
      <c r="K49" s="4146" t="n"/>
      <c r="L49" s="4146" t="n"/>
      <c r="M49" s="4147" t="n"/>
      <c r="N49" s="4145" t="n"/>
      <c r="O49" s="4146" t="n"/>
      <c r="P49" s="4146" t="n"/>
      <c r="Q49" s="4146" t="n"/>
      <c r="R49" s="4146" t="n"/>
      <c r="S49" s="4147" t="n"/>
      <c r="T49" s="4102" t="n"/>
      <c r="U49" s="4103" t="n"/>
      <c r="V49" s="4103" t="n"/>
      <c r="W49" s="4103" t="n"/>
      <c r="X49" s="4104" t="n"/>
      <c r="Y49" s="4102" t="n"/>
      <c r="Z49" s="4103" t="n"/>
      <c r="AA49" s="4103" t="n"/>
      <c r="AB49" s="4103" t="n"/>
      <c r="AC49" s="4104" t="n"/>
      <c r="AD49" s="4102" t="n"/>
      <c r="AE49" s="4103" t="n"/>
      <c r="AF49" s="4103" t="n"/>
      <c r="AG49" s="4103" t="n"/>
      <c r="AH49" s="4104" t="n"/>
    </row>
    <row r="50" ht="15" customFormat="1" customHeight="1" s="936">
      <c r="A50" s="4097" t="n"/>
      <c r="B50" s="4107" t="n"/>
      <c r="C50" s="4102" t="n"/>
      <c r="D50" s="4103" t="n"/>
      <c r="E50" s="4103" t="n"/>
      <c r="F50" s="4103" t="n"/>
      <c r="G50" s="4104" t="n"/>
      <c r="H50" s="1122" t="inlineStr">
        <is>
          <t>○</t>
        </is>
      </c>
      <c r="I50" s="4103" t="n"/>
      <c r="J50" s="4103" t="n"/>
      <c r="K50" s="4103" t="n"/>
      <c r="L50" s="4103" t="n"/>
      <c r="M50" s="4104" t="n"/>
      <c r="N50" s="1663" t="inlineStr">
        <is>
          <t xml:space="preserve">　</t>
        </is>
      </c>
      <c r="O50" s="4140" t="n"/>
      <c r="P50" s="4140" t="n"/>
      <c r="Q50" s="4140" t="n"/>
      <c r="R50" s="4140" t="n"/>
      <c r="S50" s="4141" t="n"/>
      <c r="T50" s="1105" t="inlineStr">
        <is>
          <t>○</t>
        </is>
      </c>
      <c r="U50" s="4140" t="n"/>
      <c r="V50" s="4140" t="n"/>
      <c r="W50" s="4140" t="n"/>
      <c r="X50" s="4141" t="n"/>
      <c r="Y50" s="1105" t="inlineStr">
        <is>
          <t>○</t>
        </is>
      </c>
      <c r="Z50" s="4140" t="n"/>
      <c r="AA50" s="4140" t="n"/>
      <c r="AB50" s="4140" t="n"/>
      <c r="AC50" s="4141" t="n"/>
      <c r="AD50" s="1663" t="inlineStr">
        <is>
          <t xml:space="preserve">　</t>
        </is>
      </c>
      <c r="AE50" s="4140" t="n"/>
      <c r="AF50" s="4140" t="n"/>
      <c r="AG50" s="4140" t="n"/>
      <c r="AH50" s="4141" t="n"/>
    </row>
    <row r="51" ht="19.5" customHeight="1" s="4080">
      <c r="A51" s="4097" t="n"/>
      <c r="B51" s="4107" t="n"/>
      <c r="C51" s="4133" t="inlineStr">
        <is>
          <t>利用料</t>
        </is>
      </c>
      <c r="D51" s="4110" t="n"/>
      <c r="E51" s="4110" t="n"/>
      <c r="F51" s="4110" t="n"/>
      <c r="G51" s="4111" t="n"/>
      <c r="H51" s="4175" t="inlineStr">
        <is>
          <t>法定代理受領分：厚生労働大臣が定める基準の10/100、法定代理受領分以外：厚生労働大臣が定める基準</t>
        </is>
      </c>
      <c r="I51" s="4110" t="n"/>
      <c r="J51" s="4110" t="n"/>
      <c r="K51" s="4110" t="n"/>
      <c r="L51" s="4110" t="n"/>
      <c r="M51" s="4110" t="n"/>
      <c r="N51" s="4110" t="n"/>
      <c r="O51" s="4110" t="n"/>
      <c r="P51" s="4110" t="n"/>
      <c r="Q51" s="4110" t="n"/>
      <c r="R51" s="4110" t="n"/>
      <c r="S51" s="4110" t="n"/>
      <c r="T51" s="4110" t="n"/>
      <c r="U51" s="4110" t="n"/>
      <c r="V51" s="4110" t="n"/>
      <c r="W51" s="4110" t="n"/>
      <c r="X51" s="4110" t="n"/>
      <c r="Y51" s="4110" t="n"/>
      <c r="Z51" s="4110" t="n"/>
      <c r="AA51" s="4110" t="n"/>
      <c r="AB51" s="4110" t="n"/>
      <c r="AC51" s="4110" t="n"/>
      <c r="AD51" s="4110" t="n"/>
      <c r="AE51" s="4110" t="n"/>
      <c r="AF51" s="4110" t="n"/>
      <c r="AG51" s="4110" t="n"/>
      <c r="AH51" s="4113" t="n"/>
    </row>
    <row r="52" ht="19.5" customHeight="1" s="4080">
      <c r="A52" s="4097" t="n"/>
      <c r="B52" s="4107" t="n"/>
      <c r="C52" s="4133" t="inlineStr">
        <is>
          <t>その他の費用</t>
        </is>
      </c>
      <c r="D52" s="4110" t="n"/>
      <c r="E52" s="4110" t="n"/>
      <c r="F52" s="4110" t="n"/>
      <c r="G52" s="4111" t="n"/>
      <c r="H52" s="4176" t="inlineStr">
        <is>
          <t>運営規程に定めるとおり</t>
        </is>
      </c>
      <c r="I52" s="4110" t="n"/>
      <c r="J52" s="4110" t="n"/>
      <c r="K52" s="4110" t="n"/>
      <c r="L52" s="4110" t="n"/>
      <c r="M52" s="4110" t="n"/>
      <c r="N52" s="4110" t="n"/>
      <c r="O52" s="4110" t="n"/>
      <c r="P52" s="4110" t="n"/>
      <c r="Q52" s="4110" t="n"/>
      <c r="R52" s="4110" t="n"/>
      <c r="S52" s="4110" t="n"/>
      <c r="T52" s="4110" t="n"/>
      <c r="U52" s="4110" t="n"/>
      <c r="V52" s="4110" t="n"/>
      <c r="W52" s="4110" t="n"/>
      <c r="X52" s="4110" t="n"/>
      <c r="Y52" s="4110" t="n"/>
      <c r="Z52" s="4110" t="n"/>
      <c r="AA52" s="4110" t="n"/>
      <c r="AB52" s="4110" t="n"/>
      <c r="AC52" s="4110" t="n"/>
      <c r="AD52" s="4110" t="n"/>
      <c r="AE52" s="4110" t="n"/>
      <c r="AF52" s="4110" t="n"/>
      <c r="AG52" s="4110" t="n"/>
      <c r="AH52" s="4113" t="n"/>
    </row>
    <row r="53" ht="20.1" customHeight="1" s="4080">
      <c r="A53" s="4097" t="n"/>
      <c r="B53" s="4107" t="n"/>
      <c r="C53" s="4150" t="inlineStr">
        <is>
          <t>通常の事業
実施地域</t>
        </is>
      </c>
      <c r="D53" s="4098" t="n"/>
      <c r="E53" s="4098" t="n"/>
      <c r="F53" s="4098" t="n"/>
      <c r="G53" s="4099" t="n"/>
      <c r="H53" s="25" t="inlineStr">
        <is>
          <t>①</t>
        </is>
      </c>
      <c r="I53" s="1102" t="inlineStr">
        <is>
          <t>大阪市中央区</t>
        </is>
      </c>
      <c r="J53" s="4110" t="n"/>
      <c r="K53" s="4110" t="n"/>
      <c r="L53" s="4110" t="n"/>
      <c r="M53" s="4111" t="n"/>
      <c r="N53" s="967" t="inlineStr">
        <is>
          <t>②</t>
        </is>
      </c>
      <c r="O53" s="1091" t="inlineStr">
        <is>
          <t>大阪市北区</t>
        </is>
      </c>
      <c r="P53" s="4110" t="n"/>
      <c r="Q53" s="4110" t="n"/>
      <c r="R53" s="4110" t="n"/>
      <c r="S53" s="4111" t="n"/>
      <c r="T53" s="25" t="inlineStr">
        <is>
          <t>③</t>
        </is>
      </c>
      <c r="U53" s="1102" t="inlineStr">
        <is>
          <t>大阪市天王寺区</t>
        </is>
      </c>
      <c r="V53" s="4110" t="n"/>
      <c r="W53" s="4110" t="n"/>
      <c r="X53" s="4111" t="n"/>
      <c r="Y53" s="25" t="inlineStr">
        <is>
          <t>④</t>
        </is>
      </c>
      <c r="Z53" s="1091" t="inlineStr">
        <is>
          <t>大阪市東成区</t>
        </is>
      </c>
      <c r="AA53" s="4110" t="n"/>
      <c r="AB53" s="4110" t="n"/>
      <c r="AC53" s="4111" t="n"/>
      <c r="AD53" s="25" t="inlineStr">
        <is>
          <t>⑤</t>
        </is>
      </c>
      <c r="AE53" s="1092" t="inlineStr">
        <is>
          <t>大阪市生野区</t>
        </is>
      </c>
      <c r="AF53" s="4110" t="n"/>
      <c r="AG53" s="4110" t="n"/>
      <c r="AH53" s="4113" t="n"/>
    </row>
    <row r="54" ht="20.1" customHeight="1" s="4080">
      <c r="A54" s="4097" t="n"/>
      <c r="B54" s="4107" t="n"/>
      <c r="C54" s="4102" t="n"/>
      <c r="D54" s="4103" t="n"/>
      <c r="E54" s="4103" t="n"/>
      <c r="F54" s="4103" t="n"/>
      <c r="G54" s="4104" t="n"/>
      <c r="H54" s="957" t="inlineStr">
        <is>
          <t>備考</t>
        </is>
      </c>
      <c r="I54" s="4104" t="n"/>
      <c r="J54" s="4177" t="inlineStr">
        <is>
          <t>東大阪市</t>
        </is>
      </c>
      <c r="K54" s="4103" t="n"/>
      <c r="L54" s="4103" t="n"/>
      <c r="M54" s="4103" t="n"/>
      <c r="N54" s="4103" t="n"/>
      <c r="O54" s="4103" t="n"/>
      <c r="P54" s="4103" t="n"/>
      <c r="Q54" s="4103" t="n"/>
      <c r="R54" s="4103" t="n"/>
      <c r="S54" s="4103" t="n"/>
      <c r="T54" s="4103" t="n"/>
      <c r="U54" s="4103" t="n"/>
      <c r="V54" s="4103" t="n"/>
      <c r="W54" s="4103" t="n"/>
      <c r="X54" s="4103" t="n"/>
      <c r="Y54" s="4103" t="n"/>
      <c r="Z54" s="4103" t="n"/>
      <c r="AA54" s="4103" t="n"/>
      <c r="AB54" s="4103" t="n"/>
      <c r="AC54" s="4103" t="n"/>
      <c r="AD54" s="4103" t="n"/>
      <c r="AE54" s="4103" t="n"/>
      <c r="AF54" s="4103" t="n"/>
      <c r="AG54" s="4103" t="n"/>
      <c r="AH54" s="4105" t="n"/>
    </row>
    <row r="55" ht="12.95" customHeight="1" s="4080" thickBot="1">
      <c r="A55" s="4152" t="inlineStr">
        <is>
          <t xml:space="preserve">　添　付　書　類</t>
        </is>
      </c>
      <c r="B55" s="4153" t="n"/>
      <c r="C55" s="4153" t="n"/>
      <c r="D55" s="4153" t="n"/>
      <c r="E55" s="4153" t="n"/>
      <c r="F55" s="4153" t="n"/>
      <c r="G55" s="4154" t="n"/>
      <c r="H55" s="1026" t="inlineStr">
        <is>
          <t xml:space="preserve">　別紙「添付書類一覧表」のとおり</t>
        </is>
      </c>
      <c r="I55" s="4153" t="n"/>
      <c r="J55" s="4153" t="n"/>
      <c r="K55" s="4153" t="n"/>
      <c r="L55" s="4153" t="n"/>
      <c r="M55" s="4153" t="n"/>
      <c r="N55" s="4153" t="n"/>
      <c r="O55" s="4153" t="n"/>
      <c r="P55" s="4153" t="n"/>
      <c r="Q55" s="4153" t="n"/>
      <c r="R55" s="4153" t="n"/>
      <c r="S55" s="4153" t="n"/>
      <c r="T55" s="4153" t="n"/>
      <c r="U55" s="4153" t="n"/>
      <c r="V55" s="4153" t="n"/>
      <c r="W55" s="4153" t="n"/>
      <c r="X55" s="4153" t="n"/>
      <c r="Y55" s="4153" t="n"/>
      <c r="Z55" s="4153" t="n"/>
      <c r="AA55" s="4153" t="n"/>
      <c r="AB55" s="4153" t="n"/>
      <c r="AC55" s="4153" t="n"/>
      <c r="AD55" s="4153" t="n"/>
      <c r="AE55" s="4153" t="n"/>
      <c r="AF55" s="4153" t="n"/>
      <c r="AG55" s="4153" t="n"/>
      <c r="AH55" s="4155" t="n"/>
    </row>
  </sheetData>
  <mergeCells count="177">
    <mergeCell ref="D2:F2"/>
    <mergeCell ref="K11:AH11"/>
    <mergeCell ref="C31:E31"/>
    <mergeCell ref="Y47:AC49"/>
    <mergeCell ref="AC27:AH30"/>
    <mergeCell ref="H48:M49"/>
    <mergeCell ref="H52:AH52"/>
    <mergeCell ref="C35:I36"/>
    <mergeCell ref="C23:E23"/>
    <mergeCell ref="F24:M26"/>
    <mergeCell ref="C53:G54"/>
    <mergeCell ref="Q37:W37"/>
    <mergeCell ref="C10:E11"/>
    <mergeCell ref="C32:E34"/>
    <mergeCell ref="I10:K10"/>
    <mergeCell ref="AB41:AH41"/>
    <mergeCell ref="C7:E9"/>
    <mergeCell ref="Z53:AC53"/>
    <mergeCell ref="AA2:AA3"/>
    <mergeCell ref="A4:B11"/>
    <mergeCell ref="P41:Q42"/>
    <mergeCell ref="F27:M27"/>
    <mergeCell ref="Q38:W38"/>
    <mergeCell ref="S43:U43"/>
    <mergeCell ref="L40:M40"/>
    <mergeCell ref="N40:O40"/>
    <mergeCell ref="T31:X31"/>
    <mergeCell ref="AA27:AB30"/>
    <mergeCell ref="C24:E26"/>
    <mergeCell ref="C17:C22"/>
    <mergeCell ref="J36:P36"/>
    <mergeCell ref="Q19:AH20"/>
    <mergeCell ref="D17:K18"/>
    <mergeCell ref="A13:B22"/>
    <mergeCell ref="AD47:AH49"/>
    <mergeCell ref="A12:S12"/>
    <mergeCell ref="M2:O2"/>
    <mergeCell ref="X40:Y42"/>
    <mergeCell ref="N46:S46"/>
    <mergeCell ref="J39:W39"/>
    <mergeCell ref="C47:G50"/>
    <mergeCell ref="F5:AH6"/>
    <mergeCell ref="H46:M46"/>
    <mergeCell ref="AF10:AH10"/>
    <mergeCell ref="P24:Z26"/>
    <mergeCell ref="H54:I54"/>
    <mergeCell ref="AC31:AH34"/>
    <mergeCell ref="F8:AH9"/>
    <mergeCell ref="Z41:AA41"/>
    <mergeCell ref="AB43:AD43"/>
    <mergeCell ref="C43:G44"/>
    <mergeCell ref="AC12:AD12"/>
    <mergeCell ref="AE12:AF12"/>
    <mergeCell ref="H45:M45"/>
    <mergeCell ref="J41:K42"/>
    <mergeCell ref="C14:E15"/>
    <mergeCell ref="L41:M42"/>
    <mergeCell ref="Z43:AA43"/>
    <mergeCell ref="V41:W42"/>
    <mergeCell ref="I19:P20"/>
    <mergeCell ref="J43:L43"/>
    <mergeCell ref="J38:P38"/>
    <mergeCell ref="AF2:AF3"/>
    <mergeCell ref="AH2:AH3"/>
    <mergeCell ref="N27:O30"/>
    <mergeCell ref="C13:E13"/>
    <mergeCell ref="J7:N7"/>
    <mergeCell ref="J35:W35"/>
    <mergeCell ref="C51:G51"/>
    <mergeCell ref="F23:M23"/>
    <mergeCell ref="AB40:AH40"/>
    <mergeCell ref="T10:W10"/>
    <mergeCell ref="Y46:AC46"/>
    <mergeCell ref="A40:B54"/>
    <mergeCell ref="A1:AH1"/>
    <mergeCell ref="F32:M34"/>
    <mergeCell ref="D19:H22"/>
    <mergeCell ref="F13:M13"/>
    <mergeCell ref="C45:G46"/>
    <mergeCell ref="H50:M50"/>
    <mergeCell ref="A55:G55"/>
    <mergeCell ref="AD50:AH50"/>
    <mergeCell ref="T46:X46"/>
    <mergeCell ref="Z40:AA40"/>
    <mergeCell ref="F11:J11"/>
    <mergeCell ref="P13:S13"/>
    <mergeCell ref="Q10:S10"/>
    <mergeCell ref="H43:I43"/>
    <mergeCell ref="F4:AH4"/>
    <mergeCell ref="N23:O26"/>
    <mergeCell ref="U2:X3"/>
    <mergeCell ref="C38:I38"/>
    <mergeCell ref="T45:X45"/>
    <mergeCell ref="H40:I40"/>
    <mergeCell ref="J40:K40"/>
    <mergeCell ref="R41:S42"/>
    <mergeCell ref="C5:E6"/>
    <mergeCell ref="T50:X50"/>
    <mergeCell ref="AB2:AB3"/>
    <mergeCell ref="H47:S47"/>
    <mergeCell ref="AD46:AH46"/>
    <mergeCell ref="F14:M15"/>
    <mergeCell ref="I53:M53"/>
    <mergeCell ref="X10:Z10"/>
    <mergeCell ref="Q21:AH22"/>
    <mergeCell ref="J37:P37"/>
    <mergeCell ref="L17:M18"/>
    <mergeCell ref="U12:V12"/>
    <mergeCell ref="AB10:AD10"/>
    <mergeCell ref="W12:X12"/>
    <mergeCell ref="F7:I7"/>
    <mergeCell ref="T40:U40"/>
    <mergeCell ref="Z42:AA42"/>
    <mergeCell ref="T23:X23"/>
    <mergeCell ref="C52:G52"/>
    <mergeCell ref="C28:E30"/>
    <mergeCell ref="Y45:AC45"/>
    <mergeCell ref="T13:X13"/>
    <mergeCell ref="P27:S27"/>
    <mergeCell ref="AC23:AH26"/>
    <mergeCell ref="H41:I42"/>
    <mergeCell ref="N48:S49"/>
    <mergeCell ref="F28:M30"/>
    <mergeCell ref="N50:S50"/>
    <mergeCell ref="P14:AH15"/>
    <mergeCell ref="H2:K2"/>
    <mergeCell ref="C4:E4"/>
    <mergeCell ref="T27:X27"/>
    <mergeCell ref="P28:Z30"/>
    <mergeCell ref="X35:AH39"/>
    <mergeCell ref="AE53:AH53"/>
    <mergeCell ref="J54:AH54"/>
    <mergeCell ref="Q36:W36"/>
    <mergeCell ref="M10:O10"/>
    <mergeCell ref="Q43:R43"/>
    <mergeCell ref="I21:P22"/>
    <mergeCell ref="C39:I39"/>
    <mergeCell ref="O53:S53"/>
    <mergeCell ref="H51:AH51"/>
    <mergeCell ref="AE2:AE3"/>
    <mergeCell ref="H44:I44"/>
    <mergeCell ref="AG2:AG3"/>
    <mergeCell ref="T41:U42"/>
    <mergeCell ref="C37:I37"/>
    <mergeCell ref="P40:Q40"/>
    <mergeCell ref="W43:Y43"/>
    <mergeCell ref="R40:S40"/>
    <mergeCell ref="C27:E27"/>
    <mergeCell ref="AB42:AH42"/>
    <mergeCell ref="T47:X49"/>
    <mergeCell ref="AA31:AB34"/>
    <mergeCell ref="N31:O34"/>
    <mergeCell ref="V40:W40"/>
    <mergeCell ref="Q2:S2"/>
    <mergeCell ref="C40:G42"/>
    <mergeCell ref="AD45:AH45"/>
    <mergeCell ref="C16:AH16"/>
    <mergeCell ref="Y50:AC50"/>
    <mergeCell ref="J44:AH44"/>
    <mergeCell ref="P31:S31"/>
    <mergeCell ref="N45:S45"/>
    <mergeCell ref="AA23:AB26"/>
    <mergeCell ref="P32:Z34"/>
    <mergeCell ref="N13:O15"/>
    <mergeCell ref="F31:M31"/>
    <mergeCell ref="AF43:AH43"/>
    <mergeCell ref="F10:H10"/>
    <mergeCell ref="Y12:Z12"/>
    <mergeCell ref="AA12:AB12"/>
    <mergeCell ref="P23:S23"/>
    <mergeCell ref="N17:AH18"/>
    <mergeCell ref="A23:B34"/>
    <mergeCell ref="N41:O42"/>
    <mergeCell ref="U53:X53"/>
    <mergeCell ref="N43:P43"/>
    <mergeCell ref="H55:AH55"/>
    <mergeCell ref="A35:B39"/>
  </mergeCells>
  <dataValidations count="7">
    <dataValidation sqref="F4:AH4 F13 F23 F27 F31" showDropDown="0" showInputMessage="1" showErrorMessage="1" allowBlank="1" imeMode="halfKatakana"/>
    <dataValidation sqref="AC23:AH34" showDropDown="0" showInputMessage="1" showErrorMessage="1" allowBlank="1" type="list" errorStyle="warning">
      <formula1>"　,看護師,准看護師,介護福祉士,訪問介護員１級,訪問介護員２級,居宅介護１級,居宅介護２級＋３年以上の実務経験,介護職員基礎研修,同行援護従業者養成研修,国立リハビリ学院視覚障害学科,行動援護研修＋３年以上の実務経験"</formula1>
    </dataValidation>
    <dataValidation sqref="H52" showDropDown="0" showInputMessage="1" showErrorMessage="1" allowBlank="1" type="list">
      <formula1>"　,運営規程に定めるとおり"</formula1>
    </dataValidation>
    <dataValidation sqref="H51" showDropDown="0" showInputMessage="1" showErrorMessage="1" allowBlank="1" type="list" errorStyle="warning">
      <formula1>"　,法定代理受領分：厚生労働大臣が定める基準の10/100、法定代理受領分以外：厚生労働大臣が定める基準"</formula1>
    </dataValidation>
    <dataValidation sqref="H41 H46 H50 J41 L41 N41 N46 N50 P41 R41 T41 T46 T50 V41 Y46 Y50 AD46 AD50" showDropDown="0" showInputMessage="1" showErrorMessage="1" allowBlank="1" type="list">
      <formula1>"　,○"</formula1>
    </dataValidation>
    <dataValidation sqref="I10:K10 T13:X13 U12:V12 X10 Y2:AH3 Y12:Z12 AC12:AD12" showDropDown="0" showInputMessage="1" showErrorMessage="1" allowBlank="1" imeMode="fullAlpha"/>
    <dataValidation sqref="M10:O10 Q10:S10 AB10:AD10 AF10:AH10" showDropDown="0" showInputMessage="1" showErrorMessage="1" allowBlank="1" error="全角数字で入力してください" imeMode="fullAlpha"/>
  </dataValidations>
  <printOptions horizontalCentered="1"/>
  <pageMargins left="0.7086614173228347" right="0.5905511811023623" top="0.3937007874015748" bottom="0" header="0.5118110236220472" footer="0.5118110236220472"/>
  <pageSetup orientation="portrait" paperSize="9" scale="98"/>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AN73"/>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7.1" customHeight="1" s="4080" thickBot="1">
      <c r="A1" s="1213" t="inlineStr">
        <is>
          <t>付表２　重度障害者等包括支援事業所の指定に係る記載事項</t>
        </is>
      </c>
      <c r="AN1" s="719">
        <f>HYPERLINK("#目次!A1","目次へ戻る")</f>
        <v/>
      </c>
    </row>
    <row r="2" ht="15" customHeight="1" s="4080">
      <c r="B2" s="45" t="n"/>
      <c r="C2" s="45" t="n"/>
      <c r="D2" s="45" t="n"/>
      <c r="E2" s="1889" t="n"/>
      <c r="F2" s="1889" t="n"/>
      <c r="G2" s="1889" t="n"/>
      <c r="H2" s="2069" t="n"/>
      <c r="I2" s="1889" t="n"/>
      <c r="J2" s="1889" t="n"/>
      <c r="K2" s="1889" t="n"/>
      <c r="L2" s="1889" t="n"/>
      <c r="M2" s="1889" t="n"/>
      <c r="N2" s="2069" t="n"/>
      <c r="O2" s="1889" t="n"/>
      <c r="P2" s="1889" t="n"/>
      <c r="Q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4179" t="inlineStr">
        <is>
          <t>事業所</t>
        </is>
      </c>
      <c r="B4" s="4082"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C5" s="4181" t="inlineStr">
        <is>
          <t>名　称</t>
        </is>
      </c>
      <c r="D5" s="4098" t="n"/>
      <c r="E5" s="4099" t="n"/>
      <c r="F5" s="4182"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C7" s="4181" t="inlineStr">
        <is>
          <t>所在地</t>
        </is>
      </c>
      <c r="D7" s="4098" t="n"/>
      <c r="E7" s="4099" t="n"/>
      <c r="F7" s="1244" t="inlineStr">
        <is>
          <t>郵便番号（</t>
        </is>
      </c>
      <c r="G7" s="4098" t="n"/>
      <c r="H7" s="4098" t="n"/>
      <c r="I7" s="4098" t="n"/>
      <c r="J7" s="1246" t="n"/>
      <c r="K7" s="4098" t="n"/>
      <c r="L7" s="4098" t="n"/>
      <c r="M7" s="4098" t="n"/>
      <c r="N7" s="4098" t="n"/>
      <c r="O7" s="1329" t="inlineStr">
        <is>
          <t>）</t>
        </is>
      </c>
      <c r="P7" s="4183"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1258" t="n"/>
      <c r="N8" s="1260" t="inlineStr">
        <is>
          <t>区</t>
        </is>
      </c>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882" t="n"/>
      <c r="J10" s="4110" t="n"/>
      <c r="K10" s="4110" t="n"/>
      <c r="L10" s="53" t="inlineStr">
        <is>
          <t>－</t>
        </is>
      </c>
      <c r="M10" s="920" t="n"/>
      <c r="N10" s="4110" t="n"/>
      <c r="O10" s="4110" t="n"/>
      <c r="P10" s="53" t="inlineStr">
        <is>
          <t>－</t>
        </is>
      </c>
      <c r="Q10" s="878" t="n"/>
      <c r="R10" s="4110" t="n"/>
      <c r="S10" s="4111" t="n"/>
      <c r="T10" s="4184" t="inlineStr">
        <is>
          <t>ＦＡＸ番号</t>
        </is>
      </c>
      <c r="U10" s="4110" t="n"/>
      <c r="V10" s="4110" t="n"/>
      <c r="W10" s="4111" t="n"/>
      <c r="X10" s="882" t="n"/>
      <c r="Y10" s="4110" t="n"/>
      <c r="Z10" s="4110" t="n"/>
      <c r="AA10" s="53" t="inlineStr">
        <is>
          <t>－</t>
        </is>
      </c>
      <c r="AB10" s="920" t="n"/>
      <c r="AC10" s="4110" t="n"/>
      <c r="AD10" s="4110" t="n"/>
      <c r="AE10" s="53" t="inlineStr">
        <is>
          <t>－</t>
        </is>
      </c>
      <c r="AF10" s="955" t="n"/>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18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54" t="n"/>
      <c r="V12" s="4110" t="n"/>
      <c r="W12" s="1264" t="inlineStr">
        <is>
          <t>条第</t>
        </is>
      </c>
      <c r="X12" s="4110" t="n"/>
      <c r="Y12" s="954" t="n"/>
      <c r="Z12" s="4110" t="n"/>
      <c r="AA12" s="1264" t="inlineStr">
        <is>
          <t>項第</t>
        </is>
      </c>
      <c r="AB12" s="4110" t="n"/>
      <c r="AC12" s="954" t="n"/>
      <c r="AD12" s="4110" t="n"/>
      <c r="AE12" s="1264" t="inlineStr">
        <is>
          <t>号（</t>
        </is>
      </c>
      <c r="AF12" s="4110" t="n"/>
      <c r="AG12" s="954" t="n"/>
      <c r="AH12" s="2827" t="inlineStr">
        <is>
          <t>）</t>
        </is>
      </c>
    </row>
    <row r="13" ht="12" customHeight="1" s="4080">
      <c r="A13" s="4188" t="inlineStr">
        <is>
          <t>管　　理　　者</t>
        </is>
      </c>
      <c r="B13" s="4099" t="n"/>
      <c r="C13" s="4184" t="inlineStr">
        <is>
          <t>ﾌﾘｶﾞﾅ</t>
        </is>
      </c>
      <c r="D13" s="4110" t="n"/>
      <c r="E13" s="4111" t="n"/>
      <c r="F13" s="1278" t="n"/>
      <c r="G13" s="4110" t="n"/>
      <c r="H13" s="4110" t="n"/>
      <c r="I13" s="4189" t="n"/>
      <c r="J13" s="1279" t="n"/>
      <c r="K13" s="4110" t="n"/>
      <c r="L13" s="4110" t="n"/>
      <c r="M13" s="4189" t="n"/>
      <c r="N13" s="4185" t="inlineStr">
        <is>
          <t>住所</t>
        </is>
      </c>
      <c r="O13" s="4099" t="n"/>
      <c r="P13" s="1244" t="inlineStr">
        <is>
          <t>郵便番号（</t>
        </is>
      </c>
      <c r="Q13" s="4098" t="n"/>
      <c r="R13" s="4098" t="n"/>
      <c r="S13" s="4098" t="n"/>
      <c r="T13" s="1287" t="n"/>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278" t="n"/>
      <c r="G14" s="4098" t="n"/>
      <c r="H14" s="4098" t="n"/>
      <c r="I14" s="4190" t="n"/>
      <c r="J14" s="1279" t="n"/>
      <c r="K14" s="4098" t="n"/>
      <c r="L14" s="4098" t="n"/>
      <c r="M14" s="4190" t="n"/>
      <c r="N14" s="4106" t="n"/>
      <c r="O14" s="4107" t="n"/>
      <c r="P14" s="1318" t="n"/>
      <c r="R14" s="2378" t="inlineStr">
        <is>
          <t>都</t>
        </is>
      </c>
      <c r="S14" s="2378" t="inlineStr">
        <is>
          <t>道</t>
        </is>
      </c>
      <c r="T14" s="1319" t="n"/>
      <c r="W14" s="2378" t="inlineStr">
        <is>
          <t>郡</t>
        </is>
      </c>
      <c r="X14" s="1321" t="n"/>
      <c r="AH14" s="4109" t="n"/>
    </row>
    <row r="15" ht="12" customHeight="1" s="4080">
      <c r="A15" s="4097" t="n"/>
      <c r="B15" s="4107" t="n"/>
      <c r="C15" s="4106" t="n"/>
      <c r="E15" s="4107" t="n"/>
      <c r="F15" s="4106" t="n"/>
      <c r="I15" s="4191" t="n"/>
      <c r="J15" s="4192" t="n"/>
      <c r="M15" s="4191" t="n"/>
      <c r="N15" s="4106" t="n"/>
      <c r="O15" s="4107" t="n"/>
      <c r="P15" s="4106" t="n"/>
      <c r="R15" s="2378" t="inlineStr">
        <is>
          <t>府</t>
        </is>
      </c>
      <c r="S15" s="2378" t="inlineStr">
        <is>
          <t>県</t>
        </is>
      </c>
      <c r="W15" s="2378"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1325" t="inlineStr">
        <is>
          <t>無</t>
        </is>
      </c>
      <c r="R18" s="1332" t="n"/>
      <c r="S18" s="4106" t="n"/>
      <c r="U18" s="4107" t="n"/>
      <c r="V18" s="4196"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7.25" customHeight="1" s="4080">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Height="1" s="4080">
      <c r="A21" s="4097" t="n"/>
      <c r="B21" s="4107" t="n"/>
      <c r="C21" s="1303" t="inlineStr">
        <is>
          <t>事　業　所　名</t>
        </is>
      </c>
      <c r="D21" s="4138" t="n"/>
      <c r="E21" s="4138" t="n"/>
      <c r="F21" s="4138" t="n"/>
      <c r="G21" s="4138" t="n"/>
      <c r="H21" s="4138" t="n"/>
      <c r="I21" s="4138" t="n"/>
      <c r="J21" s="4138" t="n"/>
      <c r="K21" s="4138" t="n"/>
      <c r="L21" s="4198" t="n"/>
      <c r="M21" s="1304" t="inlineStr">
        <is>
          <t>サービス種別</t>
        </is>
      </c>
      <c r="N21" s="4138" t="n"/>
      <c r="O21" s="4138" t="n"/>
      <c r="P21" s="4138" t="n"/>
      <c r="Q21" s="4138" t="n"/>
      <c r="R21" s="4138" t="n"/>
      <c r="S21" s="4138" t="n"/>
      <c r="T21" s="4138" t="n"/>
      <c r="U21" s="4138" t="n"/>
      <c r="V21" s="4138" t="n"/>
      <c r="W21" s="4138" t="n"/>
      <c r="X21" s="4198" t="n"/>
      <c r="Y21" s="1305" t="inlineStr">
        <is>
          <t>職　　　種</t>
        </is>
      </c>
      <c r="Z21" s="4138" t="n"/>
      <c r="AA21" s="4138" t="n"/>
      <c r="AB21" s="4138" t="n"/>
      <c r="AC21" s="4138" t="n"/>
      <c r="AD21" s="4138" t="n"/>
      <c r="AE21" s="4138" t="n"/>
      <c r="AF21" s="4138" t="n"/>
      <c r="AG21" s="4138" t="n"/>
      <c r="AH21" s="4198" t="n"/>
    </row>
    <row r="22" ht="15" customHeight="1" s="4080">
      <c r="A22" s="4097" t="n"/>
      <c r="B22" s="4107" t="n"/>
      <c r="C22" s="1347" t="n"/>
      <c r="D22" s="4098" t="n"/>
      <c r="E22" s="4098" t="n"/>
      <c r="F22" s="4098" t="n"/>
      <c r="G22" s="4098" t="n"/>
      <c r="H22" s="4098" t="n"/>
      <c r="I22" s="4098" t="n"/>
      <c r="J22" s="4098" t="n"/>
      <c r="K22" s="4098" t="n"/>
      <c r="L22" s="4190" t="n"/>
      <c r="M22" s="1348" t="n"/>
      <c r="N22" s="4098" t="n"/>
      <c r="O22" s="4098" t="n"/>
      <c r="P22" s="4098" t="n"/>
      <c r="Q22" s="4098" t="n"/>
      <c r="R22" s="4098" t="n"/>
      <c r="S22" s="4098" t="n"/>
      <c r="T22" s="4098" t="n"/>
      <c r="U22" s="4098" t="n"/>
      <c r="V22" s="4098" t="n"/>
      <c r="W22" s="4098" t="n"/>
      <c r="X22" s="4190" t="n"/>
      <c r="Y22" s="1349" t="n"/>
      <c r="Z22" s="4098" t="n"/>
      <c r="AA22" s="4098" t="n"/>
      <c r="AB22" s="4098" t="n"/>
      <c r="AC22" s="4098" t="n"/>
      <c r="AD22" s="4098" t="n"/>
      <c r="AE22" s="4098" t="n"/>
      <c r="AF22" s="4098" t="n"/>
      <c r="AG22" s="4098" t="n"/>
      <c r="AH22" s="4190" t="n"/>
    </row>
    <row r="23" ht="15" customHeight="1" s="4080">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1" t="n"/>
      <c r="Z23" s="4199" t="n"/>
      <c r="AA23" s="4199" t="n"/>
      <c r="AB23" s="4199" t="n"/>
      <c r="AC23" s="4199" t="n"/>
      <c r="AD23" s="4199" t="n"/>
      <c r="AE23" s="4199" t="n"/>
      <c r="AF23" s="4199" t="n"/>
      <c r="AG23" s="4199" t="n"/>
      <c r="AH23" s="4200" t="n"/>
    </row>
    <row r="24" ht="15" customHeight="1" s="4080">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1" t="n"/>
      <c r="Z24" s="4199" t="n"/>
      <c r="AA24" s="4199" t="n"/>
      <c r="AB24" s="4199" t="n"/>
      <c r="AC24" s="4199" t="n"/>
      <c r="AD24" s="4199" t="n"/>
      <c r="AE24" s="4199" t="n"/>
      <c r="AF24" s="4199" t="n"/>
      <c r="AG24" s="4199" t="n"/>
      <c r="AH24" s="4200" t="n"/>
    </row>
    <row r="25" ht="15" customHeight="1" s="4080">
      <c r="A25" s="4097" t="n"/>
      <c r="B25" s="4107" t="n"/>
      <c r="C25" s="1343" t="n"/>
      <c r="D25" s="4146" t="n"/>
      <c r="E25" s="4146" t="n"/>
      <c r="F25" s="4146" t="n"/>
      <c r="G25" s="4146" t="n"/>
      <c r="H25" s="4146" t="n"/>
      <c r="I25" s="4146" t="n"/>
      <c r="J25" s="4146" t="n"/>
      <c r="K25" s="4146" t="n"/>
      <c r="L25" s="4201" t="n"/>
      <c r="M25" s="1344" t="n"/>
      <c r="N25" s="4146" t="n"/>
      <c r="O25" s="4146" t="n"/>
      <c r="P25" s="4146" t="n"/>
      <c r="Q25" s="4146" t="n"/>
      <c r="R25" s="4146" t="n"/>
      <c r="S25" s="4146" t="n"/>
      <c r="T25" s="4146" t="n"/>
      <c r="U25" s="4146" t="n"/>
      <c r="V25" s="4146" t="n"/>
      <c r="W25" s="4146" t="n"/>
      <c r="X25" s="4201" t="n"/>
      <c r="Y25" s="1345" t="n"/>
      <c r="Z25" s="4146" t="n"/>
      <c r="AA25" s="4146" t="n"/>
      <c r="AB25" s="4146" t="n"/>
      <c r="AC25" s="4146" t="n"/>
      <c r="AD25" s="4146" t="n"/>
      <c r="AE25" s="4146" t="n"/>
      <c r="AF25" s="4146" t="n"/>
      <c r="AG25" s="4146" t="n"/>
      <c r="AH25" s="4201" t="n"/>
    </row>
    <row r="26" ht="12" customHeight="1" s="4080">
      <c r="A26" s="1395" t="inlineStr">
        <is>
          <t>サービス提供責任者</t>
        </is>
      </c>
      <c r="B26" s="4202" t="inlineStr">
        <is>
          <t>１</t>
        </is>
      </c>
      <c r="C26" s="4184" t="inlineStr">
        <is>
          <t>ﾌﾘｶﾞﾅ</t>
        </is>
      </c>
      <c r="D26" s="4110" t="n"/>
      <c r="E26" s="4111" t="n"/>
      <c r="F26" s="4203" t="n"/>
      <c r="G26" s="4110" t="n"/>
      <c r="H26" s="4110" t="n"/>
      <c r="I26" s="4204" t="n"/>
      <c r="J26" s="4205" t="n"/>
      <c r="K26" s="4110" t="n"/>
      <c r="L26" s="4110" t="n"/>
      <c r="M26" s="4111" t="n"/>
      <c r="N26" s="2164" t="inlineStr">
        <is>
          <t>住所</t>
        </is>
      </c>
      <c r="O26" s="4099" t="n"/>
      <c r="P26" s="1244" t="inlineStr">
        <is>
          <t>郵便番号（</t>
        </is>
      </c>
      <c r="Q26" s="4098" t="n"/>
      <c r="R26" s="4098" t="n"/>
      <c r="S26" s="4098" t="n"/>
      <c r="T26" s="1287" t="n"/>
      <c r="U26" s="4098" t="n"/>
      <c r="V26" s="4098" t="n"/>
      <c r="W26" s="4098" t="n"/>
      <c r="X26" s="4098" t="n"/>
      <c r="Y26" s="1329" t="inlineStr">
        <is>
          <t>）</t>
        </is>
      </c>
      <c r="Z26" s="1017" t="n"/>
      <c r="AA26" s="1017" t="n"/>
      <c r="AB26" s="1017" t="n"/>
      <c r="AC26" s="1017" t="n"/>
      <c r="AD26" s="1017" t="n"/>
      <c r="AE26" s="4206" t="inlineStr">
        <is>
          <t>資格</t>
        </is>
      </c>
      <c r="AF26" s="4207" t="n"/>
      <c r="AG26" s="4098" t="n"/>
      <c r="AH26" s="4101" t="n"/>
    </row>
    <row r="27" ht="12" customHeight="1" s="4080">
      <c r="A27" s="4208" t="n"/>
      <c r="B27" s="4122" t="n"/>
      <c r="C27" s="4209" t="inlineStr">
        <is>
          <t>氏　　名</t>
        </is>
      </c>
      <c r="D27" s="4098" t="n"/>
      <c r="E27" s="4099" t="n"/>
      <c r="F27" s="4203" t="n"/>
      <c r="G27" s="4098" t="n"/>
      <c r="H27" s="4098" t="n"/>
      <c r="I27" s="4210" t="n"/>
      <c r="J27" s="4205" t="n"/>
      <c r="K27" s="4098" t="n"/>
      <c r="L27" s="4098" t="n"/>
      <c r="M27" s="4099" t="n"/>
      <c r="N27" s="4106" t="n"/>
      <c r="O27" s="4107" t="n"/>
      <c r="P27" s="1318" t="n"/>
      <c r="R27" s="2378" t="inlineStr">
        <is>
          <t>都</t>
        </is>
      </c>
      <c r="S27" s="2378" t="inlineStr">
        <is>
          <t>道</t>
        </is>
      </c>
      <c r="T27" s="1319" t="n"/>
      <c r="W27" s="2378" t="inlineStr">
        <is>
          <t>郡</t>
        </is>
      </c>
      <c r="X27" s="1366" t="n"/>
      <c r="AD27" s="4107" t="n"/>
      <c r="AE27" s="4122" t="n"/>
      <c r="AF27" s="4211" t="n"/>
      <c r="AH27" s="4109" t="n"/>
    </row>
    <row r="28" ht="12" customHeight="1" s="4080">
      <c r="A28" s="4208" t="n"/>
      <c r="B28" s="4122" t="n"/>
      <c r="C28" s="4106" t="n"/>
      <c r="E28" s="4107" t="n"/>
      <c r="F28" s="4106" t="n"/>
      <c r="I28" s="4212" t="n"/>
      <c r="J28" s="4213" t="n"/>
      <c r="M28" s="4107" t="n"/>
      <c r="N28" s="4106" t="n"/>
      <c r="O28" s="4107" t="n"/>
      <c r="P28" s="4106" t="n"/>
      <c r="R28" s="2378" t="inlineStr">
        <is>
          <t>府</t>
        </is>
      </c>
      <c r="S28" s="2378" t="inlineStr">
        <is>
          <t>県</t>
        </is>
      </c>
      <c r="W28" s="2378" t="inlineStr">
        <is>
          <t>市</t>
        </is>
      </c>
      <c r="AD28" s="4107" t="n"/>
      <c r="AE28" s="4122" t="n"/>
      <c r="AF28" s="4214" t="n"/>
      <c r="AH28" s="4109" t="n"/>
    </row>
    <row r="29" ht="3" customHeight="1" s="4080">
      <c r="A29" s="4208" t="n"/>
      <c r="B29" s="4124" t="n"/>
      <c r="C29" s="4102" t="n"/>
      <c r="D29" s="4103" t="n"/>
      <c r="E29" s="4104" t="n"/>
      <c r="F29" s="4102" t="n"/>
      <c r="G29" s="4103" t="n"/>
      <c r="H29" s="4103" t="n"/>
      <c r="I29" s="4215" t="n"/>
      <c r="J29" s="4216" t="n"/>
      <c r="K29" s="4103" t="n"/>
      <c r="L29" s="4103" t="n"/>
      <c r="M29" s="4104" t="n"/>
      <c r="N29" s="4102" t="n"/>
      <c r="O29" s="4104" t="n"/>
      <c r="P29" s="4102" t="n"/>
      <c r="Q29" s="4103" t="n"/>
      <c r="R29" s="1810" t="n"/>
      <c r="S29" s="1810" t="n"/>
      <c r="T29" s="4103" t="n"/>
      <c r="U29" s="4103" t="n"/>
      <c r="V29" s="4103" t="n"/>
      <c r="W29" s="1810" t="n"/>
      <c r="X29" s="4103" t="n"/>
      <c r="Y29" s="4103" t="n"/>
      <c r="Z29" s="4103" t="n"/>
      <c r="AA29" s="4103" t="n"/>
      <c r="AB29" s="4103" t="n"/>
      <c r="AC29" s="4103" t="n"/>
      <c r="AD29" s="4104" t="n"/>
      <c r="AE29" s="4124" t="n"/>
      <c r="AF29" s="4102" t="n"/>
      <c r="AG29" s="4103" t="n"/>
      <c r="AH29" s="4105" t="n"/>
    </row>
    <row r="30" ht="12" customHeight="1" s="4080">
      <c r="A30" s="4208" t="n"/>
      <c r="B30" s="4202" t="inlineStr">
        <is>
          <t>２</t>
        </is>
      </c>
      <c r="C30" s="4184" t="inlineStr">
        <is>
          <t>ﾌﾘｶﾞﾅ</t>
        </is>
      </c>
      <c r="D30" s="4110" t="n"/>
      <c r="E30" s="4111" t="n"/>
      <c r="F30" s="4203" t="n"/>
      <c r="G30" s="4110" t="n"/>
      <c r="H30" s="4110" t="n"/>
      <c r="I30" s="4204" t="n"/>
      <c r="J30" s="4205" t="n"/>
      <c r="K30" s="4110" t="n"/>
      <c r="L30" s="4110" t="n"/>
      <c r="M30" s="4111" t="n"/>
      <c r="N30" s="2164" t="inlineStr">
        <is>
          <t>住所</t>
        </is>
      </c>
      <c r="O30" s="4099" t="n"/>
      <c r="P30" s="1244" t="inlineStr">
        <is>
          <t>郵便番号（</t>
        </is>
      </c>
      <c r="Q30" s="4098" t="n"/>
      <c r="R30" s="4098" t="n"/>
      <c r="S30" s="4098" t="n"/>
      <c r="T30" s="1287" t="n"/>
      <c r="U30" s="4098" t="n"/>
      <c r="V30" s="4098" t="n"/>
      <c r="W30" s="4098" t="n"/>
      <c r="X30" s="4098" t="n"/>
      <c r="Y30" s="1329" t="inlineStr">
        <is>
          <t>）</t>
        </is>
      </c>
      <c r="Z30" s="1017" t="n"/>
      <c r="AA30" s="1017" t="n"/>
      <c r="AB30" s="1017" t="n"/>
      <c r="AC30" s="1017" t="n"/>
      <c r="AD30" s="1017" t="n"/>
      <c r="AE30" s="4206" t="inlineStr">
        <is>
          <t>資格</t>
        </is>
      </c>
      <c r="AF30" s="4207" t="n"/>
      <c r="AG30" s="4098" t="n"/>
      <c r="AH30" s="4101" t="n"/>
    </row>
    <row r="31" ht="12" customHeight="1" s="4080">
      <c r="A31" s="4208" t="n"/>
      <c r="B31" s="4122" t="n"/>
      <c r="C31" s="4209" t="inlineStr">
        <is>
          <t>氏　　名</t>
        </is>
      </c>
      <c r="D31" s="4098" t="n"/>
      <c r="E31" s="4099" t="n"/>
      <c r="F31" s="4203" t="n"/>
      <c r="G31" s="4098" t="n"/>
      <c r="H31" s="4098" t="n"/>
      <c r="I31" s="4210" t="n"/>
      <c r="J31" s="4205" t="n"/>
      <c r="K31" s="4098" t="n"/>
      <c r="L31" s="4098" t="n"/>
      <c r="M31" s="4099" t="n"/>
      <c r="N31" s="4106" t="n"/>
      <c r="O31" s="4107" t="n"/>
      <c r="P31" s="1318" t="n"/>
      <c r="R31" s="2378" t="inlineStr">
        <is>
          <t>都</t>
        </is>
      </c>
      <c r="S31" s="2378" t="inlineStr">
        <is>
          <t>道</t>
        </is>
      </c>
      <c r="T31" s="1389" t="n"/>
      <c r="W31" s="2378" t="inlineStr">
        <is>
          <t>郡</t>
        </is>
      </c>
      <c r="X31" s="1366" t="n"/>
      <c r="AD31" s="4107" t="n"/>
      <c r="AE31" s="4122" t="n"/>
      <c r="AF31" s="4211" t="n"/>
      <c r="AH31" s="4109" t="n"/>
    </row>
    <row r="32" ht="12" customHeight="1" s="4080">
      <c r="A32" s="4208" t="n"/>
      <c r="B32" s="4122" t="n"/>
      <c r="C32" s="4106" t="n"/>
      <c r="E32" s="4107" t="n"/>
      <c r="F32" s="4106" t="n"/>
      <c r="I32" s="4212" t="n"/>
      <c r="J32" s="4213" t="n"/>
      <c r="M32" s="4107" t="n"/>
      <c r="N32" s="4106" t="n"/>
      <c r="O32" s="4107" t="n"/>
      <c r="P32" s="4106" t="n"/>
      <c r="R32" s="2378" t="inlineStr">
        <is>
          <t>府</t>
        </is>
      </c>
      <c r="S32" s="2378" t="inlineStr">
        <is>
          <t>県</t>
        </is>
      </c>
      <c r="W32" s="2378" t="inlineStr">
        <is>
          <t>市</t>
        </is>
      </c>
      <c r="AD32" s="4107" t="n"/>
      <c r="AE32" s="4122" t="n"/>
      <c r="AF32" s="4214" t="n"/>
      <c r="AH32" s="4109" t="n"/>
    </row>
    <row r="33" ht="3" customHeight="1" s="4080">
      <c r="A33" s="4208" t="n"/>
      <c r="B33" s="4124" t="n"/>
      <c r="C33" s="4102" t="n"/>
      <c r="D33" s="4103" t="n"/>
      <c r="E33" s="4104" t="n"/>
      <c r="F33" s="4102" t="n"/>
      <c r="G33" s="4103" t="n"/>
      <c r="H33" s="4103" t="n"/>
      <c r="I33" s="4215" t="n"/>
      <c r="J33" s="4216" t="n"/>
      <c r="K33" s="4103" t="n"/>
      <c r="L33" s="4103" t="n"/>
      <c r="M33" s="4104" t="n"/>
      <c r="N33" s="4102" t="n"/>
      <c r="O33" s="4104" t="n"/>
      <c r="P33" s="4102" t="n"/>
      <c r="Q33" s="4103" t="n"/>
      <c r="R33" s="2378" t="n"/>
      <c r="S33" s="2378" t="n"/>
      <c r="T33" s="4103" t="n"/>
      <c r="U33" s="4103" t="n"/>
      <c r="V33" s="4103" t="n"/>
      <c r="W33" s="63" t="n"/>
      <c r="X33" s="4103" t="n"/>
      <c r="Y33" s="4103" t="n"/>
      <c r="Z33" s="4103" t="n"/>
      <c r="AA33" s="4103" t="n"/>
      <c r="AB33" s="4103" t="n"/>
      <c r="AC33" s="4103" t="n"/>
      <c r="AD33" s="4104" t="n"/>
      <c r="AE33" s="4124" t="n"/>
      <c r="AF33" s="4102" t="n"/>
      <c r="AG33" s="4103" t="n"/>
      <c r="AH33" s="4105" t="n"/>
    </row>
    <row r="34" ht="12" customHeight="1" s="4080">
      <c r="A34" s="4208" t="n"/>
      <c r="B34" s="1382" t="inlineStr">
        <is>
          <t>３</t>
        </is>
      </c>
      <c r="C34" s="4184" t="inlineStr">
        <is>
          <t>ﾌﾘｶﾞﾅ</t>
        </is>
      </c>
      <c r="D34" s="4110" t="n"/>
      <c r="E34" s="4111" t="n"/>
      <c r="F34" s="4203" t="n"/>
      <c r="G34" s="4110" t="n"/>
      <c r="H34" s="4110" t="n"/>
      <c r="I34" s="4204" t="n"/>
      <c r="J34" s="4205" t="n"/>
      <c r="K34" s="4110" t="n"/>
      <c r="L34" s="4110" t="n"/>
      <c r="M34" s="4111" t="n"/>
      <c r="N34" s="4217" t="inlineStr">
        <is>
          <t>住所</t>
        </is>
      </c>
      <c r="O34" s="4099" t="n"/>
      <c r="P34" s="1244" t="inlineStr">
        <is>
          <t>郵便番号（</t>
        </is>
      </c>
      <c r="Q34" s="4098" t="n"/>
      <c r="R34" s="4098" t="n"/>
      <c r="S34" s="4098" t="n"/>
      <c r="T34" s="1287" t="n"/>
      <c r="U34" s="4098" t="n"/>
      <c r="V34" s="4098" t="n"/>
      <c r="W34" s="4098" t="n"/>
      <c r="X34" s="4098" t="n"/>
      <c r="Y34" s="1329" t="inlineStr">
        <is>
          <t>）</t>
        </is>
      </c>
      <c r="Z34" s="1017" t="n"/>
      <c r="AA34" s="1017" t="n"/>
      <c r="AB34" s="1017" t="n"/>
      <c r="AC34" s="1017" t="n"/>
      <c r="AD34" s="1017" t="n"/>
      <c r="AE34" s="1385" t="inlineStr">
        <is>
          <t>資格</t>
        </is>
      </c>
      <c r="AF34" s="4207" t="n"/>
      <c r="AG34" s="4098" t="n"/>
      <c r="AH34" s="4101" t="n"/>
    </row>
    <row r="35" ht="12" customHeight="1" s="4080">
      <c r="A35" s="4208" t="n"/>
      <c r="B35" s="4122" t="n"/>
      <c r="C35" s="4209" t="inlineStr">
        <is>
          <t>氏　　名</t>
        </is>
      </c>
      <c r="D35" s="4098" t="n"/>
      <c r="E35" s="4099" t="n"/>
      <c r="F35" s="4203" t="n"/>
      <c r="G35" s="4098" t="n"/>
      <c r="H35" s="4098" t="n"/>
      <c r="I35" s="4210" t="n"/>
      <c r="J35" s="4218" t="n"/>
      <c r="K35" s="4098" t="n"/>
      <c r="L35" s="4098" t="n"/>
      <c r="M35" s="4099" t="n"/>
      <c r="N35" s="4106" t="n"/>
      <c r="O35" s="4107" t="n"/>
      <c r="P35" s="1316" t="n"/>
      <c r="R35" s="2378" t="inlineStr">
        <is>
          <t>都</t>
        </is>
      </c>
      <c r="S35" s="2378" t="inlineStr">
        <is>
          <t>道</t>
        </is>
      </c>
      <c r="T35" s="1388" t="n"/>
      <c r="W35" s="2378" t="inlineStr">
        <is>
          <t>郡</t>
        </is>
      </c>
      <c r="X35" s="1364" t="n"/>
      <c r="AD35" s="4107" t="n"/>
      <c r="AE35" s="4122" t="n"/>
      <c r="AF35" s="4211" t="n"/>
      <c r="AH35" s="4109" t="n"/>
    </row>
    <row r="36" ht="12" customHeight="1" s="4080">
      <c r="A36" s="4208" t="n"/>
      <c r="B36" s="4122" t="n"/>
      <c r="C36" s="4106" t="n"/>
      <c r="E36" s="4107" t="n"/>
      <c r="F36" s="4106" t="n"/>
      <c r="I36" s="4212" t="n"/>
      <c r="J36" s="4213" t="n"/>
      <c r="M36" s="4107" t="n"/>
      <c r="N36" s="4106" t="n"/>
      <c r="O36" s="4107" t="n"/>
      <c r="P36" s="4106" t="n"/>
      <c r="R36" s="2378" t="inlineStr">
        <is>
          <t>府</t>
        </is>
      </c>
      <c r="S36" s="2378" t="inlineStr">
        <is>
          <t>県</t>
        </is>
      </c>
      <c r="W36" s="2378" t="inlineStr">
        <is>
          <t>市</t>
        </is>
      </c>
      <c r="AD36" s="4107" t="n"/>
      <c r="AE36" s="4122" t="n"/>
      <c r="AF36" s="4211" t="n"/>
      <c r="AH36" s="4109" t="n"/>
    </row>
    <row r="37" ht="3" customHeight="1" s="4080">
      <c r="A37" s="4208" t="n"/>
      <c r="B37" s="4122" t="n"/>
      <c r="C37" s="4102" t="n"/>
      <c r="D37" s="4103" t="n"/>
      <c r="E37" s="4104" t="n"/>
      <c r="F37" s="4102" t="n"/>
      <c r="G37" s="4103" t="n"/>
      <c r="H37" s="4103" t="n"/>
      <c r="I37" s="4215" t="n"/>
      <c r="J37" s="4213" t="n"/>
      <c r="M37" s="4107" t="n"/>
      <c r="N37" s="4106" t="n"/>
      <c r="O37" s="4107" t="n"/>
      <c r="P37" s="4106" t="n"/>
      <c r="R37" s="2378" t="n"/>
      <c r="S37" s="2378" t="n"/>
      <c r="W37" s="63" t="n"/>
      <c r="AD37" s="4107" t="n"/>
      <c r="AE37" s="4122" t="n"/>
      <c r="AF37" s="4106" t="n"/>
      <c r="AH37" s="4109" t="n"/>
    </row>
    <row r="38" ht="15.95" customHeight="1" s="4080">
      <c r="A38" s="4219" t="inlineStr">
        <is>
          <t>事　業　所　の　体　制</t>
        </is>
      </c>
      <c r="B38" s="4099" t="n"/>
      <c r="C38" s="1325" t="n"/>
      <c r="D38" s="1391" t="inlineStr">
        <is>
          <t>他に指定を受けて
いる障害福祉
サービス等</t>
        </is>
      </c>
      <c r="J38" s="1392" t="n"/>
      <c r="K38" s="2163" t="inlineStr">
        <is>
          <t>サービス種類</t>
        </is>
      </c>
      <c r="L38" s="4110" t="n"/>
      <c r="M38" s="4110" t="n"/>
      <c r="N38" s="4110" t="n"/>
      <c r="O38" s="4111" t="n"/>
      <c r="P38" s="2163" t="inlineStr">
        <is>
          <t>事　　　業　　　所　　　名</t>
        </is>
      </c>
      <c r="Q38" s="4110" t="n"/>
      <c r="R38" s="4110" t="n"/>
      <c r="S38" s="4110" t="n"/>
      <c r="T38" s="4110" t="n"/>
      <c r="U38" s="4110" t="n"/>
      <c r="V38" s="4110" t="n"/>
      <c r="W38" s="4110" t="n"/>
      <c r="X38" s="4110" t="n"/>
      <c r="Y38" s="4110" t="n"/>
      <c r="Z38" s="4110" t="n"/>
      <c r="AA38" s="4110" t="n"/>
      <c r="AB38" s="4110" t="n"/>
      <c r="AC38" s="4110" t="n"/>
      <c r="AD38" s="4111" t="n"/>
      <c r="AE38" s="4220" t="inlineStr">
        <is>
          <t>事業所番号</t>
        </is>
      </c>
      <c r="AF38" s="4110" t="n"/>
      <c r="AG38" s="4110" t="n"/>
      <c r="AH38" s="4113" t="n"/>
    </row>
    <row r="39" ht="15.95" customHeight="1" s="4080">
      <c r="A39" s="4097" t="n"/>
      <c r="B39" s="4107" t="n"/>
      <c r="J39" s="4107" t="n"/>
      <c r="K39" s="844" t="n"/>
      <c r="L39" s="4110" t="n"/>
      <c r="M39" s="4110" t="n"/>
      <c r="N39" s="4110" t="n"/>
      <c r="O39" s="4111" t="n"/>
      <c r="P39" s="4127" t="n"/>
      <c r="Q39" s="4110" t="n"/>
      <c r="R39" s="4110" t="n"/>
      <c r="S39" s="4110" t="n"/>
      <c r="T39" s="4110" t="n"/>
      <c r="U39" s="4110" t="n"/>
      <c r="V39" s="4110" t="n"/>
      <c r="W39" s="4110" t="n"/>
      <c r="X39" s="4110" t="n"/>
      <c r="Y39" s="4110" t="n"/>
      <c r="Z39" s="4110" t="n"/>
      <c r="AA39" s="4110" t="n"/>
      <c r="AB39" s="4110" t="n"/>
      <c r="AC39" s="4110" t="n"/>
      <c r="AD39" s="4111" t="n"/>
      <c r="AE39" s="4221" t="n"/>
      <c r="AF39" s="4110" t="n"/>
      <c r="AG39" s="4110" t="n"/>
      <c r="AH39" s="4113" t="n"/>
    </row>
    <row r="40" ht="15.95" customHeight="1" s="4080">
      <c r="A40" s="4097" t="n"/>
      <c r="B40" s="4107" t="n"/>
      <c r="J40" s="4107" t="n"/>
      <c r="K40" s="844" t="n"/>
      <c r="L40" s="4110" t="n"/>
      <c r="M40" s="4110" t="n"/>
      <c r="N40" s="4110" t="n"/>
      <c r="O40" s="4111" t="n"/>
      <c r="P40" s="4127" t="n"/>
      <c r="Q40" s="4110" t="n"/>
      <c r="R40" s="4110" t="n"/>
      <c r="S40" s="4110" t="n"/>
      <c r="T40" s="4110" t="n"/>
      <c r="U40" s="4110" t="n"/>
      <c r="V40" s="4110" t="n"/>
      <c r="W40" s="4110" t="n"/>
      <c r="X40" s="4110" t="n"/>
      <c r="Y40" s="4110" t="n"/>
      <c r="Z40" s="4110" t="n"/>
      <c r="AA40" s="4110" t="n"/>
      <c r="AB40" s="4110" t="n"/>
      <c r="AC40" s="4110" t="n"/>
      <c r="AD40" s="4111" t="n"/>
      <c r="AE40" s="847" t="n"/>
      <c r="AF40" s="4110" t="n"/>
      <c r="AG40" s="4110" t="n"/>
      <c r="AH40" s="4113" t="n"/>
    </row>
    <row r="41" ht="15.95" customHeight="1" s="4080">
      <c r="A41" s="4097" t="n"/>
      <c r="B41" s="4107" t="n"/>
      <c r="J41" s="4107" t="n"/>
      <c r="K41" s="844" t="n"/>
      <c r="L41" s="4110" t="n"/>
      <c r="M41" s="4110" t="n"/>
      <c r="N41" s="4110" t="n"/>
      <c r="O41" s="4111" t="n"/>
      <c r="P41" s="4127" t="n"/>
      <c r="Q41" s="4110" t="n"/>
      <c r="R41" s="4110" t="n"/>
      <c r="S41" s="4110" t="n"/>
      <c r="T41" s="4110" t="n"/>
      <c r="U41" s="4110" t="n"/>
      <c r="V41" s="4110" t="n"/>
      <c r="W41" s="4110" t="n"/>
      <c r="X41" s="4110" t="n"/>
      <c r="Y41" s="4110" t="n"/>
      <c r="Z41" s="4110" t="n"/>
      <c r="AA41" s="4110" t="n"/>
      <c r="AB41" s="4110" t="n"/>
      <c r="AC41" s="4110" t="n"/>
      <c r="AD41" s="4111" t="n"/>
      <c r="AE41" s="847" t="n"/>
      <c r="AF41" s="4110" t="n"/>
      <c r="AG41" s="4110" t="n"/>
      <c r="AH41" s="4113" t="n"/>
    </row>
    <row r="42" ht="15.95" customHeight="1" s="4080">
      <c r="A42" s="4097" t="n"/>
      <c r="B42" s="4107" t="n"/>
      <c r="J42" s="4107" t="n"/>
      <c r="K42" s="844" t="n"/>
      <c r="L42" s="4110" t="n"/>
      <c r="M42" s="4110" t="n"/>
      <c r="N42" s="4110" t="n"/>
      <c r="O42" s="4111" t="n"/>
      <c r="P42" s="4127" t="n"/>
      <c r="Q42" s="4110" t="n"/>
      <c r="R42" s="4110" t="n"/>
      <c r="S42" s="4110" t="n"/>
      <c r="T42" s="4110" t="n"/>
      <c r="U42" s="4110" t="n"/>
      <c r="V42" s="4110" t="n"/>
      <c r="W42" s="4110" t="n"/>
      <c r="X42" s="4110" t="n"/>
      <c r="Y42" s="4110" t="n"/>
      <c r="Z42" s="4110" t="n"/>
      <c r="AA42" s="4110" t="n"/>
      <c r="AB42" s="4110" t="n"/>
      <c r="AC42" s="4110" t="n"/>
      <c r="AD42" s="4111" t="n"/>
      <c r="AE42" s="847" t="n"/>
      <c r="AF42" s="4110" t="n"/>
      <c r="AG42" s="4110" t="n"/>
      <c r="AH42" s="4113" t="n"/>
    </row>
    <row r="43" ht="15.95" customHeight="1" s="4080">
      <c r="A43" s="4097" t="n"/>
      <c r="B43" s="4107" t="n"/>
      <c r="J43" s="4107" t="n"/>
      <c r="K43" s="844" t="n"/>
      <c r="L43" s="4110" t="n"/>
      <c r="M43" s="4110" t="n"/>
      <c r="N43" s="4110" t="n"/>
      <c r="O43" s="4111" t="n"/>
      <c r="P43" s="4127" t="n"/>
      <c r="Q43" s="4110" t="n"/>
      <c r="R43" s="4110" t="n"/>
      <c r="S43" s="4110" t="n"/>
      <c r="T43" s="4110" t="n"/>
      <c r="U43" s="4110" t="n"/>
      <c r="V43" s="4110" t="n"/>
      <c r="W43" s="4110" t="n"/>
      <c r="X43" s="4110" t="n"/>
      <c r="Y43" s="4110" t="n"/>
      <c r="Z43" s="4110" t="n"/>
      <c r="AA43" s="4110" t="n"/>
      <c r="AB43" s="4110" t="n"/>
      <c r="AC43" s="4110" t="n"/>
      <c r="AD43" s="4111" t="n"/>
      <c r="AE43" s="847" t="n"/>
      <c r="AF43" s="4110" t="n"/>
      <c r="AG43" s="4110" t="n"/>
      <c r="AH43" s="4113" t="n"/>
    </row>
    <row r="44" ht="15.95" customHeight="1" s="4080">
      <c r="A44" s="4097" t="n"/>
      <c r="B44" s="4107" t="n"/>
      <c r="C44" s="1301" t="n"/>
      <c r="D44" s="4222" t="inlineStr">
        <is>
          <t>委託による
提携事業所</t>
        </is>
      </c>
      <c r="E44" s="4098" t="n"/>
      <c r="F44" s="4098" t="n"/>
      <c r="G44" s="4098" t="n"/>
      <c r="H44" s="4098" t="n"/>
      <c r="I44" s="4098" t="n"/>
      <c r="J44" s="4223" t="n"/>
      <c r="K44" s="2163" t="inlineStr">
        <is>
          <t>サービス種類</t>
        </is>
      </c>
      <c r="L44" s="4110" t="n"/>
      <c r="M44" s="4110" t="n"/>
      <c r="N44" s="4110" t="n"/>
      <c r="O44" s="4111" t="n"/>
      <c r="P44" s="2163" t="inlineStr">
        <is>
          <t>事　　　業　　　所　　　名</t>
        </is>
      </c>
      <c r="Q44" s="4110" t="n"/>
      <c r="R44" s="4110" t="n"/>
      <c r="S44" s="4110" t="n"/>
      <c r="T44" s="4110" t="n"/>
      <c r="U44" s="4110" t="n"/>
      <c r="V44" s="4110" t="n"/>
      <c r="W44" s="4110" t="n"/>
      <c r="X44" s="4110" t="n"/>
      <c r="Y44" s="4110" t="n"/>
      <c r="Z44" s="4110" t="n"/>
      <c r="AA44" s="4110" t="n"/>
      <c r="AB44" s="4110" t="n"/>
      <c r="AC44" s="4110" t="n"/>
      <c r="AD44" s="4111" t="n"/>
      <c r="AE44" s="4220" t="inlineStr">
        <is>
          <t>事業所番号</t>
        </is>
      </c>
      <c r="AF44" s="4110" t="n"/>
      <c r="AG44" s="4110" t="n"/>
      <c r="AH44" s="4113" t="n"/>
    </row>
    <row r="45" ht="15.95" customHeight="1" s="4080">
      <c r="A45" s="4097" t="n"/>
      <c r="B45" s="4107" t="n"/>
      <c r="J45" s="4107" t="n"/>
      <c r="K45" s="844" t="n"/>
      <c r="L45" s="4110" t="n"/>
      <c r="M45" s="4110" t="n"/>
      <c r="N45" s="4110" t="n"/>
      <c r="O45" s="4111" t="n"/>
      <c r="P45" s="4127" t="n"/>
      <c r="Q45" s="4110" t="n"/>
      <c r="R45" s="4110" t="n"/>
      <c r="S45" s="4110" t="n"/>
      <c r="T45" s="4110" t="n"/>
      <c r="U45" s="4110" t="n"/>
      <c r="V45" s="4110" t="n"/>
      <c r="W45" s="4110" t="n"/>
      <c r="X45" s="4110" t="n"/>
      <c r="Y45" s="4110" t="n"/>
      <c r="Z45" s="4110" t="n"/>
      <c r="AA45" s="4110" t="n"/>
      <c r="AB45" s="4110" t="n"/>
      <c r="AC45" s="4110" t="n"/>
      <c r="AD45" s="4111" t="n"/>
      <c r="AE45" s="847" t="n"/>
      <c r="AF45" s="4110" t="n"/>
      <c r="AG45" s="4110" t="n"/>
      <c r="AH45" s="4113" t="n"/>
    </row>
    <row r="46" ht="15.95" customHeight="1" s="4080">
      <c r="A46" s="4097" t="n"/>
      <c r="B46" s="4107" t="n"/>
      <c r="J46" s="4107" t="n"/>
      <c r="K46" s="844" t="n"/>
      <c r="L46" s="4110" t="n"/>
      <c r="M46" s="4110" t="n"/>
      <c r="N46" s="4110" t="n"/>
      <c r="O46" s="4111" t="n"/>
      <c r="P46" s="4127" t="n"/>
      <c r="Q46" s="4110" t="n"/>
      <c r="R46" s="4110" t="n"/>
      <c r="S46" s="4110" t="n"/>
      <c r="T46" s="4110" t="n"/>
      <c r="U46" s="4110" t="n"/>
      <c r="V46" s="4110" t="n"/>
      <c r="W46" s="4110" t="n"/>
      <c r="X46" s="4110" t="n"/>
      <c r="Y46" s="4110" t="n"/>
      <c r="Z46" s="4110" t="n"/>
      <c r="AA46" s="4110" t="n"/>
      <c r="AB46" s="4110" t="n"/>
      <c r="AC46" s="4110" t="n"/>
      <c r="AD46" s="4111" t="n"/>
      <c r="AE46" s="847" t="n"/>
      <c r="AF46" s="4110" t="n"/>
      <c r="AG46" s="4110" t="n"/>
      <c r="AH46" s="4113" t="n"/>
    </row>
    <row r="47" ht="15.95" customHeight="1" s="4080">
      <c r="A47" s="4097" t="n"/>
      <c r="B47" s="4107" t="n"/>
      <c r="J47" s="4107" t="n"/>
      <c r="K47" s="844" t="n"/>
      <c r="L47" s="4110" t="n"/>
      <c r="M47" s="4110" t="n"/>
      <c r="N47" s="4110" t="n"/>
      <c r="O47" s="4111" t="n"/>
      <c r="P47" s="4127" t="n"/>
      <c r="Q47" s="4110" t="n"/>
      <c r="R47" s="4110" t="n"/>
      <c r="S47" s="4110" t="n"/>
      <c r="T47" s="4110" t="n"/>
      <c r="U47" s="4110" t="n"/>
      <c r="V47" s="4110" t="n"/>
      <c r="W47" s="4110" t="n"/>
      <c r="X47" s="4110" t="n"/>
      <c r="Y47" s="4110" t="n"/>
      <c r="Z47" s="4110" t="n"/>
      <c r="AA47" s="4110" t="n"/>
      <c r="AB47" s="4110" t="n"/>
      <c r="AC47" s="4110" t="n"/>
      <c r="AD47" s="4111" t="n"/>
      <c r="AE47" s="847" t="n"/>
      <c r="AF47" s="4110" t="n"/>
      <c r="AG47" s="4110" t="n"/>
      <c r="AH47" s="4113" t="n"/>
    </row>
    <row r="48" ht="15.95" customHeight="1" s="4080">
      <c r="A48" s="4097" t="n"/>
      <c r="B48" s="4107" t="n"/>
      <c r="J48" s="4107" t="n"/>
      <c r="K48" s="844" t="n"/>
      <c r="L48" s="4110" t="n"/>
      <c r="M48" s="4110" t="n"/>
      <c r="N48" s="4110" t="n"/>
      <c r="O48" s="4111" t="n"/>
      <c r="P48" s="4127" t="n"/>
      <c r="Q48" s="4110" t="n"/>
      <c r="R48" s="4110" t="n"/>
      <c r="S48" s="4110" t="n"/>
      <c r="T48" s="4110" t="n"/>
      <c r="U48" s="4110" t="n"/>
      <c r="V48" s="4110" t="n"/>
      <c r="W48" s="4110" t="n"/>
      <c r="X48" s="4110" t="n"/>
      <c r="Y48" s="4110" t="n"/>
      <c r="Z48" s="4110" t="n"/>
      <c r="AA48" s="4110" t="n"/>
      <c r="AB48" s="4110" t="n"/>
      <c r="AC48" s="4110" t="n"/>
      <c r="AD48" s="4111" t="n"/>
      <c r="AE48" s="847" t="n"/>
      <c r="AF48" s="4110" t="n"/>
      <c r="AG48" s="4110" t="n"/>
      <c r="AH48" s="4113" t="n"/>
    </row>
    <row r="49" ht="15.95" customHeight="1" s="4080">
      <c r="A49" s="4097" t="n"/>
      <c r="B49" s="4107" t="n"/>
      <c r="C49" s="4103" t="n"/>
      <c r="D49" s="4103" t="n"/>
      <c r="E49" s="4103" t="n"/>
      <c r="F49" s="4103" t="n"/>
      <c r="G49" s="4103" t="n"/>
      <c r="H49" s="4103" t="n"/>
      <c r="I49" s="4103" t="n"/>
      <c r="J49" s="4104" t="n"/>
      <c r="K49" s="844" t="n"/>
      <c r="L49" s="4110" t="n"/>
      <c r="M49" s="4110" t="n"/>
      <c r="N49" s="4110" t="n"/>
      <c r="O49" s="4111" t="n"/>
      <c r="P49" s="4127" t="n"/>
      <c r="Q49" s="4110" t="n"/>
      <c r="R49" s="4110" t="n"/>
      <c r="S49" s="4110" t="n"/>
      <c r="T49" s="4110" t="n"/>
      <c r="U49" s="4110" t="n"/>
      <c r="V49" s="4110" t="n"/>
      <c r="W49" s="4110" t="n"/>
      <c r="X49" s="4110" t="n"/>
      <c r="Y49" s="4110" t="n"/>
      <c r="Z49" s="4110" t="n"/>
      <c r="AA49" s="4110" t="n"/>
      <c r="AB49" s="4110" t="n"/>
      <c r="AC49" s="4110" t="n"/>
      <c r="AD49" s="4111" t="n"/>
      <c r="AE49" s="847" t="n"/>
      <c r="AF49" s="4110" t="n"/>
      <c r="AG49" s="4110" t="n"/>
      <c r="AH49" s="4113" t="n"/>
    </row>
    <row r="50" ht="15.95" customHeight="1" s="4080">
      <c r="A50" s="4097" t="n"/>
      <c r="B50" s="4107" t="n"/>
      <c r="C50" s="1267" t="n"/>
      <c r="D50" s="1264" t="inlineStr">
        <is>
          <t>協力医療機関</t>
        </is>
      </c>
      <c r="E50" s="4110" t="n"/>
      <c r="F50" s="4110" t="n"/>
      <c r="G50" s="4110" t="n"/>
      <c r="H50" s="4110" t="n"/>
      <c r="I50" s="4110" t="n"/>
      <c r="J50" s="1268" t="n"/>
      <c r="K50" s="4185" t="inlineStr">
        <is>
          <t>名　称</t>
        </is>
      </c>
      <c r="L50" s="4110" t="n"/>
      <c r="M50" s="4111" t="n"/>
      <c r="N50" s="4127" t="n"/>
      <c r="O50" s="4110" t="n"/>
      <c r="P50" s="4110" t="n"/>
      <c r="Q50" s="4110" t="n"/>
      <c r="R50" s="4110" t="n"/>
      <c r="S50" s="4110" t="n"/>
      <c r="T50" s="4110" t="n"/>
      <c r="U50" s="4110" t="n"/>
      <c r="V50" s="4111" t="n"/>
      <c r="W50" s="4185" t="inlineStr">
        <is>
          <t>主な診療科名</t>
        </is>
      </c>
      <c r="X50" s="4110" t="n"/>
      <c r="Y50" s="4110" t="n"/>
      <c r="Z50" s="4111" t="n"/>
      <c r="AA50" s="4224" t="n"/>
      <c r="AB50" s="4110" t="n"/>
      <c r="AC50" s="4110" t="n"/>
      <c r="AD50" s="4110" t="n"/>
      <c r="AE50" s="4110" t="n"/>
      <c r="AF50" s="4110" t="n"/>
      <c r="AG50" s="4110" t="n"/>
      <c r="AH50" s="4113" t="n"/>
    </row>
    <row r="51" ht="24" customHeight="1" s="4080">
      <c r="A51" s="4114" t="n"/>
      <c r="B51" s="4104" t="n"/>
      <c r="C51" s="1267" t="n"/>
      <c r="D51" s="1264" t="inlineStr">
        <is>
          <t>利用者からの連絡対応体制の概要</t>
        </is>
      </c>
      <c r="E51" s="4110" t="n"/>
      <c r="F51" s="4110" t="n"/>
      <c r="G51" s="4110" t="n"/>
      <c r="H51" s="4110" t="n"/>
      <c r="I51" s="4110" t="n"/>
      <c r="J51" s="1268" t="n"/>
      <c r="K51" s="4225" t="n"/>
      <c r="L51" s="4110" t="n"/>
      <c r="M51" s="4110" t="n"/>
      <c r="N51" s="4110" t="n"/>
      <c r="O51" s="4110" t="n"/>
      <c r="P51" s="4110" t="n"/>
      <c r="Q51" s="4110" t="n"/>
      <c r="R51" s="4110" t="n"/>
      <c r="S51" s="4110" t="n"/>
      <c r="T51" s="4110" t="n"/>
      <c r="U51" s="4110" t="n"/>
      <c r="V51" s="4110" t="n"/>
      <c r="W51" s="4110" t="n"/>
      <c r="X51" s="4110" t="n"/>
      <c r="Y51" s="4110" t="n"/>
      <c r="Z51" s="4110" t="n"/>
      <c r="AA51" s="4110" t="n"/>
      <c r="AB51" s="4110" t="n"/>
      <c r="AC51" s="4110" t="n"/>
      <c r="AD51" s="4110" t="n"/>
      <c r="AE51" s="4110" t="n"/>
      <c r="AF51" s="4110" t="n"/>
      <c r="AG51" s="4110" t="n"/>
      <c r="AH51" s="4113" t="n"/>
    </row>
    <row r="52" ht="15.95" customHeight="1" s="4080">
      <c r="A52" s="4219" t="inlineStr">
        <is>
          <t>主　な　掲　示　事　項</t>
        </is>
      </c>
      <c r="B52" s="4099" t="n"/>
      <c r="C52" s="1393" t="n"/>
      <c r="D52" s="1264" t="inlineStr">
        <is>
          <t>利用者数</t>
        </is>
      </c>
      <c r="E52" s="4110" t="n"/>
      <c r="F52" s="4110" t="n"/>
      <c r="G52" s="4110" t="n"/>
      <c r="H52" s="4110" t="n"/>
      <c r="I52" s="4110" t="n"/>
      <c r="J52" s="1394" t="n"/>
      <c r="K52" s="967" t="n"/>
      <c r="L52" s="4110" t="n"/>
      <c r="M52" s="4110" t="n"/>
      <c r="N52" s="4110" t="n"/>
      <c r="O52" s="2325" t="inlineStr">
        <is>
          <t>人</t>
        </is>
      </c>
      <c r="P52" s="4226" t="n"/>
      <c r="Q52" s="4110" t="n"/>
      <c r="R52" s="4110" t="n"/>
      <c r="S52" s="4110" t="n"/>
      <c r="T52" s="4110" t="n"/>
      <c r="U52" s="4110" t="n"/>
      <c r="V52" s="4110" t="n"/>
      <c r="W52" s="4110" t="n"/>
      <c r="X52" s="4110" t="n"/>
      <c r="Y52" s="4110" t="n"/>
      <c r="Z52" s="4110" t="n"/>
      <c r="AA52" s="4110" t="n"/>
      <c r="AB52" s="4110" t="n"/>
      <c r="AC52" s="4110" t="n"/>
      <c r="AD52" s="4110" t="n"/>
      <c r="AE52" s="4110" t="n"/>
      <c r="AF52" s="4110" t="n"/>
      <c r="AG52" s="4110" t="n"/>
      <c r="AH52" s="4113" t="n"/>
    </row>
    <row r="53" ht="12" customHeight="1" s="4080">
      <c r="A53" s="4097" t="n"/>
      <c r="B53" s="4107" t="n"/>
      <c r="C53" s="1393" t="n"/>
      <c r="D53" s="2906" t="inlineStr">
        <is>
          <t>サービスを提供
する主たる対象者</t>
        </is>
      </c>
      <c r="E53" s="4098" t="n"/>
      <c r="F53" s="4098" t="n"/>
      <c r="G53" s="4098" t="n"/>
      <c r="H53" s="4098" t="n"/>
      <c r="I53" s="4098" t="n"/>
      <c r="J53" s="4223" t="n"/>
      <c r="K53" s="2163" t="inlineStr">
        <is>
          <t>Ⅰ類型</t>
        </is>
      </c>
      <c r="L53" s="4110" t="n"/>
      <c r="M53" s="4110" t="n"/>
      <c r="N53" s="4110" t="n"/>
      <c r="O53" s="4110" t="n"/>
      <c r="P53" s="4110" t="n"/>
      <c r="Q53" s="4110" t="n"/>
      <c r="R53" s="4111" t="n"/>
      <c r="S53" s="2163" t="inlineStr">
        <is>
          <t>Ⅱ類型</t>
        </is>
      </c>
      <c r="T53" s="4110" t="n"/>
      <c r="U53" s="4110" t="n"/>
      <c r="V53" s="4110" t="n"/>
      <c r="W53" s="4110" t="n"/>
      <c r="X53" s="4110" t="n"/>
      <c r="Y53" s="4110" t="n"/>
      <c r="Z53" s="4111" t="n"/>
      <c r="AA53" s="4220" t="inlineStr">
        <is>
          <t>Ⅲ類型</t>
        </is>
      </c>
      <c r="AB53" s="4110" t="n"/>
      <c r="AC53" s="4110" t="n"/>
      <c r="AD53" s="4110" t="n"/>
      <c r="AE53" s="4110" t="n"/>
      <c r="AF53" s="4110" t="n"/>
      <c r="AG53" s="4110" t="n"/>
      <c r="AH53" s="4113" t="n"/>
    </row>
    <row r="54" ht="12" customHeight="1" s="4080">
      <c r="A54" s="4097" t="n"/>
      <c r="B54" s="4107" t="n"/>
      <c r="C54" s="4102" t="n"/>
      <c r="D54" s="4103" t="n"/>
      <c r="E54" s="4103" t="n"/>
      <c r="F54" s="4103" t="n"/>
      <c r="G54" s="4103" t="n"/>
      <c r="H54" s="4103" t="n"/>
      <c r="I54" s="4103" t="n"/>
      <c r="J54" s="4104" t="n"/>
      <c r="K54" s="988" t="n"/>
      <c r="L54" s="4110" t="n"/>
      <c r="M54" s="4110" t="n"/>
      <c r="N54" s="4110" t="n"/>
      <c r="O54" s="4110" t="n"/>
      <c r="P54" s="4110" t="n"/>
      <c r="Q54" s="4110" t="n"/>
      <c r="R54" s="4111" t="n"/>
      <c r="S54" s="988" t="n"/>
      <c r="T54" s="4110" t="n"/>
      <c r="U54" s="4110" t="n"/>
      <c r="V54" s="4110" t="n"/>
      <c r="W54" s="4110" t="n"/>
      <c r="X54" s="4110" t="n"/>
      <c r="Y54" s="4110" t="n"/>
      <c r="Z54" s="4111" t="n"/>
      <c r="AA54" s="847" t="n"/>
      <c r="AB54" s="4110" t="n"/>
      <c r="AC54" s="4110" t="n"/>
      <c r="AD54" s="4110" t="n"/>
      <c r="AE54" s="4110" t="n"/>
      <c r="AF54" s="4110" t="n"/>
      <c r="AG54" s="4110" t="n"/>
      <c r="AH54" s="4113" t="n"/>
    </row>
    <row r="55" ht="15.95" customHeight="1" s="4080">
      <c r="A55" s="4097" t="n"/>
      <c r="B55" s="4107" t="n"/>
      <c r="C55" s="1393" t="n"/>
      <c r="D55" s="1264" t="inlineStr">
        <is>
          <t>利用料</t>
        </is>
      </c>
      <c r="E55" s="4110" t="n"/>
      <c r="F55" s="4110" t="n"/>
      <c r="G55" s="4110" t="n"/>
      <c r="H55" s="4110" t="n"/>
      <c r="I55" s="4110" t="n"/>
      <c r="J55" s="1394" t="n"/>
      <c r="K55" s="4227" t="inlineStr">
        <is>
          <t xml:space="preserve">　</t>
        </is>
      </c>
      <c r="L55" s="4110" t="n"/>
      <c r="M55" s="4110" t="n"/>
      <c r="N55" s="4110" t="n"/>
      <c r="O55" s="4110" t="n"/>
      <c r="P55" s="4110" t="n"/>
      <c r="Q55" s="4110" t="n"/>
      <c r="R55" s="4110" t="n"/>
      <c r="S55" s="4110" t="n"/>
      <c r="T55" s="4110" t="n"/>
      <c r="U55" s="4110" t="n"/>
      <c r="V55" s="4110" t="n"/>
      <c r="W55" s="4110" t="n"/>
      <c r="X55" s="4110" t="n"/>
      <c r="Y55" s="4110" t="n"/>
      <c r="Z55" s="4110" t="n"/>
      <c r="AA55" s="4110" t="n"/>
      <c r="AB55" s="4110" t="n"/>
      <c r="AC55" s="4110" t="n"/>
      <c r="AD55" s="4110" t="n"/>
      <c r="AE55" s="4110" t="n"/>
      <c r="AF55" s="4110" t="n"/>
      <c r="AG55" s="4110" t="n"/>
      <c r="AH55" s="4113" t="n"/>
    </row>
    <row r="56" ht="15.95" customHeight="1" s="4080">
      <c r="A56" s="4097" t="n"/>
      <c r="B56" s="4107" t="n"/>
      <c r="C56" s="1322" t="n"/>
      <c r="D56" s="1264" t="inlineStr">
        <is>
          <t>その他の費用</t>
        </is>
      </c>
      <c r="E56" s="4110" t="n"/>
      <c r="F56" s="4110" t="n"/>
      <c r="G56" s="4110" t="n"/>
      <c r="H56" s="4110" t="n"/>
      <c r="I56" s="4110" t="n"/>
      <c r="J56" s="1331" t="n"/>
      <c r="K56" s="4228" t="n"/>
      <c r="L56" s="4098" t="n"/>
      <c r="M56" s="4098" t="n"/>
      <c r="N56" s="4098" t="n"/>
      <c r="O56" s="4098" t="n"/>
      <c r="P56" s="4098" t="n"/>
      <c r="Q56" s="4098" t="n"/>
      <c r="R56" s="4098" t="n"/>
      <c r="S56" s="4098" t="n"/>
      <c r="T56" s="4098" t="n"/>
      <c r="U56" s="4098" t="n"/>
      <c r="V56" s="4098" t="n"/>
      <c r="W56" s="4098" t="n"/>
      <c r="X56" s="4098" t="n"/>
      <c r="Y56" s="4098" t="n"/>
      <c r="Z56" s="4098" t="n"/>
      <c r="AA56" s="4098" t="n"/>
      <c r="AB56" s="4098" t="n"/>
      <c r="AC56" s="4098" t="n"/>
      <c r="AD56" s="4098" t="n"/>
      <c r="AE56" s="4098" t="n"/>
      <c r="AF56" s="4098" t="n"/>
      <c r="AG56" s="4098" t="n"/>
      <c r="AH56" s="4101" t="n"/>
    </row>
    <row r="57" ht="24" customHeight="1" s="4080">
      <c r="A57" s="4097" t="n"/>
      <c r="B57" s="4107" t="n"/>
      <c r="C57" s="1300" t="n"/>
      <c r="D57" s="4222" t="inlineStr">
        <is>
          <t>通常の事業の
実施地域</t>
        </is>
      </c>
      <c r="E57" s="4098" t="n"/>
      <c r="F57" s="4098" t="n"/>
      <c r="G57" s="4098" t="n"/>
      <c r="H57" s="4098" t="n"/>
      <c r="I57" s="4098" t="n"/>
      <c r="J57" s="1963" t="n"/>
      <c r="K57" s="3272" t="inlineStr">
        <is>
          <t>1)</t>
        </is>
      </c>
      <c r="L57" s="1406" t="n"/>
      <c r="M57" s="4110" t="n"/>
      <c r="N57" s="4110" t="n"/>
      <c r="O57" s="2325" t="inlineStr">
        <is>
          <t>2)</t>
        </is>
      </c>
      <c r="P57" s="1406" t="n"/>
      <c r="Q57" s="4110" t="n"/>
      <c r="R57" s="4110" t="n"/>
      <c r="S57" s="2325" t="inlineStr">
        <is>
          <t>3)</t>
        </is>
      </c>
      <c r="T57" s="1406" t="n"/>
      <c r="U57" s="4110" t="n"/>
      <c r="V57" s="4110" t="n"/>
      <c r="W57" s="2325" t="inlineStr">
        <is>
          <t>4)</t>
        </is>
      </c>
      <c r="X57" s="1406" t="n"/>
      <c r="Y57" s="4110" t="n"/>
      <c r="Z57" s="4110" t="n"/>
      <c r="AA57" s="2325" t="inlineStr">
        <is>
          <t>5)</t>
        </is>
      </c>
      <c r="AB57" s="1406" t="n"/>
      <c r="AC57" s="4110" t="n"/>
      <c r="AD57" s="4110" t="n"/>
      <c r="AE57" s="4229" t="inlineStr">
        <is>
          <t>備考</t>
        </is>
      </c>
      <c r="AF57" s="4230" t="n"/>
      <c r="AG57" s="4098" t="n"/>
      <c r="AH57" s="4101" t="n"/>
    </row>
    <row r="58" ht="24" customHeight="1" s="4080">
      <c r="A58" s="4097" t="n"/>
      <c r="B58" s="4107" t="n"/>
      <c r="C58" s="4102" t="n"/>
      <c r="D58" s="4103" t="n"/>
      <c r="E58" s="4103" t="n"/>
      <c r="F58" s="4103" t="n"/>
      <c r="G58" s="4103" t="n"/>
      <c r="H58" s="4103" t="n"/>
      <c r="I58" s="4103" t="n"/>
      <c r="J58" s="4104" t="n"/>
      <c r="K58" s="3272" t="inlineStr">
        <is>
          <t>6)</t>
        </is>
      </c>
      <c r="L58" s="1406" t="n"/>
      <c r="M58" s="4110" t="n"/>
      <c r="N58" s="4110" t="n"/>
      <c r="O58" s="2325" t="inlineStr">
        <is>
          <t>7)</t>
        </is>
      </c>
      <c r="P58" s="1406" t="n"/>
      <c r="Q58" s="4110" t="n"/>
      <c r="R58" s="4110" t="n"/>
      <c r="S58" s="2325" t="inlineStr">
        <is>
          <t>8)</t>
        </is>
      </c>
      <c r="T58" s="1406" t="n"/>
      <c r="U58" s="4110" t="n"/>
      <c r="V58" s="4110" t="n"/>
      <c r="W58" s="2325" t="inlineStr">
        <is>
          <t>9)</t>
        </is>
      </c>
      <c r="X58" s="1406" t="n"/>
      <c r="Y58" s="4110" t="n"/>
      <c r="Z58" s="4110" t="n"/>
      <c r="AA58" s="71" t="inlineStr">
        <is>
          <t>10)</t>
        </is>
      </c>
      <c r="AB58" s="1406" t="n"/>
      <c r="AC58" s="4110" t="n"/>
      <c r="AD58" s="4110" t="n"/>
      <c r="AE58" s="4124" t="n"/>
      <c r="AF58" s="4102" t="n"/>
      <c r="AG58" s="4103" t="n"/>
      <c r="AH58" s="4105" t="n"/>
    </row>
    <row r="59" ht="3.95" customHeight="1" s="4080">
      <c r="A59" s="4097" t="n"/>
      <c r="B59" s="4107" t="n"/>
      <c r="C59" s="4231" t="inlineStr">
        <is>
          <t>その他参考
となる事項</t>
        </is>
      </c>
      <c r="D59" s="4099" t="n"/>
      <c r="E59" s="2753" t="inlineStr">
        <is>
          <t>第三者評価の実施状況</t>
        </is>
      </c>
      <c r="F59" s="4098" t="n"/>
      <c r="G59" s="4098" t="n"/>
      <c r="H59" s="4098" t="n"/>
      <c r="I59" s="4098" t="n"/>
      <c r="J59" s="4099" t="n"/>
      <c r="K59" s="1657" t="n"/>
      <c r="L59" s="1658" t="n"/>
      <c r="M59" s="1658" t="n"/>
      <c r="N59" s="1658" t="n"/>
      <c r="O59" s="1658" t="n"/>
      <c r="P59" s="1658" t="n"/>
      <c r="Q59" s="1658" t="n"/>
      <c r="R59" s="4232" t="n"/>
      <c r="S59" s="4098" t="n"/>
      <c r="T59" s="4098" t="n"/>
      <c r="U59" s="4098" t="n"/>
      <c r="V59" s="4098" t="n"/>
      <c r="W59" s="4098" t="n"/>
      <c r="X59" s="4098" t="n"/>
      <c r="Y59" s="4098" t="n"/>
      <c r="Z59" s="4098" t="n"/>
      <c r="AA59" s="4098" t="n"/>
      <c r="AB59" s="1658" t="n"/>
      <c r="AC59" s="1658" t="n"/>
      <c r="AD59" s="1658" t="n"/>
      <c r="AE59" s="1658" t="n"/>
      <c r="AF59" s="1658" t="n"/>
      <c r="AG59" s="1658" t="n"/>
      <c r="AH59" s="1659" t="n"/>
    </row>
    <row r="60" ht="15" customHeight="1" s="4080">
      <c r="A60" s="4097" t="n"/>
      <c r="B60" s="4107" t="n"/>
      <c r="C60" s="4106" t="n"/>
      <c r="D60" s="4107" t="n"/>
      <c r="J60" s="4107" t="n"/>
      <c r="K60" s="1372" t="n"/>
      <c r="L60" s="1432" t="inlineStr">
        <is>
          <t>している</t>
        </is>
      </c>
      <c r="O60" s="1458" t="inlineStr">
        <is>
          <t>(実施先：</t>
        </is>
      </c>
      <c r="AB60" s="1325" t="inlineStr">
        <is>
          <t>)・</t>
        </is>
      </c>
      <c r="AD60" s="1432" t="inlineStr">
        <is>
          <t>していない</t>
        </is>
      </c>
      <c r="AH60" s="1668" t="n"/>
    </row>
    <row r="61" ht="3.95" customHeight="1" s="4080">
      <c r="A61" s="4097" t="n"/>
      <c r="B61" s="4107" t="n"/>
      <c r="C61" s="4106" t="n"/>
      <c r="D61" s="4107" t="n"/>
      <c r="E61" s="4103" t="n"/>
      <c r="F61" s="4103" t="n"/>
      <c r="G61" s="4103" t="n"/>
      <c r="H61" s="4103" t="n"/>
      <c r="I61" s="4103" t="n"/>
      <c r="J61" s="4104" t="n"/>
      <c r="K61" s="1657" t="n"/>
      <c r="L61" s="1658" t="n"/>
      <c r="M61" s="1658" t="n"/>
      <c r="N61" s="1658" t="n"/>
      <c r="O61" s="1658" t="n"/>
      <c r="P61" s="1658" t="n"/>
      <c r="Q61" s="1658" t="n"/>
      <c r="R61" s="4103" t="n"/>
      <c r="S61" s="4103" t="n"/>
      <c r="T61" s="4103" t="n"/>
      <c r="U61" s="4103" t="n"/>
      <c r="V61" s="4103" t="n"/>
      <c r="W61" s="4103" t="n"/>
      <c r="X61" s="4103" t="n"/>
      <c r="Y61" s="4103" t="n"/>
      <c r="Z61" s="4103" t="n"/>
      <c r="AA61" s="4103" t="n"/>
      <c r="AB61" s="1658" t="n"/>
      <c r="AC61" s="1658" t="n"/>
      <c r="AD61" s="1658" t="n"/>
      <c r="AE61" s="1658" t="n"/>
      <c r="AF61" s="1658" t="n"/>
      <c r="AG61" s="1658" t="n"/>
      <c r="AH61" s="1659" t="n"/>
    </row>
    <row r="62" ht="15.95" customHeight="1" s="4080">
      <c r="A62" s="4097" t="n"/>
      <c r="B62" s="4107" t="n"/>
      <c r="C62" s="4106" t="n"/>
      <c r="D62" s="4107" t="n"/>
      <c r="E62" s="1439" t="inlineStr">
        <is>
          <t>苦情解決の措置概要</t>
        </is>
      </c>
      <c r="F62" s="4098" t="n"/>
      <c r="G62" s="4098" t="n"/>
      <c r="H62" s="4098" t="n"/>
      <c r="I62" s="4098" t="n"/>
      <c r="J62" s="4099" t="n"/>
      <c r="K62" s="2542" t="inlineStr">
        <is>
          <t>窓　口</t>
        </is>
      </c>
      <c r="L62" s="4110" t="n"/>
      <c r="M62" s="4111" t="n"/>
      <c r="N62" s="4121" t="inlineStr">
        <is>
          <t xml:space="preserve">　</t>
        </is>
      </c>
      <c r="O62" s="4110" t="n"/>
      <c r="P62" s="4110" t="n"/>
      <c r="Q62" s="4110" t="n"/>
      <c r="R62" s="4110" t="n"/>
      <c r="S62" s="4110" t="n"/>
      <c r="T62" s="4110" t="n"/>
      <c r="U62" s="4110" t="n"/>
      <c r="V62" s="4110" t="n"/>
      <c r="W62" s="4110" t="n"/>
      <c r="X62" s="4110" t="n"/>
      <c r="Y62" s="4110" t="n"/>
      <c r="Z62" s="4110" t="n"/>
      <c r="AA62" s="4110" t="n"/>
      <c r="AB62" s="4110" t="n"/>
      <c r="AC62" s="4110" t="n"/>
      <c r="AD62" s="4110" t="n"/>
      <c r="AE62" s="4110" t="n"/>
      <c r="AF62" s="4110" t="n"/>
      <c r="AG62" s="4110" t="n"/>
      <c r="AH62" s="4113" t="n"/>
    </row>
    <row r="63" ht="15.95" customHeight="1" s="4080">
      <c r="A63" s="4097" t="n"/>
      <c r="B63" s="4107" t="n"/>
      <c r="C63" s="4106" t="n"/>
      <c r="D63" s="4107" t="n"/>
      <c r="E63" s="4103" t="n"/>
      <c r="F63" s="4103" t="n"/>
      <c r="G63" s="4103" t="n"/>
      <c r="H63" s="4103" t="n"/>
      <c r="I63" s="4103" t="n"/>
      <c r="J63" s="4104" t="n"/>
      <c r="K63" s="2542" t="inlineStr">
        <is>
          <t>担当者</t>
        </is>
      </c>
      <c r="L63" s="4110" t="n"/>
      <c r="M63" s="4111" t="n"/>
      <c r="N63" s="4233" t="n"/>
      <c r="O63" s="4110" t="n"/>
      <c r="P63" s="4110" t="n"/>
      <c r="Q63" s="4110" t="n"/>
      <c r="R63" s="4110" t="n"/>
      <c r="S63" s="4110" t="n"/>
      <c r="T63" s="4110" t="n"/>
      <c r="U63" s="4111" t="n"/>
      <c r="V63" s="2163" t="inlineStr">
        <is>
          <t>電話</t>
        </is>
      </c>
      <c r="W63" s="4111" t="n"/>
      <c r="X63" s="882" t="n"/>
      <c r="Y63" s="4110" t="n"/>
      <c r="Z63" s="4110" t="n"/>
      <c r="AA63" s="1492" t="inlineStr">
        <is>
          <t>－</t>
        </is>
      </c>
      <c r="AB63" s="920" t="n"/>
      <c r="AC63" s="4110" t="n"/>
      <c r="AD63" s="4110" t="n"/>
      <c r="AE63" s="1492" t="inlineStr">
        <is>
          <t>－</t>
        </is>
      </c>
      <c r="AF63" s="955" t="n"/>
      <c r="AG63" s="4110" t="n"/>
      <c r="AH63" s="4113" t="n"/>
    </row>
    <row r="64" ht="15.95" customHeight="1" s="4080">
      <c r="A64" s="4114" t="n"/>
      <c r="B64" s="4104" t="n"/>
      <c r="C64" s="4102" t="n"/>
      <c r="D64" s="4104" t="n"/>
      <c r="E64" s="1394" t="inlineStr">
        <is>
          <t>そ　　 の 　　他</t>
        </is>
      </c>
      <c r="F64" s="4110" t="n"/>
      <c r="G64" s="4110" t="n"/>
      <c r="H64" s="4110" t="n"/>
      <c r="I64" s="4110" t="n"/>
      <c r="J64" s="4111" t="n"/>
      <c r="K64" s="4121" t="n"/>
      <c r="L64" s="4110" t="n"/>
      <c r="M64" s="4110" t="n"/>
      <c r="N64" s="4110" t="n"/>
      <c r="O64" s="4110" t="n"/>
      <c r="P64" s="4110" t="n"/>
      <c r="Q64" s="4110" t="n"/>
      <c r="R64" s="4110" t="n"/>
      <c r="S64" s="4110" t="n"/>
      <c r="T64" s="4110" t="n"/>
      <c r="U64" s="4110" t="n"/>
      <c r="V64" s="4110" t="n"/>
      <c r="W64" s="4110" t="n"/>
      <c r="X64" s="4110" t="n"/>
      <c r="Y64" s="4110" t="n"/>
      <c r="Z64" s="4110" t="n"/>
      <c r="AA64" s="4110" t="n"/>
      <c r="AB64" s="4110" t="n"/>
      <c r="AC64" s="4110" t="n"/>
      <c r="AD64" s="4110" t="n"/>
      <c r="AE64" s="4110" t="n"/>
      <c r="AF64" s="4110" t="n"/>
      <c r="AG64" s="4110" t="n"/>
      <c r="AH64" s="4113" t="n"/>
    </row>
    <row r="65" ht="15.95" customHeight="1" s="4080" thickBot="1">
      <c r="A65" s="4234" t="inlineStr">
        <is>
          <t>添　　付　　書　　類</t>
        </is>
      </c>
      <c r="B65" s="4153" t="n"/>
      <c r="C65" s="4153" t="n"/>
      <c r="D65" s="4153" t="n"/>
      <c r="E65" s="4153" t="n"/>
      <c r="F65" s="4153" t="n"/>
      <c r="G65" s="4153" t="n"/>
      <c r="H65" s="4153" t="n"/>
      <c r="I65" s="4153" t="n"/>
      <c r="J65" s="4154" t="n"/>
      <c r="K65" s="4235" t="inlineStr">
        <is>
          <t xml:space="preserve">　別紙「添付書類一覧表」のとおり</t>
        </is>
      </c>
      <c r="L65" s="4153" t="n"/>
      <c r="M65" s="4153" t="n"/>
      <c r="N65" s="4153" t="n"/>
      <c r="O65" s="4153" t="n"/>
      <c r="P65" s="4153" t="n"/>
      <c r="Q65" s="4153" t="n"/>
      <c r="R65" s="4153" t="n"/>
      <c r="S65" s="4153" t="n"/>
      <c r="T65" s="4153" t="n"/>
      <c r="U65" s="4153" t="n"/>
      <c r="V65" s="4153" t="n"/>
      <c r="W65" s="4153" t="n"/>
      <c r="X65" s="4153" t="n"/>
      <c r="Y65" s="4153" t="n"/>
      <c r="Z65" s="4153" t="n"/>
      <c r="AA65" s="4153" t="n"/>
      <c r="AB65" s="4153" t="n"/>
      <c r="AC65" s="4153" t="n"/>
      <c r="AD65" s="4153" t="n"/>
      <c r="AE65" s="4153" t="n"/>
      <c r="AF65" s="4153" t="n"/>
      <c r="AG65" s="4153" t="n"/>
      <c r="AH65" s="4155" t="n"/>
    </row>
    <row r="73">
      <c r="AD73" s="1355" t="n"/>
      <c r="AE73" s="1355" t="n"/>
      <c r="AF73" s="1355" t="n"/>
      <c r="AG73" s="1355" t="n"/>
    </row>
  </sheetData>
  <mergeCells count="232">
    <mergeCell ref="C14:E16"/>
    <mergeCell ref="AF63:AH63"/>
    <mergeCell ref="C23:L23"/>
    <mergeCell ref="K11:AH11"/>
    <mergeCell ref="L58:N58"/>
    <mergeCell ref="F27:I29"/>
    <mergeCell ref="AF30:AH30"/>
    <mergeCell ref="AB60:AC60"/>
    <mergeCell ref="X58:Z58"/>
    <mergeCell ref="M21:X21"/>
    <mergeCell ref="D38:I43"/>
    <mergeCell ref="N34:O37"/>
    <mergeCell ref="X31:AD33"/>
    <mergeCell ref="V18:AH18"/>
    <mergeCell ref="AF36:AH37"/>
    <mergeCell ref="AE57:AE58"/>
    <mergeCell ref="L60:N60"/>
    <mergeCell ref="K41:O41"/>
    <mergeCell ref="AE41:AH41"/>
    <mergeCell ref="M24:X24"/>
    <mergeCell ref="D55:I55"/>
    <mergeCell ref="C10:E11"/>
    <mergeCell ref="I10:K10"/>
    <mergeCell ref="C57:C58"/>
    <mergeCell ref="AE47:AH47"/>
    <mergeCell ref="K43:O43"/>
    <mergeCell ref="T31:V33"/>
    <mergeCell ref="AD60:AG60"/>
    <mergeCell ref="C7:E9"/>
    <mergeCell ref="K65:AH65"/>
    <mergeCell ref="AE43:AH43"/>
    <mergeCell ref="S53:Z53"/>
    <mergeCell ref="AE34:AE37"/>
    <mergeCell ref="J30:M30"/>
    <mergeCell ref="N30:O33"/>
    <mergeCell ref="A4:B11"/>
    <mergeCell ref="T57:V57"/>
    <mergeCell ref="C34:E34"/>
    <mergeCell ref="AA2:AA3"/>
    <mergeCell ref="P45:AD45"/>
    <mergeCell ref="X14:AH16"/>
    <mergeCell ref="AC2:AC3"/>
    <mergeCell ref="W50:Z50"/>
    <mergeCell ref="C22:L22"/>
    <mergeCell ref="N50:V50"/>
    <mergeCell ref="T34:X34"/>
    <mergeCell ref="B26:B29"/>
    <mergeCell ref="D53:I54"/>
    <mergeCell ref="Y22:AH22"/>
    <mergeCell ref="AF32:AH33"/>
    <mergeCell ref="A12:S12"/>
    <mergeCell ref="P44:AD44"/>
    <mergeCell ref="T58:V58"/>
    <mergeCell ref="J57:J58"/>
    <mergeCell ref="N8:O9"/>
    <mergeCell ref="AE26:AE29"/>
    <mergeCell ref="F31:I33"/>
    <mergeCell ref="A26:A37"/>
    <mergeCell ref="T30:X30"/>
    <mergeCell ref="F13:I13"/>
    <mergeCell ref="F5:AH6"/>
    <mergeCell ref="P46:AD46"/>
    <mergeCell ref="AF10:AH10"/>
    <mergeCell ref="X35:AD37"/>
    <mergeCell ref="S17:U19"/>
    <mergeCell ref="J38:J43"/>
    <mergeCell ref="M22:X22"/>
    <mergeCell ref="K45:O45"/>
    <mergeCell ref="P48:AD48"/>
    <mergeCell ref="P35:Q37"/>
    <mergeCell ref="AC12:AD12"/>
    <mergeCell ref="AE12:AF12"/>
    <mergeCell ref="AE45:AH45"/>
    <mergeCell ref="Y23:AH23"/>
    <mergeCell ref="P57:R57"/>
    <mergeCell ref="X63:Z63"/>
    <mergeCell ref="D56:I56"/>
    <mergeCell ref="K47:O47"/>
    <mergeCell ref="P26:S26"/>
    <mergeCell ref="AB57:AD57"/>
    <mergeCell ref="K44:O44"/>
    <mergeCell ref="C20:AH20"/>
    <mergeCell ref="C44:C49"/>
    <mergeCell ref="F34:I34"/>
    <mergeCell ref="K46:O46"/>
    <mergeCell ref="P27:Q29"/>
    <mergeCell ref="C24:L24"/>
    <mergeCell ref="K40:O40"/>
    <mergeCell ref="AF2:AF3"/>
    <mergeCell ref="AH2:AH3"/>
    <mergeCell ref="AA53:AH53"/>
    <mergeCell ref="P43:AD43"/>
    <mergeCell ref="Y24:AH24"/>
    <mergeCell ref="D51:I51"/>
    <mergeCell ref="AE46:AH46"/>
    <mergeCell ref="N17:R17"/>
    <mergeCell ref="C13:E13"/>
    <mergeCell ref="M23:X23"/>
    <mergeCell ref="K62:M62"/>
    <mergeCell ref="R59:AA61"/>
    <mergeCell ref="J7:N7"/>
    <mergeCell ref="T27:V29"/>
    <mergeCell ref="J34:M34"/>
    <mergeCell ref="F30:I30"/>
    <mergeCell ref="P42:AD42"/>
    <mergeCell ref="B30:B33"/>
    <mergeCell ref="T10:W10"/>
    <mergeCell ref="D57:I58"/>
    <mergeCell ref="D50:I50"/>
    <mergeCell ref="A1:AH1"/>
    <mergeCell ref="N19:R19"/>
    <mergeCell ref="AF34:AH34"/>
    <mergeCell ref="C25:L25"/>
    <mergeCell ref="K53:R53"/>
    <mergeCell ref="AA50:AH50"/>
    <mergeCell ref="C26:E26"/>
    <mergeCell ref="K52:N52"/>
    <mergeCell ref="T35:V37"/>
    <mergeCell ref="J27:M29"/>
    <mergeCell ref="Y25:AH25"/>
    <mergeCell ref="E64:J64"/>
    <mergeCell ref="AE48:AH48"/>
    <mergeCell ref="K49:O49"/>
    <mergeCell ref="F11:J11"/>
    <mergeCell ref="P13:S13"/>
    <mergeCell ref="Q10:S10"/>
    <mergeCell ref="C35:E37"/>
    <mergeCell ref="E62:J63"/>
    <mergeCell ref="F4:AH4"/>
    <mergeCell ref="N62:AH62"/>
    <mergeCell ref="P30:S30"/>
    <mergeCell ref="U2:X3"/>
    <mergeCell ref="P7:AH9"/>
    <mergeCell ref="N13:O16"/>
    <mergeCell ref="J31:M33"/>
    <mergeCell ref="AE49:AH49"/>
    <mergeCell ref="J44:J49"/>
    <mergeCell ref="P39:AD39"/>
    <mergeCell ref="AF28:AH29"/>
    <mergeCell ref="F14:I16"/>
    <mergeCell ref="C5:E6"/>
    <mergeCell ref="C27:E29"/>
    <mergeCell ref="V63:W63"/>
    <mergeCell ref="AF26:AH26"/>
    <mergeCell ref="Z2:Z3"/>
    <mergeCell ref="A13:B25"/>
    <mergeCell ref="AF35:AH35"/>
    <mergeCell ref="AF57:AH58"/>
    <mergeCell ref="AB2:AB3"/>
    <mergeCell ref="AD2:AD3"/>
    <mergeCell ref="J14:M16"/>
    <mergeCell ref="P47:AD47"/>
    <mergeCell ref="X10:Z10"/>
    <mergeCell ref="U12:V12"/>
    <mergeCell ref="AB10:AD10"/>
    <mergeCell ref="D44:I49"/>
    <mergeCell ref="T26:X26"/>
    <mergeCell ref="W12:X12"/>
    <mergeCell ref="F7:I7"/>
    <mergeCell ref="AA54:AH54"/>
    <mergeCell ref="B34:B37"/>
    <mergeCell ref="P34:S34"/>
    <mergeCell ref="AF27:AH27"/>
    <mergeCell ref="F8:H9"/>
    <mergeCell ref="Y21:AH21"/>
    <mergeCell ref="C30:E30"/>
    <mergeCell ref="K39:O39"/>
    <mergeCell ref="T13:X13"/>
    <mergeCell ref="K48:O48"/>
    <mergeCell ref="AB58:AD58"/>
    <mergeCell ref="AE39:AH39"/>
    <mergeCell ref="L57:N57"/>
    <mergeCell ref="J26:M26"/>
    <mergeCell ref="AE30:AE33"/>
    <mergeCell ref="F35:I37"/>
    <mergeCell ref="K38:O38"/>
    <mergeCell ref="X57:Z57"/>
    <mergeCell ref="P41:AD41"/>
    <mergeCell ref="C4:E4"/>
    <mergeCell ref="C38:C43"/>
    <mergeCell ref="AE38:AH38"/>
    <mergeCell ref="A38:B51"/>
    <mergeCell ref="D52:I52"/>
    <mergeCell ref="K63:M63"/>
    <mergeCell ref="K55:AH55"/>
    <mergeCell ref="J35:M37"/>
    <mergeCell ref="K64:AH64"/>
    <mergeCell ref="J53:J54"/>
    <mergeCell ref="K50:M50"/>
    <mergeCell ref="M10:O10"/>
    <mergeCell ref="K51:AH51"/>
    <mergeCell ref="E59:J61"/>
    <mergeCell ref="C59:D64"/>
    <mergeCell ref="AE40:AH40"/>
    <mergeCell ref="P49:AD49"/>
    <mergeCell ref="C31:E33"/>
    <mergeCell ref="N63:U63"/>
    <mergeCell ref="P14:Q16"/>
    <mergeCell ref="AE2:AE3"/>
    <mergeCell ref="AG2:AG3"/>
    <mergeCell ref="K54:R54"/>
    <mergeCell ref="Y2:Y3"/>
    <mergeCell ref="I8:M9"/>
    <mergeCell ref="M25:X25"/>
    <mergeCell ref="K56:AH56"/>
    <mergeCell ref="P31:Q33"/>
    <mergeCell ref="AF31:AH31"/>
    <mergeCell ref="A52:B64"/>
    <mergeCell ref="O60:Q60"/>
    <mergeCell ref="W17:AH17"/>
    <mergeCell ref="X27:AD29"/>
    <mergeCell ref="J13:M13"/>
    <mergeCell ref="P58:R58"/>
    <mergeCell ref="W19:AH19"/>
    <mergeCell ref="K42:O42"/>
    <mergeCell ref="A65:J65"/>
    <mergeCell ref="N26:O29"/>
    <mergeCell ref="AE42:AH42"/>
    <mergeCell ref="P52:AH52"/>
    <mergeCell ref="C53:C54"/>
    <mergeCell ref="F10:H10"/>
    <mergeCell ref="Y12:Z12"/>
    <mergeCell ref="F26:I26"/>
    <mergeCell ref="C17:M19"/>
    <mergeCell ref="P38:AD38"/>
    <mergeCell ref="AA12:AB12"/>
    <mergeCell ref="T14:V16"/>
    <mergeCell ref="AB63:AD63"/>
    <mergeCell ref="AE44:AH44"/>
    <mergeCell ref="C21:L21"/>
    <mergeCell ref="S54:Z54"/>
    <mergeCell ref="P40:AD40"/>
  </mergeCells>
  <dataValidations count="10">
    <dataValidation sqref="V18:AH18"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M10:O10 Q10:S10 X10:Z10 AB10:AD10 AF10:AH10" showDropDown="0" showInputMessage="1" showErrorMessage="1" allowBlank="1" error="全角数字で入力してください" imeMode="fullAlpha"/>
    <dataValidation sqref="K39:O43 K45:O49" showDropDown="0" showInputMessage="1" showErrorMessage="1" allowBlank="1" type="list">
      <formula1>"　,居宅介護,重度訪問介護,行動援護,生活介護,児童デイサービス,短期入所,共同生活介護,自立訓練,就労移行支援,就労継続支援(A型),就労継続支援(B型),旧法施設支援"</formula1>
    </dataValidation>
    <dataValidation sqref="AF26:AH37" showDropDown="0" showInputMessage="1" showErrorMessage="1" allowBlank="1" type="list" errorStyle="warning">
      <formula1>"　,看護師,准看護師,介護福祉士,訪問介護員１級,訪問介護員２級,居宅介護１級,居宅介護２級,重度訪問介護"</formula1>
    </dataValidation>
    <dataValidation sqref="K54:AH54" showDropDown="0" showInputMessage="1" showErrorMessage="1" allowBlank="1" type="list">
      <formula1>"　,○"</formula1>
    </dataValidation>
    <dataValidation sqref="AE38:AH49" showDropDown="0" showInputMessage="1" showErrorMessage="1" allowBlank="1" imeMode="halfAlpha"/>
    <dataValidation sqref="F4:AH4 F13:M13 F26:M26 F30:M30 F34:M34" showDropDown="0" showInputMessage="1" showErrorMessage="1" allowBlank="1" imeMode="halfKatakana"/>
    <dataValidation sqref="I10:K10 T13:X13 T26:X26 T30:X30 T34:X34 U12:V12 X63 Y2:AH3 Y12:Z12 AB63:AD63 AC12:AD12 AF63" showDropDown="0" showInputMessage="1" showErrorMessage="1" allowBlank="1" imeMode="fullAlpha"/>
    <dataValidation sqref="K55:AH55" showDropDown="0" showInputMessage="1" showErrorMessage="1" allowBlank="1" type="list" errorStyle="warning">
      <formula1>"　,法定代理受領分：厚生労働大臣が定める基準の10/100、法定代理受領分以外：厚生労働大臣が定める基準"</formula1>
    </dataValidation>
    <dataValidation sqref="K56:AH56" showDropDown="0" showInputMessage="1" showErrorMessage="1" allowBlank="1" type="list">
      <formula1>"　,運営規程に定めるとおり"</formula1>
    </dataValidation>
  </dataValidations>
  <printOptions horizontalCentered="1"/>
  <pageMargins left="0.7086614173228347" right="0.5905511811023623" top="0.3937007874015748" bottom="0.3937007874015748" header="0.5118110236220472" footer="0.5118110236220472"/>
  <pageSetup orientation="portrait" paperSize="9"/>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sheetPr>
  <dimension ref="A1:AN73"/>
  <sheetViews>
    <sheetView showGridLines="0" view="pageBreakPreview" zoomScaleNormal="100" workbookViewId="0">
      <selection activeCell="AN1" sqref="AN1"/>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7.1" customHeight="1" s="4080" thickBot="1">
      <c r="A1" s="1213" t="inlineStr">
        <is>
          <t>付表２　重度障害者等包括支援事業所の指定に係る記載事項</t>
        </is>
      </c>
      <c r="AN1" s="719">
        <f>HYPERLINK("#目次!A1","目次へ戻る")</f>
        <v/>
      </c>
    </row>
    <row r="2" ht="15" customHeight="1" s="4080">
      <c r="B2" s="45" t="n"/>
      <c r="C2" s="45" t="n"/>
      <c r="D2" s="45" t="n"/>
      <c r="E2" s="1889" t="n"/>
      <c r="F2" s="1889" t="n"/>
      <c r="G2" s="1889" t="n"/>
      <c r="H2" s="2069" t="n"/>
      <c r="I2" s="1889" t="n"/>
      <c r="J2" s="1889" t="n"/>
      <c r="K2" s="1889" t="n"/>
      <c r="L2" s="1889" t="n"/>
      <c r="M2" s="1889" t="n"/>
      <c r="N2" s="2069" t="n"/>
      <c r="O2" s="1889" t="n"/>
      <c r="P2" s="1889" t="n"/>
      <c r="Q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4179" t="inlineStr">
        <is>
          <t>事業所</t>
        </is>
      </c>
      <c r="B4" s="4082" t="n"/>
      <c r="C4" s="4180" t="inlineStr">
        <is>
          <t>ﾌﾘｶﾞﾅ</t>
        </is>
      </c>
      <c r="D4" s="4093" t="n"/>
      <c r="E4" s="4094" t="n"/>
      <c r="F4" s="4236" t="inlineStr">
        <is>
          <t>ﾅｶﾉｼﾏｼｮｳｶﾞｲﾌｸｼｻｰﾋﾞｽｾﾝﾀｰ</t>
        </is>
      </c>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C5" s="4181" t="inlineStr">
        <is>
          <t>名　称</t>
        </is>
      </c>
      <c r="D5" s="4098" t="n"/>
      <c r="E5" s="4099" t="n"/>
      <c r="F5" s="4237" t="inlineStr">
        <is>
          <t>中之島障がい福祉サービスセンター</t>
        </is>
      </c>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C7" s="4181" t="inlineStr">
        <is>
          <t>所在地</t>
        </is>
      </c>
      <c r="D7" s="4098" t="n"/>
      <c r="E7" s="4099" t="n"/>
      <c r="F7" s="1244" t="inlineStr">
        <is>
          <t>郵便番号（</t>
        </is>
      </c>
      <c r="G7" s="4098" t="n"/>
      <c r="H7" s="4098" t="n"/>
      <c r="I7" s="4098" t="n"/>
      <c r="J7" s="1246" t="inlineStr">
        <is>
          <t>５３０－８２０１</t>
        </is>
      </c>
      <c r="K7" s="4098" t="n"/>
      <c r="L7" s="4098" t="n"/>
      <c r="M7" s="4098" t="n"/>
      <c r="N7" s="4098" t="n"/>
      <c r="O7" s="1329" t="inlineStr">
        <is>
          <t>）</t>
        </is>
      </c>
      <c r="P7" s="4238" t="inlineStr">
        <is>
          <t>中之島１－３－２０</t>
        </is>
      </c>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1478" t="inlineStr">
        <is>
          <t>北</t>
        </is>
      </c>
      <c r="N8" s="1260" t="inlineStr">
        <is>
          <t>区</t>
        </is>
      </c>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1479" t="inlineStr">
        <is>
          <t>０６</t>
        </is>
      </c>
      <c r="J10" s="4110" t="n"/>
      <c r="K10" s="4110" t="n"/>
      <c r="L10" s="53" t="inlineStr">
        <is>
          <t>－</t>
        </is>
      </c>
      <c r="M10" s="1150" t="inlineStr">
        <is>
          <t>６２４１</t>
        </is>
      </c>
      <c r="N10" s="4110" t="n"/>
      <c r="O10" s="4110" t="n"/>
      <c r="P10" s="53" t="inlineStr">
        <is>
          <t>－</t>
        </is>
      </c>
      <c r="Q10" s="1482" t="inlineStr">
        <is>
          <t>６５２０</t>
        </is>
      </c>
      <c r="R10" s="4110" t="n"/>
      <c r="S10" s="4111" t="n"/>
      <c r="T10" s="4184" t="inlineStr">
        <is>
          <t>ＦＡＸ番号</t>
        </is>
      </c>
      <c r="U10" s="4110" t="n"/>
      <c r="V10" s="4110" t="n"/>
      <c r="W10" s="4111" t="n"/>
      <c r="X10" s="1479" t="inlineStr">
        <is>
          <t>０６</t>
        </is>
      </c>
      <c r="Y10" s="4110" t="n"/>
      <c r="Z10" s="4110" t="n"/>
      <c r="AA10" s="53" t="inlineStr">
        <is>
          <t>－</t>
        </is>
      </c>
      <c r="AB10" s="1150" t="inlineStr">
        <is>
          <t>６２４１</t>
        </is>
      </c>
      <c r="AC10" s="4110" t="n"/>
      <c r="AD10" s="4110" t="n"/>
      <c r="AE10" s="53" t="inlineStr">
        <is>
          <t>－</t>
        </is>
      </c>
      <c r="AF10" s="1483" t="inlineStr">
        <is>
          <t>６６０８</t>
        </is>
      </c>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239" t="inlineStr">
        <is>
          <t>fa0260@city.osaka.lg.jp</t>
        </is>
      </c>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1150" t="inlineStr">
        <is>
          <t>２</t>
        </is>
      </c>
      <c r="V12" s="4110" t="n"/>
      <c r="W12" s="1264" t="inlineStr">
        <is>
          <t>条第</t>
        </is>
      </c>
      <c r="X12" s="4110" t="n"/>
      <c r="Y12" s="1150" t="inlineStr">
        <is>
          <t>１</t>
        </is>
      </c>
      <c r="Z12" s="4110" t="n"/>
      <c r="AA12" s="1264" t="inlineStr">
        <is>
          <t>項第</t>
        </is>
      </c>
      <c r="AB12" s="4110" t="n"/>
      <c r="AC12" s="1150" t="inlineStr">
        <is>
          <t>１４</t>
        </is>
      </c>
      <c r="AD12" s="4110" t="n"/>
      <c r="AE12" s="1264" t="inlineStr">
        <is>
          <t>号（</t>
        </is>
      </c>
      <c r="AF12" s="4110" t="n"/>
      <c r="AG12" s="1150" t="inlineStr">
        <is>
          <t>ア</t>
        </is>
      </c>
      <c r="AH12" s="2827" t="inlineStr">
        <is>
          <t>）</t>
        </is>
      </c>
    </row>
    <row r="13" ht="12" customHeight="1" s="4080">
      <c r="A13" s="4188" t="inlineStr">
        <is>
          <t>管　　理　　者</t>
        </is>
      </c>
      <c r="B13" s="4099" t="n"/>
      <c r="C13" s="4184" t="inlineStr">
        <is>
          <t>ﾌﾘｶﾞﾅ</t>
        </is>
      </c>
      <c r="D13" s="4110" t="n"/>
      <c r="E13" s="4111" t="n"/>
      <c r="F13" s="1487" t="inlineStr">
        <is>
          <t>ｵｵｻｶ</t>
        </is>
      </c>
      <c r="G13" s="4110" t="n"/>
      <c r="H13" s="4110" t="n"/>
      <c r="I13" s="4189" t="n"/>
      <c r="J13" s="1488" t="inlineStr">
        <is>
          <t>ﾀﾛｳ</t>
        </is>
      </c>
      <c r="K13" s="4110" t="n"/>
      <c r="L13" s="4110" t="n"/>
      <c r="M13" s="4189" t="n"/>
      <c r="N13" s="4185" t="inlineStr">
        <is>
          <t>住所</t>
        </is>
      </c>
      <c r="O13" s="4099" t="n"/>
      <c r="P13" s="1244" t="inlineStr">
        <is>
          <t>郵便番号（</t>
        </is>
      </c>
      <c r="Q13" s="4098" t="n"/>
      <c r="R13" s="4098" t="n"/>
      <c r="S13" s="4098" t="n"/>
      <c r="T13" s="1490" t="inlineStr">
        <is>
          <t>５４０－８５７０</t>
        </is>
      </c>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487" t="inlineStr">
        <is>
          <t>大阪</t>
        </is>
      </c>
      <c r="G14" s="4098" t="n"/>
      <c r="H14" s="4098" t="n"/>
      <c r="I14" s="4190" t="n"/>
      <c r="J14" s="1488" t="inlineStr">
        <is>
          <t>太郎</t>
        </is>
      </c>
      <c r="K14" s="4098" t="n"/>
      <c r="L14" s="4098" t="n"/>
      <c r="M14" s="4190" t="n"/>
      <c r="N14" s="4106" t="n"/>
      <c r="O14" s="4107" t="n"/>
      <c r="P14" s="1509" t="inlineStr">
        <is>
          <t>大阪</t>
        </is>
      </c>
      <c r="R14" s="2378" t="inlineStr">
        <is>
          <t>都</t>
        </is>
      </c>
      <c r="S14" s="2378" t="inlineStr">
        <is>
          <t>道</t>
        </is>
      </c>
      <c r="T14" s="1510" t="inlineStr">
        <is>
          <t>大阪</t>
        </is>
      </c>
      <c r="W14" s="2378" t="inlineStr">
        <is>
          <t>郡</t>
        </is>
      </c>
      <c r="X14" s="1512" t="inlineStr">
        <is>
          <t>中央区大手前○丁目○番○号　○○マンション○○○号室</t>
        </is>
      </c>
      <c r="AH14" s="4109" t="n"/>
    </row>
    <row r="15" ht="12" customHeight="1" s="4080">
      <c r="A15" s="4097" t="n"/>
      <c r="B15" s="4107" t="n"/>
      <c r="C15" s="4106" t="n"/>
      <c r="E15" s="4107" t="n"/>
      <c r="F15" s="4106" t="n"/>
      <c r="I15" s="4191" t="n"/>
      <c r="J15" s="4192" t="n"/>
      <c r="M15" s="4191" t="n"/>
      <c r="N15" s="4106" t="n"/>
      <c r="O15" s="4107" t="n"/>
      <c r="P15" s="4106" t="n"/>
      <c r="R15" s="79" t="inlineStr">
        <is>
          <t>府</t>
        </is>
      </c>
      <c r="S15" s="2378" t="inlineStr">
        <is>
          <t>県</t>
        </is>
      </c>
      <c r="W15" s="79"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80" t="inlineStr">
        <is>
          <t>無</t>
        </is>
      </c>
      <c r="R18" s="1332" t="n"/>
      <c r="S18" s="4106" t="n"/>
      <c r="U18" s="4107" t="n"/>
      <c r="V18" s="4196"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7.25" customHeight="1" s="4080">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Height="1" s="4080">
      <c r="A21" s="4097" t="n"/>
      <c r="B21" s="4107" t="n"/>
      <c r="C21" s="4240" t="inlineStr">
        <is>
          <t>事　業　所　名</t>
        </is>
      </c>
      <c r="D21" s="4110" t="n"/>
      <c r="E21" s="4110" t="n"/>
      <c r="F21" s="4110" t="n"/>
      <c r="G21" s="4110" t="n"/>
      <c r="H21" s="4110" t="n"/>
      <c r="I21" s="4110" t="n"/>
      <c r="J21" s="4110" t="n"/>
      <c r="K21" s="4110" t="n"/>
      <c r="L21" s="4189" t="n"/>
      <c r="M21" s="4241" t="inlineStr">
        <is>
          <t>サービス種別</t>
        </is>
      </c>
      <c r="N21" s="4110" t="n"/>
      <c r="O21" s="4110" t="n"/>
      <c r="P21" s="4110" t="n"/>
      <c r="Q21" s="4110" t="n"/>
      <c r="R21" s="4110" t="n"/>
      <c r="S21" s="4110" t="n"/>
      <c r="T21" s="4110" t="n"/>
      <c r="U21" s="4110" t="n"/>
      <c r="V21" s="4110" t="n"/>
      <c r="W21" s="4110" t="n"/>
      <c r="X21" s="4189" t="n"/>
      <c r="Y21" s="4242" t="inlineStr">
        <is>
          <t>職　　　種</t>
        </is>
      </c>
      <c r="Z21" s="4110" t="n"/>
      <c r="AA21" s="4110" t="n"/>
      <c r="AB21" s="4110" t="n"/>
      <c r="AC21" s="4110" t="n"/>
      <c r="AD21" s="4110" t="n"/>
      <c r="AE21" s="4110" t="n"/>
      <c r="AF21" s="4110" t="n"/>
      <c r="AG21" s="4110" t="n"/>
      <c r="AH21" s="4113" t="n"/>
    </row>
    <row r="22" ht="15" customHeight="1" s="4080">
      <c r="A22" s="4097" t="n"/>
      <c r="B22" s="4107" t="n"/>
      <c r="C22" s="4243" t="inlineStr">
        <is>
          <t>大阪市障がい福祉サービス</t>
        </is>
      </c>
      <c r="D22" s="4138" t="n"/>
      <c r="E22" s="4138" t="n"/>
      <c r="F22" s="4138" t="n"/>
      <c r="G22" s="4138" t="n"/>
      <c r="H22" s="4138" t="n"/>
      <c r="I22" s="4138" t="n"/>
      <c r="J22" s="4138" t="n"/>
      <c r="K22" s="4138" t="n"/>
      <c r="L22" s="4198" t="n"/>
      <c r="M22" s="4244" t="inlineStr">
        <is>
          <t>就労継続支援B型</t>
        </is>
      </c>
      <c r="N22" s="4138" t="n"/>
      <c r="O22" s="4138" t="n"/>
      <c r="P22" s="4138" t="n"/>
      <c r="Q22" s="4138" t="n"/>
      <c r="R22" s="4138" t="n"/>
      <c r="S22" s="4138" t="n"/>
      <c r="T22" s="4138" t="n"/>
      <c r="U22" s="4138" t="n"/>
      <c r="V22" s="4138" t="n"/>
      <c r="W22" s="4138" t="n"/>
      <c r="X22" s="4198" t="n"/>
      <c r="Y22" s="4245" t="inlineStr">
        <is>
          <t>管理者</t>
        </is>
      </c>
      <c r="Z22" s="4138" t="n"/>
      <c r="AA22" s="4138" t="n"/>
      <c r="AB22" s="4138" t="n"/>
      <c r="AC22" s="4138" t="n"/>
      <c r="AD22" s="4138" t="n"/>
      <c r="AE22" s="4138" t="n"/>
      <c r="AF22" s="4138" t="n"/>
      <c r="AG22" s="4138" t="n"/>
      <c r="AH22" s="4246" t="n"/>
    </row>
    <row r="23" ht="15" customHeight="1" s="4080">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2" t="n"/>
      <c r="Z23" s="4199" t="n"/>
      <c r="AA23" s="4199" t="n"/>
      <c r="AB23" s="4199" t="n"/>
      <c r="AC23" s="4199" t="n"/>
      <c r="AD23" s="4199" t="n"/>
      <c r="AE23" s="4199" t="n"/>
      <c r="AF23" s="4199" t="n"/>
      <c r="AG23" s="4199" t="n"/>
      <c r="AH23" s="4247" t="n"/>
    </row>
    <row r="24" ht="15" customHeight="1" s="4080">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2" t="n"/>
      <c r="Z24" s="4199" t="n"/>
      <c r="AA24" s="4199" t="n"/>
      <c r="AB24" s="4199" t="n"/>
      <c r="AC24" s="4199" t="n"/>
      <c r="AD24" s="4199" t="n"/>
      <c r="AE24" s="4199" t="n"/>
      <c r="AF24" s="4199" t="n"/>
      <c r="AG24" s="4199" t="n"/>
      <c r="AH24" s="4247" t="n"/>
    </row>
    <row r="25" ht="15" customHeight="1" s="4080">
      <c r="A25" s="4097" t="n"/>
      <c r="B25" s="4107" t="n"/>
      <c r="C25" s="4248" t="n"/>
      <c r="D25" s="4140" t="n"/>
      <c r="E25" s="4140" t="n"/>
      <c r="F25" s="4140" t="n"/>
      <c r="G25" s="4140" t="n"/>
      <c r="H25" s="4140" t="n"/>
      <c r="I25" s="4140" t="n"/>
      <c r="J25" s="4140" t="n"/>
      <c r="K25" s="4140" t="n"/>
      <c r="L25" s="4249" t="n"/>
      <c r="M25" s="4250" t="n"/>
      <c r="N25" s="4140" t="n"/>
      <c r="O25" s="4140" t="n"/>
      <c r="P25" s="4140" t="n"/>
      <c r="Q25" s="4140" t="n"/>
      <c r="R25" s="4140" t="n"/>
      <c r="S25" s="4140" t="n"/>
      <c r="T25" s="4140" t="n"/>
      <c r="U25" s="4140" t="n"/>
      <c r="V25" s="4140" t="n"/>
      <c r="W25" s="4140" t="n"/>
      <c r="X25" s="4249" t="n"/>
      <c r="Y25" s="4251" t="n"/>
      <c r="Z25" s="4140" t="n"/>
      <c r="AA25" s="4140" t="n"/>
      <c r="AB25" s="4140" t="n"/>
      <c r="AC25" s="4140" t="n"/>
      <c r="AD25" s="4140" t="n"/>
      <c r="AE25" s="4140" t="n"/>
      <c r="AF25" s="4140" t="n"/>
      <c r="AG25" s="4140" t="n"/>
      <c r="AH25" s="4252" t="n"/>
    </row>
    <row r="26" ht="12" customHeight="1" s="4080">
      <c r="A26" s="1395" t="inlineStr">
        <is>
          <t>サービス提供責任者</t>
        </is>
      </c>
      <c r="B26" s="4202" t="inlineStr">
        <is>
          <t>１</t>
        </is>
      </c>
      <c r="C26" s="4184" t="inlineStr">
        <is>
          <t>ﾌﾘｶﾞﾅ</t>
        </is>
      </c>
      <c r="D26" s="4110" t="n"/>
      <c r="E26" s="4111" t="n"/>
      <c r="F26" s="4253" t="inlineStr">
        <is>
          <t>ﾖﾄﾞﾔﾊﾞｼ</t>
        </is>
      </c>
      <c r="G26" s="4110" t="n"/>
      <c r="H26" s="4110" t="n"/>
      <c r="I26" s="4204" t="n"/>
      <c r="J26" s="4254" t="inlineStr">
        <is>
          <t>ﾊﾅｺ</t>
        </is>
      </c>
      <c r="K26" s="4110" t="n"/>
      <c r="L26" s="4110" t="n"/>
      <c r="M26" s="4111" t="n"/>
      <c r="N26" s="2164" t="inlineStr">
        <is>
          <t>住所</t>
        </is>
      </c>
      <c r="O26" s="4099" t="n"/>
      <c r="P26" s="1244" t="inlineStr">
        <is>
          <t>郵便番号（</t>
        </is>
      </c>
      <c r="Q26" s="4098" t="n"/>
      <c r="R26" s="4098" t="n"/>
      <c r="S26" s="4098" t="n"/>
      <c r="T26" s="1490" t="inlineStr">
        <is>
          <t>５４０－８５７０</t>
        </is>
      </c>
      <c r="U26" s="4098" t="n"/>
      <c r="V26" s="4098" t="n"/>
      <c r="W26" s="4098" t="n"/>
      <c r="X26" s="4098" t="n"/>
      <c r="Y26" s="1329" t="inlineStr">
        <is>
          <t>）</t>
        </is>
      </c>
      <c r="Z26" s="1017" t="n"/>
      <c r="AA26" s="1017" t="n"/>
      <c r="AB26" s="1017" t="n"/>
      <c r="AC26" s="1017" t="n"/>
      <c r="AD26" s="1017" t="n"/>
      <c r="AE26" s="4206" t="inlineStr">
        <is>
          <t>資格</t>
        </is>
      </c>
      <c r="AF26" s="4255" t="inlineStr">
        <is>
          <t>看護師</t>
        </is>
      </c>
      <c r="AG26" s="4098" t="n"/>
      <c r="AH26" s="4101" t="n"/>
    </row>
    <row r="27" ht="12" customHeight="1" s="4080">
      <c r="A27" s="4208" t="n"/>
      <c r="B27" s="4122" t="n"/>
      <c r="C27" s="4209" t="inlineStr">
        <is>
          <t>氏　　名</t>
        </is>
      </c>
      <c r="D27" s="4098" t="n"/>
      <c r="E27" s="4099" t="n"/>
      <c r="F27" s="4253" t="inlineStr">
        <is>
          <t>淀屋橋</t>
        </is>
      </c>
      <c r="G27" s="4098" t="n"/>
      <c r="H27" s="4098" t="n"/>
      <c r="I27" s="4210" t="n"/>
      <c r="J27" s="4254" t="inlineStr">
        <is>
          <t>花子</t>
        </is>
      </c>
      <c r="K27" s="4098" t="n"/>
      <c r="L27" s="4098" t="n"/>
      <c r="M27" s="4099" t="n"/>
      <c r="N27" s="4106" t="n"/>
      <c r="O27" s="4107" t="n"/>
      <c r="P27" s="1509" t="inlineStr">
        <is>
          <t>大阪</t>
        </is>
      </c>
      <c r="R27" s="2378" t="inlineStr">
        <is>
          <t>都</t>
        </is>
      </c>
      <c r="S27" s="2378" t="inlineStr">
        <is>
          <t>道</t>
        </is>
      </c>
      <c r="T27" s="1510" t="inlineStr">
        <is>
          <t>大阪</t>
        </is>
      </c>
      <c r="W27" s="2378" t="inlineStr">
        <is>
          <t>郡</t>
        </is>
      </c>
      <c r="X27" s="1547" t="inlineStr">
        <is>
          <t>中央区大手前○丁目○番○号　○○マンション○○○号室</t>
        </is>
      </c>
      <c r="AD27" s="4107" t="n"/>
      <c r="AE27" s="4122" t="n"/>
      <c r="AF27" s="4211" t="n"/>
      <c r="AH27" s="4109" t="n"/>
    </row>
    <row r="28" ht="12" customHeight="1" s="4080">
      <c r="A28" s="4208" t="n"/>
      <c r="B28" s="4122" t="n"/>
      <c r="C28" s="4106" t="n"/>
      <c r="E28" s="4107" t="n"/>
      <c r="F28" s="4106" t="n"/>
      <c r="I28" s="4212" t="n"/>
      <c r="J28" s="4213" t="n"/>
      <c r="M28" s="4107" t="n"/>
      <c r="N28" s="4106" t="n"/>
      <c r="O28" s="4107" t="n"/>
      <c r="P28" s="4106" t="n"/>
      <c r="R28" s="79" t="inlineStr">
        <is>
          <t>府</t>
        </is>
      </c>
      <c r="S28" s="2378" t="inlineStr">
        <is>
          <t>県</t>
        </is>
      </c>
      <c r="W28" s="79" t="inlineStr">
        <is>
          <t>市</t>
        </is>
      </c>
      <c r="AD28" s="4107" t="n"/>
      <c r="AE28" s="4122" t="n"/>
      <c r="AF28" s="4214" t="n"/>
      <c r="AH28" s="4109" t="n"/>
    </row>
    <row r="29" ht="3" customHeight="1" s="4080">
      <c r="A29" s="4208" t="n"/>
      <c r="B29" s="4124" t="n"/>
      <c r="C29" s="4102" t="n"/>
      <c r="D29" s="4103" t="n"/>
      <c r="E29" s="4104" t="n"/>
      <c r="F29" s="4102" t="n"/>
      <c r="G29" s="4103" t="n"/>
      <c r="H29" s="4103" t="n"/>
      <c r="I29" s="4215" t="n"/>
      <c r="J29" s="4216" t="n"/>
      <c r="K29" s="4103" t="n"/>
      <c r="L29" s="4103" t="n"/>
      <c r="M29" s="4104" t="n"/>
      <c r="N29" s="4102" t="n"/>
      <c r="O29" s="4104" t="n"/>
      <c r="P29" s="4102" t="n"/>
      <c r="Q29" s="4103" t="n"/>
      <c r="R29" s="1810" t="n"/>
      <c r="S29" s="1810" t="n"/>
      <c r="T29" s="4103" t="n"/>
      <c r="U29" s="4103" t="n"/>
      <c r="V29" s="4103" t="n"/>
      <c r="W29" s="1810" t="n"/>
      <c r="X29" s="4103" t="n"/>
      <c r="Y29" s="4103" t="n"/>
      <c r="Z29" s="4103" t="n"/>
      <c r="AA29" s="4103" t="n"/>
      <c r="AB29" s="4103" t="n"/>
      <c r="AC29" s="4103" t="n"/>
      <c r="AD29" s="4104" t="n"/>
      <c r="AE29" s="4124" t="n"/>
      <c r="AF29" s="4102" t="n"/>
      <c r="AG29" s="4103" t="n"/>
      <c r="AH29" s="4105" t="n"/>
    </row>
    <row r="30" ht="12" customHeight="1" s="4080">
      <c r="A30" s="4208" t="n"/>
      <c r="B30" s="4202" t="inlineStr">
        <is>
          <t>２</t>
        </is>
      </c>
      <c r="C30" s="4184" t="inlineStr">
        <is>
          <t>ﾌﾘｶﾞﾅ</t>
        </is>
      </c>
      <c r="D30" s="4110" t="n"/>
      <c r="E30" s="4111" t="n"/>
      <c r="F30" s="4203" t="n"/>
      <c r="G30" s="4110" t="n"/>
      <c r="H30" s="4110" t="n"/>
      <c r="I30" s="4204" t="n"/>
      <c r="J30" s="4205" t="n"/>
      <c r="K30" s="4110" t="n"/>
      <c r="L30" s="4110" t="n"/>
      <c r="M30" s="4111" t="n"/>
      <c r="N30" s="2164" t="inlineStr">
        <is>
          <t>住所</t>
        </is>
      </c>
      <c r="O30" s="4099" t="n"/>
      <c r="P30" s="1244" t="inlineStr">
        <is>
          <t>郵便番号（</t>
        </is>
      </c>
      <c r="Q30" s="4098" t="n"/>
      <c r="R30" s="4098" t="n"/>
      <c r="S30" s="4098" t="n"/>
      <c r="T30" s="1287" t="n"/>
      <c r="U30" s="4098" t="n"/>
      <c r="V30" s="4098" t="n"/>
      <c r="W30" s="4098" t="n"/>
      <c r="X30" s="4098" t="n"/>
      <c r="Y30" s="1329" t="inlineStr">
        <is>
          <t>）</t>
        </is>
      </c>
      <c r="Z30" s="1017" t="n"/>
      <c r="AA30" s="1017" t="n"/>
      <c r="AB30" s="1017" t="n"/>
      <c r="AC30" s="1017" t="n"/>
      <c r="AD30" s="1017" t="n"/>
      <c r="AE30" s="4206" t="inlineStr">
        <is>
          <t>資格</t>
        </is>
      </c>
      <c r="AF30" s="4207" t="n"/>
      <c r="AG30" s="4098" t="n"/>
      <c r="AH30" s="4101" t="n"/>
    </row>
    <row r="31" ht="12" customHeight="1" s="4080">
      <c r="A31" s="4208" t="n"/>
      <c r="B31" s="4122" t="n"/>
      <c r="C31" s="4209" t="inlineStr">
        <is>
          <t>氏　　名</t>
        </is>
      </c>
      <c r="D31" s="4098" t="n"/>
      <c r="E31" s="4099" t="n"/>
      <c r="F31" s="4203" t="n"/>
      <c r="G31" s="4098" t="n"/>
      <c r="H31" s="4098" t="n"/>
      <c r="I31" s="4210" t="n"/>
      <c r="J31" s="4205" t="n"/>
      <c r="K31" s="4098" t="n"/>
      <c r="L31" s="4098" t="n"/>
      <c r="M31" s="4099" t="n"/>
      <c r="N31" s="4106" t="n"/>
      <c r="O31" s="4107" t="n"/>
      <c r="P31" s="1318" t="n"/>
      <c r="R31" s="2378" t="inlineStr">
        <is>
          <t>都</t>
        </is>
      </c>
      <c r="S31" s="2378" t="inlineStr">
        <is>
          <t>道</t>
        </is>
      </c>
      <c r="T31" s="1389" t="n"/>
      <c r="W31" s="2378" t="inlineStr">
        <is>
          <t>郡</t>
        </is>
      </c>
      <c r="X31" s="1552" t="n"/>
      <c r="AD31" s="4107" t="n"/>
      <c r="AE31" s="4122" t="n"/>
      <c r="AF31" s="4211" t="n"/>
      <c r="AH31" s="4109" t="n"/>
    </row>
    <row r="32" ht="12" customHeight="1" s="4080">
      <c r="A32" s="4208" t="n"/>
      <c r="B32" s="4122" t="n"/>
      <c r="C32" s="4106" t="n"/>
      <c r="E32" s="4107" t="n"/>
      <c r="F32" s="4106" t="n"/>
      <c r="I32" s="4212" t="n"/>
      <c r="J32" s="4213" t="n"/>
      <c r="M32" s="4107" t="n"/>
      <c r="N32" s="4106" t="n"/>
      <c r="O32" s="4107" t="n"/>
      <c r="P32" s="4106" t="n"/>
      <c r="R32" s="2378" t="inlineStr">
        <is>
          <t>府</t>
        </is>
      </c>
      <c r="S32" s="2378" t="inlineStr">
        <is>
          <t>県</t>
        </is>
      </c>
      <c r="W32" s="2378" t="inlineStr">
        <is>
          <t>市</t>
        </is>
      </c>
      <c r="AD32" s="4107" t="n"/>
      <c r="AE32" s="4122" t="n"/>
      <c r="AF32" s="4214" t="n"/>
      <c r="AH32" s="4109" t="n"/>
    </row>
    <row r="33" ht="3" customHeight="1" s="4080">
      <c r="A33" s="4208" t="n"/>
      <c r="B33" s="4124" t="n"/>
      <c r="C33" s="4102" t="n"/>
      <c r="D33" s="4103" t="n"/>
      <c r="E33" s="4104" t="n"/>
      <c r="F33" s="4102" t="n"/>
      <c r="G33" s="4103" t="n"/>
      <c r="H33" s="4103" t="n"/>
      <c r="I33" s="4215" t="n"/>
      <c r="J33" s="4216" t="n"/>
      <c r="K33" s="4103" t="n"/>
      <c r="L33" s="4103" t="n"/>
      <c r="M33" s="4104" t="n"/>
      <c r="N33" s="4102" t="n"/>
      <c r="O33" s="4104" t="n"/>
      <c r="P33" s="4102" t="n"/>
      <c r="Q33" s="4103" t="n"/>
      <c r="R33" s="2378" t="n"/>
      <c r="S33" s="2378" t="n"/>
      <c r="T33" s="4103" t="n"/>
      <c r="U33" s="4103" t="n"/>
      <c r="V33" s="4103" t="n"/>
      <c r="W33" s="63" t="n"/>
      <c r="X33" s="4103" t="n"/>
      <c r="Y33" s="4103" t="n"/>
      <c r="Z33" s="4103" t="n"/>
      <c r="AA33" s="4103" t="n"/>
      <c r="AB33" s="4103" t="n"/>
      <c r="AC33" s="4103" t="n"/>
      <c r="AD33" s="4104" t="n"/>
      <c r="AE33" s="4124" t="n"/>
      <c r="AF33" s="4102" t="n"/>
      <c r="AG33" s="4103" t="n"/>
      <c r="AH33" s="4105" t="n"/>
    </row>
    <row r="34" ht="12" customHeight="1" s="4080">
      <c r="A34" s="4208" t="n"/>
      <c r="B34" s="1382" t="inlineStr">
        <is>
          <t>３</t>
        </is>
      </c>
      <c r="C34" s="4184" t="inlineStr">
        <is>
          <t>ﾌﾘｶﾞﾅ</t>
        </is>
      </c>
      <c r="D34" s="4110" t="n"/>
      <c r="E34" s="4111" t="n"/>
      <c r="F34" s="4203" t="n"/>
      <c r="G34" s="4110" t="n"/>
      <c r="H34" s="4110" t="n"/>
      <c r="I34" s="4204" t="n"/>
      <c r="J34" s="4205" t="n"/>
      <c r="K34" s="4110" t="n"/>
      <c r="L34" s="4110" t="n"/>
      <c r="M34" s="4111" t="n"/>
      <c r="N34" s="4217" t="inlineStr">
        <is>
          <t>住所</t>
        </is>
      </c>
      <c r="O34" s="4099" t="n"/>
      <c r="P34" s="1244" t="inlineStr">
        <is>
          <t>郵便番号（</t>
        </is>
      </c>
      <c r="Q34" s="4098" t="n"/>
      <c r="R34" s="4098" t="n"/>
      <c r="S34" s="4098" t="n"/>
      <c r="T34" s="1287" t="n"/>
      <c r="U34" s="4098" t="n"/>
      <c r="V34" s="4098" t="n"/>
      <c r="W34" s="4098" t="n"/>
      <c r="X34" s="4098" t="n"/>
      <c r="Y34" s="1329" t="inlineStr">
        <is>
          <t>）</t>
        </is>
      </c>
      <c r="Z34" s="1017" t="n"/>
      <c r="AA34" s="1017" t="n"/>
      <c r="AB34" s="1017" t="n"/>
      <c r="AC34" s="1017" t="n"/>
      <c r="AD34" s="1017" t="n"/>
      <c r="AE34" s="1385" t="inlineStr">
        <is>
          <t>資格</t>
        </is>
      </c>
      <c r="AF34" s="4207" t="n"/>
      <c r="AG34" s="4098" t="n"/>
      <c r="AH34" s="4101" t="n"/>
    </row>
    <row r="35" ht="12" customHeight="1" s="4080">
      <c r="A35" s="4208" t="n"/>
      <c r="B35" s="4122" t="n"/>
      <c r="C35" s="4209" t="inlineStr">
        <is>
          <t>氏　　名</t>
        </is>
      </c>
      <c r="D35" s="4098" t="n"/>
      <c r="E35" s="4099" t="n"/>
      <c r="F35" s="4203" t="n"/>
      <c r="G35" s="4098" t="n"/>
      <c r="H35" s="4098" t="n"/>
      <c r="I35" s="4210" t="n"/>
      <c r="J35" s="4218" t="n"/>
      <c r="K35" s="4098" t="n"/>
      <c r="L35" s="4098" t="n"/>
      <c r="M35" s="4099" t="n"/>
      <c r="N35" s="4106" t="n"/>
      <c r="O35" s="4107" t="n"/>
      <c r="P35" s="1316" t="n"/>
      <c r="R35" s="2378" t="inlineStr">
        <is>
          <t>都</t>
        </is>
      </c>
      <c r="S35" s="2378" t="inlineStr">
        <is>
          <t>道</t>
        </is>
      </c>
      <c r="T35" s="1388" t="n"/>
      <c r="W35" s="2378" t="inlineStr">
        <is>
          <t>郡</t>
        </is>
      </c>
      <c r="X35" s="1550" t="n"/>
      <c r="AD35" s="4107" t="n"/>
      <c r="AE35" s="4122" t="n"/>
      <c r="AF35" s="4211" t="n"/>
      <c r="AH35" s="4109" t="n"/>
    </row>
    <row r="36" ht="12" customHeight="1" s="4080">
      <c r="A36" s="4208" t="n"/>
      <c r="B36" s="4122" t="n"/>
      <c r="C36" s="4106" t="n"/>
      <c r="E36" s="4107" t="n"/>
      <c r="F36" s="4106" t="n"/>
      <c r="I36" s="4212" t="n"/>
      <c r="J36" s="4213" t="n"/>
      <c r="M36" s="4107" t="n"/>
      <c r="N36" s="4106" t="n"/>
      <c r="O36" s="4107" t="n"/>
      <c r="P36" s="4106" t="n"/>
      <c r="R36" s="2378" t="inlineStr">
        <is>
          <t>府</t>
        </is>
      </c>
      <c r="S36" s="2378" t="inlineStr">
        <is>
          <t>県</t>
        </is>
      </c>
      <c r="W36" s="2378" t="inlineStr">
        <is>
          <t>市</t>
        </is>
      </c>
      <c r="AD36" s="4107" t="n"/>
      <c r="AE36" s="4122" t="n"/>
      <c r="AF36" s="4211" t="n"/>
      <c r="AH36" s="4109" t="n"/>
    </row>
    <row r="37" ht="3" customHeight="1" s="4080">
      <c r="A37" s="4208" t="n"/>
      <c r="B37" s="4122" t="n"/>
      <c r="C37" s="4102" t="n"/>
      <c r="D37" s="4103" t="n"/>
      <c r="E37" s="4104" t="n"/>
      <c r="F37" s="4102" t="n"/>
      <c r="G37" s="4103" t="n"/>
      <c r="H37" s="4103" t="n"/>
      <c r="I37" s="4215" t="n"/>
      <c r="J37" s="4213" t="n"/>
      <c r="M37" s="4107" t="n"/>
      <c r="N37" s="4106" t="n"/>
      <c r="O37" s="4107" t="n"/>
      <c r="P37" s="4106" t="n"/>
      <c r="R37" s="2378" t="n"/>
      <c r="S37" s="2378" t="n"/>
      <c r="W37" s="63" t="n"/>
      <c r="AD37" s="4107" t="n"/>
      <c r="AE37" s="4122" t="n"/>
      <c r="AF37" s="4106" t="n"/>
      <c r="AH37" s="4109" t="n"/>
    </row>
    <row r="38" ht="15.95" customHeight="1" s="4080">
      <c r="A38" s="4219" t="inlineStr">
        <is>
          <t>事　業　所　の　体　制</t>
        </is>
      </c>
      <c r="B38" s="4099" t="n"/>
      <c r="C38" s="1325" t="n"/>
      <c r="D38" s="1391" t="inlineStr">
        <is>
          <t>他に指定を受けて
いる障害福祉
サービス等</t>
        </is>
      </c>
      <c r="J38" s="1392" t="n"/>
      <c r="K38" s="2163" t="inlineStr">
        <is>
          <t>サービス種類</t>
        </is>
      </c>
      <c r="L38" s="4110" t="n"/>
      <c r="M38" s="4110" t="n"/>
      <c r="N38" s="4110" t="n"/>
      <c r="O38" s="4111" t="n"/>
      <c r="P38" s="2163" t="inlineStr">
        <is>
          <t>事　　　業　　　所　　　名</t>
        </is>
      </c>
      <c r="Q38" s="4110" t="n"/>
      <c r="R38" s="4110" t="n"/>
      <c r="S38" s="4110" t="n"/>
      <c r="T38" s="4110" t="n"/>
      <c r="U38" s="4110" t="n"/>
      <c r="V38" s="4110" t="n"/>
      <c r="W38" s="4110" t="n"/>
      <c r="X38" s="4110" t="n"/>
      <c r="Y38" s="4110" t="n"/>
      <c r="Z38" s="4110" t="n"/>
      <c r="AA38" s="4110" t="n"/>
      <c r="AB38" s="4110" t="n"/>
      <c r="AC38" s="4110" t="n"/>
      <c r="AD38" s="4111" t="n"/>
      <c r="AE38" s="4220" t="inlineStr">
        <is>
          <t>事業所番号</t>
        </is>
      </c>
      <c r="AF38" s="4110" t="n"/>
      <c r="AG38" s="4110" t="n"/>
      <c r="AH38" s="4113" t="n"/>
    </row>
    <row r="39" ht="15.95" customHeight="1" s="4080">
      <c r="A39" s="4097" t="n"/>
      <c r="B39" s="4107" t="n"/>
      <c r="J39" s="4107" t="n"/>
      <c r="K39" s="4256" t="inlineStr">
        <is>
          <t>居宅介護</t>
        </is>
      </c>
      <c r="L39" s="4110" t="n"/>
      <c r="M39" s="4110" t="n"/>
      <c r="N39" s="4110" t="n"/>
      <c r="O39" s="4111" t="n"/>
      <c r="P39" s="4257" t="inlineStr">
        <is>
          <t>淀屋橋障がい福祉サービスセンター</t>
        </is>
      </c>
      <c r="Q39" s="4110" t="n"/>
      <c r="R39" s="4110" t="n"/>
      <c r="S39" s="4110" t="n"/>
      <c r="T39" s="4110" t="n"/>
      <c r="U39" s="4110" t="n"/>
      <c r="V39" s="4110" t="n"/>
      <c r="W39" s="4110" t="n"/>
      <c r="X39" s="4110" t="n"/>
      <c r="Y39" s="4110" t="n"/>
      <c r="Z39" s="4110" t="n"/>
      <c r="AA39" s="4110" t="n"/>
      <c r="AB39" s="4110" t="n"/>
      <c r="AC39" s="4110" t="n"/>
      <c r="AD39" s="4111" t="n"/>
      <c r="AE39" s="4258" t="inlineStr">
        <is>
          <t>2719400000</t>
        </is>
      </c>
      <c r="AF39" s="4110" t="n"/>
      <c r="AG39" s="4110" t="n"/>
      <c r="AH39" s="4113" t="n"/>
    </row>
    <row r="40" ht="15.95" customHeight="1" s="4080">
      <c r="A40" s="4097" t="n"/>
      <c r="B40" s="4107" t="n"/>
      <c r="J40" s="4107" t="n"/>
      <c r="K40" s="4256" t="inlineStr">
        <is>
          <t>重度訪問介護</t>
        </is>
      </c>
      <c r="L40" s="4110" t="n"/>
      <c r="M40" s="4110" t="n"/>
      <c r="N40" s="4110" t="n"/>
      <c r="O40" s="4111" t="n"/>
      <c r="P40" s="4257" t="inlineStr">
        <is>
          <t>淀屋橋障がい福祉サービスセンター</t>
        </is>
      </c>
      <c r="Q40" s="4110" t="n"/>
      <c r="R40" s="4110" t="n"/>
      <c r="S40" s="4110" t="n"/>
      <c r="T40" s="4110" t="n"/>
      <c r="U40" s="4110" t="n"/>
      <c r="V40" s="4110" t="n"/>
      <c r="W40" s="4110" t="n"/>
      <c r="X40" s="4110" t="n"/>
      <c r="Y40" s="4110" t="n"/>
      <c r="Z40" s="4110" t="n"/>
      <c r="AA40" s="4110" t="n"/>
      <c r="AB40" s="4110" t="n"/>
      <c r="AC40" s="4110" t="n"/>
      <c r="AD40" s="4111" t="n"/>
      <c r="AE40" s="4258" t="inlineStr">
        <is>
          <t>2719400000</t>
        </is>
      </c>
      <c r="AF40" s="4110" t="n"/>
      <c r="AG40" s="4110" t="n"/>
      <c r="AH40" s="4113" t="n"/>
    </row>
    <row r="41" ht="15.95" customHeight="1" s="4080">
      <c r="A41" s="4097" t="n"/>
      <c r="B41" s="4107" t="n"/>
      <c r="J41" s="4107" t="n"/>
      <c r="K41" s="4256" t="inlineStr">
        <is>
          <t>行動援護</t>
        </is>
      </c>
      <c r="L41" s="4110" t="n"/>
      <c r="M41" s="4110" t="n"/>
      <c r="N41" s="4110" t="n"/>
      <c r="O41" s="4111" t="n"/>
      <c r="P41" s="4257" t="inlineStr">
        <is>
          <t>淀屋橋障がい福祉サービスセンター</t>
        </is>
      </c>
      <c r="Q41" s="4110" t="n"/>
      <c r="R41" s="4110" t="n"/>
      <c r="S41" s="4110" t="n"/>
      <c r="T41" s="4110" t="n"/>
      <c r="U41" s="4110" t="n"/>
      <c r="V41" s="4110" t="n"/>
      <c r="W41" s="4110" t="n"/>
      <c r="X41" s="4110" t="n"/>
      <c r="Y41" s="4110" t="n"/>
      <c r="Z41" s="4110" t="n"/>
      <c r="AA41" s="4110" t="n"/>
      <c r="AB41" s="4110" t="n"/>
      <c r="AC41" s="4110" t="n"/>
      <c r="AD41" s="4111" t="n"/>
      <c r="AE41" s="4258" t="inlineStr">
        <is>
          <t>2719400000</t>
        </is>
      </c>
      <c r="AF41" s="4110" t="n"/>
      <c r="AG41" s="4110" t="n"/>
      <c r="AH41" s="4113" t="n"/>
    </row>
    <row r="42" ht="15.95" customHeight="1" s="4080">
      <c r="A42" s="4097" t="n"/>
      <c r="B42" s="4107" t="n"/>
      <c r="J42" s="4107" t="n"/>
      <c r="K42" s="4256" t="inlineStr">
        <is>
          <t>生活介護</t>
        </is>
      </c>
      <c r="L42" s="4110" t="n"/>
      <c r="M42" s="4110" t="n"/>
      <c r="N42" s="4110" t="n"/>
      <c r="O42" s="4111" t="n"/>
      <c r="P42" s="4257" t="inlineStr">
        <is>
          <t>淀屋橋障がい福祉サービスセンター</t>
        </is>
      </c>
      <c r="Q42" s="4110" t="n"/>
      <c r="R42" s="4110" t="n"/>
      <c r="S42" s="4110" t="n"/>
      <c r="T42" s="4110" t="n"/>
      <c r="U42" s="4110" t="n"/>
      <c r="V42" s="4110" t="n"/>
      <c r="W42" s="4110" t="n"/>
      <c r="X42" s="4110" t="n"/>
      <c r="Y42" s="4110" t="n"/>
      <c r="Z42" s="4110" t="n"/>
      <c r="AA42" s="4110" t="n"/>
      <c r="AB42" s="4110" t="n"/>
      <c r="AC42" s="4110" t="n"/>
      <c r="AD42" s="4111" t="n"/>
      <c r="AE42" s="4258" t="inlineStr">
        <is>
          <t>2719400000</t>
        </is>
      </c>
      <c r="AF42" s="4110" t="n"/>
      <c r="AG42" s="4110" t="n"/>
      <c r="AH42" s="4113" t="n"/>
    </row>
    <row r="43" ht="15.95" customHeight="1" s="4080">
      <c r="A43" s="4097" t="n"/>
      <c r="B43" s="4107" t="n"/>
      <c r="J43" s="4107" t="n"/>
      <c r="K43" s="4256" t="inlineStr">
        <is>
          <t>就労継続支援(B型)</t>
        </is>
      </c>
      <c r="L43" s="4110" t="n"/>
      <c r="M43" s="4110" t="n"/>
      <c r="N43" s="4110" t="n"/>
      <c r="O43" s="4111" t="n"/>
      <c r="P43" s="4257" t="inlineStr">
        <is>
          <t>淀屋橋障がい福祉サービスセンター</t>
        </is>
      </c>
      <c r="Q43" s="4110" t="n"/>
      <c r="R43" s="4110" t="n"/>
      <c r="S43" s="4110" t="n"/>
      <c r="T43" s="4110" t="n"/>
      <c r="U43" s="4110" t="n"/>
      <c r="V43" s="4110" t="n"/>
      <c r="W43" s="4110" t="n"/>
      <c r="X43" s="4110" t="n"/>
      <c r="Y43" s="4110" t="n"/>
      <c r="Z43" s="4110" t="n"/>
      <c r="AA43" s="4110" t="n"/>
      <c r="AB43" s="4110" t="n"/>
      <c r="AC43" s="4110" t="n"/>
      <c r="AD43" s="4111" t="n"/>
      <c r="AE43" s="4258" t="inlineStr">
        <is>
          <t>2719400000</t>
        </is>
      </c>
      <c r="AF43" s="4110" t="n"/>
      <c r="AG43" s="4110" t="n"/>
      <c r="AH43" s="4113" t="n"/>
    </row>
    <row r="44" ht="15.95" customHeight="1" s="4080">
      <c r="A44" s="4097" t="n"/>
      <c r="B44" s="4107" t="n"/>
      <c r="C44" s="1301" t="n"/>
      <c r="D44" s="4222" t="inlineStr">
        <is>
          <t>委託による
提携事業所</t>
        </is>
      </c>
      <c r="E44" s="4098" t="n"/>
      <c r="F44" s="4098" t="n"/>
      <c r="G44" s="4098" t="n"/>
      <c r="H44" s="4098" t="n"/>
      <c r="I44" s="4098" t="n"/>
      <c r="J44" s="4223" t="n"/>
      <c r="K44" s="2163" t="inlineStr">
        <is>
          <t>サービス種類</t>
        </is>
      </c>
      <c r="L44" s="4110" t="n"/>
      <c r="M44" s="4110" t="n"/>
      <c r="N44" s="4110" t="n"/>
      <c r="O44" s="4111" t="n"/>
      <c r="P44" s="2163" t="inlineStr">
        <is>
          <t>事　　　業　　　所　　　名</t>
        </is>
      </c>
      <c r="Q44" s="4110" t="n"/>
      <c r="R44" s="4110" t="n"/>
      <c r="S44" s="4110" t="n"/>
      <c r="T44" s="4110" t="n"/>
      <c r="U44" s="4110" t="n"/>
      <c r="V44" s="4110" t="n"/>
      <c r="W44" s="4110" t="n"/>
      <c r="X44" s="4110" t="n"/>
      <c r="Y44" s="4110" t="n"/>
      <c r="Z44" s="4110" t="n"/>
      <c r="AA44" s="4110" t="n"/>
      <c r="AB44" s="4110" t="n"/>
      <c r="AC44" s="4110" t="n"/>
      <c r="AD44" s="4111" t="n"/>
      <c r="AE44" s="4220" t="inlineStr">
        <is>
          <t>事業所番号</t>
        </is>
      </c>
      <c r="AF44" s="4110" t="n"/>
      <c r="AG44" s="4110" t="n"/>
      <c r="AH44" s="4113" t="n"/>
    </row>
    <row r="45" ht="15.95" customHeight="1" s="4080">
      <c r="A45" s="4097" t="n"/>
      <c r="B45" s="4107" t="n"/>
      <c r="J45" s="4107" t="n"/>
      <c r="K45" s="4256" t="inlineStr">
        <is>
          <t>短期入所</t>
        </is>
      </c>
      <c r="L45" s="4110" t="n"/>
      <c r="M45" s="4110" t="n"/>
      <c r="N45" s="4110" t="n"/>
      <c r="O45" s="4111" t="n"/>
      <c r="P45" s="4257" t="inlineStr">
        <is>
          <t>大阪障がい者短期入所サービスセンター</t>
        </is>
      </c>
      <c r="Q45" s="4110" t="n"/>
      <c r="R45" s="4110" t="n"/>
      <c r="S45" s="4110" t="n"/>
      <c r="T45" s="4110" t="n"/>
      <c r="U45" s="4110" t="n"/>
      <c r="V45" s="4110" t="n"/>
      <c r="W45" s="4110" t="n"/>
      <c r="X45" s="4110" t="n"/>
      <c r="Y45" s="4110" t="n"/>
      <c r="Z45" s="4110" t="n"/>
      <c r="AA45" s="4110" t="n"/>
      <c r="AB45" s="4110" t="n"/>
      <c r="AC45" s="4110" t="n"/>
      <c r="AD45" s="4111" t="n"/>
      <c r="AE45" s="4259" t="inlineStr">
        <is>
          <t>2714100000</t>
        </is>
      </c>
      <c r="AF45" s="4110" t="n"/>
      <c r="AG45" s="4110" t="n"/>
      <c r="AH45" s="4113" t="n"/>
    </row>
    <row r="46" ht="15.95" customHeight="1" s="4080">
      <c r="A46" s="4097" t="n"/>
      <c r="B46" s="4107" t="n"/>
      <c r="J46" s="4107" t="n"/>
      <c r="K46" s="844" t="n"/>
      <c r="L46" s="4110" t="n"/>
      <c r="M46" s="4110" t="n"/>
      <c r="N46" s="4110" t="n"/>
      <c r="O46" s="4111" t="n"/>
      <c r="P46" s="4257" t="n"/>
      <c r="Q46" s="4110" t="n"/>
      <c r="R46" s="4110" t="n"/>
      <c r="S46" s="4110" t="n"/>
      <c r="T46" s="4110" t="n"/>
      <c r="U46" s="4110" t="n"/>
      <c r="V46" s="4110" t="n"/>
      <c r="W46" s="4110" t="n"/>
      <c r="X46" s="4110" t="n"/>
      <c r="Y46" s="4110" t="n"/>
      <c r="Z46" s="4110" t="n"/>
      <c r="AA46" s="4110" t="n"/>
      <c r="AB46" s="4110" t="n"/>
      <c r="AC46" s="4110" t="n"/>
      <c r="AD46" s="4111" t="n"/>
      <c r="AE46" s="847" t="n"/>
      <c r="AF46" s="4110" t="n"/>
      <c r="AG46" s="4110" t="n"/>
      <c r="AH46" s="4113" t="n"/>
    </row>
    <row r="47" ht="15.95" customHeight="1" s="4080">
      <c r="A47" s="4097" t="n"/>
      <c r="B47" s="4107" t="n"/>
      <c r="J47" s="4107" t="n"/>
      <c r="K47" s="844" t="n"/>
      <c r="L47" s="4110" t="n"/>
      <c r="M47" s="4110" t="n"/>
      <c r="N47" s="4110" t="n"/>
      <c r="O47" s="4111" t="n"/>
      <c r="P47" s="4257" t="n"/>
      <c r="Q47" s="4110" t="n"/>
      <c r="R47" s="4110" t="n"/>
      <c r="S47" s="4110" t="n"/>
      <c r="T47" s="4110" t="n"/>
      <c r="U47" s="4110" t="n"/>
      <c r="V47" s="4110" t="n"/>
      <c r="W47" s="4110" t="n"/>
      <c r="X47" s="4110" t="n"/>
      <c r="Y47" s="4110" t="n"/>
      <c r="Z47" s="4110" t="n"/>
      <c r="AA47" s="4110" t="n"/>
      <c r="AB47" s="4110" t="n"/>
      <c r="AC47" s="4110" t="n"/>
      <c r="AD47" s="4111" t="n"/>
      <c r="AE47" s="847" t="n"/>
      <c r="AF47" s="4110" t="n"/>
      <c r="AG47" s="4110" t="n"/>
      <c r="AH47" s="4113" t="n"/>
    </row>
    <row r="48" ht="15.95" customHeight="1" s="4080">
      <c r="A48" s="4097" t="n"/>
      <c r="B48" s="4107" t="n"/>
      <c r="J48" s="4107" t="n"/>
      <c r="K48" s="844" t="n"/>
      <c r="L48" s="4110" t="n"/>
      <c r="M48" s="4110" t="n"/>
      <c r="N48" s="4110" t="n"/>
      <c r="O48" s="4111" t="n"/>
      <c r="P48" s="4257" t="n"/>
      <c r="Q48" s="4110" t="n"/>
      <c r="R48" s="4110" t="n"/>
      <c r="S48" s="4110" t="n"/>
      <c r="T48" s="4110" t="n"/>
      <c r="U48" s="4110" t="n"/>
      <c r="V48" s="4110" t="n"/>
      <c r="W48" s="4110" t="n"/>
      <c r="X48" s="4110" t="n"/>
      <c r="Y48" s="4110" t="n"/>
      <c r="Z48" s="4110" t="n"/>
      <c r="AA48" s="4110" t="n"/>
      <c r="AB48" s="4110" t="n"/>
      <c r="AC48" s="4110" t="n"/>
      <c r="AD48" s="4111" t="n"/>
      <c r="AE48" s="847" t="n"/>
      <c r="AF48" s="4110" t="n"/>
      <c r="AG48" s="4110" t="n"/>
      <c r="AH48" s="4113" t="n"/>
    </row>
    <row r="49" ht="15.95" customHeight="1" s="4080">
      <c r="A49" s="4097" t="n"/>
      <c r="B49" s="4107" t="n"/>
      <c r="C49" s="4103" t="n"/>
      <c r="D49" s="4103" t="n"/>
      <c r="E49" s="4103" t="n"/>
      <c r="F49" s="4103" t="n"/>
      <c r="G49" s="4103" t="n"/>
      <c r="H49" s="4103" t="n"/>
      <c r="I49" s="4103" t="n"/>
      <c r="J49" s="4104" t="n"/>
      <c r="K49" s="844" t="n"/>
      <c r="L49" s="4110" t="n"/>
      <c r="M49" s="4110" t="n"/>
      <c r="N49" s="4110" t="n"/>
      <c r="O49" s="4111" t="n"/>
      <c r="P49" s="4257" t="n"/>
      <c r="Q49" s="4110" t="n"/>
      <c r="R49" s="4110" t="n"/>
      <c r="S49" s="4110" t="n"/>
      <c r="T49" s="4110" t="n"/>
      <c r="U49" s="4110" t="n"/>
      <c r="V49" s="4110" t="n"/>
      <c r="W49" s="4110" t="n"/>
      <c r="X49" s="4110" t="n"/>
      <c r="Y49" s="4110" t="n"/>
      <c r="Z49" s="4110" t="n"/>
      <c r="AA49" s="4110" t="n"/>
      <c r="AB49" s="4110" t="n"/>
      <c r="AC49" s="4110" t="n"/>
      <c r="AD49" s="4111" t="n"/>
      <c r="AE49" s="847" t="n"/>
      <c r="AF49" s="4110" t="n"/>
      <c r="AG49" s="4110" t="n"/>
      <c r="AH49" s="4113" t="n"/>
    </row>
    <row r="50" ht="15.75" customHeight="1" s="4080">
      <c r="A50" s="4097" t="n"/>
      <c r="B50" s="4107" t="n"/>
      <c r="C50" s="1267" t="n"/>
      <c r="D50" s="1264" t="inlineStr">
        <is>
          <t>協力医療機関</t>
        </is>
      </c>
      <c r="E50" s="4110" t="n"/>
      <c r="F50" s="4110" t="n"/>
      <c r="G50" s="4110" t="n"/>
      <c r="H50" s="4110" t="n"/>
      <c r="I50" s="4110" t="n"/>
      <c r="J50" s="1268" t="n"/>
      <c r="K50" s="4185" t="inlineStr">
        <is>
          <t>名　称</t>
        </is>
      </c>
      <c r="L50" s="4110" t="n"/>
      <c r="M50" s="4111" t="n"/>
      <c r="N50" s="4257" t="inlineStr">
        <is>
          <t>○○記念病院</t>
        </is>
      </c>
      <c r="O50" s="4110" t="n"/>
      <c r="P50" s="4110" t="n"/>
      <c r="Q50" s="4110" t="n"/>
      <c r="R50" s="4110" t="n"/>
      <c r="S50" s="4110" t="n"/>
      <c r="T50" s="4110" t="n"/>
      <c r="U50" s="4110" t="n"/>
      <c r="V50" s="4111" t="n"/>
      <c r="W50" s="4185" t="inlineStr">
        <is>
          <t>主な診療科名</t>
        </is>
      </c>
      <c r="X50" s="4110" t="n"/>
      <c r="Y50" s="4110" t="n"/>
      <c r="Z50" s="4111" t="n"/>
      <c r="AA50" s="4260" t="inlineStr">
        <is>
          <t>内科･外科</t>
        </is>
      </c>
      <c r="AB50" s="4110" t="n"/>
      <c r="AC50" s="4110" t="n"/>
      <c r="AD50" s="4110" t="n"/>
      <c r="AE50" s="4110" t="n"/>
      <c r="AF50" s="4110" t="n"/>
      <c r="AG50" s="4110" t="n"/>
      <c r="AH50" s="4113" t="n"/>
    </row>
    <row r="51" ht="24" customHeight="1" s="4080">
      <c r="A51" s="4114" t="n"/>
      <c r="B51" s="4104" t="n"/>
      <c r="C51" s="1267" t="n"/>
      <c r="D51" s="1264" t="inlineStr">
        <is>
          <t>利用者からの連絡対応体制の概要</t>
        </is>
      </c>
      <c r="E51" s="4110" t="n"/>
      <c r="F51" s="4110" t="n"/>
      <c r="G51" s="4110" t="n"/>
      <c r="H51" s="4110" t="n"/>
      <c r="I51" s="4110" t="n"/>
      <c r="J51" s="1268" t="n"/>
      <c r="K51" s="4261" t="inlineStr">
        <is>
          <t>営業時間外には、事業所の電話を夜間待機職員（当番制）の自宅の電話に転送するようにしている。</t>
        </is>
      </c>
      <c r="L51" s="4110" t="n"/>
      <c r="M51" s="4110" t="n"/>
      <c r="N51" s="4110" t="n"/>
      <c r="O51" s="4110" t="n"/>
      <c r="P51" s="4110" t="n"/>
      <c r="Q51" s="4110" t="n"/>
      <c r="R51" s="4110" t="n"/>
      <c r="S51" s="4110" t="n"/>
      <c r="T51" s="4110" t="n"/>
      <c r="U51" s="4110" t="n"/>
      <c r="V51" s="4110" t="n"/>
      <c r="W51" s="4110" t="n"/>
      <c r="X51" s="4110" t="n"/>
      <c r="Y51" s="4110" t="n"/>
      <c r="Z51" s="4110" t="n"/>
      <c r="AA51" s="4110" t="n"/>
      <c r="AB51" s="4110" t="n"/>
      <c r="AC51" s="4110" t="n"/>
      <c r="AD51" s="4110" t="n"/>
      <c r="AE51" s="4110" t="n"/>
      <c r="AF51" s="4110" t="n"/>
      <c r="AG51" s="4110" t="n"/>
      <c r="AH51" s="4113" t="n"/>
    </row>
    <row r="52" ht="15.95" customHeight="1" s="4080">
      <c r="A52" s="4219" t="inlineStr">
        <is>
          <t>主　な　掲　示　事　項</t>
        </is>
      </c>
      <c r="B52" s="4099" t="n"/>
      <c r="C52" s="1393" t="n"/>
      <c r="D52" s="1264" t="inlineStr">
        <is>
          <t>利用者数</t>
        </is>
      </c>
      <c r="E52" s="4110" t="n"/>
      <c r="F52" s="4110" t="n"/>
      <c r="G52" s="4110" t="n"/>
      <c r="H52" s="4110" t="n"/>
      <c r="I52" s="4110" t="n"/>
      <c r="J52" s="1394" t="n"/>
      <c r="K52" s="1149" t="inlineStr">
        <is>
          <t>５</t>
        </is>
      </c>
      <c r="L52" s="4110" t="n"/>
      <c r="M52" s="4110" t="n"/>
      <c r="N52" s="4110" t="n"/>
      <c r="O52" s="2325" t="inlineStr">
        <is>
          <t>人</t>
        </is>
      </c>
      <c r="P52" s="4226" t="n"/>
      <c r="Q52" s="4110" t="n"/>
      <c r="R52" s="4110" t="n"/>
      <c r="S52" s="4110" t="n"/>
      <c r="T52" s="4110" t="n"/>
      <c r="U52" s="4110" t="n"/>
      <c r="V52" s="4110" t="n"/>
      <c r="W52" s="4110" t="n"/>
      <c r="X52" s="4110" t="n"/>
      <c r="Y52" s="4110" t="n"/>
      <c r="Z52" s="4110" t="n"/>
      <c r="AA52" s="4110" t="n"/>
      <c r="AB52" s="4110" t="n"/>
      <c r="AC52" s="4110" t="n"/>
      <c r="AD52" s="4110" t="n"/>
      <c r="AE52" s="4110" t="n"/>
      <c r="AF52" s="4110" t="n"/>
      <c r="AG52" s="4110" t="n"/>
      <c r="AH52" s="4113" t="n"/>
    </row>
    <row r="53" ht="12" customHeight="1" s="4080">
      <c r="A53" s="4097" t="n"/>
      <c r="B53" s="4107" t="n"/>
      <c r="C53" s="1393" t="n"/>
      <c r="D53" s="2906" t="inlineStr">
        <is>
          <t>サービスを提供
する主たる対象者</t>
        </is>
      </c>
      <c r="E53" s="4098" t="n"/>
      <c r="F53" s="4098" t="n"/>
      <c r="G53" s="4098" t="n"/>
      <c r="H53" s="4098" t="n"/>
      <c r="I53" s="4098" t="n"/>
      <c r="J53" s="4223" t="n"/>
      <c r="K53" s="2163" t="inlineStr">
        <is>
          <t>Ⅰ類型</t>
        </is>
      </c>
      <c r="L53" s="4110" t="n"/>
      <c r="M53" s="4110" t="n"/>
      <c r="N53" s="4110" t="n"/>
      <c r="O53" s="4110" t="n"/>
      <c r="P53" s="4110" t="n"/>
      <c r="Q53" s="4110" t="n"/>
      <c r="R53" s="4111" t="n"/>
      <c r="S53" s="2163" t="inlineStr">
        <is>
          <t>Ⅱ類型</t>
        </is>
      </c>
      <c r="T53" s="4110" t="n"/>
      <c r="U53" s="4110" t="n"/>
      <c r="V53" s="4110" t="n"/>
      <c r="W53" s="4110" t="n"/>
      <c r="X53" s="4110" t="n"/>
      <c r="Y53" s="4110" t="n"/>
      <c r="Z53" s="4111" t="n"/>
      <c r="AA53" s="4220" t="inlineStr">
        <is>
          <t>Ⅲ類型</t>
        </is>
      </c>
      <c r="AB53" s="4110" t="n"/>
      <c r="AC53" s="4110" t="n"/>
      <c r="AD53" s="4110" t="n"/>
      <c r="AE53" s="4110" t="n"/>
      <c r="AF53" s="4110" t="n"/>
      <c r="AG53" s="4110" t="n"/>
      <c r="AH53" s="4113" t="n"/>
    </row>
    <row r="54" ht="12" customHeight="1" s="4080">
      <c r="A54" s="4097" t="n"/>
      <c r="B54" s="4107" t="n"/>
      <c r="C54" s="4102" t="n"/>
      <c r="D54" s="4103" t="n"/>
      <c r="E54" s="4103" t="n"/>
      <c r="F54" s="4103" t="n"/>
      <c r="G54" s="4103" t="n"/>
      <c r="H54" s="4103" t="n"/>
      <c r="I54" s="4103" t="n"/>
      <c r="J54" s="4104" t="n"/>
      <c r="K54" s="4165" t="inlineStr">
        <is>
          <t>○</t>
        </is>
      </c>
      <c r="L54" s="4110" t="n"/>
      <c r="M54" s="4110" t="n"/>
      <c r="N54" s="4110" t="n"/>
      <c r="O54" s="4110" t="n"/>
      <c r="P54" s="4110" t="n"/>
      <c r="Q54" s="4110" t="n"/>
      <c r="R54" s="4111" t="n"/>
      <c r="S54" s="4165" t="inlineStr">
        <is>
          <t>○</t>
        </is>
      </c>
      <c r="T54" s="4110" t="n"/>
      <c r="U54" s="4110" t="n"/>
      <c r="V54" s="4110" t="n"/>
      <c r="W54" s="4110" t="n"/>
      <c r="X54" s="4110" t="n"/>
      <c r="Y54" s="4110" t="n"/>
      <c r="Z54" s="4111" t="n"/>
      <c r="AA54" s="4259" t="inlineStr">
        <is>
          <t>○</t>
        </is>
      </c>
      <c r="AB54" s="4110" t="n"/>
      <c r="AC54" s="4110" t="n"/>
      <c r="AD54" s="4110" t="n"/>
      <c r="AE54" s="4110" t="n"/>
      <c r="AF54" s="4110" t="n"/>
      <c r="AG54" s="4110" t="n"/>
      <c r="AH54" s="4113" t="n"/>
    </row>
    <row r="55" ht="15.95" customHeight="1" s="4080">
      <c r="A55" s="4097" t="n"/>
      <c r="B55" s="4107" t="n"/>
      <c r="C55" s="1393" t="n"/>
      <c r="D55" s="1264" t="inlineStr">
        <is>
          <t>利用料</t>
        </is>
      </c>
      <c r="E55" s="4110" t="n"/>
      <c r="F55" s="4110" t="n"/>
      <c r="G55" s="4110" t="n"/>
      <c r="H55" s="4110" t="n"/>
      <c r="I55" s="4110" t="n"/>
      <c r="J55" s="1394" t="n"/>
      <c r="K55" s="4262" t="inlineStr">
        <is>
          <t>法定代理受領分：厚生労働大臣が定める基準の10/100、法定代理受領分以外：厚生労働大臣が定める基準</t>
        </is>
      </c>
      <c r="L55" s="4110" t="n"/>
      <c r="M55" s="4110" t="n"/>
      <c r="N55" s="4110" t="n"/>
      <c r="O55" s="4110" t="n"/>
      <c r="P55" s="4110" t="n"/>
      <c r="Q55" s="4110" t="n"/>
      <c r="R55" s="4110" t="n"/>
      <c r="S55" s="4110" t="n"/>
      <c r="T55" s="4110" t="n"/>
      <c r="U55" s="4110" t="n"/>
      <c r="V55" s="4110" t="n"/>
      <c r="W55" s="4110" t="n"/>
      <c r="X55" s="4110" t="n"/>
      <c r="Y55" s="4110" t="n"/>
      <c r="Z55" s="4110" t="n"/>
      <c r="AA55" s="4110" t="n"/>
      <c r="AB55" s="4110" t="n"/>
      <c r="AC55" s="4110" t="n"/>
      <c r="AD55" s="4110" t="n"/>
      <c r="AE55" s="4110" t="n"/>
      <c r="AF55" s="4110" t="n"/>
      <c r="AG55" s="4110" t="n"/>
      <c r="AH55" s="4113" t="n"/>
    </row>
    <row r="56" ht="15.95" customHeight="1" s="4080">
      <c r="A56" s="4097" t="n"/>
      <c r="B56" s="4107" t="n"/>
      <c r="C56" s="1322" t="n"/>
      <c r="D56" s="1264" t="inlineStr">
        <is>
          <t>その他の費用</t>
        </is>
      </c>
      <c r="E56" s="4110" t="n"/>
      <c r="F56" s="4110" t="n"/>
      <c r="G56" s="4110" t="n"/>
      <c r="H56" s="4110" t="n"/>
      <c r="I56" s="4110" t="n"/>
      <c r="J56" s="1331" t="n"/>
      <c r="K56" s="4263" t="inlineStr">
        <is>
          <t>運営規程に定めるとおり</t>
        </is>
      </c>
      <c r="L56" s="4098" t="n"/>
      <c r="M56" s="4098" t="n"/>
      <c r="N56" s="4098" t="n"/>
      <c r="O56" s="4098" t="n"/>
      <c r="P56" s="4098" t="n"/>
      <c r="Q56" s="4098" t="n"/>
      <c r="R56" s="4098" t="n"/>
      <c r="S56" s="4098" t="n"/>
      <c r="T56" s="4098" t="n"/>
      <c r="U56" s="4098" t="n"/>
      <c r="V56" s="4098" t="n"/>
      <c r="W56" s="4098" t="n"/>
      <c r="X56" s="4098" t="n"/>
      <c r="Y56" s="4098" t="n"/>
      <c r="Z56" s="4098" t="n"/>
      <c r="AA56" s="4098" t="n"/>
      <c r="AB56" s="4098" t="n"/>
      <c r="AC56" s="4098" t="n"/>
      <c r="AD56" s="4098" t="n"/>
      <c r="AE56" s="4098" t="n"/>
      <c r="AF56" s="4098" t="n"/>
      <c r="AG56" s="4098" t="n"/>
      <c r="AH56" s="4101" t="n"/>
    </row>
    <row r="57" ht="24" customHeight="1" s="4080">
      <c r="A57" s="4097" t="n"/>
      <c r="B57" s="4107" t="n"/>
      <c r="C57" s="1300" t="n"/>
      <c r="D57" s="4222" t="inlineStr">
        <is>
          <t>通常の事業の
実施地域</t>
        </is>
      </c>
      <c r="E57" s="4098" t="n"/>
      <c r="F57" s="4098" t="n"/>
      <c r="G57" s="4098" t="n"/>
      <c r="H57" s="4098" t="n"/>
      <c r="I57" s="4098" t="n"/>
      <c r="J57" s="1963" t="n"/>
      <c r="K57" s="3272" t="inlineStr">
        <is>
          <t>1)</t>
        </is>
      </c>
      <c r="L57" s="1562" t="inlineStr">
        <is>
          <t>大阪市中央区</t>
        </is>
      </c>
      <c r="M57" s="4110" t="n"/>
      <c r="N57" s="4110" t="n"/>
      <c r="O57" s="2325" t="inlineStr">
        <is>
          <t>2)</t>
        </is>
      </c>
      <c r="P57" s="1562" t="inlineStr">
        <is>
          <t>大阪市北区</t>
        </is>
      </c>
      <c r="Q57" s="4110" t="n"/>
      <c r="R57" s="4110" t="n"/>
      <c r="S57" s="2325" t="inlineStr">
        <is>
          <t>3)</t>
        </is>
      </c>
      <c r="T57" s="1562" t="inlineStr">
        <is>
          <t>大阪市天王寺区</t>
        </is>
      </c>
      <c r="U57" s="4110" t="n"/>
      <c r="V57" s="4110" t="n"/>
      <c r="W57" s="2325" t="inlineStr">
        <is>
          <t>4)</t>
        </is>
      </c>
      <c r="X57" s="1562" t="inlineStr">
        <is>
          <t>大阪市東成区</t>
        </is>
      </c>
      <c r="Y57" s="4110" t="n"/>
      <c r="Z57" s="4110" t="n"/>
      <c r="AA57" s="2325" t="inlineStr">
        <is>
          <t>5)</t>
        </is>
      </c>
      <c r="AB57" s="1562" t="inlineStr">
        <is>
          <t>大阪市生野区</t>
        </is>
      </c>
      <c r="AC57" s="4110" t="n"/>
      <c r="AD57" s="4110" t="n"/>
      <c r="AE57" s="4229" t="inlineStr">
        <is>
          <t>備考</t>
        </is>
      </c>
      <c r="AF57" s="4230" t="n"/>
      <c r="AG57" s="4098" t="n"/>
      <c r="AH57" s="4101" t="n"/>
    </row>
    <row r="58" ht="24" customHeight="1" s="4080">
      <c r="A58" s="4097" t="n"/>
      <c r="B58" s="4107" t="n"/>
      <c r="C58" s="4102" t="n"/>
      <c r="D58" s="4103" t="n"/>
      <c r="E58" s="4103" t="n"/>
      <c r="F58" s="4103" t="n"/>
      <c r="G58" s="4103" t="n"/>
      <c r="H58" s="4103" t="n"/>
      <c r="I58" s="4103" t="n"/>
      <c r="J58" s="4104" t="n"/>
      <c r="K58" s="3272" t="inlineStr">
        <is>
          <t>6)</t>
        </is>
      </c>
      <c r="L58" s="1562" t="inlineStr">
        <is>
          <t>東大阪市</t>
        </is>
      </c>
      <c r="M58" s="4110" t="n"/>
      <c r="N58" s="4110" t="n"/>
      <c r="O58" s="2325" t="inlineStr">
        <is>
          <t>7)</t>
        </is>
      </c>
      <c r="P58" s="1406" t="n"/>
      <c r="Q58" s="4110" t="n"/>
      <c r="R58" s="4110" t="n"/>
      <c r="S58" s="2325" t="inlineStr">
        <is>
          <t>8)</t>
        </is>
      </c>
      <c r="T58" s="1406" t="n"/>
      <c r="U58" s="4110" t="n"/>
      <c r="V58" s="4110" t="n"/>
      <c r="W58" s="2325" t="inlineStr">
        <is>
          <t>9)</t>
        </is>
      </c>
      <c r="X58" s="1406" t="n"/>
      <c r="Y58" s="4110" t="n"/>
      <c r="Z58" s="4110" t="n"/>
      <c r="AA58" s="71" t="inlineStr">
        <is>
          <t>10)</t>
        </is>
      </c>
      <c r="AB58" s="1406" t="n"/>
      <c r="AC58" s="4110" t="n"/>
      <c r="AD58" s="4110" t="n"/>
      <c r="AE58" s="4124" t="n"/>
      <c r="AF58" s="4102" t="n"/>
      <c r="AG58" s="4103" t="n"/>
      <c r="AH58" s="4105" t="n"/>
    </row>
    <row r="59" ht="3.95" customHeight="1" s="4080">
      <c r="A59" s="4097" t="n"/>
      <c r="B59" s="4107" t="n"/>
      <c r="C59" s="4231" t="inlineStr">
        <is>
          <t>その他参考
となる事項</t>
        </is>
      </c>
      <c r="D59" s="4099" t="n"/>
      <c r="E59" s="2753" t="inlineStr">
        <is>
          <t>第三者評価の実施状況</t>
        </is>
      </c>
      <c r="F59" s="4098" t="n"/>
      <c r="G59" s="4098" t="n"/>
      <c r="H59" s="4098" t="n"/>
      <c r="I59" s="4098" t="n"/>
      <c r="J59" s="4099" t="n"/>
      <c r="K59" s="1657" t="n"/>
      <c r="L59" s="1658" t="n"/>
      <c r="M59" s="1658" t="n"/>
      <c r="N59" s="1658" t="n"/>
      <c r="O59" s="1658" t="n"/>
      <c r="P59" s="1658" t="n"/>
      <c r="Q59" s="1658" t="n"/>
      <c r="R59" s="4232" t="n"/>
      <c r="S59" s="4098" t="n"/>
      <c r="T59" s="4098" t="n"/>
      <c r="U59" s="4098" t="n"/>
      <c r="V59" s="4098" t="n"/>
      <c r="W59" s="4098" t="n"/>
      <c r="X59" s="4098" t="n"/>
      <c r="Y59" s="4098" t="n"/>
      <c r="Z59" s="4098" t="n"/>
      <c r="AA59" s="4098" t="n"/>
      <c r="AB59" s="1658" t="n"/>
      <c r="AC59" s="1658" t="n"/>
      <c r="AD59" s="1658" t="n"/>
      <c r="AE59" s="1658" t="n"/>
      <c r="AF59" s="1658" t="n"/>
      <c r="AG59" s="1658" t="n"/>
      <c r="AH59" s="1659" t="n"/>
    </row>
    <row r="60" ht="15" customHeight="1" s="4080">
      <c r="A60" s="4097" t="n"/>
      <c r="B60" s="4107" t="n"/>
      <c r="C60" s="4106" t="n"/>
      <c r="D60" s="4107" t="n"/>
      <c r="J60" s="4107" t="n"/>
      <c r="K60" s="1372" t="n"/>
      <c r="L60" s="1432" t="inlineStr">
        <is>
          <t>している</t>
        </is>
      </c>
      <c r="O60" s="1458" t="inlineStr">
        <is>
          <t>(実施先：</t>
        </is>
      </c>
      <c r="AB60" s="1325" t="inlineStr">
        <is>
          <t>)・</t>
        </is>
      </c>
      <c r="AD60" s="4264" t="inlineStr">
        <is>
          <t>していない</t>
        </is>
      </c>
      <c r="AE60" s="4265" t="n"/>
      <c r="AF60" s="4265" t="n"/>
      <c r="AG60" s="4266" t="n"/>
      <c r="AH60" s="1668" t="n"/>
    </row>
    <row r="61" ht="3.95" customHeight="1" s="4080">
      <c r="A61" s="4097" t="n"/>
      <c r="B61" s="4107" t="n"/>
      <c r="C61" s="4106" t="n"/>
      <c r="D61" s="4107" t="n"/>
      <c r="E61" s="4103" t="n"/>
      <c r="F61" s="4103" t="n"/>
      <c r="G61" s="4103" t="n"/>
      <c r="H61" s="4103" t="n"/>
      <c r="I61" s="4103" t="n"/>
      <c r="J61" s="4104" t="n"/>
      <c r="K61" s="1657" t="n"/>
      <c r="L61" s="1658" t="n"/>
      <c r="M61" s="1658" t="n"/>
      <c r="N61" s="1658" t="n"/>
      <c r="O61" s="1658" t="n"/>
      <c r="P61" s="1658" t="n"/>
      <c r="Q61" s="1658" t="n"/>
      <c r="R61" s="4103" t="n"/>
      <c r="S61" s="4103" t="n"/>
      <c r="T61" s="4103" t="n"/>
      <c r="U61" s="4103" t="n"/>
      <c r="V61" s="4103" t="n"/>
      <c r="W61" s="4103" t="n"/>
      <c r="X61" s="4103" t="n"/>
      <c r="Y61" s="4103" t="n"/>
      <c r="Z61" s="4103" t="n"/>
      <c r="AA61" s="4103" t="n"/>
      <c r="AB61" s="1658" t="n"/>
      <c r="AC61" s="1658" t="n"/>
      <c r="AD61" s="1658" t="n"/>
      <c r="AE61" s="1658" t="n"/>
      <c r="AF61" s="1658" t="n"/>
      <c r="AG61" s="1658" t="n"/>
      <c r="AH61" s="1659" t="n"/>
    </row>
    <row r="62" ht="15.95" customHeight="1" s="4080">
      <c r="A62" s="4097" t="n"/>
      <c r="B62" s="4107" t="n"/>
      <c r="C62" s="4106" t="n"/>
      <c r="D62" s="4107" t="n"/>
      <c r="E62" s="1439" t="inlineStr">
        <is>
          <t>苦情解決の措置概要</t>
        </is>
      </c>
      <c r="F62" s="4098" t="n"/>
      <c r="G62" s="4098" t="n"/>
      <c r="H62" s="4098" t="n"/>
      <c r="I62" s="4098" t="n"/>
      <c r="J62" s="4099" t="n"/>
      <c r="K62" s="2542" t="inlineStr">
        <is>
          <t>窓　口</t>
        </is>
      </c>
      <c r="L62" s="4110" t="n"/>
      <c r="M62" s="4111" t="n"/>
      <c r="N62" s="4267" t="inlineStr">
        <is>
          <t>中之島障がい福祉サービスセンター</t>
        </is>
      </c>
      <c r="O62" s="4110" t="n"/>
      <c r="P62" s="4110" t="n"/>
      <c r="Q62" s="4110" t="n"/>
      <c r="R62" s="4110" t="n"/>
      <c r="S62" s="4110" t="n"/>
      <c r="T62" s="4110" t="n"/>
      <c r="U62" s="4110" t="n"/>
      <c r="V62" s="4110" t="n"/>
      <c r="W62" s="4110" t="n"/>
      <c r="X62" s="4110" t="n"/>
      <c r="Y62" s="4110" t="n"/>
      <c r="Z62" s="4110" t="n"/>
      <c r="AA62" s="4110" t="n"/>
      <c r="AB62" s="4110" t="n"/>
      <c r="AC62" s="4110" t="n"/>
      <c r="AD62" s="4110" t="n"/>
      <c r="AE62" s="4110" t="n"/>
      <c r="AF62" s="4110" t="n"/>
      <c r="AG62" s="4110" t="n"/>
      <c r="AH62" s="4113" t="n"/>
    </row>
    <row r="63" ht="15.95" customHeight="1" s="4080">
      <c r="A63" s="4097" t="n"/>
      <c r="B63" s="4107" t="n"/>
      <c r="C63" s="4106" t="n"/>
      <c r="D63" s="4107" t="n"/>
      <c r="E63" s="4103" t="n"/>
      <c r="F63" s="4103" t="n"/>
      <c r="G63" s="4103" t="n"/>
      <c r="H63" s="4103" t="n"/>
      <c r="I63" s="4103" t="n"/>
      <c r="J63" s="4104" t="n"/>
      <c r="K63" s="2542" t="inlineStr">
        <is>
          <t>担当者</t>
        </is>
      </c>
      <c r="L63" s="4110" t="n"/>
      <c r="M63" s="4111" t="n"/>
      <c r="N63" s="4233" t="inlineStr">
        <is>
          <t>淀屋橋花子</t>
        </is>
      </c>
      <c r="O63" s="4110" t="n"/>
      <c r="P63" s="4110" t="n"/>
      <c r="Q63" s="4110" t="n"/>
      <c r="R63" s="4110" t="n"/>
      <c r="S63" s="4110" t="n"/>
      <c r="T63" s="4110" t="n"/>
      <c r="U63" s="4111" t="n"/>
      <c r="V63" s="2163" t="inlineStr">
        <is>
          <t>電話</t>
        </is>
      </c>
      <c r="W63" s="4111" t="n"/>
      <c r="X63" s="1479" t="inlineStr">
        <is>
          <t>０６</t>
        </is>
      </c>
      <c r="Y63" s="4110" t="n"/>
      <c r="Z63" s="4110" t="n"/>
      <c r="AA63" s="1492" t="inlineStr">
        <is>
          <t>－</t>
        </is>
      </c>
      <c r="AB63" s="1150" t="inlineStr">
        <is>
          <t>６２４１</t>
        </is>
      </c>
      <c r="AC63" s="4110" t="n"/>
      <c r="AD63" s="4110" t="n"/>
      <c r="AE63" s="1492" t="inlineStr">
        <is>
          <t>－</t>
        </is>
      </c>
      <c r="AF63" s="1483" t="inlineStr">
        <is>
          <t>６５２０</t>
        </is>
      </c>
      <c r="AG63" s="4110" t="n"/>
      <c r="AH63" s="4113" t="n"/>
    </row>
    <row r="64" ht="15.95" customHeight="1" s="4080">
      <c r="A64" s="4114" t="n"/>
      <c r="B64" s="4104" t="n"/>
      <c r="C64" s="4102" t="n"/>
      <c r="D64" s="4104" t="n"/>
      <c r="E64" s="1394" t="inlineStr">
        <is>
          <t>そ　　 の 　　他</t>
        </is>
      </c>
      <c r="F64" s="4110" t="n"/>
      <c r="G64" s="4110" t="n"/>
      <c r="H64" s="4110" t="n"/>
      <c r="I64" s="4110" t="n"/>
      <c r="J64" s="4111" t="n"/>
      <c r="K64" s="4121" t="n"/>
      <c r="L64" s="4110" t="n"/>
      <c r="M64" s="4110" t="n"/>
      <c r="N64" s="4110" t="n"/>
      <c r="O64" s="4110" t="n"/>
      <c r="P64" s="4110" t="n"/>
      <c r="Q64" s="4110" t="n"/>
      <c r="R64" s="4110" t="n"/>
      <c r="S64" s="4110" t="n"/>
      <c r="T64" s="4110" t="n"/>
      <c r="U64" s="4110" t="n"/>
      <c r="V64" s="4110" t="n"/>
      <c r="W64" s="4110" t="n"/>
      <c r="X64" s="4110" t="n"/>
      <c r="Y64" s="4110" t="n"/>
      <c r="Z64" s="4110" t="n"/>
      <c r="AA64" s="4110" t="n"/>
      <c r="AB64" s="4110" t="n"/>
      <c r="AC64" s="4110" t="n"/>
      <c r="AD64" s="4110" t="n"/>
      <c r="AE64" s="4110" t="n"/>
      <c r="AF64" s="4110" t="n"/>
      <c r="AG64" s="4110" t="n"/>
      <c r="AH64" s="4113" t="n"/>
    </row>
    <row r="65" ht="15.95" customHeight="1" s="4080" thickBot="1">
      <c r="A65" s="4234" t="inlineStr">
        <is>
          <t>添　　付　　書　　類</t>
        </is>
      </c>
      <c r="B65" s="4153" t="n"/>
      <c r="C65" s="4153" t="n"/>
      <c r="D65" s="4153" t="n"/>
      <c r="E65" s="4153" t="n"/>
      <c r="F65" s="4153" t="n"/>
      <c r="G65" s="4153" t="n"/>
      <c r="H65" s="4153" t="n"/>
      <c r="I65" s="4153" t="n"/>
      <c r="J65" s="4154" t="n"/>
      <c r="K65" s="4235" t="inlineStr">
        <is>
          <t xml:space="preserve">　別紙「添付書類一覧表」のとおり</t>
        </is>
      </c>
      <c r="L65" s="4153" t="n"/>
      <c r="M65" s="4153" t="n"/>
      <c r="N65" s="4153" t="n"/>
      <c r="O65" s="4153" t="n"/>
      <c r="P65" s="4153" t="n"/>
      <c r="Q65" s="4153" t="n"/>
      <c r="R65" s="4153" t="n"/>
      <c r="S65" s="4153" t="n"/>
      <c r="T65" s="4153" t="n"/>
      <c r="U65" s="4153" t="n"/>
      <c r="V65" s="4153" t="n"/>
      <c r="W65" s="4153" t="n"/>
      <c r="X65" s="4153" t="n"/>
      <c r="Y65" s="4153" t="n"/>
      <c r="Z65" s="4153" t="n"/>
      <c r="AA65" s="4153" t="n"/>
      <c r="AB65" s="4153" t="n"/>
      <c r="AC65" s="4153" t="n"/>
      <c r="AD65" s="4153" t="n"/>
      <c r="AE65" s="4153" t="n"/>
      <c r="AF65" s="4153" t="n"/>
      <c r="AG65" s="4153" t="n"/>
      <c r="AH65" s="4155" t="n"/>
    </row>
    <row r="73">
      <c r="AD73" s="1355" t="n"/>
      <c r="AE73" s="1355" t="n"/>
      <c r="AF73" s="1355" t="n"/>
      <c r="AG73" s="1355" t="n"/>
    </row>
  </sheetData>
  <mergeCells count="232">
    <mergeCell ref="C14:E16"/>
    <mergeCell ref="AF63:AH63"/>
    <mergeCell ref="C23:L23"/>
    <mergeCell ref="K11:AH11"/>
    <mergeCell ref="L58:N58"/>
    <mergeCell ref="F27:I29"/>
    <mergeCell ref="AF30:AH30"/>
    <mergeCell ref="AB60:AC60"/>
    <mergeCell ref="X58:Z58"/>
    <mergeCell ref="M21:X21"/>
    <mergeCell ref="D38:I43"/>
    <mergeCell ref="N34:O37"/>
    <mergeCell ref="X31:AD33"/>
    <mergeCell ref="V18:AH18"/>
    <mergeCell ref="AF36:AH37"/>
    <mergeCell ref="AE57:AE58"/>
    <mergeCell ref="L60:N60"/>
    <mergeCell ref="K41:O41"/>
    <mergeCell ref="AE41:AH41"/>
    <mergeCell ref="M24:X24"/>
    <mergeCell ref="D55:I55"/>
    <mergeCell ref="C10:E11"/>
    <mergeCell ref="I10:K10"/>
    <mergeCell ref="C57:C58"/>
    <mergeCell ref="AE47:AH47"/>
    <mergeCell ref="K43:O43"/>
    <mergeCell ref="T31:V33"/>
    <mergeCell ref="AD60:AG60"/>
    <mergeCell ref="C7:E9"/>
    <mergeCell ref="K65:AH65"/>
    <mergeCell ref="AE43:AH43"/>
    <mergeCell ref="S53:Z53"/>
    <mergeCell ref="AE34:AE37"/>
    <mergeCell ref="J30:M30"/>
    <mergeCell ref="N30:O33"/>
    <mergeCell ref="A4:B11"/>
    <mergeCell ref="T57:V57"/>
    <mergeCell ref="C34:E34"/>
    <mergeCell ref="AA2:AA3"/>
    <mergeCell ref="P45:AD45"/>
    <mergeCell ref="X14:AH16"/>
    <mergeCell ref="AC2:AC3"/>
    <mergeCell ref="W50:Z50"/>
    <mergeCell ref="C22:L22"/>
    <mergeCell ref="N50:V50"/>
    <mergeCell ref="T34:X34"/>
    <mergeCell ref="B26:B29"/>
    <mergeCell ref="D53:I54"/>
    <mergeCell ref="Y22:AH22"/>
    <mergeCell ref="AF32:AH33"/>
    <mergeCell ref="A12:S12"/>
    <mergeCell ref="P44:AD44"/>
    <mergeCell ref="T58:V58"/>
    <mergeCell ref="J57:J58"/>
    <mergeCell ref="N8:O9"/>
    <mergeCell ref="AE26:AE29"/>
    <mergeCell ref="F31:I33"/>
    <mergeCell ref="A26:A37"/>
    <mergeCell ref="T30:X30"/>
    <mergeCell ref="F13:I13"/>
    <mergeCell ref="F5:AH6"/>
    <mergeCell ref="P46:AD46"/>
    <mergeCell ref="AF10:AH10"/>
    <mergeCell ref="X35:AD37"/>
    <mergeCell ref="S17:U19"/>
    <mergeCell ref="J38:J43"/>
    <mergeCell ref="M22:X22"/>
    <mergeCell ref="K45:O45"/>
    <mergeCell ref="P48:AD48"/>
    <mergeCell ref="P35:Q37"/>
    <mergeCell ref="AC12:AD12"/>
    <mergeCell ref="AE12:AF12"/>
    <mergeCell ref="AE45:AH45"/>
    <mergeCell ref="Y23:AH23"/>
    <mergeCell ref="P57:R57"/>
    <mergeCell ref="X63:Z63"/>
    <mergeCell ref="D56:I56"/>
    <mergeCell ref="K47:O47"/>
    <mergeCell ref="P26:S26"/>
    <mergeCell ref="AB57:AD57"/>
    <mergeCell ref="K44:O44"/>
    <mergeCell ref="C20:AH20"/>
    <mergeCell ref="C44:C49"/>
    <mergeCell ref="F34:I34"/>
    <mergeCell ref="K46:O46"/>
    <mergeCell ref="P27:Q29"/>
    <mergeCell ref="C24:L24"/>
    <mergeCell ref="K40:O40"/>
    <mergeCell ref="AF2:AF3"/>
    <mergeCell ref="AH2:AH3"/>
    <mergeCell ref="AA53:AH53"/>
    <mergeCell ref="P43:AD43"/>
    <mergeCell ref="Y24:AH24"/>
    <mergeCell ref="D51:I51"/>
    <mergeCell ref="AE46:AH46"/>
    <mergeCell ref="N17:R17"/>
    <mergeCell ref="C13:E13"/>
    <mergeCell ref="M23:X23"/>
    <mergeCell ref="K62:M62"/>
    <mergeCell ref="R59:AA61"/>
    <mergeCell ref="J7:N7"/>
    <mergeCell ref="T27:V29"/>
    <mergeCell ref="J34:M34"/>
    <mergeCell ref="F30:I30"/>
    <mergeCell ref="P42:AD42"/>
    <mergeCell ref="B30:B33"/>
    <mergeCell ref="T10:W10"/>
    <mergeCell ref="D57:I58"/>
    <mergeCell ref="D50:I50"/>
    <mergeCell ref="A1:AH1"/>
    <mergeCell ref="N19:R19"/>
    <mergeCell ref="AF34:AH34"/>
    <mergeCell ref="C25:L25"/>
    <mergeCell ref="K53:R53"/>
    <mergeCell ref="AA50:AH50"/>
    <mergeCell ref="C26:E26"/>
    <mergeCell ref="K52:N52"/>
    <mergeCell ref="T35:V37"/>
    <mergeCell ref="J27:M29"/>
    <mergeCell ref="Y25:AH25"/>
    <mergeCell ref="E64:J64"/>
    <mergeCell ref="AE48:AH48"/>
    <mergeCell ref="K49:O49"/>
    <mergeCell ref="F11:J11"/>
    <mergeCell ref="P13:S13"/>
    <mergeCell ref="Q10:S10"/>
    <mergeCell ref="C35:E37"/>
    <mergeCell ref="E62:J63"/>
    <mergeCell ref="F4:AH4"/>
    <mergeCell ref="N62:AH62"/>
    <mergeCell ref="P30:S30"/>
    <mergeCell ref="U2:X3"/>
    <mergeCell ref="P7:AH9"/>
    <mergeCell ref="N13:O16"/>
    <mergeCell ref="J31:M33"/>
    <mergeCell ref="AE49:AH49"/>
    <mergeCell ref="J44:J49"/>
    <mergeCell ref="P39:AD39"/>
    <mergeCell ref="AF28:AH29"/>
    <mergeCell ref="F14:I16"/>
    <mergeCell ref="C5:E6"/>
    <mergeCell ref="C27:E29"/>
    <mergeCell ref="V63:W63"/>
    <mergeCell ref="AF26:AH26"/>
    <mergeCell ref="Z2:Z3"/>
    <mergeCell ref="A13:B25"/>
    <mergeCell ref="AF35:AH35"/>
    <mergeCell ref="AF57:AH58"/>
    <mergeCell ref="AB2:AB3"/>
    <mergeCell ref="AD2:AD3"/>
    <mergeCell ref="J14:M16"/>
    <mergeCell ref="P47:AD47"/>
    <mergeCell ref="X10:Z10"/>
    <mergeCell ref="U12:V12"/>
    <mergeCell ref="AB10:AD10"/>
    <mergeCell ref="D44:I49"/>
    <mergeCell ref="T26:X26"/>
    <mergeCell ref="W12:X12"/>
    <mergeCell ref="F7:I7"/>
    <mergeCell ref="AA54:AH54"/>
    <mergeCell ref="B34:B37"/>
    <mergeCell ref="P34:S34"/>
    <mergeCell ref="AF27:AH27"/>
    <mergeCell ref="F8:H9"/>
    <mergeCell ref="Y21:AH21"/>
    <mergeCell ref="C30:E30"/>
    <mergeCell ref="K39:O39"/>
    <mergeCell ref="T13:X13"/>
    <mergeCell ref="K48:O48"/>
    <mergeCell ref="AB58:AD58"/>
    <mergeCell ref="AE39:AH39"/>
    <mergeCell ref="L57:N57"/>
    <mergeCell ref="J26:M26"/>
    <mergeCell ref="AE30:AE33"/>
    <mergeCell ref="F35:I37"/>
    <mergeCell ref="K38:O38"/>
    <mergeCell ref="X57:Z57"/>
    <mergeCell ref="P41:AD41"/>
    <mergeCell ref="C4:E4"/>
    <mergeCell ref="C38:C43"/>
    <mergeCell ref="AE38:AH38"/>
    <mergeCell ref="A38:B51"/>
    <mergeCell ref="D52:I52"/>
    <mergeCell ref="K63:M63"/>
    <mergeCell ref="K55:AH55"/>
    <mergeCell ref="J35:M37"/>
    <mergeCell ref="K64:AH64"/>
    <mergeCell ref="J53:J54"/>
    <mergeCell ref="K50:M50"/>
    <mergeCell ref="M10:O10"/>
    <mergeCell ref="K51:AH51"/>
    <mergeCell ref="E59:J61"/>
    <mergeCell ref="C59:D64"/>
    <mergeCell ref="AE40:AH40"/>
    <mergeCell ref="P49:AD49"/>
    <mergeCell ref="C31:E33"/>
    <mergeCell ref="N63:U63"/>
    <mergeCell ref="P14:Q16"/>
    <mergeCell ref="AE2:AE3"/>
    <mergeCell ref="AG2:AG3"/>
    <mergeCell ref="K54:R54"/>
    <mergeCell ref="Y2:Y3"/>
    <mergeCell ref="I8:M9"/>
    <mergeCell ref="M25:X25"/>
    <mergeCell ref="K56:AH56"/>
    <mergeCell ref="P31:Q33"/>
    <mergeCell ref="AF31:AH31"/>
    <mergeCell ref="A52:B64"/>
    <mergeCell ref="O60:Q60"/>
    <mergeCell ref="W17:AH17"/>
    <mergeCell ref="X27:AD29"/>
    <mergeCell ref="J13:M13"/>
    <mergeCell ref="P58:R58"/>
    <mergeCell ref="W19:AH19"/>
    <mergeCell ref="K42:O42"/>
    <mergeCell ref="A65:J65"/>
    <mergeCell ref="N26:O29"/>
    <mergeCell ref="AE42:AH42"/>
    <mergeCell ref="P52:AH52"/>
    <mergeCell ref="C53:C54"/>
    <mergeCell ref="F10:H10"/>
    <mergeCell ref="Y12:Z12"/>
    <mergeCell ref="F26:I26"/>
    <mergeCell ref="C17:M19"/>
    <mergeCell ref="P38:AD38"/>
    <mergeCell ref="AA12:AB12"/>
    <mergeCell ref="T14:V16"/>
    <mergeCell ref="AB63:AD63"/>
    <mergeCell ref="AE44:AH44"/>
    <mergeCell ref="C21:L21"/>
    <mergeCell ref="S54:Z54"/>
    <mergeCell ref="P40:AD40"/>
  </mergeCells>
  <dataValidations count="10">
    <dataValidation sqref="V18:AH18"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M10:O10 Q10:S10 X10:Z10 AB10:AD10 AF10:AH10" showDropDown="0" showInputMessage="1" showErrorMessage="1" allowBlank="1" error="全角数字で入力してください" imeMode="fullAlpha"/>
    <dataValidation sqref="AF26:AH37" showDropDown="0" showInputMessage="1" showErrorMessage="1" allowBlank="1" type="list" errorStyle="warning">
      <formula1>"　,看護師,准看護師,介護福祉士,訪問介護員１級,訪問介護員２級,居宅介護１級,居宅介護２級,重度訪問介護"</formula1>
    </dataValidation>
    <dataValidation sqref="K39:O43 K45:O49" showDropDown="0" showInputMessage="1" showErrorMessage="1" allowBlank="1" type="list">
      <formula1>"　,居宅介護,重度訪問介護,行動援護,生活介護,児童デイサービス,短期入所,共同生活介護,自立訓練,就労移行支援,就労継続支援(A型),就労継続支援(B型),旧法施設支援"</formula1>
    </dataValidation>
    <dataValidation sqref="K54:AH54" showDropDown="0" showInputMessage="1" showErrorMessage="1" allowBlank="1" type="list">
      <formula1>"　,○"</formula1>
    </dataValidation>
    <dataValidation sqref="AE38:AH49" showDropDown="0" showInputMessage="1" showErrorMessage="1" allowBlank="1" imeMode="halfAlpha"/>
    <dataValidation sqref="F4:AH4 F13:M13 F26:M26 F30:M30 F34:M34" showDropDown="0" showInputMessage="1" showErrorMessage="1" allowBlank="1" imeMode="halfKatakana"/>
    <dataValidation sqref="I10:K10 T30:X30 T34:X34 U12:V12 X63 Y2:AH3 Y12:Z12 AB63:AD63 AC12:AD12 AF63" showDropDown="0" showInputMessage="1" showErrorMessage="1" allowBlank="1" imeMode="fullAlpha"/>
    <dataValidation sqref="K55:AH55" showDropDown="0" showInputMessage="1" showErrorMessage="1" allowBlank="1" type="list" errorStyle="warning">
      <formula1>"　,法定代理受領分：厚生労働大臣が定める基準の10/100、法定代理受領分以外：厚生労働大臣が定める基準"</formula1>
    </dataValidation>
    <dataValidation sqref="K56:AH56" showDropDown="0" showInputMessage="1" showErrorMessage="1" allowBlank="1" type="list">
      <formula1>"　,運営規程に定めるとおり"</formula1>
    </dataValidation>
  </dataValidations>
  <printOptions horizontalCentered="1"/>
  <pageMargins left="0.7086614173228347" right="0.5905511811023623" top="0.3937007874015748" bottom="0.3937007874015748" header="0.5118110236220472" footer="0.5118110236220472"/>
  <pageSetup orientation="portrait" paperSize="9"/>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AN73"/>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3"/>
    <col width="5.125" customWidth="1" style="1667" min="34" max="34"/>
    <col width="2.625" customWidth="1" style="1667" min="35" max="35"/>
    <col width="9" customWidth="1" style="1667" min="36" max="16384"/>
  </cols>
  <sheetData>
    <row r="1" ht="17.1" customHeight="1" s="4080" thickBot="1">
      <c r="A1" s="1213" t="inlineStr">
        <is>
          <t>付表３　（特定・一般・障害児）相談支援事業の指定に係る記載事項</t>
        </is>
      </c>
      <c r="AN1" s="719">
        <f>HYPERLINK("#目次!A1","目次へ戻る")</f>
        <v/>
      </c>
    </row>
    <row r="2" ht="15" customHeight="1" s="4080">
      <c r="B2" s="45" t="n"/>
      <c r="C2" s="45" t="n"/>
      <c r="E2" s="1889" t="n"/>
      <c r="F2" s="1889" t="n"/>
      <c r="G2" s="1889" t="n"/>
      <c r="H2" s="1889" t="n"/>
      <c r="I2" s="1889" t="n"/>
      <c r="J2" s="2069" t="n"/>
      <c r="K2" s="1889" t="n"/>
      <c r="L2" s="1889" t="n"/>
      <c r="M2" s="1889" t="n"/>
      <c r="N2" s="1889" t="n"/>
      <c r="O2" s="1889" t="n"/>
      <c r="P2" s="45" t="n"/>
      <c r="Q2" s="1889" t="n"/>
      <c r="R2" s="1889" t="n"/>
      <c r="S2" s="1889" t="n"/>
      <c r="U2" s="4178" t="inlineStr">
        <is>
          <t>事業所番号</t>
        </is>
      </c>
      <c r="V2" s="4082" t="n"/>
      <c r="W2" s="4082" t="n"/>
      <c r="X2" s="4083" t="n"/>
      <c r="Y2" s="4084" t="n"/>
      <c r="Z2" s="4084" t="n"/>
      <c r="AA2" s="4084" t="n"/>
      <c r="AB2" s="4084" t="n"/>
      <c r="AC2" s="4084" t="n"/>
      <c r="AD2" s="4084" t="n"/>
      <c r="AE2" s="4084" t="n"/>
      <c r="AF2" s="4084" t="n"/>
      <c r="AG2" s="4084" t="n"/>
      <c r="AH2" s="850"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851" t="n"/>
    </row>
    <row r="4" ht="15" customHeight="1" s="4080">
      <c r="A4" s="4179" t="inlineStr">
        <is>
          <t>事業所</t>
        </is>
      </c>
      <c r="B4" s="4082"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5" customHeight="1" s="4080">
      <c r="A5" s="4097" t="n"/>
      <c r="C5" s="4181" t="inlineStr">
        <is>
          <t>名　称</t>
        </is>
      </c>
      <c r="D5" s="4098" t="n"/>
      <c r="E5" s="4099" t="n"/>
      <c r="F5" s="4182"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5"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5" customHeight="1" s="4080">
      <c r="A7" s="4097" t="n"/>
      <c r="C7" s="4268" t="inlineStr">
        <is>
          <t>所在地</t>
        </is>
      </c>
      <c r="D7" s="4098" t="n"/>
      <c r="E7" s="4099" t="n"/>
      <c r="F7" s="1244" t="inlineStr">
        <is>
          <t>郵便番号（</t>
        </is>
      </c>
      <c r="G7" s="4098" t="n"/>
      <c r="H7" s="4098" t="n"/>
      <c r="I7" s="4098" t="n"/>
      <c r="J7" s="1246" t="n"/>
      <c r="K7" s="4098" t="n"/>
      <c r="L7" s="4098" t="n"/>
      <c r="M7" s="4098" t="n"/>
      <c r="N7" s="4098" t="n"/>
      <c r="O7" s="1329" t="inlineStr">
        <is>
          <t>）</t>
        </is>
      </c>
      <c r="P7" s="4183"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1258" t="n"/>
      <c r="N8" s="1260" t="inlineStr">
        <is>
          <t>区</t>
        </is>
      </c>
      <c r="AH8" s="4109" t="n"/>
    </row>
    <row r="9" ht="3.95" customHeight="1" s="4080">
      <c r="A9" s="4097" t="n"/>
      <c r="C9" s="4106" t="n"/>
      <c r="E9" s="4107"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882" t="n"/>
      <c r="J10" s="4110" t="n"/>
      <c r="K10" s="4110" t="n"/>
      <c r="L10" s="53" t="inlineStr">
        <is>
          <t>－</t>
        </is>
      </c>
      <c r="M10" s="954" t="n"/>
      <c r="N10" s="4110" t="n"/>
      <c r="O10" s="4110" t="n"/>
      <c r="P10" s="53" t="inlineStr">
        <is>
          <t>－</t>
        </is>
      </c>
      <c r="Q10" s="878" t="n"/>
      <c r="R10" s="4110" t="n"/>
      <c r="S10" s="4111" t="n"/>
      <c r="T10" s="4184" t="inlineStr">
        <is>
          <t>ＦＡＸ番号</t>
        </is>
      </c>
      <c r="U10" s="4110" t="n"/>
      <c r="V10" s="4110" t="n"/>
      <c r="W10" s="4111" t="n"/>
      <c r="X10" s="882" t="n"/>
      <c r="Y10" s="4110" t="n"/>
      <c r="Z10" s="4110" t="n"/>
      <c r="AA10" s="53" t="inlineStr">
        <is>
          <t>－</t>
        </is>
      </c>
      <c r="AB10" s="954" t="n"/>
      <c r="AC10" s="4110" t="n"/>
      <c r="AD10" s="4110" t="n"/>
      <c r="AE10" s="53" t="inlineStr">
        <is>
          <t>－</t>
        </is>
      </c>
      <c r="AF10" s="955" t="n"/>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18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20" t="n"/>
      <c r="V12" s="4110" t="n"/>
      <c r="W12" s="1264" t="inlineStr">
        <is>
          <t>条第</t>
        </is>
      </c>
      <c r="X12" s="4110" t="n"/>
      <c r="Y12" s="920" t="n"/>
      <c r="Z12" s="4110" t="n"/>
      <c r="AA12" s="1264" t="inlineStr">
        <is>
          <t>項第</t>
        </is>
      </c>
      <c r="AB12" s="4110" t="n"/>
      <c r="AC12" s="920" t="n"/>
      <c r="AD12" s="4110" t="n"/>
      <c r="AE12" s="1264" t="inlineStr">
        <is>
          <t>号（</t>
        </is>
      </c>
      <c r="AF12" s="4110" t="n"/>
      <c r="AG12" s="920" t="n"/>
      <c r="AH12" s="1401" t="n"/>
    </row>
    <row r="13" ht="15.95" customHeight="1" s="4080">
      <c r="A13" s="4188" t="inlineStr">
        <is>
          <t>管　　理　　者</t>
        </is>
      </c>
      <c r="B13" s="4099" t="n"/>
      <c r="C13" s="2163" t="inlineStr">
        <is>
          <t>ﾌﾘｶﾞﾅ</t>
        </is>
      </c>
      <c r="D13" s="4110" t="n"/>
      <c r="E13" s="4111" t="n"/>
      <c r="F13" s="1278" t="n"/>
      <c r="G13" s="4110" t="n"/>
      <c r="H13" s="4110" t="n"/>
      <c r="I13" s="4189" t="n"/>
      <c r="J13" s="1279" t="n"/>
      <c r="K13" s="4110" t="n"/>
      <c r="L13" s="4110" t="n"/>
      <c r="M13" s="4189" t="n"/>
      <c r="N13" s="4185" t="inlineStr">
        <is>
          <t>住所</t>
        </is>
      </c>
      <c r="O13" s="4099" t="n"/>
      <c r="P13" s="1244" t="inlineStr">
        <is>
          <t>郵便番号（</t>
        </is>
      </c>
      <c r="Q13" s="4098" t="n"/>
      <c r="R13" s="4098" t="n"/>
      <c r="S13" s="4098" t="n"/>
      <c r="T13" s="1622" t="n"/>
      <c r="U13" s="4098" t="n"/>
      <c r="V13" s="4098" t="n"/>
      <c r="W13" s="4098" t="n"/>
      <c r="X13" s="4098" t="n"/>
      <c r="Y13" s="1329" t="inlineStr">
        <is>
          <t>）</t>
        </is>
      </c>
      <c r="Z13" s="1017" t="n"/>
      <c r="AA13" s="1017" t="n"/>
      <c r="AB13" s="1017" t="n"/>
      <c r="AC13" s="1017" t="n"/>
      <c r="AD13" s="1017" t="n"/>
      <c r="AE13" s="1017" t="n"/>
      <c r="AF13" s="1017" t="n"/>
      <c r="AG13" s="1017" t="n"/>
      <c r="AH13" s="1424" t="n"/>
    </row>
    <row r="14" ht="14.1" customHeight="1" s="4080">
      <c r="A14" s="4097" t="n"/>
      <c r="B14" s="4107" t="n"/>
      <c r="C14" s="2178" t="inlineStr">
        <is>
          <t>氏　名</t>
        </is>
      </c>
      <c r="D14" s="4098" t="n"/>
      <c r="E14" s="4099" t="n"/>
      <c r="F14" s="1278" t="n"/>
      <c r="G14" s="4098" t="n"/>
      <c r="H14" s="4098" t="n"/>
      <c r="I14" s="4190" t="n"/>
      <c r="J14" s="1279" t="n"/>
      <c r="K14" s="4098" t="n"/>
      <c r="L14" s="4098" t="n"/>
      <c r="M14" s="4190" t="n"/>
      <c r="N14" s="4106" t="n"/>
      <c r="O14" s="4107" t="n"/>
      <c r="P14" s="1318" t="n"/>
      <c r="R14" s="2378" t="inlineStr">
        <is>
          <t>都</t>
        </is>
      </c>
      <c r="S14" s="2378" t="inlineStr">
        <is>
          <t>道</t>
        </is>
      </c>
      <c r="T14" s="1319" t="n"/>
      <c r="W14" s="2378" t="inlineStr">
        <is>
          <t>郡</t>
        </is>
      </c>
      <c r="X14" s="1321" t="n"/>
      <c r="AH14" s="4109" t="n"/>
    </row>
    <row r="15" ht="12" customHeight="1" s="4080">
      <c r="A15" s="4097" t="n"/>
      <c r="B15" s="4107" t="n"/>
      <c r="C15" s="4106" t="n"/>
      <c r="E15" s="4107" t="n"/>
      <c r="F15" s="4106" t="n"/>
      <c r="I15" s="4191" t="n"/>
      <c r="J15" s="4192" t="n"/>
      <c r="M15" s="4191" t="n"/>
      <c r="N15" s="4106" t="n"/>
      <c r="O15" s="4107" t="n"/>
      <c r="P15" s="4106" t="n"/>
      <c r="R15" s="2378" t="inlineStr">
        <is>
          <t>府</t>
        </is>
      </c>
      <c r="S15" s="2378" t="inlineStr">
        <is>
          <t>県</t>
        </is>
      </c>
      <c r="W15" s="2378" t="inlineStr">
        <is>
          <t>市</t>
        </is>
      </c>
      <c r="AH15" s="4109" t="n"/>
    </row>
    <row r="16" ht="3.95" customHeight="1" s="4080">
      <c r="A16" s="4097" t="n"/>
      <c r="B16" s="4107" t="n"/>
      <c r="C16" s="4106" t="n"/>
      <c r="E16" s="4107"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17.25" customHeight="1" s="4080">
      <c r="A17" s="4097" t="n"/>
      <c r="B17" s="4107" t="n"/>
      <c r="C17" s="2166" t="inlineStr">
        <is>
          <t>他の事業所又は施設を兼務する場合における当該兼務する事業所等の名称等</t>
        </is>
      </c>
      <c r="D17" s="4110" t="n"/>
      <c r="E17" s="4110" t="n"/>
      <c r="F17" s="4110" t="n"/>
      <c r="G17" s="4110" t="n"/>
      <c r="H17" s="4110" t="n"/>
      <c r="I17" s="4110" t="n"/>
      <c r="J17" s="4110" t="n"/>
      <c r="K17" s="4110" t="n"/>
      <c r="L17" s="4110" t="n"/>
      <c r="M17" s="4110" t="n"/>
      <c r="N17" s="4110" t="n"/>
      <c r="O17" s="4110" t="n"/>
      <c r="P17" s="4110" t="n"/>
      <c r="Q17" s="4110" t="n"/>
      <c r="R17" s="4110" t="n"/>
      <c r="S17" s="4110" t="n"/>
      <c r="T17" s="4110" t="n"/>
      <c r="U17" s="4110" t="n"/>
      <c r="V17" s="4110" t="n"/>
      <c r="W17" s="4110" t="n"/>
      <c r="X17" s="4110" t="n"/>
      <c r="Y17" s="4110" t="n"/>
      <c r="Z17" s="4110" t="n"/>
      <c r="AA17" s="4110" t="n"/>
      <c r="AB17" s="4110" t="n"/>
      <c r="AC17" s="4110" t="n"/>
      <c r="AD17" s="4110" t="n"/>
      <c r="AE17" s="4110" t="n"/>
      <c r="AF17" s="4110" t="n"/>
      <c r="AG17" s="4110" t="n"/>
      <c r="AH17" s="4113" t="n"/>
    </row>
    <row r="18" ht="17.25" customHeight="1" s="4080">
      <c r="A18" s="4097" t="n"/>
      <c r="B18" s="4107" t="n"/>
      <c r="C18" s="1303" t="inlineStr">
        <is>
          <t>事　業　所　名</t>
        </is>
      </c>
      <c r="D18" s="4138" t="n"/>
      <c r="E18" s="4138" t="n"/>
      <c r="F18" s="4138" t="n"/>
      <c r="G18" s="4138" t="n"/>
      <c r="H18" s="4138" t="n"/>
      <c r="I18" s="4138" t="n"/>
      <c r="J18" s="4138" t="n"/>
      <c r="K18" s="4138" t="n"/>
      <c r="L18" s="4198" t="n"/>
      <c r="M18" s="1304" t="inlineStr">
        <is>
          <t>サービス種別</t>
        </is>
      </c>
      <c r="N18" s="4138" t="n"/>
      <c r="O18" s="4138" t="n"/>
      <c r="P18" s="4138" t="n"/>
      <c r="Q18" s="4138" t="n"/>
      <c r="R18" s="4138" t="n"/>
      <c r="S18" s="4138" t="n"/>
      <c r="T18" s="4138" t="n"/>
      <c r="U18" s="4138" t="n"/>
      <c r="V18" s="4138" t="n"/>
      <c r="W18" s="4138" t="n"/>
      <c r="X18" s="4198" t="n"/>
      <c r="Y18" s="1641" t="inlineStr">
        <is>
          <t>職　　　種</t>
        </is>
      </c>
      <c r="Z18" s="4138" t="n"/>
      <c r="AA18" s="4138" t="n"/>
      <c r="AB18" s="4138" t="n"/>
      <c r="AC18" s="4138" t="n"/>
      <c r="AD18" s="4138" t="n"/>
      <c r="AE18" s="4138" t="n"/>
      <c r="AF18" s="4138" t="n"/>
      <c r="AG18" s="4138" t="n"/>
      <c r="AH18" s="4198" t="n"/>
    </row>
    <row r="19" ht="15" customHeight="1" s="4080">
      <c r="A19" s="4097" t="n"/>
      <c r="B19" s="4107" t="n"/>
      <c r="C19" s="1347" t="n"/>
      <c r="D19" s="4098" t="n"/>
      <c r="E19" s="4098" t="n"/>
      <c r="F19" s="4098" t="n"/>
      <c r="G19" s="4098" t="n"/>
      <c r="H19" s="4098" t="n"/>
      <c r="I19" s="4098" t="n"/>
      <c r="J19" s="4098" t="n"/>
      <c r="K19" s="4098" t="n"/>
      <c r="L19" s="4190" t="n"/>
      <c r="M19" s="1348" t="n"/>
      <c r="N19" s="4098" t="n"/>
      <c r="O19" s="4098" t="n"/>
      <c r="P19" s="4098" t="n"/>
      <c r="Q19" s="4098" t="n"/>
      <c r="R19" s="4098" t="n"/>
      <c r="S19" s="4098" t="n"/>
      <c r="T19" s="4098" t="n"/>
      <c r="U19" s="4098" t="n"/>
      <c r="V19" s="4098" t="n"/>
      <c r="W19" s="4098" t="n"/>
      <c r="X19" s="4190" t="n"/>
      <c r="Y19" s="1349" t="n"/>
      <c r="Z19" s="4098" t="n"/>
      <c r="AA19" s="4098" t="n"/>
      <c r="AB19" s="4098" t="n"/>
      <c r="AC19" s="4098" t="n"/>
      <c r="AD19" s="4098" t="n"/>
      <c r="AE19" s="4098" t="n"/>
      <c r="AF19" s="4098" t="n"/>
      <c r="AG19" s="4098" t="n"/>
      <c r="AH19" s="4190" t="n"/>
    </row>
    <row r="20" ht="15" customHeight="1" s="4080">
      <c r="A20" s="4097" t="n"/>
      <c r="B20" s="4107" t="n"/>
      <c r="C20" s="1339" t="n"/>
      <c r="D20" s="4199" t="n"/>
      <c r="E20" s="4199" t="n"/>
      <c r="F20" s="4199" t="n"/>
      <c r="G20" s="4199" t="n"/>
      <c r="H20" s="4199" t="n"/>
      <c r="I20" s="4199" t="n"/>
      <c r="J20" s="4199" t="n"/>
      <c r="K20" s="4199" t="n"/>
      <c r="L20" s="4200" t="n"/>
      <c r="M20" s="1340" t="n"/>
      <c r="N20" s="4199" t="n"/>
      <c r="O20" s="4199" t="n"/>
      <c r="P20" s="4199" t="n"/>
      <c r="Q20" s="4199" t="n"/>
      <c r="R20" s="4199" t="n"/>
      <c r="S20" s="4199" t="n"/>
      <c r="T20" s="4199" t="n"/>
      <c r="U20" s="4199" t="n"/>
      <c r="V20" s="4199" t="n"/>
      <c r="W20" s="4199" t="n"/>
      <c r="X20" s="4200" t="n"/>
      <c r="Y20" s="1341" t="n"/>
      <c r="Z20" s="4199" t="n"/>
      <c r="AA20" s="4199" t="n"/>
      <c r="AB20" s="4199" t="n"/>
      <c r="AC20" s="4199" t="n"/>
      <c r="AD20" s="4199" t="n"/>
      <c r="AE20" s="4199" t="n"/>
      <c r="AF20" s="4199" t="n"/>
      <c r="AG20" s="4199" t="n"/>
      <c r="AH20" s="4200" t="n"/>
    </row>
    <row r="21" ht="15" customHeight="1" s="4080">
      <c r="A21" s="4097" t="n"/>
      <c r="B21" s="4107" t="n"/>
      <c r="C21" s="1339" t="n"/>
      <c r="D21" s="4199" t="n"/>
      <c r="E21" s="4199" t="n"/>
      <c r="F21" s="4199" t="n"/>
      <c r="G21" s="4199" t="n"/>
      <c r="H21" s="4199" t="n"/>
      <c r="I21" s="4199" t="n"/>
      <c r="J21" s="4199" t="n"/>
      <c r="K21" s="4199" t="n"/>
      <c r="L21" s="4200" t="n"/>
      <c r="M21" s="1340" t="n"/>
      <c r="N21" s="4199" t="n"/>
      <c r="O21" s="4199" t="n"/>
      <c r="P21" s="4199" t="n"/>
      <c r="Q21" s="4199" t="n"/>
      <c r="R21" s="4199" t="n"/>
      <c r="S21" s="4199" t="n"/>
      <c r="T21" s="4199" t="n"/>
      <c r="U21" s="4199" t="n"/>
      <c r="V21" s="4199" t="n"/>
      <c r="W21" s="4199" t="n"/>
      <c r="X21" s="4200" t="n"/>
      <c r="Y21" s="1341" t="n"/>
      <c r="Z21" s="4199" t="n"/>
      <c r="AA21" s="4199" t="n"/>
      <c r="AB21" s="4199" t="n"/>
      <c r="AC21" s="4199" t="n"/>
      <c r="AD21" s="4199" t="n"/>
      <c r="AE21" s="4199" t="n"/>
      <c r="AF21" s="4199" t="n"/>
      <c r="AG21" s="4199" t="n"/>
      <c r="AH21" s="4200" t="n"/>
    </row>
    <row r="22" ht="15" customHeight="1" s="4080">
      <c r="A22" s="4097" t="n"/>
      <c r="B22" s="4107" t="n"/>
      <c r="C22" s="1343" t="n"/>
      <c r="D22" s="4146" t="n"/>
      <c r="E22" s="4146" t="n"/>
      <c r="F22" s="4146" t="n"/>
      <c r="G22" s="4146" t="n"/>
      <c r="H22" s="4146" t="n"/>
      <c r="I22" s="4146" t="n"/>
      <c r="J22" s="4146" t="n"/>
      <c r="K22" s="4146" t="n"/>
      <c r="L22" s="4201" t="n"/>
      <c r="M22" s="1344" t="n"/>
      <c r="N22" s="4146" t="n"/>
      <c r="O22" s="4146" t="n"/>
      <c r="P22" s="4146" t="n"/>
      <c r="Q22" s="4146" t="n"/>
      <c r="R22" s="4146" t="n"/>
      <c r="S22" s="4146" t="n"/>
      <c r="T22" s="4146" t="n"/>
      <c r="U22" s="4146" t="n"/>
      <c r="V22" s="4146" t="n"/>
      <c r="W22" s="4146" t="n"/>
      <c r="X22" s="4201" t="n"/>
      <c r="Y22" s="1345" t="n"/>
      <c r="Z22" s="4146" t="n"/>
      <c r="AA22" s="4146" t="n"/>
      <c r="AB22" s="4146" t="n"/>
      <c r="AC22" s="4146" t="n"/>
      <c r="AD22" s="4146" t="n"/>
      <c r="AE22" s="4146" t="n"/>
      <c r="AF22" s="4146" t="n"/>
      <c r="AG22" s="4146" t="n"/>
      <c r="AH22" s="4201" t="n"/>
    </row>
    <row r="23" ht="15.95" customHeight="1" s="4080">
      <c r="A23" s="4269" t="inlineStr">
        <is>
          <t>相談支援専門員</t>
        </is>
      </c>
      <c r="B23" s="4270" t="inlineStr">
        <is>
          <t>１</t>
        </is>
      </c>
      <c r="C23" s="2163" t="inlineStr">
        <is>
          <t>ﾌﾘｶﾞﾅ</t>
        </is>
      </c>
      <c r="D23" s="4110" t="n"/>
      <c r="E23" s="4111" t="n"/>
      <c r="F23" s="1278" t="n"/>
      <c r="G23" s="4110" t="n"/>
      <c r="H23" s="4110" t="n"/>
      <c r="I23" s="4189" t="n"/>
      <c r="J23" s="1279" t="n"/>
      <c r="K23" s="4110" t="n"/>
      <c r="L23" s="4110" t="n"/>
      <c r="M23" s="4189" t="n"/>
      <c r="N23" s="4185" t="inlineStr">
        <is>
          <t>住所</t>
        </is>
      </c>
      <c r="O23" s="4099" t="n"/>
      <c r="P23" s="1244" t="inlineStr">
        <is>
          <t>郵便番号（</t>
        </is>
      </c>
      <c r="Q23" s="4098" t="n"/>
      <c r="R23" s="4098" t="n"/>
      <c r="S23" s="4098" t="n"/>
      <c r="T23" s="1622" t="n"/>
      <c r="U23" s="4098" t="n"/>
      <c r="V23" s="4098" t="n"/>
      <c r="W23" s="4098" t="n"/>
      <c r="X23" s="4098" t="n"/>
      <c r="Y23" s="1329" t="inlineStr">
        <is>
          <t>）</t>
        </is>
      </c>
      <c r="Z23" s="1017" t="n"/>
      <c r="AA23" s="1017" t="n"/>
      <c r="AB23" s="1017" t="n"/>
      <c r="AC23" s="1017" t="n"/>
      <c r="AD23" s="1017" t="n"/>
      <c r="AE23" s="1017" t="n"/>
      <c r="AF23" s="1017" t="n"/>
      <c r="AG23" s="1017" t="n"/>
      <c r="AH23" s="1424" t="n"/>
    </row>
    <row r="24" ht="14.1" customHeight="1" s="4080">
      <c r="A24" s="4097" t="n"/>
      <c r="B24" s="4122" t="n"/>
      <c r="C24" s="2178" t="inlineStr">
        <is>
          <t>氏　名</t>
        </is>
      </c>
      <c r="D24" s="4098" t="n"/>
      <c r="E24" s="4099" t="n"/>
      <c r="F24" s="1278" t="n"/>
      <c r="G24" s="4098" t="n"/>
      <c r="H24" s="4098" t="n"/>
      <c r="I24" s="4190" t="n"/>
      <c r="J24" s="1279" t="n"/>
      <c r="K24" s="4098" t="n"/>
      <c r="L24" s="4098" t="n"/>
      <c r="M24" s="4190" t="n"/>
      <c r="N24" s="4106" t="n"/>
      <c r="O24" s="4107" t="n"/>
      <c r="P24" s="1318" t="n"/>
      <c r="R24" s="2378" t="inlineStr">
        <is>
          <t>都</t>
        </is>
      </c>
      <c r="S24" s="2378" t="inlineStr">
        <is>
          <t>道</t>
        </is>
      </c>
      <c r="T24" s="1319" t="n"/>
      <c r="W24" s="2378" t="inlineStr">
        <is>
          <t>郡</t>
        </is>
      </c>
      <c r="X24" s="1321" t="n"/>
      <c r="AH24" s="4109" t="n"/>
    </row>
    <row r="25" ht="12" customHeight="1" s="4080">
      <c r="A25" s="4097" t="n"/>
      <c r="B25" s="4122" t="n"/>
      <c r="C25" s="4106" t="n"/>
      <c r="E25" s="4107" t="n"/>
      <c r="F25" s="4106" t="n"/>
      <c r="I25" s="4191" t="n"/>
      <c r="J25" s="4192" t="n"/>
      <c r="M25" s="4191" t="n"/>
      <c r="N25" s="4106" t="n"/>
      <c r="O25" s="4107" t="n"/>
      <c r="P25" s="4106" t="n"/>
      <c r="R25" s="2378" t="inlineStr">
        <is>
          <t>府</t>
        </is>
      </c>
      <c r="S25" s="2378" t="inlineStr">
        <is>
          <t>県</t>
        </is>
      </c>
      <c r="W25" s="2378" t="inlineStr">
        <is>
          <t>市</t>
        </is>
      </c>
      <c r="AH25" s="4109" t="n"/>
    </row>
    <row r="26" ht="3.95" customHeight="1" s="4080">
      <c r="A26" s="4097" t="n"/>
      <c r="B26" s="4124" t="n"/>
      <c r="C26" s="4106" t="n"/>
      <c r="E26" s="4107" t="n"/>
      <c r="F26" s="4102" t="n"/>
      <c r="G26" s="4103" t="n"/>
      <c r="H26" s="4103" t="n"/>
      <c r="I26" s="4193" t="n"/>
      <c r="J26" s="4194" t="n"/>
      <c r="K26" s="4103" t="n"/>
      <c r="L26" s="4103" t="n"/>
      <c r="M26" s="4193" t="n"/>
      <c r="N26" s="4102" t="n"/>
      <c r="O26" s="4104" t="n"/>
      <c r="P26" s="4102" t="n"/>
      <c r="Q26" s="4103" t="n"/>
      <c r="R26" s="1810" t="n"/>
      <c r="S26" s="1810" t="n"/>
      <c r="T26" s="4103" t="n"/>
      <c r="U26" s="4103" t="n"/>
      <c r="V26" s="4103" t="n"/>
      <c r="W26" s="1810" t="n"/>
      <c r="AH26" s="4109" t="n"/>
    </row>
    <row r="27" ht="14.1" customHeight="1" s="4080">
      <c r="A27" s="4097" t="n"/>
      <c r="B27" s="4270" t="inlineStr">
        <is>
          <t>２</t>
        </is>
      </c>
      <c r="C27" s="2163" t="inlineStr">
        <is>
          <t>ﾌﾘｶﾞﾅ</t>
        </is>
      </c>
      <c r="D27" s="4110" t="n"/>
      <c r="E27" s="4111" t="n"/>
      <c r="F27" s="1278" t="n"/>
      <c r="G27" s="4110" t="n"/>
      <c r="H27" s="4110" t="n"/>
      <c r="I27" s="4189" t="n"/>
      <c r="J27" s="968" t="n"/>
      <c r="K27" s="4110" t="n"/>
      <c r="L27" s="4110" t="n"/>
      <c r="M27" s="4111" t="n"/>
      <c r="N27" s="2164" t="inlineStr">
        <is>
          <t>住所</t>
        </is>
      </c>
      <c r="O27" s="4099" t="n"/>
      <c r="P27" s="1244" t="inlineStr">
        <is>
          <t>郵便番号（</t>
        </is>
      </c>
      <c r="Q27" s="4098" t="n"/>
      <c r="R27" s="4098" t="n"/>
      <c r="S27" s="4098" t="n"/>
      <c r="T27" s="1287" t="n"/>
      <c r="U27" s="4098" t="n"/>
      <c r="V27" s="4098" t="n"/>
      <c r="W27" s="4098" t="n"/>
      <c r="X27" s="4098" t="n"/>
      <c r="Y27" s="1329" t="inlineStr">
        <is>
          <t>）</t>
        </is>
      </c>
      <c r="Z27" s="1017" t="n"/>
      <c r="AA27" s="1017" t="n"/>
      <c r="AB27" s="1017" t="n"/>
      <c r="AC27" s="1017" t="n"/>
      <c r="AD27" s="1017" t="n"/>
      <c r="AE27" s="120" t="n"/>
      <c r="AF27" s="119" t="n"/>
      <c r="AG27" s="119" t="n"/>
      <c r="AH27" s="118" t="n"/>
    </row>
    <row r="28" ht="14.1" customHeight="1" s="4080">
      <c r="A28" s="4097" t="n"/>
      <c r="B28" s="4122" t="n"/>
      <c r="C28" s="2178" t="inlineStr">
        <is>
          <t>氏　名</t>
        </is>
      </c>
      <c r="D28" s="4098" t="n"/>
      <c r="E28" s="4099" t="n"/>
      <c r="F28" s="1278" t="n"/>
      <c r="G28" s="4098" t="n"/>
      <c r="H28" s="4098" t="n"/>
      <c r="I28" s="4190" t="n"/>
      <c r="J28" s="968" t="n"/>
      <c r="K28" s="4098" t="n"/>
      <c r="L28" s="4098" t="n"/>
      <c r="M28" s="4099" t="n"/>
      <c r="N28" s="4106" t="n"/>
      <c r="O28" s="4107" t="n"/>
      <c r="P28" s="1318" t="n"/>
      <c r="R28" s="2378" t="inlineStr">
        <is>
          <t>都</t>
        </is>
      </c>
      <c r="S28" s="2378" t="inlineStr">
        <is>
          <t>道</t>
        </is>
      </c>
      <c r="T28" s="1319" t="n"/>
      <c r="W28" s="2378" t="inlineStr">
        <is>
          <t>郡</t>
        </is>
      </c>
      <c r="X28" s="1321" t="n"/>
      <c r="AH28" s="4109" t="n"/>
    </row>
    <row r="29" ht="14.1" customHeight="1" s="4080">
      <c r="A29" s="4097" t="n"/>
      <c r="B29" s="4122" t="n"/>
      <c r="C29" s="4106" t="n"/>
      <c r="E29" s="4107" t="n"/>
      <c r="F29" s="4106" t="n"/>
      <c r="I29" s="4191" t="n"/>
      <c r="M29" s="4107" t="n"/>
      <c r="N29" s="4106" t="n"/>
      <c r="O29" s="4107" t="n"/>
      <c r="P29" s="4106" t="n"/>
      <c r="R29" s="2378" t="inlineStr">
        <is>
          <t>府</t>
        </is>
      </c>
      <c r="S29" s="2378" t="inlineStr">
        <is>
          <t>県</t>
        </is>
      </c>
      <c r="W29" s="2378" t="inlineStr">
        <is>
          <t>市</t>
        </is>
      </c>
      <c r="AH29" s="4109" t="n"/>
    </row>
    <row r="30" ht="3.95" customHeight="1" s="4080">
      <c r="A30" s="4097" t="n"/>
      <c r="B30" s="4124" t="n"/>
      <c r="C30" s="4106" t="n"/>
      <c r="E30" s="4107" t="n"/>
      <c r="F30" s="4102" t="n"/>
      <c r="G30" s="4103" t="n"/>
      <c r="H30" s="4103" t="n"/>
      <c r="I30" s="4193" t="n"/>
      <c r="J30" s="4103" t="n"/>
      <c r="K30" s="4103" t="n"/>
      <c r="L30" s="4103" t="n"/>
      <c r="M30" s="4104" t="n"/>
      <c r="N30" s="4102" t="n"/>
      <c r="O30" s="4104" t="n"/>
      <c r="P30" s="4102" t="n"/>
      <c r="Q30" s="4103" t="n"/>
      <c r="R30" s="1810" t="n"/>
      <c r="S30" s="1810" t="n"/>
      <c r="T30" s="4103" t="n"/>
      <c r="U30" s="4103" t="n"/>
      <c r="V30" s="4103" t="n"/>
      <c r="W30" s="1810" t="n"/>
      <c r="AH30" s="4109" t="n"/>
    </row>
    <row r="31" ht="14.1" customHeight="1" s="4080">
      <c r="A31" s="4097" t="n"/>
      <c r="B31" s="4270" t="inlineStr">
        <is>
          <t>３</t>
        </is>
      </c>
      <c r="C31" s="2163" t="inlineStr">
        <is>
          <t>ﾌﾘｶﾞﾅ</t>
        </is>
      </c>
      <c r="D31" s="4110" t="n"/>
      <c r="E31" s="4111" t="n"/>
      <c r="F31" s="1278" t="n"/>
      <c r="G31" s="4110" t="n"/>
      <c r="H31" s="4110" t="n"/>
      <c r="I31" s="4189" t="n"/>
      <c r="J31" s="1279" t="n"/>
      <c r="K31" s="4110" t="n"/>
      <c r="L31" s="4110" t="n"/>
      <c r="M31" s="4189" t="n"/>
      <c r="N31" s="4185" t="inlineStr">
        <is>
          <t>住所</t>
        </is>
      </c>
      <c r="O31" s="4099" t="n"/>
      <c r="P31" s="1244" t="inlineStr">
        <is>
          <t>郵便番号（</t>
        </is>
      </c>
      <c r="Q31" s="4098" t="n"/>
      <c r="R31" s="4098" t="n"/>
      <c r="S31" s="4098" t="n"/>
      <c r="T31" s="1622" t="n"/>
      <c r="U31" s="4098" t="n"/>
      <c r="V31" s="4098" t="n"/>
      <c r="W31" s="4098" t="n"/>
      <c r="X31" s="4098" t="n"/>
      <c r="Y31" s="1329" t="inlineStr">
        <is>
          <t>）</t>
        </is>
      </c>
      <c r="Z31" s="1017" t="n"/>
      <c r="AA31" s="1017" t="n"/>
      <c r="AB31" s="1017" t="n"/>
      <c r="AC31" s="1017" t="n"/>
      <c r="AD31" s="1017" t="n"/>
      <c r="AE31" s="1017" t="n"/>
      <c r="AF31" s="1017" t="n"/>
      <c r="AG31" s="1017" t="n"/>
      <c r="AH31" s="1424" t="n"/>
    </row>
    <row r="32" ht="14.1" customHeight="1" s="4080">
      <c r="A32" s="4097" t="n"/>
      <c r="B32" s="4122" t="n"/>
      <c r="C32" s="2178" t="inlineStr">
        <is>
          <t>氏　名</t>
        </is>
      </c>
      <c r="D32" s="4098" t="n"/>
      <c r="E32" s="4099" t="n"/>
      <c r="F32" s="1278" t="n"/>
      <c r="G32" s="4098" t="n"/>
      <c r="H32" s="4098" t="n"/>
      <c r="I32" s="4190" t="n"/>
      <c r="J32" s="1279" t="n"/>
      <c r="K32" s="4098" t="n"/>
      <c r="L32" s="4098" t="n"/>
      <c r="M32" s="4190" t="n"/>
      <c r="N32" s="4106" t="n"/>
      <c r="O32" s="4107" t="n"/>
      <c r="P32" s="1318" t="n"/>
      <c r="R32" s="2378" t="inlineStr">
        <is>
          <t>都</t>
        </is>
      </c>
      <c r="S32" s="2378" t="inlineStr">
        <is>
          <t>道</t>
        </is>
      </c>
      <c r="T32" s="1319" t="n"/>
      <c r="W32" s="2378" t="inlineStr">
        <is>
          <t>郡</t>
        </is>
      </c>
      <c r="X32" s="1321" t="n"/>
      <c r="AH32" s="4109" t="n"/>
    </row>
    <row r="33" ht="14.1" customHeight="1" s="4080">
      <c r="A33" s="4097" t="n"/>
      <c r="B33" s="4122" t="n"/>
      <c r="C33" s="4106" t="n"/>
      <c r="E33" s="4107" t="n"/>
      <c r="F33" s="4106" t="n"/>
      <c r="I33" s="4191" t="n"/>
      <c r="J33" s="4192" t="n"/>
      <c r="M33" s="4191" t="n"/>
      <c r="N33" s="4106" t="n"/>
      <c r="O33" s="4107" t="n"/>
      <c r="P33" s="4106" t="n"/>
      <c r="R33" s="2378" t="inlineStr">
        <is>
          <t>府</t>
        </is>
      </c>
      <c r="S33" s="2378" t="inlineStr">
        <is>
          <t>県</t>
        </is>
      </c>
      <c r="W33" s="2378" t="inlineStr">
        <is>
          <t>市</t>
        </is>
      </c>
      <c r="AH33" s="4109" t="n"/>
    </row>
    <row r="34" ht="3.95" customHeight="1" s="4080">
      <c r="A34" s="4114" t="n"/>
      <c r="B34" s="4124" t="n"/>
      <c r="C34" s="4106" t="n"/>
      <c r="E34" s="4107" t="n"/>
      <c r="F34" s="4102" t="n"/>
      <c r="G34" s="4103" t="n"/>
      <c r="H34" s="4103" t="n"/>
      <c r="I34" s="4193" t="n"/>
      <c r="J34" s="4194" t="n"/>
      <c r="K34" s="4103" t="n"/>
      <c r="L34" s="4103" t="n"/>
      <c r="M34" s="4193" t="n"/>
      <c r="N34" s="4102" t="n"/>
      <c r="O34" s="4104" t="n"/>
      <c r="P34" s="4102" t="n"/>
      <c r="Q34" s="4103" t="n"/>
      <c r="R34" s="1810" t="n"/>
      <c r="S34" s="1810" t="n"/>
      <c r="T34" s="4103" t="n"/>
      <c r="U34" s="4103" t="n"/>
      <c r="V34" s="4103" t="n"/>
      <c r="W34" s="1810" t="n"/>
      <c r="AH34" s="4109" t="n"/>
    </row>
    <row r="35" ht="21.75" customHeight="1" s="4080">
      <c r="A35" s="4271" t="inlineStr">
        <is>
          <t>職　員　の
職種・員数</t>
        </is>
      </c>
      <c r="B35" s="4099" t="n"/>
      <c r="C35" s="4272" t="inlineStr">
        <is>
          <t xml:space="preserve">　　　　　　 職種・勤務形態
常勤・非常勤の別</t>
        </is>
      </c>
      <c r="D35" s="4098" t="n"/>
      <c r="E35" s="4098" t="n"/>
      <c r="F35" s="4098" t="n"/>
      <c r="G35" s="4098" t="n"/>
      <c r="H35" s="4098" t="n"/>
      <c r="I35" s="4098" t="n"/>
      <c r="J35" s="4099" t="n"/>
      <c r="K35" s="4185" t="inlineStr">
        <is>
          <t>相談支援専門員</t>
        </is>
      </c>
      <c r="L35" s="4110" t="n"/>
      <c r="M35" s="4110" t="n"/>
      <c r="N35" s="4110" t="n"/>
      <c r="O35" s="4110" t="n"/>
      <c r="P35" s="4111" t="n"/>
      <c r="Q35" s="4273" t="inlineStr">
        <is>
          <t>地域移行支援・地域定着支援に従事する者</t>
        </is>
      </c>
      <c r="R35" s="4110" t="n"/>
      <c r="S35" s="4110" t="n"/>
      <c r="T35" s="4110" t="n"/>
      <c r="U35" s="4110" t="n"/>
      <c r="V35" s="4111" t="n"/>
      <c r="W35" s="4273" t="n"/>
      <c r="X35" s="4110" t="n"/>
      <c r="Y35" s="4110" t="n"/>
      <c r="Z35" s="4110" t="n"/>
      <c r="AA35" s="4110" t="n"/>
      <c r="AB35" s="4111" t="n"/>
      <c r="AC35" s="117" t="n"/>
      <c r="AD35" s="117" t="n"/>
      <c r="AE35" s="117" t="n"/>
      <c r="AF35" s="117" t="n"/>
      <c r="AG35" s="117" t="n"/>
      <c r="AH35" s="116" t="n"/>
    </row>
    <row r="36" ht="15.95" customHeight="1" s="4080">
      <c r="A36" s="4097" t="n"/>
      <c r="B36" s="4107" t="n"/>
      <c r="C36" s="4102" t="n"/>
      <c r="D36" s="4103" t="n"/>
      <c r="E36" s="4103" t="n"/>
      <c r="F36" s="4103" t="n"/>
      <c r="G36" s="4103" t="n"/>
      <c r="H36" s="4103" t="n"/>
      <c r="I36" s="4103" t="n"/>
      <c r="J36" s="4104" t="n"/>
      <c r="K36" s="1617" t="inlineStr">
        <is>
          <t>専従</t>
        </is>
      </c>
      <c r="L36" s="4110" t="n"/>
      <c r="M36" s="4189" t="n"/>
      <c r="N36" s="1603" t="inlineStr">
        <is>
          <t>兼務</t>
        </is>
      </c>
      <c r="O36" s="4110" t="n"/>
      <c r="P36" s="4189" t="n"/>
      <c r="Q36" s="1617" t="inlineStr">
        <is>
          <t>専従</t>
        </is>
      </c>
      <c r="R36" s="4110" t="n"/>
      <c r="S36" s="4189" t="n"/>
      <c r="T36" s="1603" t="inlineStr">
        <is>
          <t>兼務</t>
        </is>
      </c>
      <c r="U36" s="4110" t="n"/>
      <c r="V36" s="4189" t="n"/>
      <c r="W36" s="1617" t="inlineStr">
        <is>
          <t>専従</t>
        </is>
      </c>
      <c r="X36" s="4110" t="n"/>
      <c r="Y36" s="4189" t="n"/>
      <c r="Z36" s="1603" t="inlineStr">
        <is>
          <t>兼務</t>
        </is>
      </c>
      <c r="AA36" s="4110" t="n"/>
      <c r="AB36" s="4189" t="n"/>
      <c r="AC36" s="115" t="n"/>
      <c r="AD36" s="115" t="n"/>
      <c r="AE36" s="115" t="n"/>
      <c r="AF36" s="115" t="n"/>
      <c r="AG36" s="115" t="n"/>
      <c r="AH36" s="114" t="n"/>
    </row>
    <row r="37" ht="15" customHeight="1" s="4080">
      <c r="A37" s="4097" t="n"/>
      <c r="B37" s="4107" t="n"/>
      <c r="C37" s="4184" t="inlineStr">
        <is>
          <t>従業者数</t>
        </is>
      </c>
      <c r="D37" s="4098" t="n"/>
      <c r="E37" s="4098" t="n"/>
      <c r="F37" s="4099" t="n"/>
      <c r="G37" s="4274" t="inlineStr">
        <is>
          <t>常　勤（人）</t>
        </is>
      </c>
      <c r="H37" s="4110" t="n"/>
      <c r="I37" s="4110" t="n"/>
      <c r="J37" s="4111" t="n"/>
      <c r="K37" s="4275" t="n"/>
      <c r="L37" s="4110" t="n"/>
      <c r="M37" s="4189" t="n"/>
      <c r="N37" s="4276" t="n"/>
      <c r="O37" s="4110" t="n"/>
      <c r="P37" s="4189" t="n"/>
      <c r="Q37" s="4275" t="n"/>
      <c r="R37" s="4110" t="n"/>
      <c r="S37" s="4189" t="n"/>
      <c r="T37" s="4276" t="n"/>
      <c r="U37" s="4110" t="n"/>
      <c r="V37" s="4189" t="n"/>
      <c r="W37" s="4275" t="n"/>
      <c r="X37" s="4110" t="n"/>
      <c r="Y37" s="4189" t="n"/>
      <c r="Z37" s="4276" t="n"/>
      <c r="AA37" s="4110" t="n"/>
      <c r="AB37" s="4189" t="n"/>
      <c r="AC37" s="115" t="n"/>
      <c r="AD37" s="115" t="n"/>
      <c r="AE37" s="115" t="n"/>
      <c r="AF37" s="115" t="n"/>
      <c r="AG37" s="115" t="n"/>
      <c r="AH37" s="114" t="n"/>
    </row>
    <row r="38" ht="15" customHeight="1" s="4080">
      <c r="A38" s="4097" t="n"/>
      <c r="B38" s="4107" t="n"/>
      <c r="C38" s="4102" t="n"/>
      <c r="D38" s="4103" t="n"/>
      <c r="E38" s="4103" t="n"/>
      <c r="F38" s="4104" t="n"/>
      <c r="G38" s="4274" t="inlineStr">
        <is>
          <t>非常勤（人）</t>
        </is>
      </c>
      <c r="H38" s="4110" t="n"/>
      <c r="I38" s="4110" t="n"/>
      <c r="J38" s="4111" t="n"/>
      <c r="K38" s="4275" t="n"/>
      <c r="L38" s="4110" t="n"/>
      <c r="M38" s="4189" t="n"/>
      <c r="N38" s="4276" t="n"/>
      <c r="O38" s="4110" t="n"/>
      <c r="P38" s="4189" t="n"/>
      <c r="Q38" s="4275" t="n"/>
      <c r="R38" s="4110" t="n"/>
      <c r="S38" s="4189" t="n"/>
      <c r="T38" s="4276" t="n"/>
      <c r="U38" s="4110" t="n"/>
      <c r="V38" s="4189" t="n"/>
      <c r="W38" s="4275" t="n"/>
      <c r="X38" s="4110" t="n"/>
      <c r="Y38" s="4189" t="n"/>
      <c r="Z38" s="4276" t="n"/>
      <c r="AA38" s="4110" t="n"/>
      <c r="AB38" s="4189" t="n"/>
      <c r="AC38" s="115" t="n"/>
      <c r="AD38" s="115" t="n"/>
      <c r="AE38" s="115" t="n"/>
      <c r="AF38" s="115" t="n"/>
      <c r="AG38" s="115" t="n"/>
      <c r="AH38" s="114" t="n"/>
    </row>
    <row r="39" ht="15" customHeight="1" s="4080">
      <c r="A39" s="4114" t="n"/>
      <c r="B39" s="4104" t="n"/>
      <c r="C39" s="4184" t="inlineStr">
        <is>
          <t>常勤換算後の人数（人）</t>
        </is>
      </c>
      <c r="D39" s="4110" t="n"/>
      <c r="E39" s="4110" t="n"/>
      <c r="F39" s="4110" t="n"/>
      <c r="G39" s="4110" t="n"/>
      <c r="H39" s="4110" t="n"/>
      <c r="I39" s="4110" t="n"/>
      <c r="J39" s="4111" t="n"/>
      <c r="K39" s="4277" t="n"/>
      <c r="L39" s="4110" t="n"/>
      <c r="M39" s="4110" t="n"/>
      <c r="N39" s="4110" t="n"/>
      <c r="O39" s="4110" t="n"/>
      <c r="P39" s="4111" t="n"/>
      <c r="Q39" s="4277" t="n"/>
      <c r="R39" s="4110" t="n"/>
      <c r="S39" s="4110" t="n"/>
      <c r="T39" s="4110" t="n"/>
      <c r="U39" s="4110" t="n"/>
      <c r="V39" s="4111" t="n"/>
      <c r="W39" s="4277" t="n"/>
      <c r="X39" s="4110" t="n"/>
      <c r="Y39" s="4110" t="n"/>
      <c r="Z39" s="4110" t="n"/>
      <c r="AA39" s="4110" t="n"/>
      <c r="AB39" s="4111" t="n"/>
      <c r="AC39" s="113" t="n"/>
      <c r="AD39" s="113" t="n"/>
      <c r="AE39" s="113" t="n"/>
      <c r="AF39" s="113" t="n"/>
      <c r="AG39" s="113" t="n"/>
      <c r="AH39" s="112" t="n"/>
    </row>
    <row r="40" ht="24" customHeight="1" s="4080">
      <c r="A40" s="2915" t="n"/>
      <c r="B40" s="53" t="n"/>
      <c r="C40" s="1264" t="inlineStr">
        <is>
          <t>利用者の予定数</t>
        </is>
      </c>
      <c r="D40" s="4110" t="n"/>
      <c r="E40" s="4110" t="n"/>
      <c r="F40" s="4110" t="n"/>
      <c r="G40" s="4110" t="n"/>
      <c r="H40" s="4110" t="n"/>
      <c r="I40" s="1301" t="n"/>
      <c r="J40" s="1394" t="n"/>
      <c r="K40" s="1644" t="n"/>
      <c r="L40" s="4110" t="n"/>
      <c r="M40" s="4110" t="n"/>
      <c r="N40" s="4110" t="n"/>
      <c r="O40" s="4110" t="n"/>
      <c r="P40" s="110" t="inlineStr">
        <is>
          <t>人</t>
        </is>
      </c>
      <c r="Q40" s="4278" t="n"/>
      <c r="R40" s="4110" t="n"/>
      <c r="S40" s="4110" t="n"/>
      <c r="T40" s="4110" t="n"/>
      <c r="U40" s="4110" t="n"/>
      <c r="V40" s="4110" t="n"/>
      <c r="W40" s="4110" t="n"/>
      <c r="X40" s="4110" t="n"/>
      <c r="Y40" s="4110" t="n"/>
      <c r="Z40" s="4110" t="n"/>
      <c r="AA40" s="4110" t="n"/>
      <c r="AB40" s="4110" t="n"/>
      <c r="AC40" s="4110" t="n"/>
      <c r="AD40" s="4110" t="n"/>
      <c r="AE40" s="4110" t="n"/>
      <c r="AF40" s="4110" t="n"/>
      <c r="AG40" s="4110" t="n"/>
      <c r="AH40" s="4113" t="n"/>
    </row>
    <row r="41" ht="12" customHeight="1" s="4080">
      <c r="A41" s="4219" t="inlineStr">
        <is>
          <t>主　　な　　掲　　示　　事　　項</t>
        </is>
      </c>
      <c r="B41" s="4099" t="n"/>
      <c r="C41" s="1393" t="n"/>
      <c r="D41" s="1264" t="inlineStr">
        <is>
          <t>営業日</t>
        </is>
      </c>
      <c r="E41" s="4098" t="n"/>
      <c r="F41" s="4098" t="n"/>
      <c r="G41" s="4098" t="n"/>
      <c r="H41" s="4098" t="n"/>
      <c r="I41" s="4098" t="n"/>
      <c r="J41" s="4223" t="n"/>
      <c r="K41" s="2244" t="inlineStr">
        <is>
          <t>月</t>
        </is>
      </c>
      <c r="L41" s="2245" t="inlineStr">
        <is>
          <t>火</t>
        </is>
      </c>
      <c r="M41" s="2245" t="inlineStr">
        <is>
          <t>水</t>
        </is>
      </c>
      <c r="N41" s="2245" t="inlineStr">
        <is>
          <t>木</t>
        </is>
      </c>
      <c r="O41" s="2245" t="inlineStr">
        <is>
          <t>金</t>
        </is>
      </c>
      <c r="P41" s="2245" t="inlineStr">
        <is>
          <t>土</t>
        </is>
      </c>
      <c r="Q41" s="2245" t="inlineStr">
        <is>
          <t>日</t>
        </is>
      </c>
      <c r="R41" s="2249" t="inlineStr">
        <is>
          <t>祝</t>
        </is>
      </c>
      <c r="S41" s="4279" t="inlineStr">
        <is>
          <t>休業日</t>
        </is>
      </c>
      <c r="T41" s="1611" t="inlineStr">
        <is>
          <t>年末年始</t>
        </is>
      </c>
      <c r="U41" s="4098" t="n"/>
      <c r="V41" s="934" t="n"/>
      <c r="W41" s="4098" t="n"/>
      <c r="X41" s="4098" t="n"/>
      <c r="Y41" s="4098" t="n"/>
      <c r="Z41" s="4098" t="n"/>
      <c r="AA41" s="4098" t="n"/>
      <c r="AB41" s="4099" t="n"/>
      <c r="AC41" s="4280" t="inlineStr">
        <is>
          <t>備　考</t>
        </is>
      </c>
      <c r="AD41" s="4281" t="n"/>
      <c r="AE41" s="4098" t="n"/>
      <c r="AF41" s="4098" t="n"/>
      <c r="AG41" s="4098" t="n"/>
      <c r="AH41" s="4101" t="n"/>
    </row>
    <row r="42" ht="12" customHeight="1" s="4080">
      <c r="A42" s="4097" t="n"/>
      <c r="B42" s="4107" t="n"/>
      <c r="C42" s="4106" t="n"/>
      <c r="J42" s="4107" t="n"/>
      <c r="K42" s="2244" t="n"/>
      <c r="L42" s="2245" t="n"/>
      <c r="M42" s="2245" t="n"/>
      <c r="N42" s="2245" t="n"/>
      <c r="O42" s="2245" t="n"/>
      <c r="P42" s="2245" t="n"/>
      <c r="Q42" s="2245" t="n"/>
      <c r="R42" s="2249" t="n"/>
      <c r="S42" s="4282" t="n"/>
      <c r="T42" s="1609" t="inlineStr">
        <is>
          <t>夏季</t>
        </is>
      </c>
      <c r="V42" s="937" t="n"/>
      <c r="AB42" s="4107" t="n"/>
      <c r="AC42" s="4282" t="n"/>
      <c r="AD42" s="4192" t="n"/>
      <c r="AH42" s="4109" t="n"/>
    </row>
    <row r="43" ht="12" customHeight="1" s="4080">
      <c r="A43" s="4097" t="n"/>
      <c r="B43" s="4107" t="n"/>
      <c r="C43" s="4102" t="n"/>
      <c r="D43" s="4103" t="n"/>
      <c r="E43" s="4103" t="n"/>
      <c r="F43" s="4103" t="n"/>
      <c r="G43" s="4103" t="n"/>
      <c r="H43" s="4103" t="n"/>
      <c r="I43" s="4103" t="n"/>
      <c r="J43" s="4104" t="n"/>
      <c r="K43" s="4283" t="n"/>
      <c r="L43" s="4284" t="n"/>
      <c r="M43" s="4284" t="n"/>
      <c r="N43" s="4284" t="n"/>
      <c r="O43" s="4284" t="n"/>
      <c r="P43" s="4284" t="n"/>
      <c r="Q43" s="4284" t="n"/>
      <c r="R43" s="4285" t="n"/>
      <c r="S43" s="4286" t="n"/>
      <c r="T43" s="1610" t="inlineStr">
        <is>
          <t>その他</t>
        </is>
      </c>
      <c r="U43" s="4103" t="n"/>
      <c r="V43" s="940" t="n"/>
      <c r="W43" s="4103" t="n"/>
      <c r="X43" s="4103" t="n"/>
      <c r="Y43" s="4103" t="n"/>
      <c r="Z43" s="4103" t="n"/>
      <c r="AA43" s="4103" t="n"/>
      <c r="AB43" s="4104" t="n"/>
      <c r="AC43" s="4286" t="n"/>
      <c r="AD43" s="4194" t="n"/>
      <c r="AE43" s="4103" t="n"/>
      <c r="AF43" s="4103" t="n"/>
      <c r="AG43" s="4103" t="n"/>
      <c r="AH43" s="4105" t="n"/>
    </row>
    <row r="44" ht="3.95" customHeight="1" s="4080">
      <c r="A44" s="4097" t="n"/>
      <c r="B44" s="4107" t="n"/>
      <c r="C44" s="1393" t="n"/>
      <c r="D44" s="1264" t="inlineStr">
        <is>
          <t>営業時間</t>
        </is>
      </c>
      <c r="E44" s="4098" t="n"/>
      <c r="F44" s="4098" t="n"/>
      <c r="G44" s="4098" t="n"/>
      <c r="H44" s="4098" t="n"/>
      <c r="I44" s="4098" t="n"/>
      <c r="J44" s="4223" t="n"/>
      <c r="K44" s="4287" t="inlineStr">
        <is>
          <t>平日</t>
        </is>
      </c>
      <c r="L44" s="4098" t="n"/>
      <c r="M44" s="4190" t="n"/>
      <c r="N44" s="1590" t="n"/>
      <c r="O44" s="4098" t="n"/>
      <c r="P44" s="2842" t="inlineStr">
        <is>
          <t>時</t>
        </is>
      </c>
      <c r="Q44" s="1323" t="n"/>
      <c r="R44" s="1323" t="n"/>
      <c r="S44" s="4288" t="inlineStr">
        <is>
          <t>分～</t>
        </is>
      </c>
      <c r="T44" s="4098" t="n"/>
      <c r="U44" s="108" t="inlineStr">
        <is>
          <t xml:space="preserve">　</t>
        </is>
      </c>
      <c r="V44" s="1591" t="n"/>
      <c r="W44" s="4098" t="n"/>
      <c r="X44" s="2842" t="inlineStr">
        <is>
          <t>時</t>
        </is>
      </c>
      <c r="Y44" s="2834" t="n"/>
      <c r="Z44" s="2834" t="n"/>
      <c r="AA44" s="2842" t="inlineStr">
        <is>
          <t>分</t>
        </is>
      </c>
      <c r="AB44" s="2842" t="inlineStr">
        <is>
          <t>・</t>
        </is>
      </c>
      <c r="AC44" s="4098" t="n"/>
      <c r="AD44" s="1591" t="n"/>
      <c r="AE44" s="4098" t="n"/>
      <c r="AF44" s="4098" t="n"/>
      <c r="AG44" s="4098" t="n"/>
      <c r="AH44" s="1745" t="n"/>
    </row>
    <row r="45" ht="12" customHeight="1" s="4080">
      <c r="A45" s="4097" t="n"/>
      <c r="B45" s="4107" t="n"/>
      <c r="C45" s="4106" t="n"/>
      <c r="J45" s="4107" t="n"/>
      <c r="K45" s="4106" t="n"/>
      <c r="M45" s="4191" t="n"/>
      <c r="N45" s="1589" t="n"/>
      <c r="Q45" s="1325" t="n"/>
      <c r="U45" s="1257" t="n"/>
      <c r="Y45" s="1580" t="n"/>
      <c r="AD45" s="1325" t="inlineStr">
        <is>
          <t>２４時間</t>
        </is>
      </c>
      <c r="AH45" s="2298" t="n"/>
    </row>
    <row r="46" ht="3.95" customHeight="1" s="4080">
      <c r="A46" s="4097" t="n"/>
      <c r="B46" s="4107" t="n"/>
      <c r="C46" s="4106" t="n"/>
      <c r="J46" s="4107" t="n"/>
      <c r="K46" s="4145" t="n"/>
      <c r="L46" s="4146" t="n"/>
      <c r="M46" s="4201" t="n"/>
      <c r="N46" s="1586" t="n"/>
      <c r="O46" s="4146" t="n"/>
      <c r="P46" s="4146" t="n"/>
      <c r="Q46" s="1585" t="n"/>
      <c r="R46" s="1585" t="n"/>
      <c r="S46" s="4146" t="n"/>
      <c r="T46" s="4146" t="n"/>
      <c r="U46" s="105" t="n"/>
      <c r="V46" s="1587" t="n"/>
      <c r="W46" s="1587" t="n"/>
      <c r="X46" s="4146" t="n"/>
      <c r="Y46" s="101" t="n"/>
      <c r="Z46" s="101" t="n"/>
      <c r="AA46" s="4146" t="n"/>
      <c r="AB46" s="4146" t="n"/>
      <c r="AC46" s="4146" t="n"/>
      <c r="AD46" s="1597" t="n"/>
      <c r="AE46" s="4146" t="n"/>
      <c r="AF46" s="4146" t="n"/>
      <c r="AG46" s="4146" t="n"/>
      <c r="AH46" s="1727" t="n"/>
    </row>
    <row r="47" ht="3.95" customHeight="1" s="4080">
      <c r="A47" s="4097" t="n"/>
      <c r="B47" s="4107" t="n"/>
      <c r="C47" s="4106" t="n"/>
      <c r="J47" s="4107" t="n"/>
      <c r="K47" s="4289" t="inlineStr">
        <is>
          <t>土曜</t>
        </is>
      </c>
      <c r="L47" s="4290" t="n"/>
      <c r="M47" s="4291" t="n"/>
      <c r="N47" s="1581" t="n"/>
      <c r="O47" s="4290" t="n"/>
      <c r="P47" s="1514" t="inlineStr">
        <is>
          <t>時</t>
        </is>
      </c>
      <c r="Q47" s="1583" t="n"/>
      <c r="R47" s="1583" t="n"/>
      <c r="S47" s="4292" t="inlineStr">
        <is>
          <t>分～</t>
        </is>
      </c>
      <c r="T47" s="4290" t="n"/>
      <c r="U47" s="98" t="inlineStr">
        <is>
          <t xml:space="preserve">　</t>
        </is>
      </c>
      <c r="V47" s="1582" t="n"/>
      <c r="W47" s="1582" t="n"/>
      <c r="X47" s="1514" t="inlineStr">
        <is>
          <t>時</t>
        </is>
      </c>
      <c r="Y47" s="96" t="n"/>
      <c r="Z47" s="96" t="n"/>
      <c r="AA47" s="1514" t="inlineStr">
        <is>
          <t>分</t>
        </is>
      </c>
      <c r="AB47" s="1514" t="inlineStr">
        <is>
          <t>・</t>
        </is>
      </c>
      <c r="AC47" s="4290" t="n"/>
      <c r="AD47" s="1681" t="n"/>
      <c r="AE47" s="4290" t="n"/>
      <c r="AF47" s="4290" t="n"/>
      <c r="AG47" s="4290" t="n"/>
      <c r="AH47" s="1725" t="n"/>
    </row>
    <row r="48" ht="12" customHeight="1" s="4080">
      <c r="A48" s="4097" t="n"/>
      <c r="B48" s="4107" t="n"/>
      <c r="C48" s="4106" t="n"/>
      <c r="J48" s="4107" t="n"/>
      <c r="K48" s="4106" t="n"/>
      <c r="M48" s="4191" t="n"/>
      <c r="N48" s="1589" t="n"/>
      <c r="Q48" s="1325" t="n"/>
      <c r="U48" s="1257" t="n"/>
      <c r="Y48" s="1580" t="n"/>
      <c r="AD48" s="1325" t="inlineStr">
        <is>
          <t>２４時間</t>
        </is>
      </c>
      <c r="AH48" s="2298" t="n"/>
    </row>
    <row r="49" ht="3.95" customHeight="1" s="4080">
      <c r="A49" s="4097" t="n"/>
      <c r="B49" s="4107" t="n"/>
      <c r="C49" s="4106" t="n"/>
      <c r="J49" s="4107" t="n"/>
      <c r="K49" s="4145" t="n"/>
      <c r="L49" s="4146" t="n"/>
      <c r="M49" s="4201" t="n"/>
      <c r="N49" s="1586" t="n"/>
      <c r="O49" s="4146" t="n"/>
      <c r="P49" s="4146" t="n"/>
      <c r="Q49" s="1585" t="n"/>
      <c r="R49" s="1585" t="n"/>
      <c r="S49" s="4146" t="n"/>
      <c r="T49" s="4146" t="n"/>
      <c r="U49" s="103" t="n"/>
      <c r="V49" s="1587" t="n"/>
      <c r="W49" s="1587" t="n"/>
      <c r="X49" s="4146" t="n"/>
      <c r="Y49" s="101" t="n"/>
      <c r="Z49" s="101" t="n"/>
      <c r="AA49" s="4146" t="n"/>
      <c r="AB49" s="4146" t="n"/>
      <c r="AC49" s="4146" t="n"/>
      <c r="AD49" s="1597" t="n"/>
      <c r="AE49" s="4146" t="n"/>
      <c r="AF49" s="4146" t="n"/>
      <c r="AG49" s="4146" t="n"/>
      <c r="AH49" s="1727" t="n"/>
    </row>
    <row r="50" ht="3.95" customHeight="1" s="4080">
      <c r="A50" s="4097" t="n"/>
      <c r="B50" s="4107" t="n"/>
      <c r="C50" s="4106" t="n"/>
      <c r="J50" s="4107" t="n"/>
      <c r="K50" s="4293" t="inlineStr">
        <is>
          <t>日・祝日</t>
        </is>
      </c>
      <c r="L50" s="4290" t="n"/>
      <c r="M50" s="4291" t="n"/>
      <c r="N50" s="1581" t="n"/>
      <c r="O50" s="4290" t="n"/>
      <c r="P50" s="1521" t="inlineStr">
        <is>
          <t>時</t>
        </is>
      </c>
      <c r="Q50" s="1583" t="n"/>
      <c r="R50" s="1583" t="n"/>
      <c r="S50" s="4294" t="inlineStr">
        <is>
          <t>分～</t>
        </is>
      </c>
      <c r="T50" s="4290" t="n"/>
      <c r="U50" s="98" t="inlineStr">
        <is>
          <t xml:space="preserve">　</t>
        </is>
      </c>
      <c r="V50" s="1582" t="n"/>
      <c r="W50" s="1582" t="n"/>
      <c r="X50" s="1521" t="inlineStr">
        <is>
          <t>時</t>
        </is>
      </c>
      <c r="Y50" s="96" t="n"/>
      <c r="Z50" s="96" t="n"/>
      <c r="AA50" s="1521" t="inlineStr">
        <is>
          <t>分</t>
        </is>
      </c>
      <c r="AB50" s="1521" t="inlineStr">
        <is>
          <t>・</t>
        </is>
      </c>
      <c r="AC50" s="4290" t="n"/>
      <c r="AD50" s="1681" t="n"/>
      <c r="AE50" s="4290" t="n"/>
      <c r="AF50" s="4290" t="n"/>
      <c r="AG50" s="4290" t="n"/>
      <c r="AH50" s="1725" t="n"/>
    </row>
    <row r="51" ht="12" customHeight="1" s="4080">
      <c r="A51" s="4097" t="n"/>
      <c r="B51" s="4107" t="n"/>
      <c r="C51" s="4106" t="n"/>
      <c r="J51" s="4107" t="n"/>
      <c r="K51" s="4106" t="n"/>
      <c r="M51" s="4191" t="n"/>
      <c r="N51" s="1589" t="n"/>
      <c r="Q51" s="1325" t="n"/>
      <c r="U51" s="1257" t="n"/>
      <c r="Y51" s="1580" t="n"/>
      <c r="AD51" s="1325" t="inlineStr">
        <is>
          <t>２４時間</t>
        </is>
      </c>
      <c r="AH51" s="2298" t="n"/>
    </row>
    <row r="52" ht="3.95" customHeight="1" s="4080">
      <c r="A52" s="4097" t="n"/>
      <c r="B52" s="4107" t="n"/>
      <c r="C52" s="4102" t="n"/>
      <c r="D52" s="4103" t="n"/>
      <c r="E52" s="4103" t="n"/>
      <c r="F52" s="4103" t="n"/>
      <c r="G52" s="4103" t="n"/>
      <c r="H52" s="4103" t="n"/>
      <c r="I52" s="4103" t="n"/>
      <c r="J52" s="4104" t="n"/>
      <c r="K52" s="4102" t="n"/>
      <c r="L52" s="4103" t="n"/>
      <c r="M52" s="4193" t="n"/>
      <c r="N52" s="1588" t="n"/>
      <c r="O52" s="4103" t="n"/>
      <c r="P52" s="4103" t="n"/>
      <c r="Q52" s="1327" t="n"/>
      <c r="R52" s="1327" t="n"/>
      <c r="S52" s="4103" t="n"/>
      <c r="T52" s="4103" t="n"/>
      <c r="U52" s="92" t="n"/>
      <c r="V52" s="1258" t="n"/>
      <c r="W52" s="1258" t="n"/>
      <c r="X52" s="4103" t="n"/>
      <c r="Y52" s="2836" t="n"/>
      <c r="Z52" s="2836" t="n"/>
      <c r="AA52" s="4103" t="n"/>
      <c r="AB52" s="4103" t="n"/>
      <c r="AC52" s="4103" t="n"/>
      <c r="AD52" s="1687" t="n"/>
      <c r="AE52" s="4103" t="n"/>
      <c r="AF52" s="4103" t="n"/>
      <c r="AG52" s="4103" t="n"/>
      <c r="AH52" s="1748" t="n"/>
    </row>
    <row r="53" ht="12" customHeight="1" s="4080">
      <c r="A53" s="4097" t="n"/>
      <c r="B53" s="4107" t="n"/>
      <c r="C53" s="1322" t="n"/>
      <c r="D53" s="1643" t="inlineStr">
        <is>
          <t>サービス提供日</t>
        </is>
      </c>
      <c r="E53" s="4098" t="n"/>
      <c r="F53" s="4098" t="n"/>
      <c r="G53" s="4098" t="n"/>
      <c r="H53" s="4098" t="n"/>
      <c r="I53" s="4098" t="n"/>
      <c r="J53" s="1403" t="n"/>
      <c r="K53" s="2244" t="inlineStr">
        <is>
          <t>月</t>
        </is>
      </c>
      <c r="L53" s="2245" t="inlineStr">
        <is>
          <t>火</t>
        </is>
      </c>
      <c r="M53" s="2245" t="inlineStr">
        <is>
          <t>水</t>
        </is>
      </c>
      <c r="N53" s="2245" t="inlineStr">
        <is>
          <t>木</t>
        </is>
      </c>
      <c r="O53" s="2245" t="inlineStr">
        <is>
          <t>金</t>
        </is>
      </c>
      <c r="P53" s="2245" t="inlineStr">
        <is>
          <t>土</t>
        </is>
      </c>
      <c r="Q53" s="2245" t="inlineStr">
        <is>
          <t>日</t>
        </is>
      </c>
      <c r="R53" s="2249" t="inlineStr">
        <is>
          <t>祝</t>
        </is>
      </c>
      <c r="S53" s="4279" t="inlineStr">
        <is>
          <t>休業日</t>
        </is>
      </c>
      <c r="T53" s="1611" t="inlineStr">
        <is>
          <t>年末年始</t>
        </is>
      </c>
      <c r="U53" s="4098" t="n"/>
      <c r="V53" s="934" t="n"/>
      <c r="W53" s="4098" t="n"/>
      <c r="X53" s="4098" t="n"/>
      <c r="Y53" s="4098" t="n"/>
      <c r="Z53" s="4098" t="n"/>
      <c r="AA53" s="4098" t="n"/>
      <c r="AB53" s="4099" t="n"/>
      <c r="AC53" s="4280" t="inlineStr">
        <is>
          <t>備　考</t>
        </is>
      </c>
      <c r="AD53" s="4281" t="n"/>
      <c r="AE53" s="4098" t="n"/>
      <c r="AF53" s="4098" t="n"/>
      <c r="AG53" s="4098" t="n"/>
      <c r="AH53" s="4101" t="n"/>
    </row>
    <row r="54" ht="12" customHeight="1" s="4080">
      <c r="A54" s="4097" t="n"/>
      <c r="B54" s="4107" t="n"/>
      <c r="C54" s="4106" t="n"/>
      <c r="J54" s="4107" t="n"/>
      <c r="K54" s="2244" t="n"/>
      <c r="L54" s="2245" t="n"/>
      <c r="M54" s="2245" t="n"/>
      <c r="N54" s="2245" t="n"/>
      <c r="O54" s="2245" t="n"/>
      <c r="P54" s="2245" t="n"/>
      <c r="Q54" s="2245" t="n"/>
      <c r="R54" s="2249" t="n"/>
      <c r="S54" s="4282" t="n"/>
      <c r="T54" s="1609" t="inlineStr">
        <is>
          <t>夏季</t>
        </is>
      </c>
      <c r="V54" s="937" t="n"/>
      <c r="AB54" s="4107" t="n"/>
      <c r="AC54" s="4282" t="n"/>
      <c r="AD54" s="4192" t="n"/>
      <c r="AH54" s="4109" t="n"/>
    </row>
    <row r="55" ht="12" customHeight="1" s="4080">
      <c r="A55" s="4097" t="n"/>
      <c r="B55" s="4107" t="n"/>
      <c r="C55" s="4106" t="n"/>
      <c r="J55" s="4107" t="n"/>
      <c r="K55" s="4283" t="n"/>
      <c r="L55" s="4284" t="n"/>
      <c r="M55" s="4284" t="n"/>
      <c r="N55" s="4284" t="n"/>
      <c r="O55" s="4284" t="n"/>
      <c r="P55" s="4284" t="n"/>
      <c r="Q55" s="4284" t="n"/>
      <c r="R55" s="4285" t="n"/>
      <c r="S55" s="4286" t="n"/>
      <c r="T55" s="1610" t="inlineStr">
        <is>
          <t>その他</t>
        </is>
      </c>
      <c r="U55" s="4103" t="n"/>
      <c r="V55" s="940" t="n"/>
      <c r="W55" s="4103" t="n"/>
      <c r="X55" s="4103" t="n"/>
      <c r="Y55" s="4103" t="n"/>
      <c r="Z55" s="4103" t="n"/>
      <c r="AA55" s="4103" t="n"/>
      <c r="AB55" s="4104" t="n"/>
      <c r="AC55" s="4286" t="n"/>
      <c r="AD55" s="4194" t="n"/>
      <c r="AE55" s="4103" t="n"/>
      <c r="AF55" s="4103" t="n"/>
      <c r="AG55" s="4103" t="n"/>
      <c r="AH55" s="4105" t="n"/>
    </row>
    <row r="56" ht="3.95" customHeight="1" s="4080">
      <c r="A56" s="4097" t="n"/>
      <c r="B56" s="4107" t="n"/>
      <c r="C56" s="1393" t="n"/>
      <c r="D56" s="1264" t="inlineStr">
        <is>
          <t>サービス提供時間</t>
        </is>
      </c>
      <c r="E56" s="4098" t="n"/>
      <c r="F56" s="4098" t="n"/>
      <c r="G56" s="4098" t="n"/>
      <c r="H56" s="4098" t="n"/>
      <c r="I56" s="4098" t="n"/>
      <c r="J56" s="4223" t="n"/>
      <c r="K56" s="4295" t="n"/>
      <c r="L56" s="4098" t="n"/>
      <c r="M56" s="4098" t="n"/>
      <c r="N56" s="4098" t="n"/>
      <c r="O56" s="4098" t="n"/>
      <c r="P56" s="4098" t="n"/>
      <c r="Q56" s="4098" t="n"/>
      <c r="R56" s="4098" t="n"/>
      <c r="S56" s="4098" t="n"/>
      <c r="T56" s="4098" t="n"/>
      <c r="U56" s="4098" t="n"/>
      <c r="V56" s="4098" t="n"/>
      <c r="W56" s="4098" t="n"/>
      <c r="X56" s="4098" t="n"/>
      <c r="Y56" s="4098" t="n"/>
      <c r="Z56" s="4098" t="n"/>
      <c r="AA56" s="4098" t="n"/>
      <c r="AB56" s="4098" t="n"/>
      <c r="AC56" s="4098" t="n"/>
      <c r="AD56" s="4098" t="n"/>
      <c r="AE56" s="4098" t="n"/>
      <c r="AF56" s="4098" t="n"/>
      <c r="AG56" s="4098" t="n"/>
      <c r="AH56" s="4101" t="n"/>
    </row>
    <row r="57" ht="12" customHeight="1" s="4080">
      <c r="A57" s="4097" t="n"/>
      <c r="B57" s="4107" t="n"/>
      <c r="C57" s="4106" t="n"/>
      <c r="J57" s="4107" t="n"/>
      <c r="K57" s="1656" t="n"/>
      <c r="O57" s="1325" t="inlineStr">
        <is>
          <t>時</t>
        </is>
      </c>
      <c r="P57" s="1626" t="n"/>
      <c r="R57" s="1325" t="inlineStr">
        <is>
          <t>分～</t>
        </is>
      </c>
      <c r="T57" s="1388" t="n"/>
      <c r="W57" s="1325" t="inlineStr">
        <is>
          <t>時</t>
        </is>
      </c>
      <c r="X57" s="1626" t="n"/>
      <c r="Z57" s="1325" t="inlineStr">
        <is>
          <t>分</t>
        </is>
      </c>
      <c r="AA57" s="1325" t="inlineStr">
        <is>
          <t>・</t>
        </is>
      </c>
      <c r="AC57" s="1290" t="inlineStr">
        <is>
          <t>２４時間</t>
        </is>
      </c>
      <c r="AF57" s="1668" t="n"/>
      <c r="AH57" s="4109" t="n"/>
    </row>
    <row r="58" ht="3.95" customHeight="1" s="4080">
      <c r="A58" s="4097" t="n"/>
      <c r="B58" s="4107" t="n"/>
      <c r="C58" s="4102" t="n"/>
      <c r="D58" s="4103" t="n"/>
      <c r="E58" s="4103" t="n"/>
      <c r="F58" s="4103" t="n"/>
      <c r="G58" s="4103" t="n"/>
      <c r="H58" s="4103" t="n"/>
      <c r="I58" s="4103" t="n"/>
      <c r="J58" s="4104" t="n"/>
      <c r="K58" s="4296" t="n"/>
      <c r="AH58" s="4109" t="n"/>
    </row>
    <row r="59" ht="12" customHeight="1" s="4080">
      <c r="A59" s="4097" t="n"/>
      <c r="B59" s="4107" t="n"/>
      <c r="C59" s="1393" t="n"/>
      <c r="D59" s="2906" t="inlineStr">
        <is>
          <t>サービスを提供
する主たる対象者</t>
        </is>
      </c>
      <c r="E59" s="4098" t="n"/>
      <c r="F59" s="4098" t="n"/>
      <c r="G59" s="4098" t="n"/>
      <c r="H59" s="4098" t="n"/>
      <c r="I59" s="4098" t="n"/>
      <c r="J59" s="4223" t="n"/>
      <c r="K59" s="1669" t="inlineStr">
        <is>
          <t>身体障害者</t>
        </is>
      </c>
      <c r="L59" s="4138" t="n"/>
      <c r="M59" s="4138" t="n"/>
      <c r="N59" s="4138" t="n"/>
      <c r="O59" s="4139" t="n"/>
      <c r="P59" s="1669" t="inlineStr">
        <is>
          <t>知的障害者</t>
        </is>
      </c>
      <c r="Q59" s="4138" t="n"/>
      <c r="R59" s="4138" t="n"/>
      <c r="S59" s="4138" t="n"/>
      <c r="T59" s="4139" t="n"/>
      <c r="U59" s="1669" t="inlineStr">
        <is>
          <t>障害児</t>
        </is>
      </c>
      <c r="V59" s="4138" t="n"/>
      <c r="W59" s="4138" t="n"/>
      <c r="X59" s="4138" t="n"/>
      <c r="Y59" s="4139" t="n"/>
      <c r="Z59" s="1670" t="inlineStr">
        <is>
          <t>精神障害者</t>
        </is>
      </c>
      <c r="AA59" s="4138" t="n"/>
      <c r="AB59" s="4138" t="n"/>
      <c r="AC59" s="4138" t="n"/>
      <c r="AD59" s="4139" t="n"/>
      <c r="AE59" s="1671" t="inlineStr">
        <is>
          <t>難病等対象者</t>
        </is>
      </c>
      <c r="AF59" s="4138" t="n"/>
      <c r="AG59" s="4138" t="n"/>
      <c r="AH59" s="4139" t="n"/>
    </row>
    <row r="60" ht="12" customHeight="1" s="4080">
      <c r="A60" s="4097" t="n"/>
      <c r="B60" s="4107" t="n"/>
      <c r="C60" s="4102" t="n"/>
      <c r="D60" s="4103" t="n"/>
      <c r="E60" s="4103" t="n"/>
      <c r="F60" s="4103" t="n"/>
      <c r="G60" s="4103" t="n"/>
      <c r="H60" s="4103" t="n"/>
      <c r="I60" s="4103" t="n"/>
      <c r="J60" s="4104" t="n"/>
      <c r="K60" s="1663" t="inlineStr">
        <is>
          <t xml:space="preserve">　</t>
        </is>
      </c>
      <c r="L60" s="4140" t="n"/>
      <c r="M60" s="4140" t="n"/>
      <c r="N60" s="4140" t="n"/>
      <c r="O60" s="4141" t="n"/>
      <c r="P60" s="1663" t="n"/>
      <c r="Q60" s="4140" t="n"/>
      <c r="R60" s="4140" t="n"/>
      <c r="S60" s="4140" t="n"/>
      <c r="T60" s="4141" t="n"/>
      <c r="U60" s="1663" t="n"/>
      <c r="V60" s="4140" t="n"/>
      <c r="W60" s="4140" t="n"/>
      <c r="X60" s="4140" t="n"/>
      <c r="Y60" s="4141" t="n"/>
      <c r="Z60" s="1663" t="inlineStr">
        <is>
          <t xml:space="preserve">　</t>
        </is>
      </c>
      <c r="AA60" s="4140" t="n"/>
      <c r="AB60" s="4140" t="n"/>
      <c r="AC60" s="4140" t="n"/>
      <c r="AD60" s="4141" t="n"/>
      <c r="AE60" s="3101" t="inlineStr">
        <is>
          <t xml:space="preserve">　</t>
        </is>
      </c>
      <c r="AF60" s="4140" t="n"/>
      <c r="AG60" s="4140" t="n"/>
      <c r="AH60" s="4252" t="n"/>
    </row>
    <row r="61" ht="15" customHeight="1" s="4080">
      <c r="A61" s="4097" t="n"/>
      <c r="B61" s="4107" t="n"/>
      <c r="C61" s="1322" t="n"/>
      <c r="D61" s="1264" t="inlineStr">
        <is>
          <t>その他の費用</t>
        </is>
      </c>
      <c r="E61" s="4110" t="n"/>
      <c r="F61" s="4110" t="n"/>
      <c r="G61" s="4110" t="n"/>
      <c r="H61" s="4110" t="n"/>
      <c r="I61" s="4110" t="n"/>
      <c r="J61" s="1331" t="n"/>
      <c r="K61" s="4228" t="n"/>
      <c r="L61" s="4098" t="n"/>
      <c r="M61" s="4098" t="n"/>
      <c r="N61" s="4098" t="n"/>
      <c r="O61" s="4098" t="n"/>
      <c r="P61" s="4098" t="n"/>
      <c r="Q61" s="4098" t="n"/>
      <c r="R61" s="4098" t="n"/>
      <c r="S61" s="4098" t="n"/>
      <c r="T61" s="4098" t="n"/>
      <c r="U61" s="4098" t="n"/>
      <c r="V61" s="4098" t="n"/>
      <c r="W61" s="4098" t="n"/>
      <c r="X61" s="4098" t="n"/>
      <c r="Y61" s="4098" t="n"/>
      <c r="Z61" s="4098" t="n"/>
      <c r="AA61" s="4098" t="n"/>
      <c r="AB61" s="4098" t="n"/>
      <c r="AC61" s="4098" t="n"/>
      <c r="AD61" s="4098" t="n"/>
      <c r="AE61" s="4098" t="n"/>
      <c r="AF61" s="4098" t="n"/>
      <c r="AG61" s="4098" t="n"/>
      <c r="AH61" s="4101" t="n"/>
    </row>
    <row r="62" ht="24" customHeight="1" s="4080">
      <c r="A62" s="4097" t="n"/>
      <c r="B62" s="4107" t="n"/>
      <c r="C62" s="1300" t="n"/>
      <c r="D62" s="4222" t="inlineStr">
        <is>
          <t>通常の事業の
実施地域</t>
        </is>
      </c>
      <c r="E62" s="4098" t="n"/>
      <c r="F62" s="4098" t="n"/>
      <c r="G62" s="4098" t="n"/>
      <c r="H62" s="4098" t="n"/>
      <c r="I62" s="4098" t="n"/>
      <c r="J62" s="1963" t="n"/>
      <c r="K62" s="1393" t="inlineStr">
        <is>
          <t>1)</t>
        </is>
      </c>
      <c r="L62" s="1406" t="n"/>
      <c r="M62" s="4110" t="n"/>
      <c r="N62" s="4110" t="n"/>
      <c r="O62" s="1301" t="inlineStr">
        <is>
          <t>2)</t>
        </is>
      </c>
      <c r="P62" s="1406" t="n"/>
      <c r="Q62" s="4110" t="n"/>
      <c r="R62" s="4110" t="n"/>
      <c r="S62" s="1301" t="inlineStr">
        <is>
          <t>3)</t>
        </is>
      </c>
      <c r="T62" s="1406" t="n"/>
      <c r="U62" s="4110" t="n"/>
      <c r="V62" s="4110" t="n"/>
      <c r="W62" s="1301" t="inlineStr">
        <is>
          <t>4)</t>
        </is>
      </c>
      <c r="X62" s="1406" t="n"/>
      <c r="Y62" s="4110" t="n"/>
      <c r="Z62" s="4110" t="n"/>
      <c r="AA62" s="1301" t="inlineStr">
        <is>
          <t>5)</t>
        </is>
      </c>
      <c r="AB62" s="1406" t="n"/>
      <c r="AC62" s="4110" t="n"/>
      <c r="AD62" s="4110" t="n"/>
      <c r="AE62" s="4229" t="inlineStr">
        <is>
          <t>備考</t>
        </is>
      </c>
      <c r="AF62" s="4224" t="n"/>
      <c r="AG62" s="4098" t="n"/>
      <c r="AH62" s="4101" t="n"/>
    </row>
    <row r="63" ht="24" customHeight="1" s="4080">
      <c r="A63" s="4097" t="n"/>
      <c r="B63" s="4107" t="n"/>
      <c r="C63" s="4102" t="n"/>
      <c r="D63" s="4103" t="n"/>
      <c r="E63" s="4103" t="n"/>
      <c r="F63" s="4103" t="n"/>
      <c r="G63" s="4103" t="n"/>
      <c r="H63" s="4103" t="n"/>
      <c r="I63" s="4103" t="n"/>
      <c r="J63" s="4104" t="n"/>
      <c r="K63" s="1393" t="inlineStr">
        <is>
          <t>6)</t>
        </is>
      </c>
      <c r="L63" s="1406" t="n"/>
      <c r="M63" s="4110" t="n"/>
      <c r="N63" s="4110" t="n"/>
      <c r="O63" s="1301" t="inlineStr">
        <is>
          <t>7)</t>
        </is>
      </c>
      <c r="P63" s="1406" t="n"/>
      <c r="Q63" s="4110" t="n"/>
      <c r="R63" s="4110" t="n"/>
      <c r="S63" s="1301" t="inlineStr">
        <is>
          <t>8)</t>
        </is>
      </c>
      <c r="T63" s="1406" t="n"/>
      <c r="U63" s="4110" t="n"/>
      <c r="V63" s="4110" t="n"/>
      <c r="W63" s="1301" t="inlineStr">
        <is>
          <t>9)</t>
        </is>
      </c>
      <c r="X63" s="1406" t="n"/>
      <c r="Y63" s="4110" t="n"/>
      <c r="Z63" s="4110" t="n"/>
      <c r="AA63" s="2752" t="inlineStr">
        <is>
          <t>10)</t>
        </is>
      </c>
      <c r="AB63" s="1406" t="n"/>
      <c r="AC63" s="4110" t="n"/>
      <c r="AD63" s="4110" t="n"/>
      <c r="AE63" s="4124" t="n"/>
      <c r="AF63" s="4102" t="n"/>
      <c r="AG63" s="4103" t="n"/>
      <c r="AH63" s="4105" t="n"/>
    </row>
    <row r="64" ht="3.95" customHeight="1" s="4080">
      <c r="A64" s="4097" t="n"/>
      <c r="B64" s="4107" t="n"/>
      <c r="C64" s="4231" t="inlineStr">
        <is>
          <t>その他参考
となる事項</t>
        </is>
      </c>
      <c r="D64" s="4099" t="n"/>
      <c r="E64" s="2753" t="inlineStr">
        <is>
          <t>第三者評価の実施状況</t>
        </is>
      </c>
      <c r="F64" s="4098" t="n"/>
      <c r="G64" s="4098" t="n"/>
      <c r="H64" s="4098" t="n"/>
      <c r="I64" s="4098" t="n"/>
      <c r="J64" s="4099" t="n"/>
      <c r="K64" s="1657" t="n"/>
      <c r="L64" s="1658" t="n"/>
      <c r="M64" s="1658" t="n"/>
      <c r="N64" s="1658" t="n"/>
      <c r="O64" s="1658" t="n"/>
      <c r="P64" s="1658" t="n"/>
      <c r="Q64" s="1658" t="n"/>
      <c r="R64" s="930" t="n"/>
      <c r="AB64" s="1658" t="n"/>
      <c r="AC64" s="1658" t="n"/>
      <c r="AD64" s="1658" t="n"/>
      <c r="AE64" s="1658" t="n"/>
      <c r="AF64" s="1658" t="n"/>
      <c r="AG64" s="1658" t="n"/>
      <c r="AH64" s="1659" t="n"/>
    </row>
    <row r="65" ht="15" customHeight="1" s="4080">
      <c r="A65" s="4097" t="n"/>
      <c r="B65" s="4107" t="n"/>
      <c r="C65" s="4106" t="n"/>
      <c r="D65" s="4107" t="n"/>
      <c r="J65" s="4107" t="n"/>
      <c r="K65" s="1372" t="n"/>
      <c r="L65" s="1432" t="inlineStr">
        <is>
          <t>している</t>
        </is>
      </c>
      <c r="O65" s="1458" t="inlineStr">
        <is>
          <t>(実施先：</t>
        </is>
      </c>
      <c r="AB65" s="1325" t="inlineStr">
        <is>
          <t>)・</t>
        </is>
      </c>
      <c r="AD65" s="1432" t="inlineStr">
        <is>
          <t>していない</t>
        </is>
      </c>
      <c r="AH65" s="83" t="n"/>
    </row>
    <row r="66" ht="3.95" customHeight="1" s="4080">
      <c r="A66" s="4097" t="n"/>
      <c r="B66" s="4107" t="n"/>
      <c r="C66" s="4106" t="n"/>
      <c r="D66" s="4107" t="n"/>
      <c r="E66" s="4103" t="n"/>
      <c r="F66" s="4103" t="n"/>
      <c r="G66" s="4103" t="n"/>
      <c r="H66" s="4103" t="n"/>
      <c r="I66" s="4103" t="n"/>
      <c r="J66" s="4104" t="n"/>
      <c r="K66" s="1657" t="n"/>
      <c r="L66" s="1658" t="n"/>
      <c r="M66" s="1658" t="n"/>
      <c r="N66" s="1658" t="n"/>
      <c r="O66" s="1658" t="n"/>
      <c r="P66" s="1658" t="n"/>
      <c r="Q66" s="1658" t="n"/>
      <c r="R66" s="4103" t="n"/>
      <c r="S66" s="4103" t="n"/>
      <c r="T66" s="4103" t="n"/>
      <c r="U66" s="4103" t="n"/>
      <c r="V66" s="4103" t="n"/>
      <c r="W66" s="4103" t="n"/>
      <c r="X66" s="4103" t="n"/>
      <c r="Y66" s="4103" t="n"/>
      <c r="Z66" s="4103" t="n"/>
      <c r="AA66" s="4103" t="n"/>
      <c r="AB66" s="1658" t="n"/>
      <c r="AC66" s="1658" t="n"/>
      <c r="AD66" s="1658" t="n"/>
      <c r="AE66" s="1658" t="n"/>
      <c r="AF66" s="1658" t="n"/>
      <c r="AG66" s="1658" t="n"/>
      <c r="AH66" s="1659" t="n"/>
    </row>
    <row r="67" ht="15" customHeight="1" s="4080">
      <c r="A67" s="4097" t="n"/>
      <c r="B67" s="4107" t="n"/>
      <c r="C67" s="4106" t="n"/>
      <c r="D67" s="4107" t="n"/>
      <c r="E67" s="1439" t="inlineStr">
        <is>
          <t>苦情解決の措置概要</t>
        </is>
      </c>
      <c r="F67" s="4098" t="n"/>
      <c r="G67" s="4098" t="n"/>
      <c r="H67" s="4098" t="n"/>
      <c r="I67" s="4098" t="n"/>
      <c r="J67" s="4099" t="n"/>
      <c r="K67" s="2542" t="inlineStr">
        <is>
          <t>窓　口</t>
        </is>
      </c>
      <c r="L67" s="4110" t="n"/>
      <c r="M67" s="4111" t="n"/>
      <c r="N67" s="4121" t="n"/>
      <c r="O67" s="4110" t="n"/>
      <c r="P67" s="4110" t="n"/>
      <c r="Q67" s="4110" t="n"/>
      <c r="R67" s="4110" t="n"/>
      <c r="S67" s="4110" t="n"/>
      <c r="T67" s="4110" t="n"/>
      <c r="U67" s="4110" t="n"/>
      <c r="V67" s="4110" t="n"/>
      <c r="W67" s="4110" t="n"/>
      <c r="X67" s="4110" t="n"/>
      <c r="Y67" s="4110" t="n"/>
      <c r="Z67" s="4110" t="n"/>
      <c r="AA67" s="4110" t="n"/>
      <c r="AB67" s="4110" t="n"/>
      <c r="AC67" s="4110" t="n"/>
      <c r="AD67" s="4110" t="n"/>
      <c r="AE67" s="4110" t="n"/>
      <c r="AF67" s="4110" t="n"/>
      <c r="AG67" s="4110" t="n"/>
      <c r="AH67" s="4113" t="n"/>
    </row>
    <row r="68" ht="15" customHeight="1" s="4080">
      <c r="A68" s="4097" t="n"/>
      <c r="B68" s="4107" t="n"/>
      <c r="C68" s="4106" t="n"/>
      <c r="D68" s="4107" t="n"/>
      <c r="E68" s="4103" t="n"/>
      <c r="F68" s="4103" t="n"/>
      <c r="G68" s="4103" t="n"/>
      <c r="H68" s="4103" t="n"/>
      <c r="I68" s="4103" t="n"/>
      <c r="J68" s="4104" t="n"/>
      <c r="K68" s="2542" t="inlineStr">
        <is>
          <t>担当者</t>
        </is>
      </c>
      <c r="L68" s="4110" t="n"/>
      <c r="M68" s="4111" t="n"/>
      <c r="N68" s="4123" t="n"/>
      <c r="O68" s="4110" t="n"/>
      <c r="P68" s="4110" t="n"/>
      <c r="Q68" s="4110" t="n"/>
      <c r="R68" s="4110" t="n"/>
      <c r="S68" s="4110" t="n"/>
      <c r="T68" s="4110" t="n"/>
      <c r="U68" s="4111" t="n"/>
      <c r="V68" s="2163" t="inlineStr">
        <is>
          <t>電話</t>
        </is>
      </c>
      <c r="W68" s="4111" t="n"/>
      <c r="X68" s="882" t="n"/>
      <c r="Y68" s="4110" t="n"/>
      <c r="Z68" s="4110" t="n"/>
      <c r="AA68" s="1492" t="inlineStr">
        <is>
          <t>－</t>
        </is>
      </c>
      <c r="AB68" s="920" t="n"/>
      <c r="AC68" s="4110" t="n"/>
      <c r="AD68" s="4110" t="n"/>
      <c r="AE68" s="1492" t="inlineStr">
        <is>
          <t>－</t>
        </is>
      </c>
      <c r="AF68" s="955" t="n"/>
      <c r="AG68" s="4110" t="n"/>
      <c r="AH68" s="4113" t="n"/>
    </row>
    <row r="69" ht="15" customHeight="1" s="4080">
      <c r="A69" s="4114" t="n"/>
      <c r="B69" s="4104" t="n"/>
      <c r="C69" s="4102" t="n"/>
      <c r="D69" s="4104" t="n"/>
      <c r="E69" s="1394" t="inlineStr">
        <is>
          <t>そ　　 の 　　他</t>
        </is>
      </c>
      <c r="F69" s="4110" t="n"/>
      <c r="G69" s="4110" t="n"/>
      <c r="H69" s="4110" t="n"/>
      <c r="I69" s="4110" t="n"/>
      <c r="J69" s="4111" t="n"/>
      <c r="K69" s="4121" t="n"/>
      <c r="L69" s="4110" t="n"/>
      <c r="M69" s="4110" t="n"/>
      <c r="N69" s="4110" t="n"/>
      <c r="O69" s="4110" t="n"/>
      <c r="P69" s="4110" t="n"/>
      <c r="Q69" s="4110" t="n"/>
      <c r="R69" s="4110" t="n"/>
      <c r="S69" s="4110" t="n"/>
      <c r="T69" s="4110" t="n"/>
      <c r="U69" s="4110" t="n"/>
      <c r="V69" s="4110" t="n"/>
      <c r="W69" s="4110" t="n"/>
      <c r="X69" s="4110" t="n"/>
      <c r="Y69" s="4110" t="n"/>
      <c r="Z69" s="4110" t="n"/>
      <c r="AA69" s="4110" t="n"/>
      <c r="AB69" s="4110" t="n"/>
      <c r="AC69" s="4110" t="n"/>
      <c r="AD69" s="4110" t="n"/>
      <c r="AE69" s="4110" t="n"/>
      <c r="AF69" s="4110" t="n"/>
      <c r="AG69" s="4110" t="n"/>
      <c r="AH69" s="4113" t="n"/>
    </row>
    <row r="70" ht="15.95" customHeight="1" s="4080" thickBot="1">
      <c r="A70" s="1426" t="n"/>
      <c r="B70" s="1618" t="inlineStr">
        <is>
          <t>添付書類</t>
        </is>
      </c>
      <c r="C70" s="4153" t="n"/>
      <c r="D70" s="4153" t="n"/>
      <c r="E70" s="4153" t="n"/>
      <c r="F70" s="4153" t="n"/>
      <c r="G70" s="4153" t="n"/>
      <c r="H70" s="4153" t="n"/>
      <c r="I70" s="4153" t="n"/>
      <c r="J70" s="1428" t="n"/>
      <c r="K70" s="4235" t="inlineStr">
        <is>
          <t xml:space="preserve">　別紙「添付書類一覧表」のとおり</t>
        </is>
      </c>
      <c r="L70" s="4153" t="n"/>
      <c r="M70" s="4153" t="n"/>
      <c r="N70" s="4153" t="n"/>
      <c r="O70" s="4153" t="n"/>
      <c r="P70" s="4153" t="n"/>
      <c r="Q70" s="4153" t="n"/>
      <c r="R70" s="4153" t="n"/>
      <c r="S70" s="4153" t="n"/>
      <c r="T70" s="4153" t="n"/>
      <c r="U70" s="4153" t="n"/>
      <c r="V70" s="4153" t="n"/>
      <c r="W70" s="4153" t="n"/>
      <c r="X70" s="4153" t="n"/>
      <c r="Y70" s="4153" t="n"/>
      <c r="Z70" s="4153" t="n"/>
      <c r="AA70" s="4153" t="n"/>
      <c r="AB70" s="4153" t="n"/>
      <c r="AC70" s="4153" t="n"/>
      <c r="AD70" s="4153" t="n"/>
      <c r="AE70" s="4153" t="n"/>
      <c r="AF70" s="4153" t="n"/>
      <c r="AG70" s="4153" t="n"/>
      <c r="AH70" s="4155" t="n"/>
    </row>
    <row r="73">
      <c r="AD73" s="1355" t="n"/>
      <c r="AE73" s="1355" t="n"/>
      <c r="AF73" s="1355" t="n"/>
      <c r="AG73" s="1355" t="n"/>
    </row>
  </sheetData>
  <mergeCells count="296">
    <mergeCell ref="U60:Y60"/>
    <mergeCell ref="C14:E16"/>
    <mergeCell ref="K54:K55"/>
    <mergeCell ref="F27:I27"/>
    <mergeCell ref="O65:Q65"/>
    <mergeCell ref="AE62:AE63"/>
    <mergeCell ref="S47:T49"/>
    <mergeCell ref="C31:E31"/>
    <mergeCell ref="K11:AH11"/>
    <mergeCell ref="X44:X46"/>
    <mergeCell ref="U59:Y59"/>
    <mergeCell ref="E69:J69"/>
    <mergeCell ref="D44:I52"/>
    <mergeCell ref="P47:P49"/>
    <mergeCell ref="M54:M55"/>
    <mergeCell ref="J59:J60"/>
    <mergeCell ref="O54:O55"/>
    <mergeCell ref="X68:Z68"/>
    <mergeCell ref="Q54:Q55"/>
    <mergeCell ref="T42:U42"/>
    <mergeCell ref="M21:X21"/>
    <mergeCell ref="AB44:AC46"/>
    <mergeCell ref="D41:I43"/>
    <mergeCell ref="B70:I70"/>
    <mergeCell ref="C18:L18"/>
    <mergeCell ref="N67:AH67"/>
    <mergeCell ref="Q51:R51"/>
    <mergeCell ref="C23:E23"/>
    <mergeCell ref="N46:O46"/>
    <mergeCell ref="V43:AB43"/>
    <mergeCell ref="D56:I58"/>
    <mergeCell ref="V44:W44"/>
    <mergeCell ref="AA57:AB57"/>
    <mergeCell ref="R64:AA66"/>
    <mergeCell ref="R54:R55"/>
    <mergeCell ref="W39:AB39"/>
    <mergeCell ref="R42:R43"/>
    <mergeCell ref="AC41:AC43"/>
    <mergeCell ref="K70:AH70"/>
    <mergeCell ref="X28:AH30"/>
    <mergeCell ref="N48:O48"/>
    <mergeCell ref="U51:W51"/>
    <mergeCell ref="C10:E11"/>
    <mergeCell ref="C32:E34"/>
    <mergeCell ref="I10:K10"/>
    <mergeCell ref="P62:R62"/>
    <mergeCell ref="T37:V37"/>
    <mergeCell ref="A41:B69"/>
    <mergeCell ref="AF62:AH63"/>
    <mergeCell ref="C7:E9"/>
    <mergeCell ref="K42:K43"/>
    <mergeCell ref="C20:L20"/>
    <mergeCell ref="AA2:AA3"/>
    <mergeCell ref="A4:B11"/>
    <mergeCell ref="J28:M30"/>
    <mergeCell ref="C41:C43"/>
    <mergeCell ref="T57:V57"/>
    <mergeCell ref="AC2:AC3"/>
    <mergeCell ref="K68:M68"/>
    <mergeCell ref="Y20:AH20"/>
    <mergeCell ref="X14:AH16"/>
    <mergeCell ref="C39:J39"/>
    <mergeCell ref="T41:U41"/>
    <mergeCell ref="T31:X31"/>
    <mergeCell ref="Y45:Z45"/>
    <mergeCell ref="C24:E26"/>
    <mergeCell ref="Z60:AD60"/>
    <mergeCell ref="AD46:AG46"/>
    <mergeCell ref="AC57:AE57"/>
    <mergeCell ref="C22:L22"/>
    <mergeCell ref="X47:X49"/>
    <mergeCell ref="K36:M36"/>
    <mergeCell ref="T43:U43"/>
    <mergeCell ref="A13:B22"/>
    <mergeCell ref="Y22:AH22"/>
    <mergeCell ref="W36:Y36"/>
    <mergeCell ref="C17:AH17"/>
    <mergeCell ref="Z59:AD59"/>
    <mergeCell ref="A12:S12"/>
    <mergeCell ref="K35:P35"/>
    <mergeCell ref="F23:I23"/>
    <mergeCell ref="J44:J52"/>
    <mergeCell ref="S44:T46"/>
    <mergeCell ref="K44:M46"/>
    <mergeCell ref="N8:O9"/>
    <mergeCell ref="W35:AB35"/>
    <mergeCell ref="F13:I13"/>
    <mergeCell ref="AB65:AC65"/>
    <mergeCell ref="P24:Q26"/>
    <mergeCell ref="F5:AH6"/>
    <mergeCell ref="X62:Z62"/>
    <mergeCell ref="AF10:AH10"/>
    <mergeCell ref="AE60:AH60"/>
    <mergeCell ref="A23:A34"/>
    <mergeCell ref="V53:AB53"/>
    <mergeCell ref="Q35:V35"/>
    <mergeCell ref="M22:X22"/>
    <mergeCell ref="N50:O50"/>
    <mergeCell ref="S41:S43"/>
    <mergeCell ref="N51:O51"/>
    <mergeCell ref="B27:B30"/>
    <mergeCell ref="K47:M49"/>
    <mergeCell ref="T53:U53"/>
    <mergeCell ref="X57:Y57"/>
    <mergeCell ref="X50:X52"/>
    <mergeCell ref="AC12:AD12"/>
    <mergeCell ref="AE12:AF12"/>
    <mergeCell ref="J23:M23"/>
    <mergeCell ref="Q40:AH40"/>
    <mergeCell ref="L63:N63"/>
    <mergeCell ref="K60:O60"/>
    <mergeCell ref="E64:J66"/>
    <mergeCell ref="X63:Z63"/>
    <mergeCell ref="E67:J68"/>
    <mergeCell ref="T55:U55"/>
    <mergeCell ref="Y51:Z51"/>
    <mergeCell ref="L42:L43"/>
    <mergeCell ref="AB50:AC52"/>
    <mergeCell ref="N42:N43"/>
    <mergeCell ref="K39:P39"/>
    <mergeCell ref="AF2:AF3"/>
    <mergeCell ref="N52:O52"/>
    <mergeCell ref="K61:AH61"/>
    <mergeCell ref="N27:O30"/>
    <mergeCell ref="AE59:AH59"/>
    <mergeCell ref="K40:O40"/>
    <mergeCell ref="W38:Y38"/>
    <mergeCell ref="N44:O44"/>
    <mergeCell ref="C13:E13"/>
    <mergeCell ref="J53:J55"/>
    <mergeCell ref="AB68:AD68"/>
    <mergeCell ref="J7:N7"/>
    <mergeCell ref="AD44:AG44"/>
    <mergeCell ref="N36:P36"/>
    <mergeCell ref="T10:W10"/>
    <mergeCell ref="G38:J38"/>
    <mergeCell ref="A1:AH1"/>
    <mergeCell ref="Z36:AB36"/>
    <mergeCell ref="J62:J63"/>
    <mergeCell ref="J27:M27"/>
    <mergeCell ref="Y19:AH19"/>
    <mergeCell ref="AD45:AG45"/>
    <mergeCell ref="N37:P37"/>
    <mergeCell ref="N54:N55"/>
    <mergeCell ref="C64:D69"/>
    <mergeCell ref="P54:P55"/>
    <mergeCell ref="AD53:AH55"/>
    <mergeCell ref="V41:AB41"/>
    <mergeCell ref="T62:V62"/>
    <mergeCell ref="AA50:AA52"/>
    <mergeCell ref="L62:N62"/>
    <mergeCell ref="M20:X20"/>
    <mergeCell ref="J31:M31"/>
    <mergeCell ref="F11:J11"/>
    <mergeCell ref="P13:S13"/>
    <mergeCell ref="Q10:S10"/>
    <mergeCell ref="K50:M52"/>
    <mergeCell ref="C40:H40"/>
    <mergeCell ref="S50:T52"/>
    <mergeCell ref="D61:I61"/>
    <mergeCell ref="F4:AH4"/>
    <mergeCell ref="N23:O26"/>
    <mergeCell ref="K67:M67"/>
    <mergeCell ref="R57:S57"/>
    <mergeCell ref="F28:I30"/>
    <mergeCell ref="Q42:Q43"/>
    <mergeCell ref="U2:X3"/>
    <mergeCell ref="P7:AH9"/>
    <mergeCell ref="N13:O16"/>
    <mergeCell ref="C59:C60"/>
    <mergeCell ref="J56:J58"/>
    <mergeCell ref="AD47:AG47"/>
    <mergeCell ref="D59:I60"/>
    <mergeCell ref="K58:AH58"/>
    <mergeCell ref="T54:U54"/>
    <mergeCell ref="C53:C55"/>
    <mergeCell ref="F14:I16"/>
    <mergeCell ref="C5:E6"/>
    <mergeCell ref="Z38:AB38"/>
    <mergeCell ref="V55:AB55"/>
    <mergeCell ref="Q36:S36"/>
    <mergeCell ref="X32:AH34"/>
    <mergeCell ref="N68:U68"/>
    <mergeCell ref="Z2:Z3"/>
    <mergeCell ref="AA47:AA49"/>
    <mergeCell ref="AB2:AB3"/>
    <mergeCell ref="AD2:AD3"/>
    <mergeCell ref="J14:M16"/>
    <mergeCell ref="AD51:AG51"/>
    <mergeCell ref="X10:Z10"/>
    <mergeCell ref="K38:M38"/>
    <mergeCell ref="AC53:AC55"/>
    <mergeCell ref="U12:V12"/>
    <mergeCell ref="L65:N65"/>
    <mergeCell ref="K59:O59"/>
    <mergeCell ref="W12:X12"/>
    <mergeCell ref="F7:I7"/>
    <mergeCell ref="AB10:AD10"/>
    <mergeCell ref="P44:P46"/>
    <mergeCell ref="P50:P52"/>
    <mergeCell ref="W37:Y37"/>
    <mergeCell ref="T36:V36"/>
    <mergeCell ref="X24:AH26"/>
    <mergeCell ref="F8:H9"/>
    <mergeCell ref="F24:I26"/>
    <mergeCell ref="Y21:AH21"/>
    <mergeCell ref="T23:X23"/>
    <mergeCell ref="C28:E30"/>
    <mergeCell ref="G37:J37"/>
    <mergeCell ref="C62:C63"/>
    <mergeCell ref="T13:X13"/>
    <mergeCell ref="P27:S27"/>
    <mergeCell ref="K69:AH69"/>
    <mergeCell ref="T24:V26"/>
    <mergeCell ref="Q48:R48"/>
    <mergeCell ref="Q45:R45"/>
    <mergeCell ref="J24:M26"/>
    <mergeCell ref="C4:E4"/>
    <mergeCell ref="P28:Q30"/>
    <mergeCell ref="AD41:AH43"/>
    <mergeCell ref="T27:X27"/>
    <mergeCell ref="C37:F38"/>
    <mergeCell ref="N45:O45"/>
    <mergeCell ref="U48:W48"/>
    <mergeCell ref="C35:J36"/>
    <mergeCell ref="Q39:V39"/>
    <mergeCell ref="J32:M34"/>
    <mergeCell ref="C56:C58"/>
    <mergeCell ref="C44:C52"/>
    <mergeCell ref="V68:W68"/>
    <mergeCell ref="F31:I31"/>
    <mergeCell ref="V54:AB54"/>
    <mergeCell ref="B31:B34"/>
    <mergeCell ref="AF68:AH68"/>
    <mergeCell ref="M10:O10"/>
    <mergeCell ref="Q38:S38"/>
    <mergeCell ref="T63:V63"/>
    <mergeCell ref="N47:O47"/>
    <mergeCell ref="Z37:AB37"/>
    <mergeCell ref="Y18:AH18"/>
    <mergeCell ref="P14:Q16"/>
    <mergeCell ref="AD50:AG50"/>
    <mergeCell ref="AE2:AE3"/>
    <mergeCell ref="AG2:AG3"/>
    <mergeCell ref="P60:T60"/>
    <mergeCell ref="K57:N57"/>
    <mergeCell ref="Y2:Y3"/>
    <mergeCell ref="I8:M9"/>
    <mergeCell ref="C19:L19"/>
    <mergeCell ref="N38:P38"/>
    <mergeCell ref="K56:AH56"/>
    <mergeCell ref="C27:E27"/>
    <mergeCell ref="B23:B26"/>
    <mergeCell ref="AD52:AG52"/>
    <mergeCell ref="P59:T59"/>
    <mergeCell ref="AB47:AC49"/>
    <mergeCell ref="M18:X18"/>
    <mergeCell ref="D53:I55"/>
    <mergeCell ref="AD48:AG48"/>
    <mergeCell ref="N31:O34"/>
    <mergeCell ref="L54:L55"/>
    <mergeCell ref="V42:AB42"/>
    <mergeCell ref="J13:M13"/>
    <mergeCell ref="P31:S31"/>
    <mergeCell ref="AA44:AA46"/>
    <mergeCell ref="T28:V30"/>
    <mergeCell ref="AB62:AD62"/>
    <mergeCell ref="K37:M37"/>
    <mergeCell ref="M19:X19"/>
    <mergeCell ref="P32:Q34"/>
    <mergeCell ref="M42:M43"/>
    <mergeCell ref="O42:O43"/>
    <mergeCell ref="P57:Q57"/>
    <mergeCell ref="F10:H10"/>
    <mergeCell ref="Y12:Z12"/>
    <mergeCell ref="T38:V38"/>
    <mergeCell ref="Q37:S37"/>
    <mergeCell ref="P63:R63"/>
    <mergeCell ref="T32:V34"/>
    <mergeCell ref="S53:S55"/>
    <mergeCell ref="Y48:Z48"/>
    <mergeCell ref="P23:S23"/>
    <mergeCell ref="T14:V16"/>
    <mergeCell ref="AA12:AB12"/>
    <mergeCell ref="AD65:AG65"/>
    <mergeCell ref="D62:I63"/>
    <mergeCell ref="AB63:AD63"/>
    <mergeCell ref="U45:W45"/>
    <mergeCell ref="AD49:AG49"/>
    <mergeCell ref="C21:L21"/>
    <mergeCell ref="P42:P43"/>
    <mergeCell ref="AF57:AH57"/>
    <mergeCell ref="N49:O49"/>
    <mergeCell ref="F32:I34"/>
    <mergeCell ref="A35:B39"/>
    <mergeCell ref="J41:J43"/>
  </mergeCells>
  <dataValidations count="9">
    <dataValidation sqref="M10:O10 Q10:S10 AB10:AD10 AF10:AH10" showDropDown="0" showInputMessage="1" showErrorMessage="1" allowBlank="1" error="全角数字で入力してください" imeMode="fullAlpha"/>
    <dataValidation sqref="K37:AB39" showDropDown="0" showInputMessage="1" showErrorMessage="1" allowBlank="1" imeMode="halfAlpha"/>
    <dataValidation sqref="F4:AH4 F13:M13 F23:M23 F27:M27 F31:M31" showDropDown="0" showInputMessage="1" showErrorMessage="1" allowBlank="1" imeMode="halfKatakana"/>
    <dataValidation sqref="K57:N57 T57:V57" showDropDown="0" showInputMessage="1" showErrorMessage="1" allowBlank="1" type="list" imeMode="halfAlpha">
      <formula1>"　,１,２,３,４,５,６,７,８,９,１０,１１,１２,１３,１４,１５,１６,１７,１８,１９,２０,２１,２２,２３,２４"</formula1>
    </dataValidation>
    <dataValidation sqref="N45:O45 U45:W45" showDropDown="0" showInputMessage="1" showErrorMessage="1" allowBlank="1" type="list" imeMode="fullAlpha">
      <formula1>"　,１,２,３,４,５,６,７,８,９,１０,１１,１２,１３,１４,１５,１６,１７,１８,１９,２０,２１,２２,２３,２４"</formula1>
    </dataValidation>
    <dataValidation sqref="N48 N51 U48:V48 U51:V51" showDropDown="0" showInputMessage="1" showErrorMessage="1" allowBlank="1" type="list">
      <formula1>"　,１,２,３,４,５,６,７,８,９,１０,１１,１２,１３,１４,１５,１６,１７,１８,１９,２０,２１,２２,２３,２４"</formula1>
    </dataValidation>
    <dataValidation sqref="K42:R43 K54:R55 K60 P60 U60 Z60 AE60" showDropDown="0" showInputMessage="1" showErrorMessage="1" allowBlank="1" type="list">
      <formula1>"　,○"</formula1>
    </dataValidation>
    <dataValidation sqref="K61:AH61" showDropDown="0" showInputMessage="1" showErrorMessage="1" allowBlank="1" type="list">
      <formula1>"　,運営規程に定めるとおり"</formula1>
    </dataValidation>
    <dataValidation sqref="I10:K10 K40:O40 P57:Q57 Q45:R45 T13:X13 T23:X23 T27:X27 T31:X31 U12:V12 X10:Z10 X57:Y57 X68 Y2:AH3 Y12:Z12 Y45:Z45 AB68:AD68 AC12:AD12 AF68" showDropDown="0" showInputMessage="1" showErrorMessage="1" allowBlank="1" imeMode="fullAlpha"/>
  </dataValidations>
  <pageMargins left="0.6899999999999999" right="0.5905511811023623" top="0.3937007874015748" bottom="0.3937007874015748" header="0.5118110236220472" footer="0.5118110236220472"/>
  <pageSetup orientation="portrait" paperSize="9" scale="97"/>
  <legacyDrawing xmlns:r="http://schemas.openxmlformats.org/officeDocument/2006/relationships" r:id="anysvml"/>
</worksheet>
</file>

<file path=xl/worksheets/sheet7.xml><?xml version="1.0" encoding="utf-8"?>
<worksheet xmlns="http://schemas.openxmlformats.org/spreadsheetml/2006/main">
  <sheetPr codeName="Sheet6">
    <outlinePr summaryBelow="1" summaryRight="1"/>
    <pageSetUpPr/>
  </sheetPr>
  <dimension ref="A1:AN73"/>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3"/>
    <col width="5.125" customWidth="1" style="1667" min="34" max="34"/>
    <col width="2.625" customWidth="1" style="1667" min="35" max="35"/>
    <col width="9" customWidth="1" style="1667" min="36" max="16384"/>
  </cols>
  <sheetData>
    <row r="1" ht="17.1" customHeight="1" s="4080" thickBot="1">
      <c r="A1" s="1213" t="inlineStr">
        <is>
          <t>付表３ （特定・一般・障害児）相談支援事業の指定に係る記載事項</t>
        </is>
      </c>
      <c r="AN1" s="719">
        <f>HYPERLINK("#目次!A1","目次へ戻る")</f>
        <v/>
      </c>
    </row>
    <row r="2" ht="15" customHeight="1" s="4080">
      <c r="B2" s="45" t="n"/>
      <c r="C2" s="45" t="n"/>
      <c r="E2" s="1889" t="n"/>
      <c r="F2" s="1889" t="n"/>
      <c r="G2" s="1889" t="n"/>
      <c r="H2" s="1889" t="n"/>
      <c r="I2" s="1889" t="n"/>
      <c r="J2" s="2069" t="n"/>
      <c r="K2" s="1889" t="n"/>
      <c r="L2" s="1889" t="n"/>
      <c r="M2" s="1889" t="n"/>
      <c r="N2" s="1889" t="n"/>
      <c r="O2" s="1889" t="n"/>
      <c r="P2" s="45" t="n"/>
      <c r="Q2" s="1889" t="n"/>
      <c r="R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5" customHeight="1" s="4080">
      <c r="A4" s="4179" t="inlineStr">
        <is>
          <t>事業所</t>
        </is>
      </c>
      <c r="B4" s="4082" t="n"/>
      <c r="C4" s="4180" t="inlineStr">
        <is>
          <t>ﾌﾘｶﾞﾅ</t>
        </is>
      </c>
      <c r="D4" s="4093" t="n"/>
      <c r="E4" s="4094" t="n"/>
      <c r="F4" s="4236" t="inlineStr">
        <is>
          <t>ﾅｶﾉｼﾏｿｳﾀﾞﾝｼｴﾝｾﾝﾀｰ</t>
        </is>
      </c>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5" customHeight="1" s="4080">
      <c r="A5" s="4097" t="n"/>
      <c r="C5" s="4181" t="inlineStr">
        <is>
          <t>名　称</t>
        </is>
      </c>
      <c r="D5" s="4098" t="n"/>
      <c r="E5" s="4099" t="n"/>
      <c r="F5" s="4237" t="inlineStr">
        <is>
          <t>中之島相談支援センター</t>
        </is>
      </c>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5"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5" customHeight="1" s="4080">
      <c r="A7" s="4097" t="n"/>
      <c r="C7" s="4268" t="inlineStr">
        <is>
          <t>所在地</t>
        </is>
      </c>
      <c r="D7" s="4098" t="n"/>
      <c r="E7" s="4099" t="n"/>
      <c r="F7" s="1244" t="inlineStr">
        <is>
          <t>郵便番号（</t>
        </is>
      </c>
      <c r="G7" s="4098" t="n"/>
      <c r="H7" s="4098" t="n"/>
      <c r="I7" s="4098" t="n"/>
      <c r="J7" s="1246" t="inlineStr">
        <is>
          <t>５３０－８２０１</t>
        </is>
      </c>
      <c r="K7" s="4098" t="n"/>
      <c r="L7" s="4098" t="n"/>
      <c r="M7" s="4098" t="n"/>
      <c r="N7" s="4098" t="n"/>
      <c r="O7" s="1329" t="inlineStr">
        <is>
          <t>）</t>
        </is>
      </c>
      <c r="P7" s="4238" t="inlineStr">
        <is>
          <t>中之島１－３－２０</t>
        </is>
      </c>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1478" t="inlineStr">
        <is>
          <t>北</t>
        </is>
      </c>
      <c r="N8" s="1260" t="inlineStr">
        <is>
          <t>区</t>
        </is>
      </c>
      <c r="AH8" s="4109" t="n"/>
    </row>
    <row r="9" ht="3.95" customHeight="1" s="4080">
      <c r="A9" s="4097" t="n"/>
      <c r="C9" s="4106" t="n"/>
      <c r="E9" s="4107"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1479" t="inlineStr">
        <is>
          <t>０６</t>
        </is>
      </c>
      <c r="J10" s="4110" t="n"/>
      <c r="K10" s="4110" t="n"/>
      <c r="L10" s="53" t="inlineStr">
        <is>
          <t>－</t>
        </is>
      </c>
      <c r="M10" s="1481" t="inlineStr">
        <is>
          <t>６２４１</t>
        </is>
      </c>
      <c r="N10" s="4110" t="n"/>
      <c r="O10" s="4110" t="n"/>
      <c r="P10" s="53" t="inlineStr">
        <is>
          <t>－</t>
        </is>
      </c>
      <c r="Q10" s="1482" t="inlineStr">
        <is>
          <t>６５２０</t>
        </is>
      </c>
      <c r="R10" s="4110" t="n"/>
      <c r="S10" s="4111" t="n"/>
      <c r="T10" s="4184" t="inlineStr">
        <is>
          <t>ＦＡＸ番号</t>
        </is>
      </c>
      <c r="U10" s="4110" t="n"/>
      <c r="V10" s="4110" t="n"/>
      <c r="W10" s="4111" t="n"/>
      <c r="X10" s="1479" t="inlineStr">
        <is>
          <t>０６</t>
        </is>
      </c>
      <c r="Y10" s="4110" t="n"/>
      <c r="Z10" s="4110" t="n"/>
      <c r="AA10" s="53" t="inlineStr">
        <is>
          <t>－</t>
        </is>
      </c>
      <c r="AB10" s="1481" t="inlineStr">
        <is>
          <t>６２４１</t>
        </is>
      </c>
      <c r="AC10" s="4110" t="n"/>
      <c r="AD10" s="4110" t="n"/>
      <c r="AE10" s="53" t="inlineStr">
        <is>
          <t>－</t>
        </is>
      </c>
      <c r="AF10" s="1483" t="inlineStr">
        <is>
          <t>６６０８</t>
        </is>
      </c>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239" t="inlineStr">
        <is>
          <t>fa0260@city.osaka.lg.jp</t>
        </is>
      </c>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1150" t="inlineStr">
        <is>
          <t>２</t>
        </is>
      </c>
      <c r="V12" s="4110" t="n"/>
      <c r="W12" s="1264" t="inlineStr">
        <is>
          <t>条第</t>
        </is>
      </c>
      <c r="X12" s="4110" t="n"/>
      <c r="Y12" s="1150" t="inlineStr">
        <is>
          <t>１</t>
        </is>
      </c>
      <c r="Z12" s="4110" t="n"/>
      <c r="AA12" s="1264" t="inlineStr">
        <is>
          <t>項第</t>
        </is>
      </c>
      <c r="AB12" s="4110" t="n"/>
      <c r="AC12" s="1150" t="inlineStr">
        <is>
          <t>１３</t>
        </is>
      </c>
      <c r="AD12" s="4110" t="n"/>
      <c r="AE12" s="1264" t="inlineStr">
        <is>
          <t>号（</t>
        </is>
      </c>
      <c r="AF12" s="4110" t="n"/>
      <c r="AG12" s="1150" t="inlineStr">
        <is>
          <t>イ</t>
        </is>
      </c>
      <c r="AH12" s="2827" t="inlineStr">
        <is>
          <t>）</t>
        </is>
      </c>
    </row>
    <row r="13" ht="15.95" customHeight="1" s="4080">
      <c r="A13" s="4188" t="inlineStr">
        <is>
          <t>管　　理　　者</t>
        </is>
      </c>
      <c r="B13" s="4099" t="n"/>
      <c r="C13" s="2163" t="inlineStr">
        <is>
          <t>ﾌﾘｶﾞﾅ</t>
        </is>
      </c>
      <c r="D13" s="4110" t="n"/>
      <c r="E13" s="4111" t="n"/>
      <c r="F13" s="1487" t="inlineStr">
        <is>
          <t>ｵｵｻｶ</t>
        </is>
      </c>
      <c r="G13" s="4110" t="n"/>
      <c r="H13" s="4110" t="n"/>
      <c r="I13" s="4189" t="n"/>
      <c r="J13" s="1488" t="inlineStr">
        <is>
          <t>ﾀﾛｳ</t>
        </is>
      </c>
      <c r="K13" s="4110" t="n"/>
      <c r="L13" s="4110" t="n"/>
      <c r="M13" s="4189" t="n"/>
      <c r="N13" s="4185" t="inlineStr">
        <is>
          <t>住所</t>
        </is>
      </c>
      <c r="O13" s="4099" t="n"/>
      <c r="P13" s="1244" t="inlineStr">
        <is>
          <t>郵便番号（</t>
        </is>
      </c>
      <c r="Q13" s="4098" t="n"/>
      <c r="R13" s="4098" t="n"/>
      <c r="S13" s="4098" t="n"/>
      <c r="T13" s="1718" t="inlineStr">
        <is>
          <t>５４０－０００８</t>
        </is>
      </c>
      <c r="U13" s="4098" t="n"/>
      <c r="V13" s="4098" t="n"/>
      <c r="W13" s="4098" t="n"/>
      <c r="X13" s="4098" t="n"/>
      <c r="Y13" s="1329" t="inlineStr">
        <is>
          <t>）</t>
        </is>
      </c>
      <c r="Z13" s="1017" t="n"/>
      <c r="AA13" s="1017" t="n"/>
      <c r="AB13" s="1017" t="n"/>
      <c r="AC13" s="1017" t="n"/>
      <c r="AD13" s="1017" t="n"/>
      <c r="AE13" s="1017" t="n"/>
      <c r="AF13" s="1017" t="n"/>
      <c r="AG13" s="1017" t="n"/>
      <c r="AH13" s="1424" t="n"/>
    </row>
    <row r="14" ht="14.1" customHeight="1" s="4080" thickBot="1">
      <c r="A14" s="4097" t="n"/>
      <c r="B14" s="4107" t="n"/>
      <c r="C14" s="2178" t="inlineStr">
        <is>
          <t>氏　名</t>
        </is>
      </c>
      <c r="D14" s="4098" t="n"/>
      <c r="E14" s="4099" t="n"/>
      <c r="F14" s="1487" t="inlineStr">
        <is>
          <t>大阪</t>
        </is>
      </c>
      <c r="G14" s="4098" t="n"/>
      <c r="H14" s="4098" t="n"/>
      <c r="I14" s="4190" t="n"/>
      <c r="J14" s="1488" t="inlineStr">
        <is>
          <t>太郎</t>
        </is>
      </c>
      <c r="K14" s="4098" t="n"/>
      <c r="L14" s="4098" t="n"/>
      <c r="M14" s="4190" t="n"/>
      <c r="N14" s="4106" t="n"/>
      <c r="O14" s="4107" t="n"/>
      <c r="P14" s="1509" t="inlineStr">
        <is>
          <t>大阪</t>
        </is>
      </c>
      <c r="R14" s="2378" t="inlineStr">
        <is>
          <t>都</t>
        </is>
      </c>
      <c r="S14" s="2378" t="inlineStr">
        <is>
          <t>道</t>
        </is>
      </c>
      <c r="T14" s="1510" t="inlineStr">
        <is>
          <t>大阪</t>
        </is>
      </c>
      <c r="W14" s="2378" t="inlineStr">
        <is>
          <t>郡</t>
        </is>
      </c>
      <c r="X14" s="1512" t="inlineStr">
        <is>
          <t>中央区大手前○丁目○番○号　△△ハイツ△号</t>
        </is>
      </c>
      <c r="AH14" s="4109" t="n"/>
    </row>
    <row r="15" ht="12" customHeight="1" s="4080" thickBot="1">
      <c r="A15" s="4097" t="n"/>
      <c r="B15" s="4107" t="n"/>
      <c r="C15" s="4106" t="n"/>
      <c r="E15" s="4107" t="n"/>
      <c r="F15" s="4106" t="n"/>
      <c r="I15" s="4191" t="n"/>
      <c r="J15" s="4192" t="n"/>
      <c r="M15" s="4191" t="n"/>
      <c r="N15" s="4106" t="n"/>
      <c r="O15" s="4107" t="n"/>
      <c r="P15" s="4106" t="n"/>
      <c r="R15" s="123" t="inlineStr">
        <is>
          <t>府</t>
        </is>
      </c>
      <c r="S15" s="2378" t="inlineStr">
        <is>
          <t>県</t>
        </is>
      </c>
      <c r="W15" s="123" t="inlineStr">
        <is>
          <t>市</t>
        </is>
      </c>
      <c r="AH15" s="4109" t="n"/>
    </row>
    <row r="16" ht="3.95" customHeight="1" s="4080">
      <c r="A16" s="4097" t="n"/>
      <c r="B16" s="4107" t="n"/>
      <c r="C16" s="4106" t="n"/>
      <c r="E16" s="4107"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17.25" customHeight="1" s="4080">
      <c r="A17" s="4097" t="n"/>
      <c r="B17" s="4107" t="n"/>
      <c r="C17" s="2166" t="inlineStr">
        <is>
          <t>他の事業所又は施設を兼務する場合における当該兼務する事業所等の名称等</t>
        </is>
      </c>
      <c r="D17" s="4110" t="n"/>
      <c r="E17" s="4110" t="n"/>
      <c r="F17" s="4110" t="n"/>
      <c r="G17" s="4110" t="n"/>
      <c r="H17" s="4110" t="n"/>
      <c r="I17" s="4110" t="n"/>
      <c r="J17" s="4110" t="n"/>
      <c r="K17" s="4110" t="n"/>
      <c r="L17" s="4110" t="n"/>
      <c r="M17" s="4110" t="n"/>
      <c r="N17" s="4110" t="n"/>
      <c r="O17" s="4110" t="n"/>
      <c r="P17" s="4110" t="n"/>
      <c r="Q17" s="4110" t="n"/>
      <c r="R17" s="4110" t="n"/>
      <c r="S17" s="4110" t="n"/>
      <c r="T17" s="4110" t="n"/>
      <c r="U17" s="4110" t="n"/>
      <c r="V17" s="4110" t="n"/>
      <c r="W17" s="4110" t="n"/>
      <c r="X17" s="4110" t="n"/>
      <c r="Y17" s="4110" t="n"/>
      <c r="Z17" s="4110" t="n"/>
      <c r="AA17" s="4110" t="n"/>
      <c r="AB17" s="4110" t="n"/>
      <c r="AC17" s="4110" t="n"/>
      <c r="AD17" s="4110" t="n"/>
      <c r="AE17" s="4110" t="n"/>
      <c r="AF17" s="4110" t="n"/>
      <c r="AG17" s="4110" t="n"/>
      <c r="AH17" s="4113" t="n"/>
    </row>
    <row r="18" ht="17.25" customHeight="1" s="4080">
      <c r="A18" s="4097" t="n"/>
      <c r="B18" s="4107" t="n"/>
      <c r="C18" s="4240" t="inlineStr">
        <is>
          <t>事　業　所　名</t>
        </is>
      </c>
      <c r="D18" s="4110" t="n"/>
      <c r="E18" s="4110" t="n"/>
      <c r="F18" s="4110" t="n"/>
      <c r="G18" s="4110" t="n"/>
      <c r="H18" s="4110" t="n"/>
      <c r="I18" s="4110" t="n"/>
      <c r="J18" s="4110" t="n"/>
      <c r="K18" s="4110" t="n"/>
      <c r="L18" s="4189" t="n"/>
      <c r="M18" s="4241" t="inlineStr">
        <is>
          <t>サービス種別</t>
        </is>
      </c>
      <c r="N18" s="4110" t="n"/>
      <c r="O18" s="4110" t="n"/>
      <c r="P18" s="4110" t="n"/>
      <c r="Q18" s="4110" t="n"/>
      <c r="R18" s="4110" t="n"/>
      <c r="S18" s="4110" t="n"/>
      <c r="T18" s="4110" t="n"/>
      <c r="U18" s="4110" t="n"/>
      <c r="V18" s="4110" t="n"/>
      <c r="W18" s="4110" t="n"/>
      <c r="X18" s="4189" t="n"/>
      <c r="Y18" s="4242" t="inlineStr">
        <is>
          <t>職　　　種</t>
        </is>
      </c>
      <c r="Z18" s="4110" t="n"/>
      <c r="AA18" s="4110" t="n"/>
      <c r="AB18" s="4110" t="n"/>
      <c r="AC18" s="4110" t="n"/>
      <c r="AD18" s="4110" t="n"/>
      <c r="AE18" s="4110" t="n"/>
      <c r="AF18" s="4110" t="n"/>
      <c r="AG18" s="4110" t="n"/>
      <c r="AH18" s="4113" t="n"/>
    </row>
    <row r="19" ht="15" customHeight="1" s="4080">
      <c r="A19" s="4097" t="n"/>
      <c r="B19" s="4107" t="n"/>
      <c r="C19" s="4243" t="inlineStr">
        <is>
          <t>大阪市障がい福祉サービス</t>
        </is>
      </c>
      <c r="D19" s="4138" t="n"/>
      <c r="E19" s="4138" t="n"/>
      <c r="F19" s="4138" t="n"/>
      <c r="G19" s="4138" t="n"/>
      <c r="H19" s="4138" t="n"/>
      <c r="I19" s="4138" t="n"/>
      <c r="J19" s="4138" t="n"/>
      <c r="K19" s="4138" t="n"/>
      <c r="L19" s="4198" t="n"/>
      <c r="M19" s="4244" t="inlineStr">
        <is>
          <t>就労継続支援B型</t>
        </is>
      </c>
      <c r="N19" s="4138" t="n"/>
      <c r="O19" s="4138" t="n"/>
      <c r="P19" s="4138" t="n"/>
      <c r="Q19" s="4138" t="n"/>
      <c r="R19" s="4138" t="n"/>
      <c r="S19" s="4138" t="n"/>
      <c r="T19" s="4138" t="n"/>
      <c r="U19" s="4138" t="n"/>
      <c r="V19" s="4138" t="n"/>
      <c r="W19" s="4138" t="n"/>
      <c r="X19" s="4198" t="n"/>
      <c r="Y19" s="4245" t="inlineStr">
        <is>
          <t>管理者</t>
        </is>
      </c>
      <c r="Z19" s="4138" t="n"/>
      <c r="AA19" s="4138" t="n"/>
      <c r="AB19" s="4138" t="n"/>
      <c r="AC19" s="4138" t="n"/>
      <c r="AD19" s="4138" t="n"/>
      <c r="AE19" s="4138" t="n"/>
      <c r="AF19" s="4138" t="n"/>
      <c r="AG19" s="4138" t="n"/>
      <c r="AH19" s="4246" t="n"/>
    </row>
    <row r="20" ht="15" customHeight="1" s="4080">
      <c r="A20" s="4097" t="n"/>
      <c r="B20" s="4107" t="n"/>
      <c r="C20" s="1339" t="n"/>
      <c r="D20" s="4199" t="n"/>
      <c r="E20" s="4199" t="n"/>
      <c r="F20" s="4199" t="n"/>
      <c r="G20" s="4199" t="n"/>
      <c r="H20" s="4199" t="n"/>
      <c r="I20" s="4199" t="n"/>
      <c r="J20" s="4199" t="n"/>
      <c r="K20" s="4199" t="n"/>
      <c r="L20" s="4200" t="n"/>
      <c r="M20" s="1340" t="n"/>
      <c r="N20" s="4199" t="n"/>
      <c r="O20" s="4199" t="n"/>
      <c r="P20" s="4199" t="n"/>
      <c r="Q20" s="4199" t="n"/>
      <c r="R20" s="4199" t="n"/>
      <c r="S20" s="4199" t="n"/>
      <c r="T20" s="4199" t="n"/>
      <c r="U20" s="4199" t="n"/>
      <c r="V20" s="4199" t="n"/>
      <c r="W20" s="4199" t="n"/>
      <c r="X20" s="4200" t="n"/>
      <c r="Y20" s="1342" t="n"/>
      <c r="Z20" s="4199" t="n"/>
      <c r="AA20" s="4199" t="n"/>
      <c r="AB20" s="4199" t="n"/>
      <c r="AC20" s="4199" t="n"/>
      <c r="AD20" s="4199" t="n"/>
      <c r="AE20" s="4199" t="n"/>
      <c r="AF20" s="4199" t="n"/>
      <c r="AG20" s="4199" t="n"/>
      <c r="AH20" s="4247" t="n"/>
    </row>
    <row r="21" ht="15" customHeight="1" s="4080">
      <c r="A21" s="4097" t="n"/>
      <c r="B21" s="4107" t="n"/>
      <c r="C21" s="1339" t="n"/>
      <c r="D21" s="4199" t="n"/>
      <c r="E21" s="4199" t="n"/>
      <c r="F21" s="4199" t="n"/>
      <c r="G21" s="4199" t="n"/>
      <c r="H21" s="4199" t="n"/>
      <c r="I21" s="4199" t="n"/>
      <c r="J21" s="4199" t="n"/>
      <c r="K21" s="4199" t="n"/>
      <c r="L21" s="4200" t="n"/>
      <c r="M21" s="1340" t="n"/>
      <c r="N21" s="4199" t="n"/>
      <c r="O21" s="4199" t="n"/>
      <c r="P21" s="4199" t="n"/>
      <c r="Q21" s="4199" t="n"/>
      <c r="R21" s="4199" t="n"/>
      <c r="S21" s="4199" t="n"/>
      <c r="T21" s="4199" t="n"/>
      <c r="U21" s="4199" t="n"/>
      <c r="V21" s="4199" t="n"/>
      <c r="W21" s="4199" t="n"/>
      <c r="X21" s="4200" t="n"/>
      <c r="Y21" s="1342" t="n"/>
      <c r="Z21" s="4199" t="n"/>
      <c r="AA21" s="4199" t="n"/>
      <c r="AB21" s="4199" t="n"/>
      <c r="AC21" s="4199" t="n"/>
      <c r="AD21" s="4199" t="n"/>
      <c r="AE21" s="4199" t="n"/>
      <c r="AF21" s="4199" t="n"/>
      <c r="AG21" s="4199" t="n"/>
      <c r="AH21" s="4247" t="n"/>
    </row>
    <row r="22" ht="15" customHeight="1" s="4080">
      <c r="A22" s="4097" t="n"/>
      <c r="B22" s="4107" t="n"/>
      <c r="C22" s="4248" t="n"/>
      <c r="D22" s="4140" t="n"/>
      <c r="E22" s="4140" t="n"/>
      <c r="F22" s="4140" t="n"/>
      <c r="G22" s="4140" t="n"/>
      <c r="H22" s="4140" t="n"/>
      <c r="I22" s="4140" t="n"/>
      <c r="J22" s="4140" t="n"/>
      <c r="K22" s="4140" t="n"/>
      <c r="L22" s="4249" t="n"/>
      <c r="M22" s="4250" t="n"/>
      <c r="N22" s="4140" t="n"/>
      <c r="O22" s="4140" t="n"/>
      <c r="P22" s="4140" t="n"/>
      <c r="Q22" s="4140" t="n"/>
      <c r="R22" s="4140" t="n"/>
      <c r="S22" s="4140" t="n"/>
      <c r="T22" s="4140" t="n"/>
      <c r="U22" s="4140" t="n"/>
      <c r="V22" s="4140" t="n"/>
      <c r="W22" s="4140" t="n"/>
      <c r="X22" s="4249" t="n"/>
      <c r="Y22" s="4251" t="n"/>
      <c r="Z22" s="4140" t="n"/>
      <c r="AA22" s="4140" t="n"/>
      <c r="AB22" s="4140" t="n"/>
      <c r="AC22" s="4140" t="n"/>
      <c r="AD22" s="4140" t="n"/>
      <c r="AE22" s="4140" t="n"/>
      <c r="AF22" s="4140" t="n"/>
      <c r="AG22" s="4140" t="n"/>
      <c r="AH22" s="4252" t="n"/>
    </row>
    <row r="23" ht="15.95" customHeight="1" s="4080">
      <c r="A23" s="4269" t="inlineStr">
        <is>
          <t>相談支援専門員</t>
        </is>
      </c>
      <c r="B23" s="4270" t="inlineStr">
        <is>
          <t>１</t>
        </is>
      </c>
      <c r="C23" s="2163" t="inlineStr">
        <is>
          <t>ﾌﾘｶﾞﾅ</t>
        </is>
      </c>
      <c r="D23" s="4110" t="n"/>
      <c r="E23" s="4111" t="n"/>
      <c r="F23" s="1487" t="inlineStr">
        <is>
          <t>ｶﾝｻｲ</t>
        </is>
      </c>
      <c r="G23" s="4110" t="n"/>
      <c r="H23" s="4110" t="n"/>
      <c r="I23" s="4189" t="n"/>
      <c r="J23" s="1488" t="inlineStr">
        <is>
          <t>ｼﾞﾛｳ</t>
        </is>
      </c>
      <c r="K23" s="4110" t="n"/>
      <c r="L23" s="4110" t="n"/>
      <c r="M23" s="4189" t="n"/>
      <c r="N23" s="4185" t="inlineStr">
        <is>
          <t>住所</t>
        </is>
      </c>
      <c r="O23" s="4099" t="n"/>
      <c r="P23" s="1244" t="inlineStr">
        <is>
          <t>郵便番号（</t>
        </is>
      </c>
      <c r="Q23" s="4098" t="n"/>
      <c r="R23" s="4098" t="n"/>
      <c r="S23" s="4098" t="n"/>
      <c r="T23" s="1718" t="inlineStr">
        <is>
          <t>５４０－０００８</t>
        </is>
      </c>
      <c r="U23" s="4098" t="n"/>
      <c r="V23" s="4098" t="n"/>
      <c r="W23" s="4098" t="n"/>
      <c r="X23" s="4098" t="n"/>
      <c r="Y23" s="1329" t="inlineStr">
        <is>
          <t>）</t>
        </is>
      </c>
      <c r="Z23" s="1017" t="n"/>
      <c r="AA23" s="1017" t="n"/>
      <c r="AB23" s="1017" t="n"/>
      <c r="AC23" s="1017" t="n"/>
      <c r="AD23" s="1017" t="n"/>
      <c r="AE23" s="1017" t="n"/>
      <c r="AF23" s="1017" t="n"/>
      <c r="AG23" s="1017" t="n"/>
      <c r="AH23" s="1424" t="n"/>
    </row>
    <row r="24" ht="14.1" customHeight="1" s="4080">
      <c r="A24" s="4097" t="n"/>
      <c r="B24" s="4122" t="n"/>
      <c r="C24" s="2178" t="inlineStr">
        <is>
          <t>氏　名</t>
        </is>
      </c>
      <c r="D24" s="4098" t="n"/>
      <c r="E24" s="4099" t="n"/>
      <c r="F24" s="1487" t="inlineStr">
        <is>
          <t>関西</t>
        </is>
      </c>
      <c r="G24" s="4098" t="n"/>
      <c r="H24" s="4098" t="n"/>
      <c r="I24" s="4190" t="n"/>
      <c r="J24" s="1488" t="inlineStr">
        <is>
          <t>次郎</t>
        </is>
      </c>
      <c r="K24" s="4098" t="n"/>
      <c r="L24" s="4098" t="n"/>
      <c r="M24" s="4190" t="n"/>
      <c r="N24" s="4106" t="n"/>
      <c r="O24" s="4107" t="n"/>
      <c r="P24" s="1509" t="inlineStr">
        <is>
          <t>大阪</t>
        </is>
      </c>
      <c r="R24" s="2378" t="inlineStr">
        <is>
          <t>都</t>
        </is>
      </c>
      <c r="S24" s="2378" t="inlineStr">
        <is>
          <t>道</t>
        </is>
      </c>
      <c r="T24" s="1510" t="inlineStr">
        <is>
          <t>大阪</t>
        </is>
      </c>
      <c r="W24" s="2378" t="inlineStr">
        <is>
          <t>郡</t>
        </is>
      </c>
      <c r="X24" s="1512" t="inlineStr">
        <is>
          <t>中央区大手前○丁目○番○号</t>
        </is>
      </c>
      <c r="AH24" s="4109" t="n"/>
    </row>
    <row r="25" ht="12" customHeight="1" s="4080">
      <c r="A25" s="4097" t="n"/>
      <c r="B25" s="4122" t="n"/>
      <c r="C25" s="4106" t="n"/>
      <c r="E25" s="4107" t="n"/>
      <c r="F25" s="4106" t="n"/>
      <c r="I25" s="4191" t="n"/>
      <c r="J25" s="4192" t="n"/>
      <c r="M25" s="4191" t="n"/>
      <c r="N25" s="4106" t="n"/>
      <c r="O25" s="4107" t="n"/>
      <c r="P25" s="4106" t="n"/>
      <c r="R25" s="79" t="inlineStr">
        <is>
          <t>府</t>
        </is>
      </c>
      <c r="S25" s="2378" t="inlineStr">
        <is>
          <t>県</t>
        </is>
      </c>
      <c r="W25" s="79" t="inlineStr">
        <is>
          <t>市</t>
        </is>
      </c>
      <c r="AH25" s="4109" t="n"/>
    </row>
    <row r="26" ht="3.95" customHeight="1" s="4080">
      <c r="A26" s="4097" t="n"/>
      <c r="B26" s="4124" t="n"/>
      <c r="C26" s="4106" t="n"/>
      <c r="E26" s="4107" t="n"/>
      <c r="F26" s="4102" t="n"/>
      <c r="G26" s="4103" t="n"/>
      <c r="H26" s="4103" t="n"/>
      <c r="I26" s="4193" t="n"/>
      <c r="J26" s="4194" t="n"/>
      <c r="K26" s="4103" t="n"/>
      <c r="L26" s="4103" t="n"/>
      <c r="M26" s="4193" t="n"/>
      <c r="N26" s="4102" t="n"/>
      <c r="O26" s="4104" t="n"/>
      <c r="P26" s="4102" t="n"/>
      <c r="Q26" s="4103" t="n"/>
      <c r="R26" s="1810" t="n"/>
      <c r="S26" s="1810" t="n"/>
      <c r="T26" s="4103" t="n"/>
      <c r="U26" s="4103" t="n"/>
      <c r="V26" s="4103" t="n"/>
      <c r="W26" s="1810" t="n"/>
      <c r="AH26" s="4109" t="n"/>
    </row>
    <row r="27" ht="14.1" customHeight="1" s="4080">
      <c r="A27" s="4097" t="n"/>
      <c r="B27" s="4270" t="inlineStr">
        <is>
          <t>２</t>
        </is>
      </c>
      <c r="C27" s="2163" t="inlineStr">
        <is>
          <t>ﾌﾘｶﾞﾅ</t>
        </is>
      </c>
      <c r="D27" s="4110" t="n"/>
      <c r="E27" s="4111" t="n"/>
      <c r="F27" s="1487" t="inlineStr">
        <is>
          <t>ﾖﾄﾞﾔﾊﾞｼ</t>
        </is>
      </c>
      <c r="G27" s="4110" t="n"/>
      <c r="H27" s="4110" t="n"/>
      <c r="I27" s="4189" t="n"/>
      <c r="J27" s="1151" t="inlineStr">
        <is>
          <t>ﾊﾅｺ</t>
        </is>
      </c>
      <c r="K27" s="4110" t="n"/>
      <c r="L27" s="4110" t="n"/>
      <c r="M27" s="4111" t="n"/>
      <c r="N27" s="2164" t="inlineStr">
        <is>
          <t>住所</t>
        </is>
      </c>
      <c r="O27" s="4099" t="n"/>
      <c r="P27" s="1244" t="inlineStr">
        <is>
          <t>郵便番号（</t>
        </is>
      </c>
      <c r="Q27" s="4098" t="n"/>
      <c r="R27" s="4098" t="n"/>
      <c r="S27" s="4098" t="n"/>
      <c r="T27" s="1742" t="inlineStr">
        <is>
          <t>５４０－０００８</t>
        </is>
      </c>
      <c r="U27" s="4098" t="n"/>
      <c r="V27" s="4098" t="n"/>
      <c r="W27" s="4098" t="n"/>
      <c r="X27" s="4098" t="n"/>
      <c r="Y27" s="1329" t="inlineStr">
        <is>
          <t>）</t>
        </is>
      </c>
      <c r="Z27" s="1017" t="n"/>
      <c r="AA27" s="1017" t="n"/>
      <c r="AB27" s="1017" t="n"/>
      <c r="AC27" s="1017" t="n"/>
      <c r="AD27" s="1017" t="n"/>
      <c r="AE27" s="120" t="n"/>
      <c r="AF27" s="119" t="n"/>
      <c r="AG27" s="119" t="n"/>
      <c r="AH27" s="118" t="n"/>
    </row>
    <row r="28" ht="14.1" customHeight="1" s="4080">
      <c r="A28" s="4097" t="n"/>
      <c r="B28" s="4122" t="n"/>
      <c r="C28" s="2178" t="inlineStr">
        <is>
          <t>氏　名</t>
        </is>
      </c>
      <c r="D28" s="4098" t="n"/>
      <c r="E28" s="4099" t="n"/>
      <c r="F28" s="1487" t="inlineStr">
        <is>
          <t>淀屋橋</t>
        </is>
      </c>
      <c r="G28" s="4098" t="n"/>
      <c r="H28" s="4098" t="n"/>
      <c r="I28" s="4190" t="n"/>
      <c r="J28" s="1151" t="inlineStr">
        <is>
          <t>花子</t>
        </is>
      </c>
      <c r="K28" s="4098" t="n"/>
      <c r="L28" s="4098" t="n"/>
      <c r="M28" s="4099" t="n"/>
      <c r="N28" s="4106" t="n"/>
      <c r="O28" s="4107" t="n"/>
      <c r="P28" s="1509" t="inlineStr">
        <is>
          <t>大阪</t>
        </is>
      </c>
      <c r="R28" s="2378" t="inlineStr">
        <is>
          <t>都</t>
        </is>
      </c>
      <c r="S28" s="2378" t="inlineStr">
        <is>
          <t>道</t>
        </is>
      </c>
      <c r="T28" s="1510" t="inlineStr">
        <is>
          <t>大阪</t>
        </is>
      </c>
      <c r="W28" s="2378" t="inlineStr">
        <is>
          <t>郡</t>
        </is>
      </c>
      <c r="X28" s="1512" t="inlineStr">
        <is>
          <t>中央区大手前○丁目○番○号　○○マンション○○○号室</t>
        </is>
      </c>
      <c r="AH28" s="4109" t="n"/>
    </row>
    <row r="29" ht="14.1" customHeight="1" s="4080">
      <c r="A29" s="4097" t="n"/>
      <c r="B29" s="4122" t="n"/>
      <c r="C29" s="4106" t="n"/>
      <c r="E29" s="4107" t="n"/>
      <c r="F29" s="4106" t="n"/>
      <c r="I29" s="4191" t="n"/>
      <c r="M29" s="4107" t="n"/>
      <c r="N29" s="4106" t="n"/>
      <c r="O29" s="4107" t="n"/>
      <c r="P29" s="4106" t="n"/>
      <c r="R29" s="79" t="inlineStr">
        <is>
          <t>府</t>
        </is>
      </c>
      <c r="S29" s="2378" t="inlineStr">
        <is>
          <t>県</t>
        </is>
      </c>
      <c r="W29" s="79" t="inlineStr">
        <is>
          <t>市</t>
        </is>
      </c>
      <c r="AH29" s="4109" t="n"/>
    </row>
    <row r="30" ht="3.95" customHeight="1" s="4080">
      <c r="A30" s="4097" t="n"/>
      <c r="B30" s="4124" t="n"/>
      <c r="C30" s="4106" t="n"/>
      <c r="E30" s="4107" t="n"/>
      <c r="F30" s="4102" t="n"/>
      <c r="G30" s="4103" t="n"/>
      <c r="H30" s="4103" t="n"/>
      <c r="I30" s="4193" t="n"/>
      <c r="J30" s="4103" t="n"/>
      <c r="K30" s="4103" t="n"/>
      <c r="L30" s="4103" t="n"/>
      <c r="M30" s="4104" t="n"/>
      <c r="N30" s="4102" t="n"/>
      <c r="O30" s="4104" t="n"/>
      <c r="P30" s="4102" t="n"/>
      <c r="Q30" s="4103" t="n"/>
      <c r="R30" s="1810" t="n"/>
      <c r="S30" s="1810" t="n"/>
      <c r="T30" s="4103" t="n"/>
      <c r="U30" s="4103" t="n"/>
      <c r="V30" s="4103" t="n"/>
      <c r="W30" s="1810" t="n"/>
      <c r="AH30" s="4109" t="n"/>
    </row>
    <row r="31" ht="14.1" customHeight="1" s="4080">
      <c r="A31" s="4097" t="n"/>
      <c r="B31" s="4270" t="inlineStr">
        <is>
          <t>３</t>
        </is>
      </c>
      <c r="C31" s="2163" t="inlineStr">
        <is>
          <t>ﾌﾘｶﾞﾅ</t>
        </is>
      </c>
      <c r="D31" s="4110" t="n"/>
      <c r="E31" s="4111" t="n"/>
      <c r="F31" s="1487" t="n"/>
      <c r="G31" s="4110" t="n"/>
      <c r="H31" s="4110" t="n"/>
      <c r="I31" s="4189" t="n"/>
      <c r="J31" s="1488" t="n"/>
      <c r="K31" s="4110" t="n"/>
      <c r="L31" s="4110" t="n"/>
      <c r="M31" s="4189" t="n"/>
      <c r="N31" s="4185" t="inlineStr">
        <is>
          <t>住所</t>
        </is>
      </c>
      <c r="O31" s="4099" t="n"/>
      <c r="P31" s="1244" t="inlineStr">
        <is>
          <t>郵便番号（</t>
        </is>
      </c>
      <c r="Q31" s="4098" t="n"/>
      <c r="R31" s="4098" t="n"/>
      <c r="S31" s="4098" t="n"/>
      <c r="T31" s="1622" t="n"/>
      <c r="U31" s="4098" t="n"/>
      <c r="V31" s="4098" t="n"/>
      <c r="W31" s="4098" t="n"/>
      <c r="X31" s="4098" t="n"/>
      <c r="Y31" s="1329" t="inlineStr">
        <is>
          <t>）</t>
        </is>
      </c>
      <c r="Z31" s="1017" t="n"/>
      <c r="AA31" s="1017" t="n"/>
      <c r="AB31" s="1017" t="n"/>
      <c r="AC31" s="1017" t="n"/>
      <c r="AD31" s="1017" t="n"/>
      <c r="AE31" s="1017" t="n"/>
      <c r="AF31" s="1017" t="n"/>
      <c r="AG31" s="1017" t="n"/>
      <c r="AH31" s="1424" t="n"/>
    </row>
    <row r="32" ht="14.1" customHeight="1" s="4080">
      <c r="A32" s="4097" t="n"/>
      <c r="B32" s="4122" t="n"/>
      <c r="C32" s="2178" t="inlineStr">
        <is>
          <t>氏　名</t>
        </is>
      </c>
      <c r="D32" s="4098" t="n"/>
      <c r="E32" s="4099" t="n"/>
      <c r="F32" s="1487" t="n"/>
      <c r="G32" s="4098" t="n"/>
      <c r="H32" s="4098" t="n"/>
      <c r="I32" s="4190" t="n"/>
      <c r="J32" s="1488" t="n"/>
      <c r="K32" s="4098" t="n"/>
      <c r="L32" s="4098" t="n"/>
      <c r="M32" s="4190" t="n"/>
      <c r="N32" s="4106" t="n"/>
      <c r="O32" s="4107" t="n"/>
      <c r="P32" s="1318" t="n"/>
      <c r="R32" s="2378" t="inlineStr">
        <is>
          <t>都</t>
        </is>
      </c>
      <c r="S32" s="2378" t="inlineStr">
        <is>
          <t>道</t>
        </is>
      </c>
      <c r="T32" s="1319" t="n"/>
      <c r="W32" s="2378" t="inlineStr">
        <is>
          <t>郡</t>
        </is>
      </c>
      <c r="X32" s="1321" t="n"/>
      <c r="AH32" s="4109" t="n"/>
    </row>
    <row r="33" ht="14.1" customHeight="1" s="4080">
      <c r="A33" s="4097" t="n"/>
      <c r="B33" s="4122" t="n"/>
      <c r="C33" s="4106" t="n"/>
      <c r="E33" s="4107" t="n"/>
      <c r="F33" s="4106" t="n"/>
      <c r="I33" s="4191" t="n"/>
      <c r="J33" s="4192" t="n"/>
      <c r="M33" s="4191" t="n"/>
      <c r="N33" s="4106" t="n"/>
      <c r="O33" s="4107" t="n"/>
      <c r="P33" s="4106" t="n"/>
      <c r="R33" s="2378" t="inlineStr">
        <is>
          <t>府</t>
        </is>
      </c>
      <c r="S33" s="2378" t="inlineStr">
        <is>
          <t>県</t>
        </is>
      </c>
      <c r="W33" s="2378" t="inlineStr">
        <is>
          <t>市</t>
        </is>
      </c>
      <c r="AH33" s="4109" t="n"/>
    </row>
    <row r="34" ht="3.95" customHeight="1" s="4080">
      <c r="A34" s="4114" t="n"/>
      <c r="B34" s="4124" t="n"/>
      <c r="C34" s="4106" t="n"/>
      <c r="E34" s="4107" t="n"/>
      <c r="F34" s="4102" t="n"/>
      <c r="G34" s="4103" t="n"/>
      <c r="H34" s="4103" t="n"/>
      <c r="I34" s="4193" t="n"/>
      <c r="J34" s="4194" t="n"/>
      <c r="K34" s="4103" t="n"/>
      <c r="L34" s="4103" t="n"/>
      <c r="M34" s="4193" t="n"/>
      <c r="N34" s="4102" t="n"/>
      <c r="O34" s="4104" t="n"/>
      <c r="P34" s="4102" t="n"/>
      <c r="Q34" s="4103" t="n"/>
      <c r="R34" s="1810" t="n"/>
      <c r="S34" s="1810" t="n"/>
      <c r="T34" s="4103" t="n"/>
      <c r="U34" s="4103" t="n"/>
      <c r="V34" s="4103" t="n"/>
      <c r="W34" s="1810" t="n"/>
      <c r="AH34" s="4109" t="n"/>
    </row>
    <row r="35" ht="22.5" customHeight="1" s="4080">
      <c r="A35" s="4271" t="inlineStr">
        <is>
          <t>職　員　の
職種・員数</t>
        </is>
      </c>
      <c r="B35" s="4099" t="n"/>
      <c r="C35" s="4272" t="inlineStr">
        <is>
          <t xml:space="preserve">　　　　　　 職種・勤務形態
常勤・非常勤の別</t>
        </is>
      </c>
      <c r="D35" s="4098" t="n"/>
      <c r="E35" s="4098" t="n"/>
      <c r="F35" s="4098" t="n"/>
      <c r="G35" s="4098" t="n"/>
      <c r="H35" s="4098" t="n"/>
      <c r="I35" s="4098" t="n"/>
      <c r="J35" s="4099" t="n"/>
      <c r="K35" s="4185" t="inlineStr">
        <is>
          <t>相談支援専門員</t>
        </is>
      </c>
      <c r="L35" s="4110" t="n"/>
      <c r="M35" s="4110" t="n"/>
      <c r="N35" s="4110" t="n"/>
      <c r="O35" s="4110" t="n"/>
      <c r="P35" s="4111" t="n"/>
      <c r="Q35" s="4273" t="inlineStr">
        <is>
          <t>地域移行支援・地域定着支援に従事する者</t>
        </is>
      </c>
      <c r="R35" s="4110" t="n"/>
      <c r="S35" s="4110" t="n"/>
      <c r="T35" s="4110" t="n"/>
      <c r="U35" s="4110" t="n"/>
      <c r="V35" s="4111" t="n"/>
      <c r="W35" s="4297" t="inlineStr">
        <is>
          <t>事務職員</t>
        </is>
      </c>
      <c r="X35" s="4110" t="n"/>
      <c r="Y35" s="4110" t="n"/>
      <c r="Z35" s="4110" t="n"/>
      <c r="AA35" s="4110" t="n"/>
      <c r="AB35" s="4111" t="n"/>
      <c r="AC35" s="117" t="n"/>
      <c r="AD35" s="117" t="n"/>
      <c r="AE35" s="117" t="n"/>
      <c r="AF35" s="117" t="n"/>
      <c r="AG35" s="117" t="n"/>
      <c r="AH35" s="116" t="n"/>
    </row>
    <row r="36" ht="15.95" customHeight="1" s="4080">
      <c r="A36" s="4097" t="n"/>
      <c r="B36" s="4107" t="n"/>
      <c r="C36" s="4102" t="n"/>
      <c r="D36" s="4103" t="n"/>
      <c r="E36" s="4103" t="n"/>
      <c r="F36" s="4103" t="n"/>
      <c r="G36" s="4103" t="n"/>
      <c r="H36" s="4103" t="n"/>
      <c r="I36" s="4103" t="n"/>
      <c r="J36" s="4104" t="n"/>
      <c r="K36" s="1617" t="inlineStr">
        <is>
          <t>専従</t>
        </is>
      </c>
      <c r="L36" s="4110" t="n"/>
      <c r="M36" s="4189" t="n"/>
      <c r="N36" s="1603" t="inlineStr">
        <is>
          <t>兼務</t>
        </is>
      </c>
      <c r="O36" s="4110" t="n"/>
      <c r="P36" s="4189" t="n"/>
      <c r="Q36" s="1617" t="inlineStr">
        <is>
          <t>専従</t>
        </is>
      </c>
      <c r="R36" s="4110" t="n"/>
      <c r="S36" s="4189" t="n"/>
      <c r="T36" s="1603" t="inlineStr">
        <is>
          <t>兼務</t>
        </is>
      </c>
      <c r="U36" s="4110" t="n"/>
      <c r="V36" s="4189" t="n"/>
      <c r="W36" s="1617" t="inlineStr">
        <is>
          <t>専従</t>
        </is>
      </c>
      <c r="X36" s="4110" t="n"/>
      <c r="Y36" s="4189" t="n"/>
      <c r="Z36" s="1603" t="inlineStr">
        <is>
          <t>兼務</t>
        </is>
      </c>
      <c r="AA36" s="4110" t="n"/>
      <c r="AB36" s="4189" t="n"/>
      <c r="AC36" s="115" t="n"/>
      <c r="AD36" s="115" t="n"/>
      <c r="AE36" s="115" t="n"/>
      <c r="AF36" s="115" t="n"/>
      <c r="AG36" s="115" t="n"/>
      <c r="AH36" s="114" t="n"/>
    </row>
    <row r="37" ht="15" customHeight="1" s="4080">
      <c r="A37" s="4097" t="n"/>
      <c r="B37" s="4107" t="n"/>
      <c r="C37" s="4184" t="inlineStr">
        <is>
          <t>従業者数</t>
        </is>
      </c>
      <c r="D37" s="4098" t="n"/>
      <c r="E37" s="4098" t="n"/>
      <c r="F37" s="4099" t="n"/>
      <c r="G37" s="4274" t="inlineStr">
        <is>
          <t>常　勤（人）</t>
        </is>
      </c>
      <c r="H37" s="4110" t="n"/>
      <c r="I37" s="4110" t="n"/>
      <c r="J37" s="4111" t="n"/>
      <c r="K37" s="4298" t="n">
        <v>1</v>
      </c>
      <c r="L37" s="4110" t="n"/>
      <c r="M37" s="4189" t="n"/>
      <c r="N37" s="4276" t="n"/>
      <c r="O37" s="4110" t="n"/>
      <c r="P37" s="4189" t="n"/>
      <c r="Q37" s="4275" t="n"/>
      <c r="R37" s="4110" t="n"/>
      <c r="S37" s="4189" t="n"/>
      <c r="T37" s="4276" t="n"/>
      <c r="U37" s="4110" t="n"/>
      <c r="V37" s="4189" t="n"/>
      <c r="W37" s="4275" t="n"/>
      <c r="X37" s="4110" t="n"/>
      <c r="Y37" s="4189" t="n"/>
      <c r="Z37" s="4299" t="n">
        <v>1</v>
      </c>
      <c r="AA37" s="4110" t="n"/>
      <c r="AB37" s="4189" t="n"/>
      <c r="AC37" s="115" t="n"/>
      <c r="AD37" s="115" t="n"/>
      <c r="AE37" s="115" t="n"/>
      <c r="AF37" s="115" t="n"/>
      <c r="AG37" s="115" t="n"/>
      <c r="AH37" s="114" t="n"/>
    </row>
    <row r="38" ht="15" customHeight="1" s="4080">
      <c r="A38" s="4097" t="n"/>
      <c r="B38" s="4107" t="n"/>
      <c r="C38" s="4102" t="n"/>
      <c r="D38" s="4103" t="n"/>
      <c r="E38" s="4103" t="n"/>
      <c r="F38" s="4104" t="n"/>
      <c r="G38" s="4274" t="inlineStr">
        <is>
          <t>非常勤（人）</t>
        </is>
      </c>
      <c r="H38" s="4110" t="n"/>
      <c r="I38" s="4110" t="n"/>
      <c r="J38" s="4111" t="n"/>
      <c r="K38" s="4298" t="n">
        <v>1</v>
      </c>
      <c r="L38" s="4110" t="n"/>
      <c r="M38" s="4189" t="n"/>
      <c r="N38" s="4276" t="n"/>
      <c r="O38" s="4110" t="n"/>
      <c r="P38" s="4189" t="n"/>
      <c r="Q38" s="4275" t="n"/>
      <c r="R38" s="4110" t="n"/>
      <c r="S38" s="4189" t="n"/>
      <c r="T38" s="4276" t="n"/>
      <c r="U38" s="4110" t="n"/>
      <c r="V38" s="4189" t="n"/>
      <c r="W38" s="4275" t="n"/>
      <c r="X38" s="4110" t="n"/>
      <c r="Y38" s="4189" t="n"/>
      <c r="Z38" s="4276" t="n"/>
      <c r="AA38" s="4110" t="n"/>
      <c r="AB38" s="4189" t="n"/>
      <c r="AC38" s="115" t="n"/>
      <c r="AD38" s="115" t="n"/>
      <c r="AE38" s="115" t="n"/>
      <c r="AF38" s="115" t="n"/>
      <c r="AG38" s="115" t="n"/>
      <c r="AH38" s="114" t="n"/>
    </row>
    <row r="39" ht="15" customHeight="1" s="4080">
      <c r="A39" s="4114" t="n"/>
      <c r="B39" s="4104" t="n"/>
      <c r="C39" s="4184" t="inlineStr">
        <is>
          <t>常勤換算後の人数（人）</t>
        </is>
      </c>
      <c r="D39" s="4110" t="n"/>
      <c r="E39" s="4110" t="n"/>
      <c r="F39" s="4110" t="n"/>
      <c r="G39" s="4110" t="n"/>
      <c r="H39" s="4110" t="n"/>
      <c r="I39" s="4110" t="n"/>
      <c r="J39" s="4111" t="n"/>
      <c r="K39" s="4300" t="n">
        <v>1</v>
      </c>
      <c r="L39" s="4110" t="n"/>
      <c r="M39" s="4110" t="n"/>
      <c r="N39" s="4110" t="n"/>
      <c r="O39" s="4110" t="n"/>
      <c r="P39" s="4111" t="n"/>
      <c r="Q39" s="4277" t="n"/>
      <c r="R39" s="4110" t="n"/>
      <c r="S39" s="4110" t="n"/>
      <c r="T39" s="4110" t="n"/>
      <c r="U39" s="4110" t="n"/>
      <c r="V39" s="4111" t="n"/>
      <c r="W39" s="4301" t="n">
        <v>1</v>
      </c>
      <c r="X39" s="4110" t="n"/>
      <c r="Y39" s="4110" t="n"/>
      <c r="Z39" s="4110" t="n"/>
      <c r="AA39" s="4110" t="n"/>
      <c r="AB39" s="4111" t="n"/>
      <c r="AC39" s="113" t="n"/>
      <c r="AD39" s="113" t="n"/>
      <c r="AE39" s="113" t="n"/>
      <c r="AF39" s="113" t="n"/>
      <c r="AG39" s="113" t="n"/>
      <c r="AH39" s="112" t="n"/>
    </row>
    <row r="40" ht="24" customHeight="1" s="4080">
      <c r="A40" s="2915" t="n"/>
      <c r="B40" s="53" t="n"/>
      <c r="C40" s="1264" t="inlineStr">
        <is>
          <t>利用者の予定数</t>
        </is>
      </c>
      <c r="D40" s="4110" t="n"/>
      <c r="E40" s="4110" t="n"/>
      <c r="F40" s="4110" t="n"/>
      <c r="G40" s="4110" t="n"/>
      <c r="H40" s="4110" t="n"/>
      <c r="I40" s="1301" t="n"/>
      <c r="J40" s="1394" t="n"/>
      <c r="K40" s="1728" t="inlineStr">
        <is>
          <t>１０</t>
        </is>
      </c>
      <c r="L40" s="4110" t="n"/>
      <c r="M40" s="4110" t="n"/>
      <c r="N40" s="4110" t="n"/>
      <c r="O40" s="4110" t="n"/>
      <c r="P40" s="110" t="inlineStr">
        <is>
          <t>人</t>
        </is>
      </c>
      <c r="Q40" s="4278" t="n"/>
      <c r="R40" s="4110" t="n"/>
      <c r="S40" s="4110" t="n"/>
      <c r="T40" s="4110" t="n"/>
      <c r="U40" s="4110" t="n"/>
      <c r="V40" s="4110" t="n"/>
      <c r="W40" s="4110" t="n"/>
      <c r="X40" s="4110" t="n"/>
      <c r="Y40" s="4110" t="n"/>
      <c r="Z40" s="4110" t="n"/>
      <c r="AA40" s="4110" t="n"/>
      <c r="AB40" s="4110" t="n"/>
      <c r="AC40" s="4110" t="n"/>
      <c r="AD40" s="4110" t="n"/>
      <c r="AE40" s="4110" t="n"/>
      <c r="AF40" s="4110" t="n"/>
      <c r="AG40" s="4110" t="n"/>
      <c r="AH40" s="4113" t="n"/>
    </row>
    <row r="41" ht="12" customHeight="1" s="4080">
      <c r="A41" s="4219" t="inlineStr">
        <is>
          <t>主　　な　　掲　　示　　事　　項</t>
        </is>
      </c>
      <c r="B41" s="4099" t="n"/>
      <c r="C41" s="1393" t="n"/>
      <c r="D41" s="1264" t="inlineStr">
        <is>
          <t>営業日</t>
        </is>
      </c>
      <c r="E41" s="4098" t="n"/>
      <c r="F41" s="4098" t="n"/>
      <c r="G41" s="4098" t="n"/>
      <c r="H41" s="4098" t="n"/>
      <c r="I41" s="4098" t="n"/>
      <c r="J41" s="4223" t="n"/>
      <c r="K41" s="2244" t="inlineStr">
        <is>
          <t>月</t>
        </is>
      </c>
      <c r="L41" s="2245" t="inlineStr">
        <is>
          <t>火</t>
        </is>
      </c>
      <c r="M41" s="2245" t="inlineStr">
        <is>
          <t>水</t>
        </is>
      </c>
      <c r="N41" s="2245" t="inlineStr">
        <is>
          <t>木</t>
        </is>
      </c>
      <c r="O41" s="2245" t="inlineStr">
        <is>
          <t>金</t>
        </is>
      </c>
      <c r="P41" s="2245" t="inlineStr">
        <is>
          <t>土</t>
        </is>
      </c>
      <c r="Q41" s="2245" t="inlineStr">
        <is>
          <t>日</t>
        </is>
      </c>
      <c r="R41" s="2249" t="inlineStr">
        <is>
          <t>祝</t>
        </is>
      </c>
      <c r="S41" s="4279" t="inlineStr">
        <is>
          <t>休業日</t>
        </is>
      </c>
      <c r="T41" s="1611" t="inlineStr">
        <is>
          <t>年末年始</t>
        </is>
      </c>
      <c r="U41" s="4098" t="n"/>
      <c r="V41" s="1717" t="inlineStr">
        <is>
          <t>12/30～1/3</t>
        </is>
      </c>
      <c r="W41" s="4098" t="n"/>
      <c r="X41" s="4098" t="n"/>
      <c r="Y41" s="4098" t="n"/>
      <c r="Z41" s="4098" t="n"/>
      <c r="AA41" s="4098" t="n"/>
      <c r="AB41" s="4099" t="n"/>
      <c r="AC41" s="4280" t="inlineStr">
        <is>
          <t>備　考</t>
        </is>
      </c>
      <c r="AD41" s="4281" t="n"/>
      <c r="AE41" s="4098" t="n"/>
      <c r="AF41" s="4098" t="n"/>
      <c r="AG41" s="4098" t="n"/>
      <c r="AH41" s="4101" t="n"/>
    </row>
    <row r="42" ht="12" customHeight="1" s="4080">
      <c r="A42" s="4097" t="n"/>
      <c r="B42" s="4107" t="n"/>
      <c r="C42" s="4106" t="n"/>
      <c r="J42" s="4107" t="n"/>
      <c r="K42" s="4302" t="inlineStr">
        <is>
          <t>○</t>
        </is>
      </c>
      <c r="L42" s="4303" t="inlineStr">
        <is>
          <t>○</t>
        </is>
      </c>
      <c r="M42" s="4303" t="inlineStr">
        <is>
          <t>○</t>
        </is>
      </c>
      <c r="N42" s="4303" t="inlineStr">
        <is>
          <t>○</t>
        </is>
      </c>
      <c r="O42" s="4303" t="inlineStr">
        <is>
          <t>○</t>
        </is>
      </c>
      <c r="P42" s="2245" t="n"/>
      <c r="Q42" s="2245" t="n"/>
      <c r="R42" s="2249" t="n"/>
      <c r="S42" s="4282" t="n"/>
      <c r="T42" s="1609" t="inlineStr">
        <is>
          <t>夏季</t>
        </is>
      </c>
      <c r="V42" s="1744" t="inlineStr">
        <is>
          <t>8/13～8/15</t>
        </is>
      </c>
      <c r="AB42" s="4107" t="n"/>
      <c r="AC42" s="4282" t="n"/>
      <c r="AD42" s="4192" t="n"/>
      <c r="AH42" s="4109" t="n"/>
    </row>
    <row r="43" ht="12" customHeight="1" s="4080">
      <c r="A43" s="4097" t="n"/>
      <c r="B43" s="4107" t="n"/>
      <c r="C43" s="4102" t="n"/>
      <c r="D43" s="4103" t="n"/>
      <c r="E43" s="4103" t="n"/>
      <c r="F43" s="4103" t="n"/>
      <c r="G43" s="4103" t="n"/>
      <c r="H43" s="4103" t="n"/>
      <c r="I43" s="4103" t="n"/>
      <c r="J43" s="4104" t="n"/>
      <c r="K43" s="4283" t="n"/>
      <c r="L43" s="4284" t="n"/>
      <c r="M43" s="4284" t="n"/>
      <c r="N43" s="4284" t="n"/>
      <c r="O43" s="4284" t="n"/>
      <c r="P43" s="4284" t="n"/>
      <c r="Q43" s="4284" t="n"/>
      <c r="R43" s="4285" t="n"/>
      <c r="S43" s="4286" t="n"/>
      <c r="T43" s="1610" t="inlineStr">
        <is>
          <t>その他</t>
        </is>
      </c>
      <c r="U43" s="4103" t="n"/>
      <c r="V43" s="940" t="n"/>
      <c r="W43" s="4103" t="n"/>
      <c r="X43" s="4103" t="n"/>
      <c r="Y43" s="4103" t="n"/>
      <c r="Z43" s="4103" t="n"/>
      <c r="AA43" s="4103" t="n"/>
      <c r="AB43" s="4104" t="n"/>
      <c r="AC43" s="4286" t="n"/>
      <c r="AD43" s="4194" t="n"/>
      <c r="AE43" s="4103" t="n"/>
      <c r="AF43" s="4103" t="n"/>
      <c r="AG43" s="4103" t="n"/>
      <c r="AH43" s="4105" t="n"/>
    </row>
    <row r="44" ht="3.95" customHeight="1" s="4080">
      <c r="A44" s="4097" t="n"/>
      <c r="B44" s="4107" t="n"/>
      <c r="C44" s="1393" t="n"/>
      <c r="D44" s="1264" t="inlineStr">
        <is>
          <t>営業時間</t>
        </is>
      </c>
      <c r="E44" s="4098" t="n"/>
      <c r="F44" s="4098" t="n"/>
      <c r="G44" s="4098" t="n"/>
      <c r="H44" s="4098" t="n"/>
      <c r="I44" s="4098" t="n"/>
      <c r="J44" s="4223" t="n"/>
      <c r="K44" s="4287" t="inlineStr">
        <is>
          <t>平日</t>
        </is>
      </c>
      <c r="L44" s="4098" t="n"/>
      <c r="M44" s="4190" t="n"/>
      <c r="N44" s="1590" t="n"/>
      <c r="O44" s="4098" t="n"/>
      <c r="P44" s="2842" t="inlineStr">
        <is>
          <t>時</t>
        </is>
      </c>
      <c r="Q44" s="1323" t="n"/>
      <c r="R44" s="1323" t="n"/>
      <c r="S44" s="4288" t="inlineStr">
        <is>
          <t>分～</t>
        </is>
      </c>
      <c r="T44" s="4098" t="n"/>
      <c r="U44" s="108" t="inlineStr">
        <is>
          <t xml:space="preserve">　</t>
        </is>
      </c>
      <c r="V44" s="1591" t="n"/>
      <c r="W44" s="4098" t="n"/>
      <c r="X44" s="2842" t="inlineStr">
        <is>
          <t>時</t>
        </is>
      </c>
      <c r="Y44" s="2834" t="n"/>
      <c r="Z44" s="2834" t="n"/>
      <c r="AA44" s="2842" t="inlineStr">
        <is>
          <t>分</t>
        </is>
      </c>
      <c r="AB44" s="2842" t="inlineStr">
        <is>
          <t>・</t>
        </is>
      </c>
      <c r="AC44" s="4098" t="n"/>
      <c r="AD44" s="1591" t="n"/>
      <c r="AE44" s="4098" t="n"/>
      <c r="AF44" s="4098" t="n"/>
      <c r="AG44" s="4098" t="n"/>
      <c r="AH44" s="4304" t="n"/>
    </row>
    <row r="45" ht="12" customHeight="1" s="4080">
      <c r="A45" s="4097" t="n"/>
      <c r="B45" s="4107" t="n"/>
      <c r="C45" s="4106" t="n"/>
      <c r="J45" s="4107" t="n"/>
      <c r="K45" s="4106" t="n"/>
      <c r="M45" s="4191" t="n"/>
      <c r="N45" s="1733" t="inlineStr">
        <is>
          <t>９</t>
        </is>
      </c>
      <c r="Q45" s="1752" t="inlineStr">
        <is>
          <t>００</t>
        </is>
      </c>
      <c r="U45" s="1734" t="inlineStr">
        <is>
          <t>１７</t>
        </is>
      </c>
      <c r="Y45" s="1732" t="inlineStr">
        <is>
          <t>００</t>
        </is>
      </c>
      <c r="AD45" s="1325" t="inlineStr">
        <is>
          <t>２４時間</t>
        </is>
      </c>
      <c r="AH45" s="4109" t="n"/>
    </row>
    <row r="46" ht="3.95" customHeight="1" s="4080">
      <c r="A46" s="4097" t="n"/>
      <c r="B46" s="4107" t="n"/>
      <c r="C46" s="4106" t="n"/>
      <c r="J46" s="4107" t="n"/>
      <c r="K46" s="4145" t="n"/>
      <c r="L46" s="4146" t="n"/>
      <c r="M46" s="4201" t="n"/>
      <c r="N46" s="1586" t="n"/>
      <c r="O46" s="4146" t="n"/>
      <c r="P46" s="4146" t="n"/>
      <c r="Q46" s="1585" t="n"/>
      <c r="R46" s="1585" t="n"/>
      <c r="S46" s="4146" t="n"/>
      <c r="T46" s="4146" t="n"/>
      <c r="U46" s="2253" t="n"/>
      <c r="V46" s="1587" t="n"/>
      <c r="W46" s="1587" t="n"/>
      <c r="X46" s="4146" t="n"/>
      <c r="Y46" s="101" t="n"/>
      <c r="Z46" s="101" t="n"/>
      <c r="AA46" s="4146" t="n"/>
      <c r="AB46" s="4146" t="n"/>
      <c r="AC46" s="4146" t="n"/>
      <c r="AD46" s="1597" t="n"/>
      <c r="AE46" s="4146" t="n"/>
      <c r="AF46" s="4146" t="n"/>
      <c r="AG46" s="4146" t="n"/>
      <c r="AH46" s="4305" t="n"/>
    </row>
    <row r="47" ht="3.95" customHeight="1" s="4080">
      <c r="A47" s="4097" t="n"/>
      <c r="B47" s="4107" t="n"/>
      <c r="C47" s="4106" t="n"/>
      <c r="J47" s="4107" t="n"/>
      <c r="K47" s="4289" t="inlineStr">
        <is>
          <t>土曜</t>
        </is>
      </c>
      <c r="L47" s="4290" t="n"/>
      <c r="M47" s="4291" t="n"/>
      <c r="N47" s="1581" t="n"/>
      <c r="O47" s="4290" t="n"/>
      <c r="P47" s="1514" t="inlineStr">
        <is>
          <t>時</t>
        </is>
      </c>
      <c r="Q47" s="1583" t="n"/>
      <c r="R47" s="1583" t="n"/>
      <c r="S47" s="4292" t="inlineStr">
        <is>
          <t>分～</t>
        </is>
      </c>
      <c r="T47" s="4290" t="n"/>
      <c r="U47" s="98" t="inlineStr">
        <is>
          <t xml:space="preserve">　</t>
        </is>
      </c>
      <c r="V47" s="1582" t="n"/>
      <c r="W47" s="1582" t="n"/>
      <c r="X47" s="1514" t="inlineStr">
        <is>
          <t>時</t>
        </is>
      </c>
      <c r="Y47" s="96" t="n"/>
      <c r="Z47" s="96" t="n"/>
      <c r="AA47" s="1514" t="inlineStr">
        <is>
          <t>分</t>
        </is>
      </c>
      <c r="AB47" s="1514" t="inlineStr">
        <is>
          <t>・</t>
        </is>
      </c>
      <c r="AC47" s="4290" t="n"/>
      <c r="AD47" s="1681" t="n"/>
      <c r="AE47" s="4290" t="n"/>
      <c r="AF47" s="4290" t="n"/>
      <c r="AG47" s="4290" t="n"/>
      <c r="AH47" s="4306" t="n"/>
    </row>
    <row r="48" ht="12" customHeight="1" s="4080">
      <c r="A48" s="4097" t="n"/>
      <c r="B48" s="4107" t="n"/>
      <c r="C48" s="4106" t="n"/>
      <c r="J48" s="4107" t="n"/>
      <c r="K48" s="4106" t="n"/>
      <c r="M48" s="4191" t="n"/>
      <c r="N48" s="1589" t="n"/>
      <c r="Q48" s="1325" t="n"/>
      <c r="U48" s="1257" t="n"/>
      <c r="Y48" s="1580" t="n"/>
      <c r="AD48" s="1325" t="inlineStr">
        <is>
          <t>２４時間</t>
        </is>
      </c>
      <c r="AH48" s="4109" t="n"/>
    </row>
    <row r="49" ht="3.95" customHeight="1" s="4080">
      <c r="A49" s="4097" t="n"/>
      <c r="B49" s="4107" t="n"/>
      <c r="C49" s="4106" t="n"/>
      <c r="J49" s="4107" t="n"/>
      <c r="K49" s="4145" t="n"/>
      <c r="L49" s="4146" t="n"/>
      <c r="M49" s="4201" t="n"/>
      <c r="N49" s="1586" t="n"/>
      <c r="O49" s="4146" t="n"/>
      <c r="P49" s="4146" t="n"/>
      <c r="Q49" s="1585" t="n"/>
      <c r="R49" s="1585" t="n"/>
      <c r="S49" s="4146" t="n"/>
      <c r="T49" s="4146" t="n"/>
      <c r="U49" s="103" t="n"/>
      <c r="V49" s="1587" t="n"/>
      <c r="W49" s="1587" t="n"/>
      <c r="X49" s="4146" t="n"/>
      <c r="Y49" s="101" t="n"/>
      <c r="Z49" s="101" t="n"/>
      <c r="AA49" s="4146" t="n"/>
      <c r="AB49" s="4146" t="n"/>
      <c r="AC49" s="4146" t="n"/>
      <c r="AD49" s="1597" t="n"/>
      <c r="AE49" s="4146" t="n"/>
      <c r="AF49" s="4146" t="n"/>
      <c r="AG49" s="4146" t="n"/>
      <c r="AH49" s="4305" t="n"/>
    </row>
    <row r="50" ht="3.95" customHeight="1" s="4080">
      <c r="A50" s="4097" t="n"/>
      <c r="B50" s="4107" t="n"/>
      <c r="C50" s="4106" t="n"/>
      <c r="J50" s="4107" t="n"/>
      <c r="K50" s="4293" t="inlineStr">
        <is>
          <t>日・祝日</t>
        </is>
      </c>
      <c r="L50" s="4290" t="n"/>
      <c r="M50" s="4291" t="n"/>
      <c r="N50" s="1581" t="n"/>
      <c r="O50" s="4290" t="n"/>
      <c r="P50" s="1521" t="inlineStr">
        <is>
          <t>時</t>
        </is>
      </c>
      <c r="Q50" s="1583" t="n"/>
      <c r="R50" s="1583" t="n"/>
      <c r="S50" s="4294" t="inlineStr">
        <is>
          <t>分～</t>
        </is>
      </c>
      <c r="T50" s="4290" t="n"/>
      <c r="U50" s="98" t="inlineStr">
        <is>
          <t xml:space="preserve">　</t>
        </is>
      </c>
      <c r="V50" s="1582" t="n"/>
      <c r="W50" s="1582" t="n"/>
      <c r="X50" s="1521" t="inlineStr">
        <is>
          <t>時</t>
        </is>
      </c>
      <c r="Y50" s="96" t="n"/>
      <c r="Z50" s="96" t="n"/>
      <c r="AA50" s="1521" t="inlineStr">
        <is>
          <t>分</t>
        </is>
      </c>
      <c r="AB50" s="1521" t="inlineStr">
        <is>
          <t>・</t>
        </is>
      </c>
      <c r="AC50" s="4290" t="n"/>
      <c r="AD50" s="1681" t="n"/>
      <c r="AE50" s="4290" t="n"/>
      <c r="AF50" s="4290" t="n"/>
      <c r="AG50" s="4290" t="n"/>
      <c r="AH50" s="4307" t="n"/>
    </row>
    <row r="51" ht="12" customHeight="1" s="4080">
      <c r="A51" s="4097" t="n"/>
      <c r="B51" s="4107" t="n"/>
      <c r="C51" s="4106" t="n"/>
      <c r="J51" s="4107" t="n"/>
      <c r="K51" s="4106" t="n"/>
      <c r="M51" s="4191" t="n"/>
      <c r="N51" s="1589" t="n"/>
      <c r="Q51" s="1325" t="n"/>
      <c r="U51" s="1257" t="n"/>
      <c r="Y51" s="1580" t="n"/>
      <c r="AD51" s="1325" t="inlineStr">
        <is>
          <t>２４時間</t>
        </is>
      </c>
      <c r="AH51" s="4109" t="n"/>
    </row>
    <row r="52" ht="3.95" customHeight="1" s="4080">
      <c r="A52" s="4097" t="n"/>
      <c r="B52" s="4107" t="n"/>
      <c r="C52" s="4102" t="n"/>
      <c r="D52" s="4103" t="n"/>
      <c r="E52" s="4103" t="n"/>
      <c r="F52" s="4103" t="n"/>
      <c r="G52" s="4103" t="n"/>
      <c r="H52" s="4103" t="n"/>
      <c r="I52" s="4103" t="n"/>
      <c r="J52" s="4104" t="n"/>
      <c r="K52" s="4102" t="n"/>
      <c r="L52" s="4103" t="n"/>
      <c r="M52" s="4193" t="n"/>
      <c r="N52" s="1588" t="n"/>
      <c r="O52" s="4103" t="n"/>
      <c r="P52" s="4103" t="n"/>
      <c r="Q52" s="1327" t="n"/>
      <c r="R52" s="1327" t="n"/>
      <c r="S52" s="4103" t="n"/>
      <c r="T52" s="4103" t="n"/>
      <c r="U52" s="92" t="n"/>
      <c r="V52" s="1258" t="n"/>
      <c r="W52" s="1258" t="n"/>
      <c r="X52" s="4103" t="n"/>
      <c r="Y52" s="2836" t="n"/>
      <c r="Z52" s="2836" t="n"/>
      <c r="AA52" s="4103" t="n"/>
      <c r="AB52" s="4103" t="n"/>
      <c r="AC52" s="4103" t="n"/>
      <c r="AD52" s="1687" t="n"/>
      <c r="AE52" s="4103" t="n"/>
      <c r="AF52" s="4103" t="n"/>
      <c r="AG52" s="4103" t="n"/>
      <c r="AH52" s="4105" t="n"/>
    </row>
    <row r="53" ht="12" customHeight="1" s="4080">
      <c r="A53" s="4097" t="n"/>
      <c r="B53" s="4107" t="n"/>
      <c r="C53" s="1322" t="n"/>
      <c r="D53" s="1643" t="inlineStr">
        <is>
          <t>サービス提供日</t>
        </is>
      </c>
      <c r="E53" s="4098" t="n"/>
      <c r="F53" s="4098" t="n"/>
      <c r="G53" s="4098" t="n"/>
      <c r="H53" s="4098" t="n"/>
      <c r="I53" s="4098" t="n"/>
      <c r="J53" s="1403" t="n"/>
      <c r="K53" s="2244" t="inlineStr">
        <is>
          <t>月</t>
        </is>
      </c>
      <c r="L53" s="2245" t="inlineStr">
        <is>
          <t>火</t>
        </is>
      </c>
      <c r="M53" s="2245" t="inlineStr">
        <is>
          <t>水</t>
        </is>
      </c>
      <c r="N53" s="2245" t="inlineStr">
        <is>
          <t>木</t>
        </is>
      </c>
      <c r="O53" s="2245" t="inlineStr">
        <is>
          <t>金</t>
        </is>
      </c>
      <c r="P53" s="2245" t="inlineStr">
        <is>
          <t>土</t>
        </is>
      </c>
      <c r="Q53" s="2245" t="inlineStr">
        <is>
          <t>日</t>
        </is>
      </c>
      <c r="R53" s="2249" t="inlineStr">
        <is>
          <t>祝</t>
        </is>
      </c>
      <c r="S53" s="4279" t="inlineStr">
        <is>
          <t>休業日</t>
        </is>
      </c>
      <c r="T53" s="1611" t="inlineStr">
        <is>
          <t>年末年始</t>
        </is>
      </c>
      <c r="U53" s="4098" t="n"/>
      <c r="V53" s="934" t="n"/>
      <c r="W53" s="4098" t="n"/>
      <c r="X53" s="4098" t="n"/>
      <c r="Y53" s="4098" t="n"/>
      <c r="Z53" s="4098" t="n"/>
      <c r="AA53" s="4098" t="n"/>
      <c r="AB53" s="4099" t="n"/>
      <c r="AC53" s="4280" t="inlineStr">
        <is>
          <t>備　考</t>
        </is>
      </c>
      <c r="AD53" s="4308" t="inlineStr">
        <is>
          <t>年中無休</t>
        </is>
      </c>
      <c r="AE53" s="4098" t="n"/>
      <c r="AF53" s="4098" t="n"/>
      <c r="AG53" s="4098" t="n"/>
      <c r="AH53" s="4101" t="n"/>
    </row>
    <row r="54" ht="12" customHeight="1" s="4080">
      <c r="A54" s="4097" t="n"/>
      <c r="B54" s="4107" t="n"/>
      <c r="C54" s="4106" t="n"/>
      <c r="J54" s="4107" t="n"/>
      <c r="K54" s="4302" t="inlineStr">
        <is>
          <t>○</t>
        </is>
      </c>
      <c r="L54" s="4303" t="inlineStr">
        <is>
          <t>○</t>
        </is>
      </c>
      <c r="M54" s="4303" t="inlineStr">
        <is>
          <t>○</t>
        </is>
      </c>
      <c r="N54" s="4303" t="inlineStr">
        <is>
          <t>○</t>
        </is>
      </c>
      <c r="O54" s="4303" t="inlineStr">
        <is>
          <t>○</t>
        </is>
      </c>
      <c r="P54" s="4303" t="inlineStr">
        <is>
          <t>○</t>
        </is>
      </c>
      <c r="Q54" s="4303" t="inlineStr">
        <is>
          <t>○</t>
        </is>
      </c>
      <c r="R54" s="4309" t="inlineStr">
        <is>
          <t>○</t>
        </is>
      </c>
      <c r="S54" s="4282" t="n"/>
      <c r="T54" s="1609" t="inlineStr">
        <is>
          <t>夏季</t>
        </is>
      </c>
      <c r="V54" s="937" t="n"/>
      <c r="AB54" s="4107" t="n"/>
      <c r="AC54" s="4282" t="n"/>
      <c r="AD54" s="4192" t="n"/>
      <c r="AH54" s="4109" t="n"/>
    </row>
    <row r="55" ht="12" customHeight="1" s="4080">
      <c r="A55" s="4097" t="n"/>
      <c r="B55" s="4107" t="n"/>
      <c r="C55" s="4106" t="n"/>
      <c r="J55" s="4107" t="n"/>
      <c r="K55" s="4283" t="n"/>
      <c r="L55" s="4284" t="n"/>
      <c r="M55" s="4284" t="n"/>
      <c r="N55" s="4284" t="n"/>
      <c r="O55" s="4284" t="n"/>
      <c r="P55" s="4284" t="n"/>
      <c r="Q55" s="4284" t="n"/>
      <c r="R55" s="4285" t="n"/>
      <c r="S55" s="4286" t="n"/>
      <c r="T55" s="1610" t="inlineStr">
        <is>
          <t>その他</t>
        </is>
      </c>
      <c r="U55" s="4103" t="n"/>
      <c r="V55" s="940" t="n"/>
      <c r="W55" s="4103" t="n"/>
      <c r="X55" s="4103" t="n"/>
      <c r="Y55" s="4103" t="n"/>
      <c r="Z55" s="4103" t="n"/>
      <c r="AA55" s="4103" t="n"/>
      <c r="AB55" s="4104" t="n"/>
      <c r="AC55" s="4286" t="n"/>
      <c r="AD55" s="4194" t="n"/>
      <c r="AE55" s="4103" t="n"/>
      <c r="AF55" s="4103" t="n"/>
      <c r="AG55" s="4103" t="n"/>
      <c r="AH55" s="4105" t="n"/>
    </row>
    <row r="56" ht="3.95" customHeight="1" s="4080">
      <c r="A56" s="4097" t="n"/>
      <c r="B56" s="4107" t="n"/>
      <c r="C56" s="1393" t="n"/>
      <c r="D56" s="1264" t="inlineStr">
        <is>
          <t>サービス提供時間</t>
        </is>
      </c>
      <c r="E56" s="4098" t="n"/>
      <c r="F56" s="4098" t="n"/>
      <c r="G56" s="4098" t="n"/>
      <c r="H56" s="4098" t="n"/>
      <c r="I56" s="4098" t="n"/>
      <c r="J56" s="4223" t="n"/>
      <c r="K56" s="4295" t="n"/>
      <c r="L56" s="4098" t="n"/>
      <c r="M56" s="4098" t="n"/>
      <c r="N56" s="4098" t="n"/>
      <c r="O56" s="4098" t="n"/>
      <c r="P56" s="4098" t="n"/>
      <c r="Q56" s="4098" t="n"/>
      <c r="R56" s="4098" t="n"/>
      <c r="S56" s="4098" t="n"/>
      <c r="T56" s="4098" t="n"/>
      <c r="U56" s="4098" t="n"/>
      <c r="V56" s="4098" t="n"/>
      <c r="W56" s="4098" t="n"/>
      <c r="X56" s="4098" t="n"/>
      <c r="Y56" s="4098" t="n"/>
      <c r="Z56" s="4098" t="n"/>
      <c r="AA56" s="4098" t="n"/>
      <c r="AB56" s="4098" t="n"/>
      <c r="AC56" s="4098" t="n"/>
      <c r="AD56" s="4098" t="n"/>
      <c r="AE56" s="4098" t="n"/>
      <c r="AF56" s="4098" t="n"/>
      <c r="AG56" s="4098" t="n"/>
      <c r="AH56" s="4101" t="n"/>
    </row>
    <row r="57" ht="12" customHeight="1" s="4080">
      <c r="A57" s="4097" t="n"/>
      <c r="B57" s="4107" t="n"/>
      <c r="C57" s="4106" t="n"/>
      <c r="J57" s="4107" t="n"/>
      <c r="K57" s="1706" t="inlineStr">
        <is>
          <t>８</t>
        </is>
      </c>
      <c r="O57" s="1325" t="inlineStr">
        <is>
          <t>時</t>
        </is>
      </c>
      <c r="P57" s="1538" t="inlineStr">
        <is>
          <t>００</t>
        </is>
      </c>
      <c r="R57" s="1325" t="inlineStr">
        <is>
          <t>分～</t>
        </is>
      </c>
      <c r="T57" s="1707" t="inlineStr">
        <is>
          <t>２０</t>
        </is>
      </c>
      <c r="W57" s="1325" t="inlineStr">
        <is>
          <t>時</t>
        </is>
      </c>
      <c r="X57" s="1538" t="inlineStr">
        <is>
          <t>００</t>
        </is>
      </c>
      <c r="Z57" s="1325" t="inlineStr">
        <is>
          <t>分</t>
        </is>
      </c>
      <c r="AA57" s="1325" t="inlineStr">
        <is>
          <t>・</t>
        </is>
      </c>
      <c r="AC57" s="1290" t="inlineStr">
        <is>
          <t>２４時間</t>
        </is>
      </c>
      <c r="AF57" s="1668" t="n"/>
      <c r="AH57" s="4109" t="n"/>
    </row>
    <row r="58" ht="3.95" customHeight="1" s="4080">
      <c r="A58" s="4097" t="n"/>
      <c r="B58" s="4107" t="n"/>
      <c r="C58" s="4102" t="n"/>
      <c r="D58" s="4103" t="n"/>
      <c r="E58" s="4103" t="n"/>
      <c r="F58" s="4103" t="n"/>
      <c r="G58" s="4103" t="n"/>
      <c r="H58" s="4103" t="n"/>
      <c r="I58" s="4103" t="n"/>
      <c r="J58" s="4104" t="n"/>
      <c r="K58" s="4296" t="n"/>
      <c r="AH58" s="4109" t="n"/>
    </row>
    <row r="59" ht="12" customHeight="1" s="4080">
      <c r="A59" s="4097" t="n"/>
      <c r="B59" s="4107" t="n"/>
      <c r="C59" s="1393" t="n"/>
      <c r="D59" s="2906" t="inlineStr">
        <is>
          <t>サービスを提供
する主たる対象者</t>
        </is>
      </c>
      <c r="E59" s="4098" t="n"/>
      <c r="F59" s="4098" t="n"/>
      <c r="G59" s="4098" t="n"/>
      <c r="H59" s="4098" t="n"/>
      <c r="I59" s="4098" t="n"/>
      <c r="J59" s="4223" t="n"/>
      <c r="K59" s="1669" t="inlineStr">
        <is>
          <t>身体障害者</t>
        </is>
      </c>
      <c r="L59" s="4138" t="n"/>
      <c r="M59" s="4138" t="n"/>
      <c r="N59" s="4138" t="n"/>
      <c r="O59" s="4139" t="n"/>
      <c r="P59" s="1669" t="inlineStr">
        <is>
          <t>知的障害者</t>
        </is>
      </c>
      <c r="Q59" s="4138" t="n"/>
      <c r="R59" s="4138" t="n"/>
      <c r="S59" s="4138" t="n"/>
      <c r="T59" s="4139" t="n"/>
      <c r="U59" s="1669" t="inlineStr">
        <is>
          <t>障害児</t>
        </is>
      </c>
      <c r="V59" s="4138" t="n"/>
      <c r="W59" s="4138" t="n"/>
      <c r="X59" s="4138" t="n"/>
      <c r="Y59" s="4139" t="n"/>
      <c r="Z59" s="1670" t="inlineStr">
        <is>
          <t>精神障害者</t>
        </is>
      </c>
      <c r="AA59" s="4138" t="n"/>
      <c r="AB59" s="4138" t="n"/>
      <c r="AC59" s="4138" t="n"/>
      <c r="AD59" s="4139" t="n"/>
      <c r="AE59" s="1671" t="inlineStr">
        <is>
          <t>難病等対象者</t>
        </is>
      </c>
      <c r="AF59" s="4138" t="n"/>
      <c r="AG59" s="4138" t="n"/>
      <c r="AH59" s="4139" t="n"/>
    </row>
    <row r="60" ht="12" customHeight="1" s="4080">
      <c r="A60" s="4097" t="n"/>
      <c r="B60" s="4107" t="n"/>
      <c r="C60" s="4102" t="n"/>
      <c r="D60" s="4103" t="n"/>
      <c r="E60" s="4103" t="n"/>
      <c r="F60" s="4103" t="n"/>
      <c r="G60" s="4103" t="n"/>
      <c r="H60" s="4103" t="n"/>
      <c r="I60" s="4103" t="n"/>
      <c r="J60" s="4104" t="n"/>
      <c r="K60" s="1705" t="inlineStr">
        <is>
          <t>○</t>
        </is>
      </c>
      <c r="L60" s="4140" t="n"/>
      <c r="M60" s="4140" t="n"/>
      <c r="N60" s="4140" t="n"/>
      <c r="O60" s="4141" t="n"/>
      <c r="P60" s="1705" t="inlineStr">
        <is>
          <t>○</t>
        </is>
      </c>
      <c r="Q60" s="4140" t="n"/>
      <c r="R60" s="4140" t="n"/>
      <c r="S60" s="4140" t="n"/>
      <c r="T60" s="4141" t="n"/>
      <c r="U60" s="1705" t="inlineStr">
        <is>
          <t>○</t>
        </is>
      </c>
      <c r="V60" s="4140" t="n"/>
      <c r="W60" s="4140" t="n"/>
      <c r="X60" s="4140" t="n"/>
      <c r="Y60" s="4141" t="n"/>
      <c r="Z60" s="1705" t="inlineStr">
        <is>
          <t>○</t>
        </is>
      </c>
      <c r="AA60" s="4140" t="n"/>
      <c r="AB60" s="4140" t="n"/>
      <c r="AC60" s="4140" t="n"/>
      <c r="AD60" s="4141" t="n"/>
      <c r="AE60" s="4310" t="inlineStr">
        <is>
          <t>○</t>
        </is>
      </c>
      <c r="AF60" s="4140" t="n"/>
      <c r="AG60" s="4140" t="n"/>
      <c r="AH60" s="4252" t="n"/>
    </row>
    <row r="61" ht="15" customHeight="1" s="4080">
      <c r="A61" s="4097" t="n"/>
      <c r="B61" s="4107" t="n"/>
      <c r="C61" s="1322" t="n"/>
      <c r="D61" s="1264" t="inlineStr">
        <is>
          <t>その他の費用</t>
        </is>
      </c>
      <c r="E61" s="4110" t="n"/>
      <c r="F61" s="4110" t="n"/>
      <c r="G61" s="4110" t="n"/>
      <c r="H61" s="4110" t="n"/>
      <c r="I61" s="4110" t="n"/>
      <c r="J61" s="1331" t="n"/>
      <c r="K61" s="4263" t="inlineStr">
        <is>
          <t>運営規程に定めるとおり</t>
        </is>
      </c>
      <c r="L61" s="4098" t="n"/>
      <c r="M61" s="4098" t="n"/>
      <c r="N61" s="4098" t="n"/>
      <c r="O61" s="4098" t="n"/>
      <c r="P61" s="4098" t="n"/>
      <c r="Q61" s="4098" t="n"/>
      <c r="R61" s="4098" t="n"/>
      <c r="S61" s="4098" t="n"/>
      <c r="T61" s="4098" t="n"/>
      <c r="U61" s="4098" t="n"/>
      <c r="V61" s="4098" t="n"/>
      <c r="W61" s="4098" t="n"/>
      <c r="X61" s="4098" t="n"/>
      <c r="Y61" s="4098" t="n"/>
      <c r="Z61" s="4098" t="n"/>
      <c r="AA61" s="4098" t="n"/>
      <c r="AB61" s="4098" t="n"/>
      <c r="AC61" s="4098" t="n"/>
      <c r="AD61" s="4098" t="n"/>
      <c r="AE61" s="4098" t="n"/>
      <c r="AF61" s="4098" t="n"/>
      <c r="AG61" s="4098" t="n"/>
      <c r="AH61" s="4101" t="n"/>
    </row>
    <row r="62" ht="24" customHeight="1" s="4080">
      <c r="A62" s="4097" t="n"/>
      <c r="B62" s="4107" t="n"/>
      <c r="C62" s="1300" t="n"/>
      <c r="D62" s="4222" t="inlineStr">
        <is>
          <t>通常の事業の
実施地域</t>
        </is>
      </c>
      <c r="E62" s="4098" t="n"/>
      <c r="F62" s="4098" t="n"/>
      <c r="G62" s="4098" t="n"/>
      <c r="H62" s="4098" t="n"/>
      <c r="I62" s="4098" t="n"/>
      <c r="J62" s="1963" t="n"/>
      <c r="K62" s="1393" t="inlineStr">
        <is>
          <t>1)</t>
        </is>
      </c>
      <c r="L62" s="1562" t="inlineStr">
        <is>
          <t>大阪市○○区</t>
        </is>
      </c>
      <c r="M62" s="4110" t="n"/>
      <c r="N62" s="4110" t="n"/>
      <c r="O62" s="1301" t="inlineStr">
        <is>
          <t>2)</t>
        </is>
      </c>
      <c r="P62" s="1562" t="inlineStr">
        <is>
          <t>大阪市△△区</t>
        </is>
      </c>
      <c r="Q62" s="4110" t="n"/>
      <c r="R62" s="4110" t="n"/>
      <c r="S62" s="1301" t="inlineStr">
        <is>
          <t>3)</t>
        </is>
      </c>
      <c r="T62" s="1562" t="inlineStr">
        <is>
          <t>大阪市□□区</t>
        </is>
      </c>
      <c r="U62" s="4110" t="n"/>
      <c r="V62" s="4110" t="n"/>
      <c r="W62" s="1301" t="inlineStr">
        <is>
          <t>4)</t>
        </is>
      </c>
      <c r="X62" s="1562" t="inlineStr">
        <is>
          <t>大阪市××区</t>
        </is>
      </c>
      <c r="Y62" s="4110" t="n"/>
      <c r="Z62" s="4110" t="n"/>
      <c r="AA62" s="1301" t="inlineStr">
        <is>
          <t>5)</t>
        </is>
      </c>
      <c r="AB62" s="1562" t="inlineStr">
        <is>
          <t>○○市</t>
        </is>
      </c>
      <c r="AC62" s="4110" t="n"/>
      <c r="AD62" s="4110" t="n"/>
      <c r="AE62" s="4229" t="inlineStr">
        <is>
          <t>備考</t>
        </is>
      </c>
      <c r="AF62" s="4260" t="inlineStr">
        <is>
          <t>△△市は、□□町のみ</t>
        </is>
      </c>
      <c r="AG62" s="4098" t="n"/>
      <c r="AH62" s="4101" t="n"/>
    </row>
    <row r="63" ht="24" customHeight="1" s="4080">
      <c r="A63" s="4097" t="n"/>
      <c r="B63" s="4107" t="n"/>
      <c r="C63" s="4102" t="n"/>
      <c r="D63" s="4103" t="n"/>
      <c r="E63" s="4103" t="n"/>
      <c r="F63" s="4103" t="n"/>
      <c r="G63" s="4103" t="n"/>
      <c r="H63" s="4103" t="n"/>
      <c r="I63" s="4103" t="n"/>
      <c r="J63" s="4104" t="n"/>
      <c r="K63" s="1393" t="inlineStr">
        <is>
          <t>6)</t>
        </is>
      </c>
      <c r="L63" s="1562" t="inlineStr">
        <is>
          <t>△△市</t>
        </is>
      </c>
      <c r="M63" s="4110" t="n"/>
      <c r="N63" s="4110" t="n"/>
      <c r="O63" s="1301" t="inlineStr">
        <is>
          <t>7)</t>
        </is>
      </c>
      <c r="P63" s="1562" t="inlineStr">
        <is>
          <t>××町</t>
        </is>
      </c>
      <c r="Q63" s="4110" t="n"/>
      <c r="R63" s="4110" t="n"/>
      <c r="S63" s="1301" t="inlineStr">
        <is>
          <t>8)</t>
        </is>
      </c>
      <c r="T63" s="1406" t="n"/>
      <c r="U63" s="4110" t="n"/>
      <c r="V63" s="4110" t="n"/>
      <c r="W63" s="1301" t="inlineStr">
        <is>
          <t>9)</t>
        </is>
      </c>
      <c r="X63" s="1406" t="n"/>
      <c r="Y63" s="4110" t="n"/>
      <c r="Z63" s="4110" t="n"/>
      <c r="AA63" s="2752" t="inlineStr">
        <is>
          <t>10)</t>
        </is>
      </c>
      <c r="AB63" s="1406" t="n"/>
      <c r="AC63" s="4110" t="n"/>
      <c r="AD63" s="4110" t="n"/>
      <c r="AE63" s="4124" t="n"/>
      <c r="AF63" s="4102" t="n"/>
      <c r="AG63" s="4103" t="n"/>
      <c r="AH63" s="4105" t="n"/>
    </row>
    <row r="64" ht="3.95" customHeight="1" s="4080">
      <c r="A64" s="4097" t="n"/>
      <c r="B64" s="4107" t="n"/>
      <c r="C64" s="4231" t="inlineStr">
        <is>
          <t>その他参考
となる事項</t>
        </is>
      </c>
      <c r="D64" s="4099" t="n"/>
      <c r="E64" s="2753" t="inlineStr">
        <is>
          <t>第三者評価の実施状況</t>
        </is>
      </c>
      <c r="F64" s="4098" t="n"/>
      <c r="G64" s="4098" t="n"/>
      <c r="H64" s="4098" t="n"/>
      <c r="I64" s="4098" t="n"/>
      <c r="J64" s="4099" t="n"/>
      <c r="K64" s="1657" t="n"/>
      <c r="L64" s="1658" t="n"/>
      <c r="M64" s="1658" t="n"/>
      <c r="N64" s="1658" t="n"/>
      <c r="O64" s="1658" t="n"/>
      <c r="P64" s="1658" t="n"/>
      <c r="Q64" s="1658" t="n"/>
      <c r="R64" s="930" t="n"/>
      <c r="AB64" s="1658" t="n"/>
      <c r="AC64" s="1658" t="n"/>
      <c r="AD64" s="1658" t="n"/>
      <c r="AE64" s="1658" t="n"/>
      <c r="AF64" s="1658" t="n"/>
      <c r="AG64" s="1658" t="n"/>
      <c r="AH64" s="1659" t="n"/>
    </row>
    <row r="65" ht="15" customHeight="1" s="4080">
      <c r="A65" s="4097" t="n"/>
      <c r="B65" s="4107" t="n"/>
      <c r="C65" s="4106" t="n"/>
      <c r="D65" s="4107" t="n"/>
      <c r="J65" s="4107" t="n"/>
      <c r="K65" s="1372" t="n"/>
      <c r="L65" s="1432" t="inlineStr">
        <is>
          <t>している</t>
        </is>
      </c>
      <c r="O65" s="1458" t="inlineStr">
        <is>
          <t>(実施先：</t>
        </is>
      </c>
      <c r="AB65" s="1325" t="inlineStr">
        <is>
          <t>)・</t>
        </is>
      </c>
      <c r="AD65" s="4264" t="inlineStr">
        <is>
          <t>していない</t>
        </is>
      </c>
      <c r="AE65" s="4265" t="n"/>
      <c r="AF65" s="4265" t="n"/>
      <c r="AG65" s="4266" t="n"/>
      <c r="AH65" s="1668" t="n"/>
    </row>
    <row r="66" ht="3.95" customHeight="1" s="4080">
      <c r="A66" s="4097" t="n"/>
      <c r="B66" s="4107" t="n"/>
      <c r="C66" s="4106" t="n"/>
      <c r="D66" s="4107" t="n"/>
      <c r="E66" s="4103" t="n"/>
      <c r="F66" s="4103" t="n"/>
      <c r="G66" s="4103" t="n"/>
      <c r="H66" s="4103" t="n"/>
      <c r="I66" s="4103" t="n"/>
      <c r="J66" s="4104" t="n"/>
      <c r="K66" s="1657" t="n"/>
      <c r="L66" s="1658" t="n"/>
      <c r="M66" s="1658" t="n"/>
      <c r="N66" s="1658" t="n"/>
      <c r="O66" s="1658" t="n"/>
      <c r="P66" s="1658" t="n"/>
      <c r="Q66" s="1658" t="n"/>
      <c r="R66" s="4103" t="n"/>
      <c r="S66" s="4103" t="n"/>
      <c r="T66" s="4103" t="n"/>
      <c r="U66" s="4103" t="n"/>
      <c r="V66" s="4103" t="n"/>
      <c r="W66" s="4103" t="n"/>
      <c r="X66" s="4103" t="n"/>
      <c r="Y66" s="4103" t="n"/>
      <c r="Z66" s="4103" t="n"/>
      <c r="AA66" s="4103" t="n"/>
      <c r="AB66" s="1658" t="n"/>
      <c r="AC66" s="1658" t="n"/>
      <c r="AD66" s="1658" t="n"/>
      <c r="AE66" s="1658" t="n"/>
      <c r="AF66" s="1658" t="n"/>
      <c r="AG66" s="1658" t="n"/>
      <c r="AH66" s="1659" t="n"/>
    </row>
    <row r="67" ht="15" customHeight="1" s="4080">
      <c r="A67" s="4097" t="n"/>
      <c r="B67" s="4107" t="n"/>
      <c r="C67" s="4106" t="n"/>
      <c r="D67" s="4107" t="n"/>
      <c r="E67" s="1439" t="inlineStr">
        <is>
          <t>苦情解決の措置概要</t>
        </is>
      </c>
      <c r="F67" s="4098" t="n"/>
      <c r="G67" s="4098" t="n"/>
      <c r="H67" s="4098" t="n"/>
      <c r="I67" s="4098" t="n"/>
      <c r="J67" s="4099" t="n"/>
      <c r="K67" s="2542" t="inlineStr">
        <is>
          <t>窓　口</t>
        </is>
      </c>
      <c r="L67" s="4110" t="n"/>
      <c r="M67" s="4111" t="n"/>
      <c r="N67" s="4267" t="inlineStr">
        <is>
          <t>中之島相談支援センター</t>
        </is>
      </c>
      <c r="O67" s="4110" t="n"/>
      <c r="P67" s="4110" t="n"/>
      <c r="Q67" s="4110" t="n"/>
      <c r="R67" s="4110" t="n"/>
      <c r="S67" s="4110" t="n"/>
      <c r="T67" s="4110" t="n"/>
      <c r="U67" s="4110" t="n"/>
      <c r="V67" s="4110" t="n"/>
      <c r="W67" s="4110" t="n"/>
      <c r="X67" s="4110" t="n"/>
      <c r="Y67" s="4110" t="n"/>
      <c r="Z67" s="4110" t="n"/>
      <c r="AA67" s="4110" t="n"/>
      <c r="AB67" s="4110" t="n"/>
      <c r="AC67" s="4110" t="n"/>
      <c r="AD67" s="4110" t="n"/>
      <c r="AE67" s="4110" t="n"/>
      <c r="AF67" s="4110" t="n"/>
      <c r="AG67" s="4110" t="n"/>
      <c r="AH67" s="4113" t="n"/>
    </row>
    <row r="68" ht="15" customHeight="1" s="4080">
      <c r="A68" s="4097" t="n"/>
      <c r="B68" s="4107" t="n"/>
      <c r="C68" s="4106" t="n"/>
      <c r="D68" s="4107" t="n"/>
      <c r="E68" s="4103" t="n"/>
      <c r="F68" s="4103" t="n"/>
      <c r="G68" s="4103" t="n"/>
      <c r="H68" s="4103" t="n"/>
      <c r="I68" s="4103" t="n"/>
      <c r="J68" s="4104" t="n"/>
      <c r="K68" s="2542" t="inlineStr">
        <is>
          <t>担当者</t>
        </is>
      </c>
      <c r="L68" s="4110" t="n"/>
      <c r="M68" s="4111" t="n"/>
      <c r="N68" s="4233" t="inlineStr">
        <is>
          <t>大阪太郎</t>
        </is>
      </c>
      <c r="O68" s="4110" t="n"/>
      <c r="P68" s="4110" t="n"/>
      <c r="Q68" s="4110" t="n"/>
      <c r="R68" s="4110" t="n"/>
      <c r="S68" s="4110" t="n"/>
      <c r="T68" s="4110" t="n"/>
      <c r="U68" s="4111" t="n"/>
      <c r="V68" s="2163" t="inlineStr">
        <is>
          <t>電話</t>
        </is>
      </c>
      <c r="W68" s="4111" t="n"/>
      <c r="X68" s="1479" t="inlineStr">
        <is>
          <t>０６</t>
        </is>
      </c>
      <c r="Y68" s="4110" t="n"/>
      <c r="Z68" s="4110" t="n"/>
      <c r="AA68" s="1492" t="inlineStr">
        <is>
          <t>－</t>
        </is>
      </c>
      <c r="AB68" s="1150" t="inlineStr">
        <is>
          <t>６２４１</t>
        </is>
      </c>
      <c r="AC68" s="4110" t="n"/>
      <c r="AD68" s="4110" t="n"/>
      <c r="AE68" s="1492" t="inlineStr">
        <is>
          <t>－</t>
        </is>
      </c>
      <c r="AF68" s="1483" t="inlineStr">
        <is>
          <t>６５２０</t>
        </is>
      </c>
      <c r="AG68" s="4110" t="n"/>
      <c r="AH68" s="4113" t="n"/>
    </row>
    <row r="69" ht="15" customHeight="1" s="4080">
      <c r="A69" s="4114" t="n"/>
      <c r="B69" s="4104" t="n"/>
      <c r="C69" s="4102" t="n"/>
      <c r="D69" s="4104" t="n"/>
      <c r="E69" s="1394" t="inlineStr">
        <is>
          <t>そ　　 の 　　他</t>
        </is>
      </c>
      <c r="F69" s="4110" t="n"/>
      <c r="G69" s="4110" t="n"/>
      <c r="H69" s="4110" t="n"/>
      <c r="I69" s="4110" t="n"/>
      <c r="J69" s="4111" t="n"/>
      <c r="K69" s="4121" t="n"/>
      <c r="L69" s="4110" t="n"/>
      <c r="M69" s="4110" t="n"/>
      <c r="N69" s="4110" t="n"/>
      <c r="O69" s="4110" t="n"/>
      <c r="P69" s="4110" t="n"/>
      <c r="Q69" s="4110" t="n"/>
      <c r="R69" s="4110" t="n"/>
      <c r="S69" s="4110" t="n"/>
      <c r="T69" s="4110" t="n"/>
      <c r="U69" s="4110" t="n"/>
      <c r="V69" s="4110" t="n"/>
      <c r="W69" s="4110" t="n"/>
      <c r="X69" s="4110" t="n"/>
      <c r="Y69" s="4110" t="n"/>
      <c r="Z69" s="4110" t="n"/>
      <c r="AA69" s="4110" t="n"/>
      <c r="AB69" s="4110" t="n"/>
      <c r="AC69" s="4110" t="n"/>
      <c r="AD69" s="4110" t="n"/>
      <c r="AE69" s="4110" t="n"/>
      <c r="AF69" s="4110" t="n"/>
      <c r="AG69" s="4110" t="n"/>
      <c r="AH69" s="4113" t="n"/>
    </row>
    <row r="70" ht="15.95" customHeight="1" s="4080" thickBot="1">
      <c r="A70" s="1426" t="n"/>
      <c r="B70" s="1618" t="inlineStr">
        <is>
          <t>添付書類</t>
        </is>
      </c>
      <c r="C70" s="4153" t="n"/>
      <c r="D70" s="4153" t="n"/>
      <c r="E70" s="4153" t="n"/>
      <c r="F70" s="4153" t="n"/>
      <c r="G70" s="4153" t="n"/>
      <c r="H70" s="4153" t="n"/>
      <c r="I70" s="4153" t="n"/>
      <c r="J70" s="1428" t="n"/>
      <c r="K70" s="4235" t="inlineStr">
        <is>
          <t xml:space="preserve">　別紙「添付書類一覧表」のとおり</t>
        </is>
      </c>
      <c r="L70" s="4153" t="n"/>
      <c r="M70" s="4153" t="n"/>
      <c r="N70" s="4153" t="n"/>
      <c r="O70" s="4153" t="n"/>
      <c r="P70" s="4153" t="n"/>
      <c r="Q70" s="4153" t="n"/>
      <c r="R70" s="4153" t="n"/>
      <c r="S70" s="4153" t="n"/>
      <c r="T70" s="4153" t="n"/>
      <c r="U70" s="4153" t="n"/>
      <c r="V70" s="4153" t="n"/>
      <c r="W70" s="4153" t="n"/>
      <c r="X70" s="4153" t="n"/>
      <c r="Y70" s="4153" t="n"/>
      <c r="Z70" s="4153" t="n"/>
      <c r="AA70" s="4153" t="n"/>
      <c r="AB70" s="4153" t="n"/>
      <c r="AC70" s="4153" t="n"/>
      <c r="AD70" s="4153" t="n"/>
      <c r="AE70" s="4153" t="n"/>
      <c r="AF70" s="4153" t="n"/>
      <c r="AG70" s="4153" t="n"/>
      <c r="AH70" s="4155" t="n"/>
    </row>
    <row r="73">
      <c r="AD73" s="1355" t="n"/>
      <c r="AE73" s="1355" t="n"/>
      <c r="AF73" s="1355" t="n"/>
      <c r="AG73" s="1355" t="n"/>
    </row>
  </sheetData>
  <mergeCells count="300">
    <mergeCell ref="U60:Y60"/>
    <mergeCell ref="C14:E16"/>
    <mergeCell ref="K54:K55"/>
    <mergeCell ref="F27:I27"/>
    <mergeCell ref="O65:Q65"/>
    <mergeCell ref="S47:T49"/>
    <mergeCell ref="AE62:AE63"/>
    <mergeCell ref="K11:AH11"/>
    <mergeCell ref="C31:E31"/>
    <mergeCell ref="X44:X46"/>
    <mergeCell ref="P47:P49"/>
    <mergeCell ref="U59:Y59"/>
    <mergeCell ref="D44:I52"/>
    <mergeCell ref="E69:J69"/>
    <mergeCell ref="M54:M55"/>
    <mergeCell ref="J59:J60"/>
    <mergeCell ref="X68:Z68"/>
    <mergeCell ref="O54:O55"/>
    <mergeCell ref="Q54:Q55"/>
    <mergeCell ref="T42:U42"/>
    <mergeCell ref="B70:I70"/>
    <mergeCell ref="D41:I43"/>
    <mergeCell ref="AB44:AC46"/>
    <mergeCell ref="M21:X21"/>
    <mergeCell ref="C18:L18"/>
    <mergeCell ref="N46:O46"/>
    <mergeCell ref="C23:E23"/>
    <mergeCell ref="N67:AH67"/>
    <mergeCell ref="Q51:R51"/>
    <mergeCell ref="V43:AB43"/>
    <mergeCell ref="D56:I58"/>
    <mergeCell ref="V44:W44"/>
    <mergeCell ref="S41:S43"/>
    <mergeCell ref="R42:R43"/>
    <mergeCell ref="W39:AB39"/>
    <mergeCell ref="R64:AA66"/>
    <mergeCell ref="K70:AH70"/>
    <mergeCell ref="AC41:AC43"/>
    <mergeCell ref="R54:R55"/>
    <mergeCell ref="X28:AH30"/>
    <mergeCell ref="N48:O48"/>
    <mergeCell ref="U51:W51"/>
    <mergeCell ref="C10:E11"/>
    <mergeCell ref="C32:E34"/>
    <mergeCell ref="I10:K10"/>
    <mergeCell ref="P62:R62"/>
    <mergeCell ref="T37:V37"/>
    <mergeCell ref="A41:B69"/>
    <mergeCell ref="C7:E9"/>
    <mergeCell ref="AF62:AH63"/>
    <mergeCell ref="K42:K43"/>
    <mergeCell ref="C20:L20"/>
    <mergeCell ref="AA2:AA3"/>
    <mergeCell ref="A4:B11"/>
    <mergeCell ref="T41:U41"/>
    <mergeCell ref="AC2:AC3"/>
    <mergeCell ref="J28:M30"/>
    <mergeCell ref="C41:C43"/>
    <mergeCell ref="T57:V57"/>
    <mergeCell ref="C39:J39"/>
    <mergeCell ref="X14:AH16"/>
    <mergeCell ref="Y45:Z45"/>
    <mergeCell ref="Y20:AH20"/>
    <mergeCell ref="T31:X31"/>
    <mergeCell ref="K68:M68"/>
    <mergeCell ref="C24:E26"/>
    <mergeCell ref="AD46:AG46"/>
    <mergeCell ref="Z60:AD60"/>
    <mergeCell ref="AC57:AE57"/>
    <mergeCell ref="C22:L22"/>
    <mergeCell ref="X47:X49"/>
    <mergeCell ref="K36:M36"/>
    <mergeCell ref="T43:U43"/>
    <mergeCell ref="A13:B22"/>
    <mergeCell ref="Y22:AH22"/>
    <mergeCell ref="W36:Y36"/>
    <mergeCell ref="C17:AH17"/>
    <mergeCell ref="Z59:AD59"/>
    <mergeCell ref="A12:S12"/>
    <mergeCell ref="K35:P35"/>
    <mergeCell ref="F23:I23"/>
    <mergeCell ref="J44:J52"/>
    <mergeCell ref="S44:T46"/>
    <mergeCell ref="K44:M46"/>
    <mergeCell ref="N8:O9"/>
    <mergeCell ref="W35:AB35"/>
    <mergeCell ref="F13:I13"/>
    <mergeCell ref="AB65:AC65"/>
    <mergeCell ref="P24:Q26"/>
    <mergeCell ref="F5:AH6"/>
    <mergeCell ref="X62:Z62"/>
    <mergeCell ref="AF10:AH10"/>
    <mergeCell ref="AE60:AH60"/>
    <mergeCell ref="A23:A34"/>
    <mergeCell ref="V53:AB53"/>
    <mergeCell ref="N50:O50"/>
    <mergeCell ref="M22:X22"/>
    <mergeCell ref="Q35:V35"/>
    <mergeCell ref="N51:O51"/>
    <mergeCell ref="B27:B30"/>
    <mergeCell ref="K47:M49"/>
    <mergeCell ref="T53:U53"/>
    <mergeCell ref="AC12:AD12"/>
    <mergeCell ref="X50:X52"/>
    <mergeCell ref="X57:Y57"/>
    <mergeCell ref="AE12:AF12"/>
    <mergeCell ref="Q40:AH40"/>
    <mergeCell ref="J23:M23"/>
    <mergeCell ref="L63:N63"/>
    <mergeCell ref="K60:O60"/>
    <mergeCell ref="X63:Z63"/>
    <mergeCell ref="E67:J68"/>
    <mergeCell ref="Y51:Z51"/>
    <mergeCell ref="L42:L43"/>
    <mergeCell ref="T55:U55"/>
    <mergeCell ref="N42:N43"/>
    <mergeCell ref="AB50:AC52"/>
    <mergeCell ref="K39:P39"/>
    <mergeCell ref="AF2:AF3"/>
    <mergeCell ref="N52:O52"/>
    <mergeCell ref="AH2:AH3"/>
    <mergeCell ref="AE59:AH59"/>
    <mergeCell ref="K40:O40"/>
    <mergeCell ref="N27:O30"/>
    <mergeCell ref="K61:AH61"/>
    <mergeCell ref="N44:O44"/>
    <mergeCell ref="W38:Y38"/>
    <mergeCell ref="C13:E13"/>
    <mergeCell ref="J53:J55"/>
    <mergeCell ref="AB68:AD68"/>
    <mergeCell ref="J7:N7"/>
    <mergeCell ref="AD44:AG44"/>
    <mergeCell ref="N36:P36"/>
    <mergeCell ref="T10:W10"/>
    <mergeCell ref="G38:J38"/>
    <mergeCell ref="A1:AH1"/>
    <mergeCell ref="Z36:AB36"/>
    <mergeCell ref="J62:J63"/>
    <mergeCell ref="J27:M27"/>
    <mergeCell ref="AA57:AB57"/>
    <mergeCell ref="Y19:AH19"/>
    <mergeCell ref="AD45:AG45"/>
    <mergeCell ref="N37:P37"/>
    <mergeCell ref="N54:N55"/>
    <mergeCell ref="C64:D69"/>
    <mergeCell ref="P54:P55"/>
    <mergeCell ref="AA50:AA52"/>
    <mergeCell ref="V41:AB41"/>
    <mergeCell ref="T62:V62"/>
    <mergeCell ref="AD53:AH55"/>
    <mergeCell ref="M20:X20"/>
    <mergeCell ref="F11:J11"/>
    <mergeCell ref="J31:M31"/>
    <mergeCell ref="P13:S13"/>
    <mergeCell ref="L62:N62"/>
    <mergeCell ref="Q10:S10"/>
    <mergeCell ref="S50:T52"/>
    <mergeCell ref="C40:H40"/>
    <mergeCell ref="K50:M52"/>
    <mergeCell ref="F4:AH4"/>
    <mergeCell ref="D61:I61"/>
    <mergeCell ref="N23:O26"/>
    <mergeCell ref="Q42:Q43"/>
    <mergeCell ref="U2:X3"/>
    <mergeCell ref="P7:AH9"/>
    <mergeCell ref="R57:S57"/>
    <mergeCell ref="K67:M67"/>
    <mergeCell ref="F28:I30"/>
    <mergeCell ref="N13:O16"/>
    <mergeCell ref="C59:C60"/>
    <mergeCell ref="C53:C55"/>
    <mergeCell ref="F14:I16"/>
    <mergeCell ref="J56:J58"/>
    <mergeCell ref="T54:U54"/>
    <mergeCell ref="AD47:AG47"/>
    <mergeCell ref="D59:I60"/>
    <mergeCell ref="C5:E6"/>
    <mergeCell ref="K58:AH58"/>
    <mergeCell ref="Z38:AB38"/>
    <mergeCell ref="Q36:S36"/>
    <mergeCell ref="V55:AB55"/>
    <mergeCell ref="N68:U68"/>
    <mergeCell ref="Z2:Z3"/>
    <mergeCell ref="AA47:AA49"/>
    <mergeCell ref="X32:AH34"/>
    <mergeCell ref="AB2:AB3"/>
    <mergeCell ref="AD2:AD3"/>
    <mergeCell ref="J14:M16"/>
    <mergeCell ref="AD51:AG51"/>
    <mergeCell ref="X10:Z10"/>
    <mergeCell ref="K38:M38"/>
    <mergeCell ref="AC53:AC55"/>
    <mergeCell ref="U12:V12"/>
    <mergeCell ref="L65:N65"/>
    <mergeCell ref="AB10:AD10"/>
    <mergeCell ref="W12:X12"/>
    <mergeCell ref="F7:I7"/>
    <mergeCell ref="P44:P46"/>
    <mergeCell ref="P50:P52"/>
    <mergeCell ref="K59:O59"/>
    <mergeCell ref="T36:V36"/>
    <mergeCell ref="W37:Y37"/>
    <mergeCell ref="X24:AH26"/>
    <mergeCell ref="F8:H9"/>
    <mergeCell ref="F24:I26"/>
    <mergeCell ref="Y21:AH21"/>
    <mergeCell ref="T23:X23"/>
    <mergeCell ref="C28:E30"/>
    <mergeCell ref="G37:J37"/>
    <mergeCell ref="C62:C63"/>
    <mergeCell ref="T13:X13"/>
    <mergeCell ref="K69:AH69"/>
    <mergeCell ref="P27:S27"/>
    <mergeCell ref="T24:V26"/>
    <mergeCell ref="Q48:R48"/>
    <mergeCell ref="AH50:AH52"/>
    <mergeCell ref="Q45:R45"/>
    <mergeCell ref="AH44:AH46"/>
    <mergeCell ref="J24:M26"/>
    <mergeCell ref="C4:E4"/>
    <mergeCell ref="AD41:AH43"/>
    <mergeCell ref="P28:Q30"/>
    <mergeCell ref="T27:X27"/>
    <mergeCell ref="C37:F38"/>
    <mergeCell ref="N45:O45"/>
    <mergeCell ref="U48:W48"/>
    <mergeCell ref="Q39:V39"/>
    <mergeCell ref="C35:J36"/>
    <mergeCell ref="J32:M34"/>
    <mergeCell ref="Q38:S38"/>
    <mergeCell ref="C44:C52"/>
    <mergeCell ref="C56:C58"/>
    <mergeCell ref="F31:I31"/>
    <mergeCell ref="V68:W68"/>
    <mergeCell ref="B31:B34"/>
    <mergeCell ref="M10:O10"/>
    <mergeCell ref="AF68:AH68"/>
    <mergeCell ref="V54:AB54"/>
    <mergeCell ref="N47:O47"/>
    <mergeCell ref="Z37:AB37"/>
    <mergeCell ref="Y18:AH18"/>
    <mergeCell ref="P14:Q16"/>
    <mergeCell ref="AD50:AG50"/>
    <mergeCell ref="AE2:AE3"/>
    <mergeCell ref="AG2:AG3"/>
    <mergeCell ref="P60:T60"/>
    <mergeCell ref="Y2:Y3"/>
    <mergeCell ref="I8:M9"/>
    <mergeCell ref="K57:N57"/>
    <mergeCell ref="C19:L19"/>
    <mergeCell ref="N38:P38"/>
    <mergeCell ref="B23:B26"/>
    <mergeCell ref="K56:AH56"/>
    <mergeCell ref="C27:E27"/>
    <mergeCell ref="F32:I34"/>
    <mergeCell ref="AD52:AG52"/>
    <mergeCell ref="P59:T59"/>
    <mergeCell ref="AB47:AC49"/>
    <mergeCell ref="M18:X18"/>
    <mergeCell ref="D53:I55"/>
    <mergeCell ref="AD48:AG48"/>
    <mergeCell ref="N31:O34"/>
    <mergeCell ref="L54:L55"/>
    <mergeCell ref="V42:AB42"/>
    <mergeCell ref="J13:M13"/>
    <mergeCell ref="AH47:AH49"/>
    <mergeCell ref="P31:S31"/>
    <mergeCell ref="AA44:AA46"/>
    <mergeCell ref="T28:V30"/>
    <mergeCell ref="AB62:AD62"/>
    <mergeCell ref="K37:M37"/>
    <mergeCell ref="M19:X19"/>
    <mergeCell ref="P32:Q34"/>
    <mergeCell ref="M42:M43"/>
    <mergeCell ref="O42:O43"/>
    <mergeCell ref="P57:Q57"/>
    <mergeCell ref="J41:J43"/>
    <mergeCell ref="T38:V38"/>
    <mergeCell ref="Y12:Z12"/>
    <mergeCell ref="F10:H10"/>
    <mergeCell ref="AA12:AB12"/>
    <mergeCell ref="P23:S23"/>
    <mergeCell ref="T32:V34"/>
    <mergeCell ref="T14:V16"/>
    <mergeCell ref="P63:R63"/>
    <mergeCell ref="Y48:Z48"/>
    <mergeCell ref="Q37:S37"/>
    <mergeCell ref="S53:S55"/>
    <mergeCell ref="U45:W45"/>
    <mergeCell ref="AB63:AD63"/>
    <mergeCell ref="D62:I63"/>
    <mergeCell ref="AD65:AG65"/>
    <mergeCell ref="P42:P43"/>
    <mergeCell ref="C21:L21"/>
    <mergeCell ref="AF57:AH57"/>
    <mergeCell ref="N49:O49"/>
    <mergeCell ref="AD49:AG49"/>
    <mergeCell ref="E64:J66"/>
    <mergeCell ref="A35:B39"/>
    <mergeCell ref="T63:V63"/>
  </mergeCells>
  <dataValidations count="9">
    <dataValidation sqref="Q37:AB39" showDropDown="0" showInputMessage="1" showErrorMessage="1" allowBlank="1" imeMode="halfAlpha"/>
    <dataValidation sqref="M10:O10 Q10:S10 AB10:AD10 AF10:AH10" showDropDown="0" showInputMessage="1" showErrorMessage="1" allowBlank="1" error="全角数字で入力してください" imeMode="fullAlpha"/>
    <dataValidation sqref="F4:AH4 F13:M13 F23:M23 F27:M27 F31:M31" showDropDown="0" showInputMessage="1" showErrorMessage="1" allowBlank="1" imeMode="halfKatakana"/>
    <dataValidation sqref="K57:N57 T57:V57" showDropDown="0" showInputMessage="1" showErrorMessage="1" allowBlank="1" type="list" imeMode="halfAlpha">
      <formula1>"　,１,２,３,４,５,６,７,８,９,１０,１１,１２,１３,１４,１５,１６,１７,１８,１９,２０,２１,２２,２３,２４"</formula1>
    </dataValidation>
    <dataValidation sqref="N45:O45 U45:W45" showDropDown="0" showInputMessage="1" showErrorMessage="1" allowBlank="1" type="list" imeMode="fullAlpha">
      <formula1>"　,１,２,３,４,５,６,７,８,９,１０,１１,１２,１３,１４,１５,１６,１７,１８,１９,２０,２１,２２,２３,２４"</formula1>
    </dataValidation>
    <dataValidation sqref="N48 N51 U48:V48 U51:V51" showDropDown="0" showInputMessage="1" showErrorMessage="1" allowBlank="1" type="list">
      <formula1>"　,１,２,３,４,５,６,７,８,９,１０,１１,１２,１３,１４,１５,１６,１７,１８,１９,２０,２１,２２,２３,２４"</formula1>
    </dataValidation>
    <dataValidation sqref="K42:R43 K54:R55 K60 P60 U60 Z60 AE60" showDropDown="0" showInputMessage="1" showErrorMessage="1" allowBlank="1" type="list">
      <formula1>"　,○"</formula1>
    </dataValidation>
    <dataValidation sqref="K61:AH61" showDropDown="0" showInputMessage="1" showErrorMessage="1" allowBlank="1" type="list">
      <formula1>"　,運営規程に定めるとおり"</formula1>
    </dataValidation>
    <dataValidation sqref="I10:K10 K37:P39 K40:O40 P57:Q57 Q45:R45 T13:X13 T23:X23 T27:X27 T31:X31 U12:V12 X10:Z10 X57:Y57 X68 Y2:AH3 Y12:Z12 Y45:Z45 AB68:AD68 AC12:AD12 AF68" showDropDown="0" showInputMessage="1" showErrorMessage="1" allowBlank="1" imeMode="fullAlpha"/>
  </dataValidations>
  <pageMargins left="0.6899999999999999" right="0.5905511811023623" top="0.3937007874015748" bottom="0.3937007874015748" header="0.5118110236220472" footer="0.5118110236220472"/>
  <pageSetup orientation="portrait" paperSize="9" scale="97"/>
  <legacyDrawing xmlns:r="http://schemas.openxmlformats.org/officeDocument/2006/relationships" r:id="anysvml"/>
</worksheet>
</file>

<file path=xl/worksheets/sheet8.xml><?xml version="1.0" encoding="utf-8"?>
<worksheet xmlns="http://schemas.openxmlformats.org/spreadsheetml/2006/main">
  <sheetPr codeName="Sheet7">
    <outlinePr summaryBelow="1" summaryRight="1"/>
    <pageSetUpPr/>
  </sheetPr>
  <dimension ref="A1:AN80"/>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7.1" customHeight="1" s="4080" thickBot="1">
      <c r="A1" s="1213" t="inlineStr">
        <is>
          <t>付表４　療養介護事業所の指定に係る記載事項</t>
        </is>
      </c>
      <c r="Z1" s="1753" t="n"/>
      <c r="AA1" s="4087" t="n"/>
      <c r="AB1" s="1754" t="inlineStr">
        <is>
          <t>単位／</t>
        </is>
      </c>
      <c r="AC1" s="4087" t="n"/>
      <c r="AD1" s="4087" t="n"/>
      <c r="AE1" s="1753" t="n"/>
      <c r="AF1" s="4087" t="n"/>
      <c r="AG1" s="1755" t="inlineStr">
        <is>
          <t>単位</t>
        </is>
      </c>
      <c r="AH1" s="4087" t="n"/>
      <c r="AN1" s="719">
        <f>HYPERLINK("#目次!A1","目次へ戻る")</f>
        <v/>
      </c>
    </row>
    <row r="2" ht="14.1" customHeight="1" s="4080">
      <c r="B2" s="45" t="n"/>
      <c r="C2" s="45" t="n"/>
      <c r="D2" s="45" t="n"/>
      <c r="E2" s="1889" t="n"/>
      <c r="F2" s="1889" t="n"/>
      <c r="G2" s="1889" t="n"/>
      <c r="H2" s="2069" t="n"/>
      <c r="I2" s="1889" t="n"/>
      <c r="J2" s="1889" t="n"/>
      <c r="K2" s="1889" t="n"/>
      <c r="L2" s="1889" t="n"/>
      <c r="M2" s="1889" t="n"/>
      <c r="N2" s="2069" t="n"/>
      <c r="O2" s="1889" t="n"/>
      <c r="P2" s="1889" t="n"/>
      <c r="Q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5" customHeight="1" s="4080">
      <c r="A4" s="4179" t="inlineStr">
        <is>
          <t>事業所</t>
        </is>
      </c>
      <c r="B4" s="4082"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2" customHeight="1" s="4080">
      <c r="A5" s="4097" t="n"/>
      <c r="C5" s="4181" t="inlineStr">
        <is>
          <t>名　称</t>
        </is>
      </c>
      <c r="D5" s="4098" t="n"/>
      <c r="E5" s="4099" t="n"/>
      <c r="F5" s="4182"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2"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5" customHeight="1" s="4080">
      <c r="A7" s="4097" t="n"/>
      <c r="C7" s="4181" t="inlineStr">
        <is>
          <t>所在地</t>
        </is>
      </c>
      <c r="D7" s="4098" t="n"/>
      <c r="E7" s="4099" t="n"/>
      <c r="F7" s="1244" t="inlineStr">
        <is>
          <t>郵便番号（</t>
        </is>
      </c>
      <c r="G7" s="4098" t="n"/>
      <c r="H7" s="4098" t="n"/>
      <c r="I7" s="4098" t="n"/>
      <c r="J7" s="1287" t="n"/>
      <c r="K7" s="4098" t="n"/>
      <c r="L7" s="4098" t="n"/>
      <c r="M7" s="4098" t="n"/>
      <c r="N7" s="4098" t="n"/>
      <c r="O7" s="1329" t="inlineStr">
        <is>
          <t>）</t>
        </is>
      </c>
      <c r="P7" s="4311"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5" customHeight="1" s="4080">
      <c r="A8" s="4097" t="n"/>
      <c r="C8" s="4106" t="n"/>
      <c r="E8" s="4107" t="n"/>
      <c r="F8" s="1255" t="inlineStr">
        <is>
          <t>大阪市</t>
        </is>
      </c>
      <c r="I8" s="986" t="n"/>
      <c r="N8" s="1260" t="inlineStr">
        <is>
          <t>区</t>
        </is>
      </c>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4274" t="inlineStr">
        <is>
          <t>電話番号</t>
        </is>
      </c>
      <c r="G10" s="4110" t="n"/>
      <c r="H10" s="4111" t="n"/>
      <c r="I10" s="1367" t="n"/>
      <c r="J10" s="4110" t="n"/>
      <c r="K10" s="4110" t="n"/>
      <c r="L10" s="53" t="inlineStr">
        <is>
          <t>－</t>
        </is>
      </c>
      <c r="M10" s="954" t="n"/>
      <c r="N10" s="4110" t="n"/>
      <c r="O10" s="4110" t="n"/>
      <c r="P10" s="53" t="inlineStr">
        <is>
          <t>－</t>
        </is>
      </c>
      <c r="Q10" s="878" t="n"/>
      <c r="R10" s="4110" t="n"/>
      <c r="S10" s="4111" t="n"/>
      <c r="T10" s="4184" t="inlineStr">
        <is>
          <t>ＦＡＸ番号</t>
        </is>
      </c>
      <c r="U10" s="4110" t="n"/>
      <c r="V10" s="4110" t="n"/>
      <c r="W10" s="4111" t="n"/>
      <c r="X10" s="1367" t="n"/>
      <c r="Y10" s="4110" t="n"/>
      <c r="Z10" s="4110" t="n"/>
      <c r="AA10" s="53" t="inlineStr">
        <is>
          <t>－</t>
        </is>
      </c>
      <c r="AB10" s="954" t="n"/>
      <c r="AC10" s="4110" t="n"/>
      <c r="AD10" s="4110" t="n"/>
      <c r="AE10" s="53" t="inlineStr">
        <is>
          <t>－</t>
        </is>
      </c>
      <c r="AF10" s="955" t="n"/>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18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54" t="n"/>
      <c r="V12" s="4110" t="n"/>
      <c r="W12" s="1264" t="inlineStr">
        <is>
          <t>条第</t>
        </is>
      </c>
      <c r="X12" s="4110" t="n"/>
      <c r="Y12" s="954" t="n"/>
      <c r="Z12" s="4110" t="n"/>
      <c r="AA12" s="1264" t="inlineStr">
        <is>
          <t>項第</t>
        </is>
      </c>
      <c r="AB12" s="4110" t="n"/>
      <c r="AC12" s="954" t="n"/>
      <c r="AD12" s="4110" t="n"/>
      <c r="AE12" s="1264" t="inlineStr">
        <is>
          <t>号（</t>
        </is>
      </c>
      <c r="AF12" s="4110" t="n"/>
      <c r="AG12" s="954" t="n"/>
      <c r="AH12" s="2827" t="inlineStr">
        <is>
          <t>）</t>
        </is>
      </c>
    </row>
    <row r="13" ht="12" customHeight="1" s="4080">
      <c r="A13" s="4188" t="inlineStr">
        <is>
          <t>管　　理　　者</t>
        </is>
      </c>
      <c r="B13" s="4099" t="n"/>
      <c r="C13" s="4184" t="inlineStr">
        <is>
          <t>ﾌﾘｶﾞﾅ</t>
        </is>
      </c>
      <c r="D13" s="4110" t="n"/>
      <c r="E13" s="4111" t="n"/>
      <c r="F13" s="1278" t="n"/>
      <c r="G13" s="4110" t="n"/>
      <c r="H13" s="4110" t="n"/>
      <c r="I13" s="4189" t="n"/>
      <c r="J13" s="1279" t="n"/>
      <c r="K13" s="4110" t="n"/>
      <c r="L13" s="4110" t="n"/>
      <c r="M13" s="4189" t="n"/>
      <c r="N13" s="4185" t="inlineStr">
        <is>
          <t>住所</t>
        </is>
      </c>
      <c r="O13" s="4099" t="n"/>
      <c r="P13" s="1244" t="inlineStr">
        <is>
          <t>郵便番号（</t>
        </is>
      </c>
      <c r="Q13" s="4098" t="n"/>
      <c r="R13" s="4098" t="n"/>
      <c r="S13" s="4098" t="n"/>
      <c r="T13" s="1287" t="n"/>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278" t="n"/>
      <c r="G14" s="4098" t="n"/>
      <c r="H14" s="4098" t="n"/>
      <c r="I14" s="4190" t="n"/>
      <c r="J14" s="1279" t="n"/>
      <c r="K14" s="4098" t="n"/>
      <c r="L14" s="4098" t="n"/>
      <c r="M14" s="4190" t="n"/>
      <c r="N14" s="4106" t="n"/>
      <c r="O14" s="4107" t="n"/>
      <c r="P14" s="1318" t="n"/>
      <c r="R14" s="2378" t="inlineStr">
        <is>
          <t>都</t>
        </is>
      </c>
      <c r="S14" s="2378" t="inlineStr">
        <is>
          <t>道</t>
        </is>
      </c>
      <c r="T14" s="1319" t="n"/>
      <c r="W14" s="2378" t="inlineStr">
        <is>
          <t>郡</t>
        </is>
      </c>
      <c r="X14" s="1321" t="n"/>
      <c r="AH14" s="4109" t="n"/>
    </row>
    <row r="15" ht="12" customHeight="1" s="4080">
      <c r="A15" s="4097" t="n"/>
      <c r="B15" s="4107" t="n"/>
      <c r="C15" s="4106" t="n"/>
      <c r="E15" s="4107" t="n"/>
      <c r="F15" s="4106" t="n"/>
      <c r="I15" s="4191" t="n"/>
      <c r="J15" s="4192" t="n"/>
      <c r="M15" s="4191" t="n"/>
      <c r="N15" s="4106" t="n"/>
      <c r="O15" s="4107" t="n"/>
      <c r="P15" s="4106" t="n"/>
      <c r="R15" s="2378" t="inlineStr">
        <is>
          <t>府</t>
        </is>
      </c>
      <c r="S15" s="2378" t="inlineStr">
        <is>
          <t>県</t>
        </is>
      </c>
      <c r="W15" s="2378"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1325" t="inlineStr">
        <is>
          <t>無</t>
        </is>
      </c>
      <c r="R18" s="1332" t="n"/>
      <c r="S18" s="4106" t="n"/>
      <c r="U18" s="4107" t="n"/>
      <c r="V18" s="4312"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7.25" customHeight="1" s="4080">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Height="1" s="4080">
      <c r="A21" s="4097" t="n"/>
      <c r="B21" s="4107" t="n"/>
      <c r="C21" s="1303" t="inlineStr">
        <is>
          <t>事　業　所　名</t>
        </is>
      </c>
      <c r="D21" s="4138" t="n"/>
      <c r="E21" s="4138" t="n"/>
      <c r="F21" s="4138" t="n"/>
      <c r="G21" s="4138" t="n"/>
      <c r="H21" s="4138" t="n"/>
      <c r="I21" s="4138" t="n"/>
      <c r="J21" s="4138" t="n"/>
      <c r="K21" s="4138" t="n"/>
      <c r="L21" s="4198" t="n"/>
      <c r="M21" s="1304" t="inlineStr">
        <is>
          <t>サービス種別</t>
        </is>
      </c>
      <c r="N21" s="4138" t="n"/>
      <c r="O21" s="4138" t="n"/>
      <c r="P21" s="4138" t="n"/>
      <c r="Q21" s="4138" t="n"/>
      <c r="R21" s="4138" t="n"/>
      <c r="S21" s="4138" t="n"/>
      <c r="T21" s="4138" t="n"/>
      <c r="U21" s="4138" t="n"/>
      <c r="V21" s="4138" t="n"/>
      <c r="W21" s="4138" t="n"/>
      <c r="X21" s="4198" t="n"/>
      <c r="Y21" s="1641" t="inlineStr">
        <is>
          <t>職　　　種</t>
        </is>
      </c>
      <c r="Z21" s="4138" t="n"/>
      <c r="AA21" s="4138" t="n"/>
      <c r="AB21" s="4138" t="n"/>
      <c r="AC21" s="4138" t="n"/>
      <c r="AD21" s="4138" t="n"/>
      <c r="AE21" s="4138" t="n"/>
      <c r="AF21" s="4138" t="n"/>
      <c r="AG21" s="4138" t="n"/>
      <c r="AH21" s="4198" t="n"/>
    </row>
    <row r="22" ht="15" customHeight="1" s="4080">
      <c r="A22" s="4097" t="n"/>
      <c r="B22" s="4107" t="n"/>
      <c r="C22" s="1347" t="n"/>
      <c r="D22" s="4098" t="n"/>
      <c r="E22" s="4098" t="n"/>
      <c r="F22" s="4098" t="n"/>
      <c r="G22" s="4098" t="n"/>
      <c r="H22" s="4098" t="n"/>
      <c r="I22" s="4098" t="n"/>
      <c r="J22" s="4098" t="n"/>
      <c r="K22" s="4098" t="n"/>
      <c r="L22" s="4190" t="n"/>
      <c r="M22" s="1348" t="n"/>
      <c r="N22" s="4098" t="n"/>
      <c r="O22" s="4098" t="n"/>
      <c r="P22" s="4098" t="n"/>
      <c r="Q22" s="4098" t="n"/>
      <c r="R22" s="4098" t="n"/>
      <c r="S22" s="4098" t="n"/>
      <c r="T22" s="4098" t="n"/>
      <c r="U22" s="4098" t="n"/>
      <c r="V22" s="4098" t="n"/>
      <c r="W22" s="4098" t="n"/>
      <c r="X22" s="4190" t="n"/>
      <c r="Y22" s="1349" t="n"/>
      <c r="Z22" s="4098" t="n"/>
      <c r="AA22" s="4098" t="n"/>
      <c r="AB22" s="4098" t="n"/>
      <c r="AC22" s="4098" t="n"/>
      <c r="AD22" s="4098" t="n"/>
      <c r="AE22" s="4098" t="n"/>
      <c r="AF22" s="4098" t="n"/>
      <c r="AG22" s="4098" t="n"/>
      <c r="AH22" s="4190" t="n"/>
    </row>
    <row r="23" ht="15" customHeight="1" s="4080">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1" t="n"/>
      <c r="Z23" s="4199" t="n"/>
      <c r="AA23" s="4199" t="n"/>
      <c r="AB23" s="4199" t="n"/>
      <c r="AC23" s="4199" t="n"/>
      <c r="AD23" s="4199" t="n"/>
      <c r="AE23" s="4199" t="n"/>
      <c r="AF23" s="4199" t="n"/>
      <c r="AG23" s="4199" t="n"/>
      <c r="AH23" s="4200" t="n"/>
    </row>
    <row r="24" ht="15" customHeight="1" s="4080">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1" t="n"/>
      <c r="Z24" s="4199" t="n"/>
      <c r="AA24" s="4199" t="n"/>
      <c r="AB24" s="4199" t="n"/>
      <c r="AC24" s="4199" t="n"/>
      <c r="AD24" s="4199" t="n"/>
      <c r="AE24" s="4199" t="n"/>
      <c r="AF24" s="4199" t="n"/>
      <c r="AG24" s="4199" t="n"/>
      <c r="AH24" s="4200" t="n"/>
    </row>
    <row r="25" ht="15" customHeight="1" s="4080">
      <c r="A25" s="4097" t="n"/>
      <c r="B25" s="4107" t="n"/>
      <c r="C25" s="1343" t="n"/>
      <c r="D25" s="4146" t="n"/>
      <c r="E25" s="4146" t="n"/>
      <c r="F25" s="4146" t="n"/>
      <c r="G25" s="4146" t="n"/>
      <c r="H25" s="4146" t="n"/>
      <c r="I25" s="4146" t="n"/>
      <c r="J25" s="4146" t="n"/>
      <c r="K25" s="4146" t="n"/>
      <c r="L25" s="4201" t="n"/>
      <c r="M25" s="1344" t="n"/>
      <c r="N25" s="4146" t="n"/>
      <c r="O25" s="4146" t="n"/>
      <c r="P25" s="4146" t="n"/>
      <c r="Q25" s="4146" t="n"/>
      <c r="R25" s="4146" t="n"/>
      <c r="S25" s="4146" t="n"/>
      <c r="T25" s="4146" t="n"/>
      <c r="U25" s="4146" t="n"/>
      <c r="V25" s="4146" t="n"/>
      <c r="W25" s="4146" t="n"/>
      <c r="X25" s="4201" t="n"/>
      <c r="Y25" s="1345" t="n"/>
      <c r="Z25" s="4146" t="n"/>
      <c r="AA25" s="4146" t="n"/>
      <c r="AB25" s="4146" t="n"/>
      <c r="AC25" s="4146" t="n"/>
      <c r="AD25" s="4146" t="n"/>
      <c r="AE25" s="4146" t="n"/>
      <c r="AF25" s="4146" t="n"/>
      <c r="AG25" s="4146" t="n"/>
      <c r="AH25" s="4201" t="n"/>
    </row>
    <row r="26" ht="14.1" customHeight="1" s="4080">
      <c r="A26" s="1766" t="inlineStr">
        <is>
          <t>サ ー ビ ス 管 理 責 任 者</t>
        </is>
      </c>
      <c r="B26" s="1768" t="inlineStr">
        <is>
          <t>１</t>
        </is>
      </c>
      <c r="C26" s="4184" t="inlineStr">
        <is>
          <t>ﾌﾘｶﾞﾅ</t>
        </is>
      </c>
      <c r="D26" s="4110" t="n"/>
      <c r="E26" s="4111" t="n"/>
      <c r="F26" s="4203" t="n"/>
      <c r="G26" s="4110" t="n"/>
      <c r="H26" s="4110" t="n"/>
      <c r="I26" s="4204" t="n"/>
      <c r="J26" s="4205" t="n"/>
      <c r="K26" s="4110" t="n"/>
      <c r="L26" s="4110" t="n"/>
      <c r="M26" s="4111" t="n"/>
      <c r="N26" s="2164" t="inlineStr">
        <is>
          <t>住所</t>
        </is>
      </c>
      <c r="O26" s="4099" t="n"/>
      <c r="P26" s="1244" t="inlineStr">
        <is>
          <t>郵便番号（</t>
        </is>
      </c>
      <c r="Q26" s="4098" t="n"/>
      <c r="R26" s="4098" t="n"/>
      <c r="S26" s="4098" t="n"/>
      <c r="T26" s="1287" t="n"/>
      <c r="U26" s="4098" t="n"/>
      <c r="V26" s="4098" t="n"/>
      <c r="W26" s="4098" t="n"/>
      <c r="X26" s="4098" t="n"/>
      <c r="Y26" s="1329" t="inlineStr">
        <is>
          <t>）</t>
        </is>
      </c>
      <c r="Z26" s="1017" t="n"/>
      <c r="AA26" s="1017" t="n"/>
      <c r="AB26" s="1017" t="n"/>
      <c r="AC26" s="1017" t="n"/>
      <c r="AD26" s="1017" t="n"/>
      <c r="AE26" s="120" t="n"/>
      <c r="AF26" s="119" t="n"/>
      <c r="AG26" s="119" t="n"/>
      <c r="AH26" s="118" t="n"/>
    </row>
    <row r="27" ht="14.1" customHeight="1" s="4080">
      <c r="A27" s="4208" t="n"/>
      <c r="B27" s="4107" t="n"/>
      <c r="C27" s="4209" t="inlineStr">
        <is>
          <t>氏　　名</t>
        </is>
      </c>
      <c r="D27" s="4098" t="n"/>
      <c r="E27" s="4099" t="n"/>
      <c r="F27" s="4203" t="n"/>
      <c r="G27" s="4098" t="n"/>
      <c r="H27" s="4098" t="n"/>
      <c r="I27" s="4210" t="n"/>
      <c r="J27" s="4205" t="n"/>
      <c r="K27" s="4098" t="n"/>
      <c r="L27" s="4098" t="n"/>
      <c r="M27" s="4099" t="n"/>
      <c r="N27" s="4106" t="n"/>
      <c r="O27" s="4107" t="n"/>
      <c r="P27" s="1318" t="n"/>
      <c r="R27" s="2378" t="inlineStr">
        <is>
          <t>都</t>
        </is>
      </c>
      <c r="S27" s="2378" t="inlineStr">
        <is>
          <t>道</t>
        </is>
      </c>
      <c r="T27" s="1389" t="n"/>
      <c r="W27" s="2378" t="inlineStr">
        <is>
          <t>郡</t>
        </is>
      </c>
      <c r="X27" s="1686" t="n"/>
      <c r="AH27" s="4109" t="n"/>
    </row>
    <row r="28" ht="14.1" customHeight="1" s="4080">
      <c r="A28" s="4208" t="n"/>
      <c r="B28" s="4107" t="n"/>
      <c r="C28" s="4106" t="n"/>
      <c r="E28" s="4107" t="n"/>
      <c r="F28" s="4106" t="n"/>
      <c r="I28" s="4212" t="n"/>
      <c r="J28" s="4213" t="n"/>
      <c r="M28" s="4107" t="n"/>
      <c r="N28" s="4106" t="n"/>
      <c r="O28" s="4107" t="n"/>
      <c r="P28" s="4106" t="n"/>
      <c r="R28" s="2378" t="inlineStr">
        <is>
          <t>府</t>
        </is>
      </c>
      <c r="S28" s="2378" t="inlineStr">
        <is>
          <t>県</t>
        </is>
      </c>
      <c r="W28" s="2378" t="inlineStr">
        <is>
          <t>市</t>
        </is>
      </c>
      <c r="AH28" s="4109" t="n"/>
    </row>
    <row r="29" ht="3" customHeight="1" s="4080">
      <c r="A29" s="4208" t="n"/>
      <c r="B29" s="4107" t="n"/>
      <c r="C29" s="4102" t="n"/>
      <c r="D29" s="4103" t="n"/>
      <c r="E29" s="4104" t="n"/>
      <c r="F29" s="4102" t="n"/>
      <c r="G29" s="4103" t="n"/>
      <c r="H29" s="4103" t="n"/>
      <c r="I29" s="4215" t="n"/>
      <c r="J29" s="4216" t="n"/>
      <c r="K29" s="4103" t="n"/>
      <c r="L29" s="4103" t="n"/>
      <c r="M29" s="4104" t="n"/>
      <c r="N29" s="4102" t="n"/>
      <c r="O29" s="4104" t="n"/>
      <c r="P29" s="4102" t="n"/>
      <c r="Q29" s="4103" t="n"/>
      <c r="R29" s="2378" t="n"/>
      <c r="S29" s="2378" t="n"/>
      <c r="T29" s="4103" t="n"/>
      <c r="U29" s="4103" t="n"/>
      <c r="V29" s="4103" t="n"/>
      <c r="W29" s="63" t="n"/>
      <c r="X29" s="4103" t="n"/>
      <c r="Y29" s="4103" t="n"/>
      <c r="Z29" s="4103" t="n"/>
      <c r="AA29" s="4103" t="n"/>
      <c r="AB29" s="4103" t="n"/>
      <c r="AC29" s="4103" t="n"/>
      <c r="AD29" s="4103" t="n"/>
      <c r="AE29" s="4103" t="n"/>
      <c r="AF29" s="4103" t="n"/>
      <c r="AG29" s="4103" t="n"/>
      <c r="AH29" s="4105" t="n"/>
    </row>
    <row r="30" ht="3.95" customHeight="1" s="4080">
      <c r="A30" s="4208" t="n"/>
      <c r="B30" s="4107" t="n"/>
      <c r="C30" s="1393" t="inlineStr">
        <is>
          <t>他の職務との兼務の有無及び職種</t>
        </is>
      </c>
      <c r="D30" s="4098" t="n"/>
      <c r="E30" s="4098" t="n"/>
      <c r="F30" s="4098" t="n"/>
      <c r="G30" s="4098" t="n"/>
      <c r="H30" s="4098" t="n"/>
      <c r="I30" s="4098" t="n"/>
      <c r="J30" s="4098" t="n"/>
      <c r="K30" s="4098" t="n"/>
      <c r="L30" s="4098" t="n"/>
      <c r="M30" s="4098" t="n"/>
      <c r="N30" s="4195" t="n"/>
      <c r="O30" s="4098" t="n"/>
      <c r="P30" s="4098" t="n"/>
      <c r="Q30" s="4098" t="n"/>
      <c r="R30" s="4099" t="n"/>
      <c r="S30" s="2163" t="inlineStr">
        <is>
          <t>職　　種</t>
        </is>
      </c>
      <c r="T30" s="4098" t="n"/>
      <c r="U30" s="4099" t="n"/>
      <c r="V30" s="1322" t="n"/>
      <c r="W30" s="1335" t="inlineStr">
        <is>
          <t xml:space="preserve">　</t>
        </is>
      </c>
      <c r="X30" s="4098" t="n"/>
      <c r="Y30" s="4098" t="n"/>
      <c r="Z30" s="4098" t="n"/>
      <c r="AA30" s="4098" t="n"/>
      <c r="AB30" s="4098" t="n"/>
      <c r="AC30" s="4098" t="n"/>
      <c r="AD30" s="4098" t="n"/>
      <c r="AE30" s="4098" t="n"/>
      <c r="AF30" s="4098" t="n"/>
      <c r="AG30" s="4098" t="n"/>
      <c r="AH30" s="4101" t="n"/>
    </row>
    <row r="31" ht="14.1" customHeight="1" s="4080">
      <c r="A31" s="4208" t="n"/>
      <c r="B31" s="4107" t="n"/>
      <c r="C31" s="4106" t="n"/>
      <c r="N31" s="1354" t="n"/>
      <c r="O31" s="1325" t="inlineStr">
        <is>
          <t>有</t>
        </is>
      </c>
      <c r="P31" s="1325" t="inlineStr">
        <is>
          <t>・</t>
        </is>
      </c>
      <c r="Q31" s="1325" t="inlineStr">
        <is>
          <t>無</t>
        </is>
      </c>
      <c r="R31" s="1332" t="n"/>
      <c r="S31" s="4106" t="n"/>
      <c r="U31" s="4107" t="n"/>
      <c r="V31" s="4312" t="n"/>
      <c r="AH31" s="4109" t="n"/>
    </row>
    <row r="32" ht="3.95" customHeight="1" s="4080">
      <c r="A32" s="4208" t="n"/>
      <c r="B32" s="4107" t="n"/>
      <c r="C32" s="4102" t="n"/>
      <c r="D32" s="4103" t="n"/>
      <c r="E32" s="4103" t="n"/>
      <c r="F32" s="4103" t="n"/>
      <c r="G32" s="4103" t="n"/>
      <c r="H32" s="4103" t="n"/>
      <c r="I32" s="4103" t="n"/>
      <c r="J32" s="4103" t="n"/>
      <c r="K32" s="4103" t="n"/>
      <c r="L32" s="4103" t="n"/>
      <c r="M32" s="4103" t="n"/>
      <c r="N32" s="4197" t="n"/>
      <c r="O32" s="4103" t="n"/>
      <c r="P32" s="4103" t="n"/>
      <c r="Q32" s="4103" t="n"/>
      <c r="R32" s="4104" t="n"/>
      <c r="S32" s="4102" t="n"/>
      <c r="T32" s="4103" t="n"/>
      <c r="U32" s="4104" t="n"/>
      <c r="V32" s="1326" t="n"/>
      <c r="W32" s="1299" t="n"/>
      <c r="X32" s="4103" t="n"/>
      <c r="Y32" s="4103" t="n"/>
      <c r="Z32" s="4103" t="n"/>
      <c r="AA32" s="4103" t="n"/>
      <c r="AB32" s="4103" t="n"/>
      <c r="AC32" s="4103" t="n"/>
      <c r="AD32" s="4103" t="n"/>
      <c r="AE32" s="4103" t="n"/>
      <c r="AF32" s="4103" t="n"/>
      <c r="AG32" s="4103" t="n"/>
      <c r="AH32" s="4105" t="n"/>
    </row>
    <row r="33" ht="3.95" customHeight="1" s="4080">
      <c r="A33" s="4208" t="n"/>
      <c r="B33" s="4107" t="n"/>
      <c r="C33" s="1826" t="inlineStr">
        <is>
          <t>資格要件</t>
        </is>
      </c>
      <c r="D33" s="4098" t="n"/>
      <c r="E33" s="4098" t="n"/>
      <c r="F33" s="1370" t="n"/>
      <c r="G33" s="2056" t="n"/>
      <c r="H33" s="942" t="n"/>
      <c r="I33" s="2056" t="n"/>
      <c r="J33" s="2056" t="n"/>
      <c r="K33" s="2056" t="n"/>
      <c r="L33" s="2056" t="n"/>
      <c r="M33" s="2056" t="n"/>
      <c r="N33" s="2056" t="n"/>
      <c r="O33" s="2056" t="n"/>
      <c r="P33" s="1402" t="n"/>
      <c r="Q33" s="1402" t="n"/>
      <c r="R33" s="1402" t="n"/>
      <c r="S33" s="4313" t="inlineStr">
        <is>
          <t>研修の
受講状況</t>
        </is>
      </c>
      <c r="T33" s="4098" t="n"/>
      <c r="U33" s="4099" t="n"/>
      <c r="V33" s="1322" t="n"/>
      <c r="W33" s="1323" t="n"/>
      <c r="X33" s="1323" t="n"/>
      <c r="Y33" s="1323" t="n"/>
      <c r="Z33" s="1323" t="n"/>
      <c r="AA33" s="1331" t="n"/>
      <c r="AB33" s="2056" t="n"/>
      <c r="AC33" s="2056" t="n"/>
      <c r="AD33" s="2056" t="n"/>
      <c r="AE33" s="2056" t="n"/>
      <c r="AF33" s="2056" t="n"/>
      <c r="AG33" s="2056" t="n"/>
      <c r="AH33" s="127" t="n"/>
    </row>
    <row r="34" ht="14.1" customHeight="1" s="4080">
      <c r="A34" s="4208" t="n"/>
      <c r="B34" s="4107" t="n"/>
      <c r="C34" s="4106" t="n"/>
      <c r="F34" s="4314" t="inlineStr">
        <is>
          <t>実務経験</t>
        </is>
      </c>
      <c r="H34" s="4107" t="n"/>
      <c r="I34" s="1790" t="n"/>
      <c r="S34" s="4106" t="n"/>
      <c r="U34" s="4107" t="n"/>
      <c r="V34" s="4315" t="inlineStr">
        <is>
          <t>相談支援従事者研修</t>
        </is>
      </c>
      <c r="AA34" s="4107" t="n"/>
      <c r="AB34" s="128" t="n"/>
      <c r="AC34" s="1783" t="inlineStr">
        <is>
          <t>受講済</t>
        </is>
      </c>
      <c r="AE34" s="2379" t="inlineStr">
        <is>
          <t>・</t>
        </is>
      </c>
      <c r="AF34" s="1770" t="inlineStr">
        <is>
          <t>未受講</t>
        </is>
      </c>
      <c r="AH34" s="130" t="n"/>
    </row>
    <row r="35" ht="3.95" customHeight="1" s="4080">
      <c r="A35" s="4208" t="n"/>
      <c r="B35" s="4107" t="n"/>
      <c r="C35" s="4106" t="n"/>
      <c r="F35" s="131" t="n"/>
      <c r="G35" s="132" t="n"/>
      <c r="H35" s="133" t="n"/>
      <c r="I35" s="134" t="n"/>
      <c r="J35" s="134" t="n"/>
      <c r="K35" s="134" t="n"/>
      <c r="L35" s="134" t="n"/>
      <c r="M35" s="134" t="n"/>
      <c r="N35" s="134" t="n"/>
      <c r="O35" s="135" t="n"/>
      <c r="P35" s="136" t="n"/>
      <c r="Q35" s="136" t="n"/>
      <c r="R35" s="137" t="n"/>
      <c r="S35" s="4106" t="n"/>
      <c r="U35" s="4107" t="n"/>
      <c r="V35" s="4316" t="n"/>
      <c r="W35" s="4317" t="n"/>
      <c r="X35" s="4317" t="n"/>
      <c r="Y35" s="4317" t="n"/>
      <c r="Z35" s="4317" t="n"/>
      <c r="AA35" s="4318" t="n"/>
      <c r="AB35" s="138" t="n"/>
      <c r="AC35" s="138" t="n"/>
      <c r="AD35" s="138" t="n"/>
      <c r="AE35" s="138" t="n"/>
      <c r="AF35" s="138" t="n"/>
      <c r="AG35" s="138" t="n"/>
      <c r="AH35" s="139" t="n"/>
    </row>
    <row r="36" ht="3.95" customHeight="1" s="4080">
      <c r="A36" s="4208" t="n"/>
      <c r="B36" s="4107" t="n"/>
      <c r="C36" s="4106" t="n"/>
      <c r="F36" s="140" t="n"/>
      <c r="G36" s="141" t="n"/>
      <c r="H36" s="142" t="n"/>
      <c r="I36" s="143" t="n"/>
      <c r="J36" s="143" t="n"/>
      <c r="K36" s="144" t="n"/>
      <c r="L36" s="141" t="n"/>
      <c r="M36" s="141" t="n"/>
      <c r="N36" s="141" t="n"/>
      <c r="O36" s="141" t="n"/>
      <c r="P36" s="145" t="n"/>
      <c r="Q36" s="145" t="n"/>
      <c r="R36" s="146" t="n"/>
      <c r="S36" s="4106" t="n"/>
      <c r="U36" s="4107" t="n"/>
      <c r="V36" s="4319" t="n"/>
      <c r="W36" s="4320" t="n"/>
      <c r="X36" s="4320" t="n"/>
      <c r="Y36" s="4320" t="n"/>
      <c r="Z36" s="4320" t="n"/>
      <c r="AA36" s="4321" t="n"/>
      <c r="AB36" s="141" t="n"/>
      <c r="AC36" s="141" t="n"/>
      <c r="AD36" s="141" t="n"/>
      <c r="AE36" s="141" t="n"/>
      <c r="AF36" s="141" t="n"/>
      <c r="AG36" s="141" t="n"/>
      <c r="AH36" s="147" t="n"/>
    </row>
    <row r="37" ht="14.1" customHeight="1" s="4080">
      <c r="A37" s="4208" t="n"/>
      <c r="B37" s="4107" t="n"/>
      <c r="C37" s="4106" t="n"/>
      <c r="F37" s="4314" t="inlineStr">
        <is>
          <t>資格種類</t>
        </is>
      </c>
      <c r="H37" s="4107" t="n"/>
      <c r="I37" s="935" t="n"/>
      <c r="S37" s="4106" t="n"/>
      <c r="U37" s="4107" t="n"/>
      <c r="V37" s="4322" t="inlineStr">
        <is>
          <t>サービス管理責任者研修</t>
        </is>
      </c>
      <c r="AA37" s="4107" t="n"/>
      <c r="AB37" s="1355" t="n"/>
      <c r="AC37" s="1783" t="inlineStr">
        <is>
          <t>受講済</t>
        </is>
      </c>
      <c r="AE37" s="2379" t="inlineStr">
        <is>
          <t>・</t>
        </is>
      </c>
      <c r="AF37" s="1770" t="inlineStr">
        <is>
          <t>未受講</t>
        </is>
      </c>
      <c r="AH37" s="148" t="n"/>
    </row>
    <row r="38" ht="3.95" customHeight="1" s="4080">
      <c r="A38" s="4208" t="n"/>
      <c r="B38" s="4107" t="n"/>
      <c r="C38" s="4102" t="n"/>
      <c r="D38" s="4103" t="n"/>
      <c r="E38" s="4103" t="n"/>
      <c r="F38" s="1374" t="n"/>
      <c r="G38" s="2059" t="n"/>
      <c r="H38" s="1375" t="n"/>
      <c r="I38" s="134" t="n"/>
      <c r="J38" s="134" t="n"/>
      <c r="K38" s="134" t="n"/>
      <c r="L38" s="134" t="n"/>
      <c r="M38" s="134" t="n"/>
      <c r="N38" s="134" t="n"/>
      <c r="O38" s="2059" t="n"/>
      <c r="P38" s="1413" t="n"/>
      <c r="Q38" s="1413" t="n"/>
      <c r="R38" s="1413" t="n"/>
      <c r="S38" s="4102" t="n"/>
      <c r="T38" s="4103" t="n"/>
      <c r="U38" s="4104" t="n"/>
      <c r="V38" s="1412" t="n"/>
      <c r="W38" s="154" t="n"/>
      <c r="X38" s="154" t="n"/>
      <c r="Y38" s="138" t="n"/>
      <c r="Z38" s="138" t="n"/>
      <c r="AA38" s="155" t="n"/>
      <c r="AB38" s="134" t="n"/>
      <c r="AC38" s="134" t="n"/>
      <c r="AD38" s="134" t="n"/>
      <c r="AE38" s="134" t="n"/>
      <c r="AF38" s="134" t="n"/>
      <c r="AG38" s="134" t="n"/>
      <c r="AH38" s="156" t="n"/>
    </row>
    <row r="39" ht="14.1" customHeight="1" s="4080">
      <c r="A39" s="4208" t="n"/>
      <c r="B39" s="1768" t="inlineStr">
        <is>
          <t>２</t>
        </is>
      </c>
      <c r="C39" s="4184" t="inlineStr">
        <is>
          <t>ﾌﾘｶﾞﾅ</t>
        </is>
      </c>
      <c r="D39" s="4110" t="n"/>
      <c r="E39" s="4111" t="n"/>
      <c r="F39" s="4203" t="n"/>
      <c r="G39" s="4110" t="n"/>
      <c r="H39" s="4110" t="n"/>
      <c r="I39" s="4204" t="n"/>
      <c r="J39" s="4205" t="n"/>
      <c r="K39" s="4110" t="n"/>
      <c r="L39" s="4110" t="n"/>
      <c r="M39" s="4111" t="n"/>
      <c r="N39" s="2164" t="inlineStr">
        <is>
          <t>住所</t>
        </is>
      </c>
      <c r="O39" s="4099" t="n"/>
      <c r="P39" s="1244" t="inlineStr">
        <is>
          <t>郵便番号（</t>
        </is>
      </c>
      <c r="Q39" s="4098" t="n"/>
      <c r="R39" s="4098" t="n"/>
      <c r="S39" s="4098" t="n"/>
      <c r="T39" s="1287" t="n"/>
      <c r="U39" s="4098" t="n"/>
      <c r="V39" s="4098" t="n"/>
      <c r="W39" s="4098" t="n"/>
      <c r="X39" s="4098" t="n"/>
      <c r="Y39" s="1329" t="inlineStr">
        <is>
          <t>）</t>
        </is>
      </c>
      <c r="Z39" s="1017" t="n"/>
      <c r="AA39" s="1017" t="n"/>
      <c r="AB39" s="1017" t="n"/>
      <c r="AC39" s="1017" t="n"/>
      <c r="AD39" s="1017" t="n"/>
      <c r="AE39" s="120" t="n"/>
      <c r="AF39" s="119" t="n"/>
      <c r="AG39" s="119" t="n"/>
      <c r="AH39" s="118" t="n"/>
    </row>
    <row r="40" ht="14.1" customHeight="1" s="4080">
      <c r="A40" s="4208" t="n"/>
      <c r="B40" s="4107" t="n"/>
      <c r="C40" s="4209" t="inlineStr">
        <is>
          <t>氏　　名</t>
        </is>
      </c>
      <c r="D40" s="4098" t="n"/>
      <c r="E40" s="4099" t="n"/>
      <c r="F40" s="4203" t="n"/>
      <c r="G40" s="4098" t="n"/>
      <c r="H40" s="4098" t="n"/>
      <c r="I40" s="4210" t="n"/>
      <c r="J40" s="4205" t="n"/>
      <c r="K40" s="4098" t="n"/>
      <c r="L40" s="4098" t="n"/>
      <c r="M40" s="4099" t="n"/>
      <c r="N40" s="4106" t="n"/>
      <c r="O40" s="4107" t="n"/>
      <c r="P40" s="1318" t="n"/>
      <c r="R40" s="2378" t="inlineStr">
        <is>
          <t>都</t>
        </is>
      </c>
      <c r="S40" s="2378" t="inlineStr">
        <is>
          <t>道</t>
        </is>
      </c>
      <c r="T40" s="1389" t="n"/>
      <c r="W40" s="2378" t="inlineStr">
        <is>
          <t>郡</t>
        </is>
      </c>
      <c r="X40" s="1686" t="n"/>
      <c r="AH40" s="4109" t="n"/>
    </row>
    <row r="41" ht="14.1" customHeight="1" s="4080">
      <c r="A41" s="4208" t="n"/>
      <c r="B41" s="4107" t="n"/>
      <c r="C41" s="4106" t="n"/>
      <c r="E41" s="4107" t="n"/>
      <c r="F41" s="4106" t="n"/>
      <c r="I41" s="4212" t="n"/>
      <c r="J41" s="4213" t="n"/>
      <c r="M41" s="4107" t="n"/>
      <c r="N41" s="4106" t="n"/>
      <c r="O41" s="4107" t="n"/>
      <c r="P41" s="4106" t="n"/>
      <c r="R41" s="2378" t="inlineStr">
        <is>
          <t>府</t>
        </is>
      </c>
      <c r="S41" s="2378" t="inlineStr">
        <is>
          <t>県</t>
        </is>
      </c>
      <c r="W41" s="2378" t="inlineStr">
        <is>
          <t>市</t>
        </is>
      </c>
      <c r="AH41" s="4109" t="n"/>
    </row>
    <row r="42" ht="3" customHeight="1" s="4080">
      <c r="A42" s="4208" t="n"/>
      <c r="B42" s="4107" t="n"/>
      <c r="C42" s="4102" t="n"/>
      <c r="D42" s="4103" t="n"/>
      <c r="E42" s="4104" t="n"/>
      <c r="F42" s="4102" t="n"/>
      <c r="G42" s="4103" t="n"/>
      <c r="H42" s="4103" t="n"/>
      <c r="I42" s="4215" t="n"/>
      <c r="J42" s="4216" t="n"/>
      <c r="K42" s="4103" t="n"/>
      <c r="L42" s="4103" t="n"/>
      <c r="M42" s="4104" t="n"/>
      <c r="N42" s="4102" t="n"/>
      <c r="O42" s="4104" t="n"/>
      <c r="P42" s="4102" t="n"/>
      <c r="Q42" s="4103" t="n"/>
      <c r="R42" s="2378" t="n"/>
      <c r="S42" s="2378" t="n"/>
      <c r="T42" s="4103" t="n"/>
      <c r="U42" s="4103" t="n"/>
      <c r="V42" s="4103" t="n"/>
      <c r="W42" s="63" t="n"/>
      <c r="X42" s="4103" t="n"/>
      <c r="Y42" s="4103" t="n"/>
      <c r="Z42" s="4103" t="n"/>
      <c r="AA42" s="4103" t="n"/>
      <c r="AB42" s="4103" t="n"/>
      <c r="AC42" s="4103" t="n"/>
      <c r="AD42" s="4103" t="n"/>
      <c r="AE42" s="4103" t="n"/>
      <c r="AF42" s="4103" t="n"/>
      <c r="AG42" s="4103" t="n"/>
      <c r="AH42" s="4105" t="n"/>
    </row>
    <row r="43" ht="3.95" customHeight="1" s="4080">
      <c r="A43" s="4208" t="n"/>
      <c r="B43" s="4107" t="n"/>
      <c r="C43" s="1393" t="inlineStr">
        <is>
          <t>他の職務との兼務の有無及び職種</t>
        </is>
      </c>
      <c r="D43" s="4098" t="n"/>
      <c r="E43" s="4098" t="n"/>
      <c r="F43" s="4098" t="n"/>
      <c r="G43" s="4098" t="n"/>
      <c r="H43" s="4098" t="n"/>
      <c r="I43" s="4098" t="n"/>
      <c r="J43" s="4098" t="n"/>
      <c r="K43" s="4098" t="n"/>
      <c r="L43" s="4098" t="n"/>
      <c r="M43" s="4098" t="n"/>
      <c r="N43" s="4195" t="n"/>
      <c r="O43" s="4098" t="n"/>
      <c r="P43" s="4098" t="n"/>
      <c r="Q43" s="4098" t="n"/>
      <c r="R43" s="4099" t="n"/>
      <c r="S43" s="2163" t="inlineStr">
        <is>
          <t>職　　種</t>
        </is>
      </c>
      <c r="T43" s="4098" t="n"/>
      <c r="U43" s="4099" t="n"/>
      <c r="V43" s="1322" t="n"/>
      <c r="W43" s="1335" t="inlineStr">
        <is>
          <t xml:space="preserve">　</t>
        </is>
      </c>
      <c r="X43" s="4098" t="n"/>
      <c r="Y43" s="4098" t="n"/>
      <c r="Z43" s="4098" t="n"/>
      <c r="AA43" s="4098" t="n"/>
      <c r="AB43" s="4098" t="n"/>
      <c r="AC43" s="4098" t="n"/>
      <c r="AD43" s="4098" t="n"/>
      <c r="AE43" s="4098" t="n"/>
      <c r="AF43" s="4098" t="n"/>
      <c r="AG43" s="4098" t="n"/>
      <c r="AH43" s="4101" t="n"/>
    </row>
    <row r="44" ht="14.1" customHeight="1" s="4080">
      <c r="A44" s="4208" t="n"/>
      <c r="B44" s="4107" t="n"/>
      <c r="C44" s="4106" t="n"/>
      <c r="N44" s="1354" t="n"/>
      <c r="O44" s="1325" t="inlineStr">
        <is>
          <t>有</t>
        </is>
      </c>
      <c r="P44" s="1325" t="inlineStr">
        <is>
          <t>・</t>
        </is>
      </c>
      <c r="Q44" s="1325" t="inlineStr">
        <is>
          <t>無</t>
        </is>
      </c>
      <c r="R44" s="1332" t="n"/>
      <c r="S44" s="4106" t="n"/>
      <c r="U44" s="4107" t="n"/>
      <c r="V44" s="4312" t="n"/>
      <c r="AH44" s="4109" t="n"/>
    </row>
    <row r="45" ht="3.95" customHeight="1" s="4080">
      <c r="A45" s="4208" t="n"/>
      <c r="B45" s="4107" t="n"/>
      <c r="C45" s="4102" t="n"/>
      <c r="D45" s="4103" t="n"/>
      <c r="E45" s="4103" t="n"/>
      <c r="F45" s="4103" t="n"/>
      <c r="G45" s="4103" t="n"/>
      <c r="H45" s="4103" t="n"/>
      <c r="I45" s="4103" t="n"/>
      <c r="J45" s="4103" t="n"/>
      <c r="K45" s="4103" t="n"/>
      <c r="L45" s="4103" t="n"/>
      <c r="M45" s="4103" t="n"/>
      <c r="N45" s="4197" t="n"/>
      <c r="O45" s="4103" t="n"/>
      <c r="P45" s="4103" t="n"/>
      <c r="Q45" s="4103" t="n"/>
      <c r="R45" s="4104" t="n"/>
      <c r="S45" s="4102" t="n"/>
      <c r="T45" s="4103" t="n"/>
      <c r="U45" s="4104" t="n"/>
      <c r="V45" s="1326" t="n"/>
      <c r="W45" s="1299" t="n"/>
      <c r="X45" s="4103" t="n"/>
      <c r="Y45" s="4103" t="n"/>
      <c r="Z45" s="4103" t="n"/>
      <c r="AA45" s="4103" t="n"/>
      <c r="AB45" s="4103" t="n"/>
      <c r="AC45" s="4103" t="n"/>
      <c r="AD45" s="4103" t="n"/>
      <c r="AE45" s="4103" t="n"/>
      <c r="AF45" s="4103" t="n"/>
      <c r="AG45" s="4103" t="n"/>
      <c r="AH45" s="4105" t="n"/>
    </row>
    <row r="46" ht="3.95" customHeight="1" s="4080">
      <c r="A46" s="4208" t="n"/>
      <c r="B46" s="4107" t="n"/>
      <c r="C46" s="1826" t="inlineStr">
        <is>
          <t>資格要件</t>
        </is>
      </c>
      <c r="D46" s="4098" t="n"/>
      <c r="E46" s="4098" t="n"/>
      <c r="F46" s="1322" t="n"/>
      <c r="G46" s="1323" t="n"/>
      <c r="H46" s="1414" t="n"/>
      <c r="I46" s="2056" t="n"/>
      <c r="J46" s="2056" t="n"/>
      <c r="K46" s="2056" t="n"/>
      <c r="L46" s="2056" t="n"/>
      <c r="M46" s="2056" t="n"/>
      <c r="N46" s="2056" t="n"/>
      <c r="O46" s="2056" t="n"/>
      <c r="P46" s="1402" t="n"/>
      <c r="Q46" s="1402" t="n"/>
      <c r="R46" s="1402" t="n"/>
      <c r="S46" s="4313" t="inlineStr">
        <is>
          <t>研修の
受講状況</t>
        </is>
      </c>
      <c r="T46" s="4098" t="n"/>
      <c r="U46" s="4099" t="n"/>
      <c r="V46" s="1322" t="n"/>
      <c r="W46" s="1323" t="n"/>
      <c r="X46" s="1323" t="n"/>
      <c r="Y46" s="1323" t="n"/>
      <c r="Z46" s="1323" t="n"/>
      <c r="AA46" s="1331" t="n"/>
      <c r="AB46" s="1323" t="n"/>
      <c r="AC46" s="1323" t="n"/>
      <c r="AD46" s="1323" t="n"/>
      <c r="AE46" s="1323" t="n"/>
      <c r="AF46" s="1323" t="n"/>
      <c r="AG46" s="1323" t="n"/>
      <c r="AH46" s="2297" t="n"/>
    </row>
    <row r="47" ht="14.1" customHeight="1" s="4080">
      <c r="A47" s="4208" t="n"/>
      <c r="B47" s="4107" t="n"/>
      <c r="C47" s="4106" t="n"/>
      <c r="F47" s="4314" t="inlineStr">
        <is>
          <t>実務経験</t>
        </is>
      </c>
      <c r="H47" s="4107" t="n"/>
      <c r="I47" s="1790" t="n"/>
      <c r="S47" s="4106" t="n"/>
      <c r="U47" s="4107" t="n"/>
      <c r="V47" s="4315" t="inlineStr">
        <is>
          <t>相談支援従事者研修</t>
        </is>
      </c>
      <c r="AA47" s="4107" t="n"/>
      <c r="AB47" s="128" t="n"/>
      <c r="AC47" s="1783" t="inlineStr">
        <is>
          <t>受講済</t>
        </is>
      </c>
      <c r="AE47" s="2379" t="inlineStr">
        <is>
          <t>・</t>
        </is>
      </c>
      <c r="AF47" s="1770" t="inlineStr">
        <is>
          <t>未受講</t>
        </is>
      </c>
      <c r="AH47" s="130" t="n"/>
    </row>
    <row r="48" ht="3.95" customHeight="1" s="4080">
      <c r="A48" s="4208" t="n"/>
      <c r="B48" s="4107" t="n"/>
      <c r="C48" s="4106" t="n"/>
      <c r="F48" s="131" t="n"/>
      <c r="G48" s="132" t="n"/>
      <c r="H48" s="133" t="n"/>
      <c r="I48" s="1320" t="n"/>
      <c r="J48" s="1320" t="n"/>
      <c r="K48" s="1320" t="n"/>
      <c r="L48" s="1320" t="n"/>
      <c r="M48" s="1320" t="n"/>
      <c r="N48" s="1320" t="n"/>
      <c r="O48" s="2069" t="n"/>
      <c r="P48" s="1391" t="n"/>
      <c r="Q48" s="1391" t="n"/>
      <c r="R48" s="1391" t="n"/>
      <c r="S48" s="4106" t="n"/>
      <c r="U48" s="4107" t="n"/>
      <c r="V48" s="4323" t="n"/>
      <c r="AA48" s="4107" t="n"/>
      <c r="AB48" s="138" t="n"/>
      <c r="AC48" s="138" t="n"/>
      <c r="AD48" s="138" t="n"/>
      <c r="AE48" s="138" t="n"/>
      <c r="AF48" s="138" t="n"/>
      <c r="AG48" s="138" t="n"/>
      <c r="AH48" s="139" t="n"/>
    </row>
    <row r="49" ht="3.95" customHeight="1" s="4080">
      <c r="A49" s="4208" t="n"/>
      <c r="B49" s="4107" t="n"/>
      <c r="C49" s="4106" t="n"/>
      <c r="F49" s="140" t="n"/>
      <c r="G49" s="141" t="n"/>
      <c r="H49" s="142" t="n"/>
      <c r="I49" s="161" t="n"/>
      <c r="J49" s="161" t="n"/>
      <c r="K49" s="1329" t="n"/>
      <c r="L49" s="1323" t="n"/>
      <c r="M49" s="1323" t="n"/>
      <c r="N49" s="1323" t="n"/>
      <c r="O49" s="1323" t="n"/>
      <c r="P49" s="1402" t="n"/>
      <c r="Q49" s="1402" t="n"/>
      <c r="R49" s="1402" t="n"/>
      <c r="S49" s="4106" t="n"/>
      <c r="U49" s="4107" t="n"/>
      <c r="V49" s="4324" t="n"/>
      <c r="W49" s="4098" t="n"/>
      <c r="X49" s="4098" t="n"/>
      <c r="Y49" s="4098" t="n"/>
      <c r="Z49" s="4098" t="n"/>
      <c r="AA49" s="4099" t="n"/>
      <c r="AB49" s="141" t="n"/>
      <c r="AC49" s="141" t="n"/>
      <c r="AD49" s="141" t="n"/>
      <c r="AE49" s="141" t="n"/>
      <c r="AF49" s="141" t="n"/>
      <c r="AG49" s="141" t="n"/>
      <c r="AH49" s="147" t="n"/>
    </row>
    <row r="50" ht="14.1" customHeight="1" s="4080">
      <c r="A50" s="4208" t="n"/>
      <c r="B50" s="4107" t="n"/>
      <c r="C50" s="4106" t="n"/>
      <c r="F50" s="4314" t="inlineStr">
        <is>
          <t>資格種類</t>
        </is>
      </c>
      <c r="H50" s="4107" t="n"/>
      <c r="I50" s="935" t="n"/>
      <c r="S50" s="4106" t="n"/>
      <c r="U50" s="4107" t="n"/>
      <c r="V50" s="4322" t="inlineStr">
        <is>
          <t>サービス管理責任者研修</t>
        </is>
      </c>
      <c r="AA50" s="4107" t="n"/>
      <c r="AB50" s="1355" t="n"/>
      <c r="AC50" s="1783" t="inlineStr">
        <is>
          <t>受講済</t>
        </is>
      </c>
      <c r="AE50" s="2379" t="inlineStr">
        <is>
          <t>・</t>
        </is>
      </c>
      <c r="AF50" s="1770" t="inlineStr">
        <is>
          <t>未受講</t>
        </is>
      </c>
      <c r="AH50" s="148" t="n"/>
    </row>
    <row r="51" ht="3.95" customHeight="1" s="4080">
      <c r="A51" s="4208" t="n"/>
      <c r="B51" s="4107" t="n"/>
      <c r="C51" s="4102" t="n"/>
      <c r="D51" s="4103" t="n"/>
      <c r="E51" s="4103" t="n"/>
      <c r="F51" s="1326" t="n"/>
      <c r="G51" s="1327" t="n"/>
      <c r="H51" s="1333" t="n"/>
      <c r="I51" s="134" t="n"/>
      <c r="J51" s="134" t="n"/>
      <c r="K51" s="134" t="n"/>
      <c r="L51" s="134" t="n"/>
      <c r="M51" s="134" t="n"/>
      <c r="N51" s="134" t="n"/>
      <c r="O51" s="2059" t="n"/>
      <c r="P51" s="1413" t="n"/>
      <c r="Q51" s="1413" t="n"/>
      <c r="R51" s="1413" t="n"/>
      <c r="S51" s="4102" t="n"/>
      <c r="T51" s="4103" t="n"/>
      <c r="U51" s="4104" t="n"/>
      <c r="V51" s="1412" t="n"/>
      <c r="W51" s="154" t="n"/>
      <c r="X51" s="154" t="n"/>
      <c r="Y51" s="138" t="n"/>
      <c r="Z51" s="138" t="n"/>
      <c r="AA51" s="155" t="n"/>
      <c r="AB51" s="138" t="n"/>
      <c r="AC51" s="138" t="n"/>
      <c r="AD51" s="138" t="n"/>
      <c r="AE51" s="138" t="n"/>
      <c r="AF51" s="138" t="n"/>
      <c r="AG51" s="138" t="n"/>
      <c r="AH51" s="139" t="n"/>
    </row>
    <row r="52" ht="15.95" customHeight="1" s="4080">
      <c r="A52" s="3061" t="inlineStr">
        <is>
          <t>職員の職種・員数</t>
        </is>
      </c>
      <c r="B52" s="4099" t="n"/>
      <c r="C52" s="4272" t="inlineStr">
        <is>
          <t xml:space="preserve">　　　　　　職種・勤務形態
常勤・非常勤の別</t>
        </is>
      </c>
      <c r="D52" s="4098" t="n"/>
      <c r="E52" s="4098" t="n"/>
      <c r="F52" s="4098" t="n"/>
      <c r="G52" s="4098" t="n"/>
      <c r="H52" s="4098" t="n"/>
      <c r="I52" s="4098" t="n"/>
      <c r="J52" s="4099" t="n"/>
      <c r="K52" s="4185" t="inlineStr">
        <is>
          <t>サービス管理責任者</t>
        </is>
      </c>
      <c r="L52" s="4110" t="n"/>
      <c r="M52" s="4110" t="n"/>
      <c r="N52" s="4110" t="n"/>
      <c r="O52" s="4110" t="n"/>
      <c r="P52" s="4111" t="n"/>
      <c r="Q52" s="4325" t="inlineStr">
        <is>
          <t>医　　　師</t>
        </is>
      </c>
      <c r="R52" s="4098" t="n"/>
      <c r="S52" s="4098" t="n"/>
      <c r="T52" s="4098" t="n"/>
      <c r="U52" s="4098" t="n"/>
      <c r="V52" s="4099" t="n"/>
      <c r="W52" s="4325" t="inlineStr">
        <is>
          <t>生活支援員</t>
        </is>
      </c>
      <c r="X52" s="4098" t="n"/>
      <c r="Y52" s="4098" t="n"/>
      <c r="Z52" s="4098" t="n"/>
      <c r="AA52" s="4098" t="n"/>
      <c r="AB52" s="4099" t="n"/>
      <c r="AC52" s="4326" t="inlineStr">
        <is>
          <t>看護職員</t>
        </is>
      </c>
      <c r="AD52" s="4098" t="n"/>
      <c r="AE52" s="4098" t="n"/>
      <c r="AF52" s="4098" t="n"/>
      <c r="AG52" s="4098" t="n"/>
      <c r="AH52" s="4101" t="n"/>
    </row>
    <row r="53" ht="15.95" customHeight="1" s="4080">
      <c r="A53" s="4097" t="n"/>
      <c r="B53" s="4107" t="n"/>
      <c r="C53" s="4102" t="n"/>
      <c r="D53" s="4103" t="n"/>
      <c r="E53" s="4103" t="n"/>
      <c r="F53" s="4103" t="n"/>
      <c r="G53" s="4103" t="n"/>
      <c r="H53" s="4103" t="n"/>
      <c r="I53" s="4103" t="n"/>
      <c r="J53" s="4104" t="n"/>
      <c r="K53" s="1617" t="inlineStr">
        <is>
          <t>専従</t>
        </is>
      </c>
      <c r="L53" s="4110" t="n"/>
      <c r="M53" s="4189" t="n"/>
      <c r="N53" s="1603" t="inlineStr">
        <is>
          <t>兼務</t>
        </is>
      </c>
      <c r="O53" s="4110" t="n"/>
      <c r="P53" s="4189" t="n"/>
      <c r="Q53" s="1617" t="inlineStr">
        <is>
          <t>専従</t>
        </is>
      </c>
      <c r="R53" s="4110" t="n"/>
      <c r="S53" s="4189" t="n"/>
      <c r="T53" s="1603" t="inlineStr">
        <is>
          <t>兼務</t>
        </is>
      </c>
      <c r="U53" s="4110" t="n"/>
      <c r="V53" s="4189" t="n"/>
      <c r="W53" s="1617" t="inlineStr">
        <is>
          <t>専従</t>
        </is>
      </c>
      <c r="X53" s="4110" t="n"/>
      <c r="Y53" s="4189" t="n"/>
      <c r="Z53" s="1603" t="inlineStr">
        <is>
          <t>兼務</t>
        </is>
      </c>
      <c r="AA53" s="4110" t="n"/>
      <c r="AB53" s="4189" t="n"/>
      <c r="AC53" s="1617" t="inlineStr">
        <is>
          <t>専従</t>
        </is>
      </c>
      <c r="AD53" s="4110" t="n"/>
      <c r="AE53" s="4189" t="n"/>
      <c r="AF53" s="1603" t="inlineStr">
        <is>
          <t>兼務</t>
        </is>
      </c>
      <c r="AG53" s="4110" t="n"/>
      <c r="AH53" s="4189" t="n"/>
    </row>
    <row r="54" ht="15" customHeight="1" s="4080">
      <c r="A54" s="4097" t="n"/>
      <c r="B54" s="4107" t="n"/>
      <c r="C54" s="4185" t="inlineStr">
        <is>
          <t>常　　　　　勤（人）</t>
        </is>
      </c>
      <c r="D54" s="4110" t="n"/>
      <c r="E54" s="4110" t="n"/>
      <c r="F54" s="4110" t="n"/>
      <c r="G54" s="4110" t="n"/>
      <c r="H54" s="4110" t="n"/>
      <c r="I54" s="4110" t="n"/>
      <c r="J54" s="4111" t="n"/>
      <c r="K54" s="4327" t="n"/>
      <c r="L54" s="4110" t="n"/>
      <c r="M54" s="4189" t="n"/>
      <c r="N54" s="4328" t="n"/>
      <c r="O54" s="4110" t="n"/>
      <c r="P54" s="4189" t="n"/>
      <c r="Q54" s="4327" t="n"/>
      <c r="R54" s="4110" t="n"/>
      <c r="S54" s="4189" t="n"/>
      <c r="T54" s="4328" t="n"/>
      <c r="U54" s="4110" t="n"/>
      <c r="V54" s="4189" t="n"/>
      <c r="W54" s="4327" t="n"/>
      <c r="X54" s="4110" t="n"/>
      <c r="Y54" s="4189" t="n"/>
      <c r="Z54" s="4328" t="n"/>
      <c r="AA54" s="4110" t="n"/>
      <c r="AB54" s="4189" t="n"/>
      <c r="AC54" s="4327" t="n"/>
      <c r="AD54" s="4110" t="n"/>
      <c r="AE54" s="4189" t="n"/>
      <c r="AF54" s="4328" t="n"/>
      <c r="AG54" s="4110" t="n"/>
      <c r="AH54" s="4189" t="n"/>
    </row>
    <row r="55" ht="15" customHeight="1" s="4080">
      <c r="A55" s="4097" t="n"/>
      <c r="B55" s="4107" t="n"/>
      <c r="C55" s="4329" t="inlineStr">
        <is>
          <t>非　　常　　勤（人）</t>
        </is>
      </c>
      <c r="D55" s="4103" t="n"/>
      <c r="E55" s="4103" t="n"/>
      <c r="F55" s="4103" t="n"/>
      <c r="G55" s="4103" t="n"/>
      <c r="H55" s="4103" t="n"/>
      <c r="I55" s="4103" t="n"/>
      <c r="J55" s="4104" t="n"/>
      <c r="K55" s="4327" t="n"/>
      <c r="L55" s="4110" t="n"/>
      <c r="M55" s="4189" t="n"/>
      <c r="N55" s="4328" t="n"/>
      <c r="O55" s="4110" t="n"/>
      <c r="P55" s="4189" t="n"/>
      <c r="Q55" s="4327" t="n"/>
      <c r="R55" s="4110" t="n"/>
      <c r="S55" s="4189" t="n"/>
      <c r="T55" s="4328" t="n"/>
      <c r="U55" s="4110" t="n"/>
      <c r="V55" s="4189" t="n"/>
      <c r="W55" s="4327" t="n"/>
      <c r="X55" s="4110" t="n"/>
      <c r="Y55" s="4189" t="n"/>
      <c r="Z55" s="4328" t="n"/>
      <c r="AA55" s="4110" t="n"/>
      <c r="AB55" s="4189" t="n"/>
      <c r="AC55" s="4327" t="n"/>
      <c r="AD55" s="4110" t="n"/>
      <c r="AE55" s="4189" t="n"/>
      <c r="AF55" s="4328" t="n"/>
      <c r="AG55" s="4110" t="n"/>
      <c r="AH55" s="4189" t="n"/>
    </row>
    <row r="56" ht="15" customHeight="1" s="4080">
      <c r="A56" s="4097" t="n"/>
      <c r="B56" s="4107" t="n"/>
      <c r="C56" s="1268" t="inlineStr">
        <is>
          <t>常勤換算後の人数（人）</t>
        </is>
      </c>
      <c r="D56" s="4110" t="n"/>
      <c r="E56" s="4110" t="n"/>
      <c r="F56" s="4110" t="n"/>
      <c r="G56" s="4110" t="n"/>
      <c r="H56" s="4110" t="n"/>
      <c r="I56" s="4110" t="n"/>
      <c r="J56" s="4111" t="n"/>
      <c r="K56" s="4330" t="n"/>
      <c r="L56" s="4110" t="n"/>
      <c r="M56" s="4110" t="n"/>
      <c r="N56" s="4110" t="n"/>
      <c r="O56" s="4110" t="n"/>
      <c r="P56" s="4111" t="n"/>
      <c r="Q56" s="4330" t="n"/>
      <c r="R56" s="4110" t="n"/>
      <c r="S56" s="4110" t="n"/>
      <c r="T56" s="4110" t="n"/>
      <c r="U56" s="4110" t="n"/>
      <c r="V56" s="4111" t="n"/>
      <c r="W56" s="4330" t="n"/>
      <c r="X56" s="4110" t="n"/>
      <c r="Y56" s="4110" t="n"/>
      <c r="Z56" s="4110" t="n"/>
      <c r="AA56" s="4110" t="n"/>
      <c r="AB56" s="4111" t="n"/>
      <c r="AC56" s="4331" t="n"/>
      <c r="AD56" s="4110" t="n"/>
      <c r="AE56" s="4110" t="n"/>
      <c r="AF56" s="4110" t="n"/>
      <c r="AG56" s="4110" t="n"/>
      <c r="AH56" s="4113" t="n"/>
    </row>
    <row r="57" ht="15.95" customHeight="1" s="4080">
      <c r="A57" s="4097" t="n"/>
      <c r="B57" s="4107" t="n"/>
      <c r="C57" s="4272" t="inlineStr">
        <is>
          <t xml:space="preserve">　　　　　　職種・勤務形態
常勤・非常勤の別</t>
        </is>
      </c>
      <c r="D57" s="4098" t="n"/>
      <c r="E57" s="4098" t="n"/>
      <c r="F57" s="4098" t="n"/>
      <c r="G57" s="4098" t="n"/>
      <c r="H57" s="4098" t="n"/>
      <c r="I57" s="4098" t="n"/>
      <c r="J57" s="4099" t="n"/>
      <c r="K57" s="4185" t="inlineStr">
        <is>
          <t>看護補助者</t>
        </is>
      </c>
      <c r="L57" s="4110" t="n"/>
      <c r="M57" s="4110" t="n"/>
      <c r="N57" s="4110" t="n"/>
      <c r="O57" s="4110" t="n"/>
      <c r="P57" s="4111" t="n"/>
      <c r="Q57" s="4325" t="n"/>
      <c r="R57" s="4098" t="n"/>
      <c r="S57" s="4098" t="n"/>
      <c r="T57" s="4098" t="n"/>
      <c r="U57" s="4098" t="n"/>
      <c r="V57" s="4099" t="n"/>
      <c r="W57" s="4325" t="n"/>
      <c r="X57" s="4098" t="n"/>
      <c r="Y57" s="4098" t="n"/>
      <c r="Z57" s="4098" t="n"/>
      <c r="AA57" s="4098" t="n"/>
      <c r="AB57" s="4099" t="n"/>
      <c r="AC57" s="4326" t="n"/>
      <c r="AD57" s="4098" t="n"/>
      <c r="AE57" s="4098" t="n"/>
      <c r="AF57" s="4098" t="n"/>
      <c r="AG57" s="4098" t="n"/>
      <c r="AH57" s="4101" t="n"/>
    </row>
    <row r="58" ht="15.95" customHeight="1" s="4080">
      <c r="A58" s="4097" t="n"/>
      <c r="B58" s="4107" t="n"/>
      <c r="C58" s="4102" t="n"/>
      <c r="D58" s="4103" t="n"/>
      <c r="E58" s="4103" t="n"/>
      <c r="F58" s="4103" t="n"/>
      <c r="G58" s="4103" t="n"/>
      <c r="H58" s="4103" t="n"/>
      <c r="I58" s="4103" t="n"/>
      <c r="J58" s="4104" t="n"/>
      <c r="K58" s="1617" t="inlineStr">
        <is>
          <t>専従</t>
        </is>
      </c>
      <c r="L58" s="4110" t="n"/>
      <c r="M58" s="4189" t="n"/>
      <c r="N58" s="1603" t="inlineStr">
        <is>
          <t>兼務</t>
        </is>
      </c>
      <c r="O58" s="4110" t="n"/>
      <c r="P58" s="4189" t="n"/>
      <c r="Q58" s="1617" t="inlineStr">
        <is>
          <t>専従</t>
        </is>
      </c>
      <c r="R58" s="4110" t="n"/>
      <c r="S58" s="4189" t="n"/>
      <c r="T58" s="1603" t="inlineStr">
        <is>
          <t>兼務</t>
        </is>
      </c>
      <c r="U58" s="4110" t="n"/>
      <c r="V58" s="4189" t="n"/>
      <c r="W58" s="1617" t="inlineStr">
        <is>
          <t>専従</t>
        </is>
      </c>
      <c r="X58" s="4110" t="n"/>
      <c r="Y58" s="4189" t="n"/>
      <c r="Z58" s="1603" t="inlineStr">
        <is>
          <t>兼務</t>
        </is>
      </c>
      <c r="AA58" s="4110" t="n"/>
      <c r="AB58" s="4189" t="n"/>
      <c r="AC58" s="1617" t="inlineStr">
        <is>
          <t>専従</t>
        </is>
      </c>
      <c r="AD58" s="4110" t="n"/>
      <c r="AE58" s="4189" t="n"/>
      <c r="AF58" s="1603" t="inlineStr">
        <is>
          <t>兼務</t>
        </is>
      </c>
      <c r="AG58" s="4110" t="n"/>
      <c r="AH58" s="4189" t="n"/>
    </row>
    <row r="59" ht="15" customHeight="1" s="4080">
      <c r="A59" s="4097" t="n"/>
      <c r="B59" s="4107" t="n"/>
      <c r="C59" s="4185" t="inlineStr">
        <is>
          <t>常　　　　　勤（人）</t>
        </is>
      </c>
      <c r="D59" s="4110" t="n"/>
      <c r="E59" s="4110" t="n"/>
      <c r="F59" s="4110" t="n"/>
      <c r="G59" s="4110" t="n"/>
      <c r="H59" s="4110" t="n"/>
      <c r="I59" s="4110" t="n"/>
      <c r="J59" s="4111" t="n"/>
      <c r="K59" s="4327" t="n"/>
      <c r="L59" s="4110" t="n"/>
      <c r="M59" s="4189" t="n"/>
      <c r="N59" s="4328" t="n"/>
      <c r="O59" s="4110" t="n"/>
      <c r="P59" s="4189" t="n"/>
      <c r="Q59" s="4327" t="n"/>
      <c r="R59" s="4110" t="n"/>
      <c r="S59" s="4189" t="n"/>
      <c r="T59" s="4328" t="n"/>
      <c r="U59" s="4110" t="n"/>
      <c r="V59" s="4189" t="n"/>
      <c r="W59" s="4327" t="n"/>
      <c r="X59" s="4110" t="n"/>
      <c r="Y59" s="4189" t="n"/>
      <c r="Z59" s="4328" t="n"/>
      <c r="AA59" s="4110" t="n"/>
      <c r="AB59" s="4189" t="n"/>
      <c r="AC59" s="4327" t="n"/>
      <c r="AD59" s="4110" t="n"/>
      <c r="AE59" s="4189" t="n"/>
      <c r="AF59" s="4328" t="n"/>
      <c r="AG59" s="4110" t="n"/>
      <c r="AH59" s="4189" t="n"/>
    </row>
    <row r="60" ht="15" customHeight="1" s="4080">
      <c r="A60" s="4097" t="n"/>
      <c r="B60" s="4107" t="n"/>
      <c r="C60" s="4329" t="inlineStr">
        <is>
          <t>非　　常　　勤（人）</t>
        </is>
      </c>
      <c r="D60" s="4103" t="n"/>
      <c r="E60" s="4103" t="n"/>
      <c r="F60" s="4103" t="n"/>
      <c r="G60" s="4103" t="n"/>
      <c r="H60" s="4103" t="n"/>
      <c r="I60" s="4103" t="n"/>
      <c r="J60" s="4104" t="n"/>
      <c r="K60" s="4327" t="n"/>
      <c r="L60" s="4110" t="n"/>
      <c r="M60" s="4189" t="n"/>
      <c r="N60" s="4328" t="n"/>
      <c r="O60" s="4110" t="n"/>
      <c r="P60" s="4189" t="n"/>
      <c r="Q60" s="4327" t="n"/>
      <c r="R60" s="4110" t="n"/>
      <c r="S60" s="4189" t="n"/>
      <c r="T60" s="4328" t="n"/>
      <c r="U60" s="4110" t="n"/>
      <c r="V60" s="4189" t="n"/>
      <c r="W60" s="4327" t="n"/>
      <c r="X60" s="4110" t="n"/>
      <c r="Y60" s="4189" t="n"/>
      <c r="Z60" s="4328" t="n"/>
      <c r="AA60" s="4110" t="n"/>
      <c r="AB60" s="4189" t="n"/>
      <c r="AC60" s="4327" t="n"/>
      <c r="AD60" s="4110" t="n"/>
      <c r="AE60" s="4189" t="n"/>
      <c r="AF60" s="4328" t="n"/>
      <c r="AG60" s="4110" t="n"/>
      <c r="AH60" s="4189" t="n"/>
    </row>
    <row r="61" ht="15" customHeight="1" s="4080">
      <c r="A61" s="4097" t="n"/>
      <c r="B61" s="4107" t="n"/>
      <c r="C61" s="1282" t="inlineStr">
        <is>
          <t>常勤換算後の人数（人）</t>
        </is>
      </c>
      <c r="D61" s="4098" t="n"/>
      <c r="E61" s="4098" t="n"/>
      <c r="F61" s="4098" t="n"/>
      <c r="G61" s="4098" t="n"/>
      <c r="H61" s="4098" t="n"/>
      <c r="I61" s="4098" t="n"/>
      <c r="J61" s="4099" t="n"/>
      <c r="K61" s="4330" t="n"/>
      <c r="L61" s="4110" t="n"/>
      <c r="M61" s="4110" t="n"/>
      <c r="N61" s="4110" t="n"/>
      <c r="O61" s="4110" t="n"/>
      <c r="P61" s="4111" t="n"/>
      <c r="Q61" s="4330" t="n"/>
      <c r="R61" s="4110" t="n"/>
      <c r="S61" s="4110" t="n"/>
      <c r="T61" s="4110" t="n"/>
      <c r="U61" s="4110" t="n"/>
      <c r="V61" s="4111" t="n"/>
      <c r="W61" s="4330" t="n"/>
      <c r="X61" s="4110" t="n"/>
      <c r="Y61" s="4110" t="n"/>
      <c r="Z61" s="4110" t="n"/>
      <c r="AA61" s="4110" t="n"/>
      <c r="AB61" s="4111" t="n"/>
      <c r="AC61" s="4331" t="n"/>
      <c r="AD61" s="4110" t="n"/>
      <c r="AE61" s="4110" t="n"/>
      <c r="AF61" s="4110" t="n"/>
      <c r="AG61" s="4110" t="n"/>
      <c r="AH61" s="4113" t="n"/>
    </row>
    <row r="62" ht="3.95" customHeight="1" s="4080">
      <c r="A62" s="3061" t="n"/>
      <c r="B62" s="4098" t="n"/>
      <c r="C62" s="4098" t="n"/>
      <c r="D62" s="4098" t="n"/>
      <c r="E62" s="4098" t="n"/>
      <c r="F62" s="4098" t="n"/>
      <c r="G62" s="4098" t="n"/>
      <c r="H62" s="4098" t="n"/>
      <c r="I62" s="4098" t="n"/>
      <c r="J62" s="4099" t="n"/>
      <c r="K62" s="4332" t="n"/>
      <c r="L62" s="4333" t="n"/>
      <c r="M62" s="4333" t="n"/>
      <c r="N62" s="4333" t="n"/>
      <c r="O62" s="4333" t="n"/>
      <c r="P62" s="4333" t="n"/>
      <c r="Q62" s="4334" t="n"/>
      <c r="R62" s="4334" t="n"/>
      <c r="S62" s="4334" t="n"/>
      <c r="T62" s="4334" t="n"/>
      <c r="U62" s="4334" t="n"/>
      <c r="V62" s="4335" t="n"/>
      <c r="W62" s="4336" t="inlineStr">
        <is>
          <t>短期入所の利用定員
(併設型のみ）</t>
        </is>
      </c>
      <c r="X62" s="4098" t="n"/>
      <c r="Y62" s="4098" t="n"/>
      <c r="Z62" s="4098" t="n"/>
      <c r="AA62" s="4098" t="n"/>
      <c r="AB62" s="4099" t="n"/>
      <c r="AC62" s="2229" t="n"/>
      <c r="AD62" s="4098" t="n"/>
      <c r="AE62" s="4098" t="n"/>
      <c r="AF62" s="4098" t="n"/>
      <c r="AG62" s="4337" t="inlineStr">
        <is>
          <t>名</t>
        </is>
      </c>
      <c r="AH62" s="4101" t="n"/>
    </row>
    <row r="63" ht="14.1" customHeight="1" s="4080">
      <c r="A63" s="4338" t="inlineStr">
        <is>
          <t>短期入所の実施の有無</t>
        </is>
      </c>
      <c r="J63" s="4107" t="n"/>
      <c r="K63" s="4339" t="n"/>
      <c r="L63" s="4340" t="inlineStr">
        <is>
          <t>無</t>
        </is>
      </c>
      <c r="M63" s="4340" t="inlineStr">
        <is>
          <t>・</t>
        </is>
      </c>
      <c r="O63" s="4340" t="inlineStr">
        <is>
          <t>有</t>
        </is>
      </c>
      <c r="P63" s="4341" t="inlineStr">
        <is>
          <t>(</t>
        </is>
      </c>
      <c r="Q63" s="4340" t="inlineStr">
        <is>
          <t>空床型</t>
        </is>
      </c>
      <c r="S63" s="4340" t="inlineStr">
        <is>
          <t>・</t>
        </is>
      </c>
      <c r="T63" s="4340" t="inlineStr">
        <is>
          <t>併設型</t>
        </is>
      </c>
      <c r="V63" s="4342" t="inlineStr">
        <is>
          <t>）</t>
        </is>
      </c>
      <c r="W63" s="4106" t="n"/>
      <c r="AB63" s="4107" t="n"/>
      <c r="AC63" s="4106" t="n"/>
      <c r="AH63" s="4109" t="n"/>
    </row>
    <row r="64" ht="3.95" customHeight="1" s="4080">
      <c r="A64" s="2296" t="n"/>
      <c r="B64" s="2321" t="n"/>
      <c r="C64" s="2321" t="n"/>
      <c r="D64" s="2321" t="n"/>
      <c r="E64" s="2321" t="n"/>
      <c r="F64" s="2321" t="n"/>
      <c r="G64" s="2321" t="n"/>
      <c r="H64" s="2321" t="n"/>
      <c r="I64" s="2321" t="n"/>
      <c r="J64" s="1450" t="n"/>
      <c r="K64" s="4343" t="n"/>
      <c r="L64" s="4344" t="n"/>
      <c r="M64" s="4344" t="n"/>
      <c r="N64" s="4344" t="n"/>
      <c r="O64" s="4344" t="n"/>
      <c r="P64" s="4344" t="n"/>
      <c r="Q64" s="4345" t="n"/>
      <c r="R64" s="4345" t="n"/>
      <c r="S64" s="4345" t="n"/>
      <c r="T64" s="4345" t="n"/>
      <c r="U64" s="4345" t="n"/>
      <c r="V64" s="4346" t="n"/>
      <c r="W64" s="4102" t="n"/>
      <c r="X64" s="4103" t="n"/>
      <c r="Y64" s="4103" t="n"/>
      <c r="Z64" s="4103" t="n"/>
      <c r="AA64" s="4103" t="n"/>
      <c r="AB64" s="4104" t="n"/>
      <c r="AC64" s="4102" t="n"/>
      <c r="AD64" s="4103" t="n"/>
      <c r="AE64" s="4103" t="n"/>
      <c r="AF64" s="4103" t="n"/>
      <c r="AG64" s="4103" t="n"/>
      <c r="AH64" s="4105" t="n"/>
    </row>
    <row r="65" ht="15" customHeight="1" s="4080">
      <c r="A65" s="4347" t="inlineStr">
        <is>
          <t>前年度利用者数
(又は推定数)</t>
        </is>
      </c>
      <c r="B65" s="4098" t="n"/>
      <c r="C65" s="4098" t="n"/>
      <c r="D65" s="4098" t="n"/>
      <c r="E65" s="4098" t="n"/>
      <c r="F65" s="4098" t="n"/>
      <c r="G65" s="4099" t="n"/>
      <c r="H65" s="178" t="n"/>
      <c r="I65" s="179" t="n"/>
      <c r="J65" s="180" t="n"/>
      <c r="K65" s="4181" t="inlineStr">
        <is>
          <t>前年度延べ利用者数</t>
        </is>
      </c>
      <c r="L65" s="4110" t="n"/>
      <c r="M65" s="4110" t="n"/>
      <c r="N65" s="4110" t="n"/>
      <c r="O65" s="4110" t="n"/>
      <c r="P65" s="4111" t="n"/>
      <c r="Q65" s="4181" t="inlineStr">
        <is>
          <t>前年度開所日数</t>
        </is>
      </c>
      <c r="R65" s="4110" t="n"/>
      <c r="S65" s="4110" t="n"/>
      <c r="T65" s="4110" t="n"/>
      <c r="U65" s="4110" t="n"/>
      <c r="V65" s="4111" t="n"/>
      <c r="W65" s="4181" t="inlineStr">
        <is>
          <t>前年度平均利用者数</t>
        </is>
      </c>
      <c r="X65" s="4110" t="n"/>
      <c r="Y65" s="4110" t="n"/>
      <c r="Z65" s="4110" t="n"/>
      <c r="AA65" s="4110" t="n"/>
      <c r="AB65" s="4111" t="n"/>
      <c r="AC65" s="4348" t="n"/>
      <c r="AD65" s="4098" t="n"/>
      <c r="AE65" s="4098" t="n"/>
      <c r="AF65" s="4098" t="n"/>
      <c r="AG65" s="4098" t="n"/>
      <c r="AH65" s="4101" t="n"/>
    </row>
    <row r="66" ht="15" customHeight="1" s="4080">
      <c r="A66" s="4097" t="n"/>
      <c r="G66" s="4107" t="n"/>
      <c r="H66" s="4313" t="inlineStr">
        <is>
          <t>療養介護</t>
        </is>
      </c>
      <c r="I66" s="4110" t="n"/>
      <c r="J66" s="4111" t="n"/>
      <c r="K66" s="4349" t="n"/>
      <c r="L66" s="4110" t="n"/>
      <c r="M66" s="4110" t="n"/>
      <c r="N66" s="4110" t="n"/>
      <c r="O66" s="4110" t="n"/>
      <c r="P66" s="4350" t="inlineStr">
        <is>
          <t>人</t>
        </is>
      </c>
      <c r="Q66" s="4351" t="n"/>
      <c r="R66" s="4110" t="n"/>
      <c r="S66" s="4110" t="n"/>
      <c r="T66" s="4110" t="n"/>
      <c r="U66" s="4110" t="n"/>
      <c r="V66" s="4350" t="inlineStr">
        <is>
          <t>日</t>
        </is>
      </c>
      <c r="W66" s="4352">
        <f>IF(Q66=0," ",ROUNDUP(K66/Q66,1))</f>
        <v/>
      </c>
      <c r="X66" s="4110" t="n"/>
      <c r="Y66" s="4110" t="n"/>
      <c r="Z66" s="4110" t="n"/>
      <c r="AA66" s="4110" t="n"/>
      <c r="AB66" s="3914" t="inlineStr">
        <is>
          <t>人</t>
        </is>
      </c>
      <c r="AC66" s="4106" t="n"/>
      <c r="AH66" s="4109" t="n"/>
    </row>
    <row r="67" ht="15" customHeight="1" s="4080">
      <c r="A67" s="4114" t="n"/>
      <c r="B67" s="4103" t="n"/>
      <c r="C67" s="4103" t="n"/>
      <c r="D67" s="4103" t="n"/>
      <c r="E67" s="4103" t="n"/>
      <c r="F67" s="4103" t="n"/>
      <c r="G67" s="4104" t="n"/>
      <c r="H67" s="4313" t="inlineStr">
        <is>
          <t>短期入所</t>
        </is>
      </c>
      <c r="I67" s="4110" t="n"/>
      <c r="J67" s="4111" t="n"/>
      <c r="K67" s="4349" t="n"/>
      <c r="L67" s="4110" t="n"/>
      <c r="M67" s="4110" t="n"/>
      <c r="N67" s="4110" t="n"/>
      <c r="O67" s="4110" t="n"/>
      <c r="P67" s="4350" t="inlineStr">
        <is>
          <t>人</t>
        </is>
      </c>
      <c r="Q67" s="4351" t="n"/>
      <c r="R67" s="4110" t="n"/>
      <c r="S67" s="4110" t="n"/>
      <c r="T67" s="4110" t="n"/>
      <c r="U67" s="4110" t="n"/>
      <c r="V67" s="4350" t="inlineStr">
        <is>
          <t>日</t>
        </is>
      </c>
      <c r="W67" s="4352">
        <f>IF(Q67=0," ",ROUNDUP(K67/Q67,1))</f>
        <v/>
      </c>
      <c r="X67" s="4110" t="n"/>
      <c r="Y67" s="4110" t="n"/>
      <c r="Z67" s="4110" t="n"/>
      <c r="AA67" s="4110" t="n"/>
      <c r="AB67" s="3914" t="inlineStr">
        <is>
          <t>人</t>
        </is>
      </c>
      <c r="AC67" s="4102" t="n"/>
      <c r="AD67" s="4103" t="n"/>
      <c r="AE67" s="4103" t="n"/>
      <c r="AF67" s="4103" t="n"/>
      <c r="AG67" s="4103" t="n"/>
      <c r="AH67" s="4105" t="n"/>
    </row>
    <row r="68" ht="3.95" customHeight="1" s="4080">
      <c r="A68" s="4353" t="inlineStr">
        <is>
          <t>多目的室（デイルーム）の有無等</t>
        </is>
      </c>
      <c r="B68" s="4098" t="n"/>
      <c r="C68" s="4098" t="n"/>
      <c r="D68" s="4098" t="n"/>
      <c r="E68" s="4098" t="n"/>
      <c r="F68" s="4098" t="n"/>
      <c r="G68" s="4098" t="n"/>
      <c r="H68" s="4098" t="n"/>
      <c r="I68" s="4098" t="n"/>
      <c r="J68" s="4099" t="n"/>
      <c r="K68" s="1850" t="n"/>
      <c r="L68" s="1852" t="n"/>
      <c r="M68" s="4098" t="n"/>
      <c r="N68" s="4098" t="n"/>
      <c r="O68" s="1853" t="n"/>
      <c r="P68" s="4354" t="inlineStr">
        <is>
          <t>設置形態</t>
        </is>
      </c>
      <c r="Q68" s="4098" t="n"/>
      <c r="R68" s="4098" t="n"/>
      <c r="S68" s="4099" t="n"/>
      <c r="T68" s="924" t="n"/>
      <c r="U68" s="924" t="n"/>
      <c r="V68" s="924" t="n"/>
      <c r="W68" s="924" t="n"/>
      <c r="X68" s="924" t="n"/>
      <c r="Y68" s="924" t="n"/>
      <c r="Z68" s="924" t="n"/>
      <c r="AA68" s="924" t="n"/>
      <c r="AB68" s="4098" t="n"/>
      <c r="AC68" s="4098" t="n"/>
      <c r="AD68" s="4098" t="n"/>
      <c r="AE68" s="4098" t="n"/>
      <c r="AF68" s="4098" t="n"/>
      <c r="AG68" s="4098" t="n"/>
      <c r="AH68" s="1662" t="n"/>
    </row>
    <row r="69" ht="12" customHeight="1" s="4080">
      <c r="A69" s="4097" t="n"/>
      <c r="J69" s="4107" t="n"/>
      <c r="K69" s="4106" t="n"/>
      <c r="L69" s="1829" t="inlineStr">
        <is>
          <t>有</t>
        </is>
      </c>
      <c r="M69" s="1829" t="inlineStr">
        <is>
          <t>・</t>
        </is>
      </c>
      <c r="N69" s="1829" t="inlineStr">
        <is>
          <t>無</t>
        </is>
      </c>
      <c r="O69" s="4107" t="n"/>
      <c r="P69" s="4106" t="n"/>
      <c r="S69" s="4107" t="n"/>
      <c r="T69" s="1457" t="n"/>
      <c r="U69" s="1391" t="inlineStr">
        <is>
          <t>専用</t>
        </is>
      </c>
      <c r="W69" s="2295" t="inlineStr">
        <is>
          <t>・</t>
        </is>
      </c>
      <c r="X69" s="1391" t="inlineStr">
        <is>
          <t>共用</t>
        </is>
      </c>
      <c r="Z69" s="187" t="inlineStr">
        <is>
          <t>（</t>
        </is>
      </c>
      <c r="AH69" s="188" t="inlineStr">
        <is>
          <t>）</t>
        </is>
      </c>
    </row>
    <row r="70" ht="3.95" customHeight="1" s="4080" thickBot="1">
      <c r="A70" s="4097" t="n"/>
      <c r="J70" s="4107" t="n"/>
      <c r="K70" s="4106" t="n"/>
      <c r="L70" s="1829" t="n"/>
      <c r="O70" s="4107" t="n"/>
      <c r="P70" s="4106" t="n"/>
      <c r="S70" s="4107" t="n"/>
      <c r="T70" s="1457" t="n"/>
      <c r="U70" s="1457" t="n"/>
      <c r="V70" s="1457" t="n"/>
      <c r="W70" s="1457" t="n"/>
      <c r="X70" s="1457" t="n"/>
      <c r="Y70" s="1457" t="n"/>
      <c r="Z70" s="1457" t="n"/>
      <c r="AH70" s="1659" t="n"/>
    </row>
    <row r="71" ht="15" customHeight="1" s="4080">
      <c r="A71" s="4355" t="inlineStr">
        <is>
          <t>主な掲示事項</t>
        </is>
      </c>
      <c r="B71" s="4356" t="n"/>
      <c r="C71" s="189" t="n"/>
      <c r="D71" s="1877" t="inlineStr">
        <is>
          <t>利用定員</t>
        </is>
      </c>
      <c r="E71" s="4082" t="n"/>
      <c r="F71" s="4082" t="n"/>
      <c r="G71" s="4082" t="n"/>
      <c r="H71" s="4082" t="n"/>
      <c r="I71" s="4082" t="n"/>
      <c r="J71" s="190" t="n"/>
      <c r="K71" s="1878" t="n"/>
      <c r="L71" s="4093" t="n"/>
      <c r="M71" s="4093" t="n"/>
      <c r="N71" s="4093" t="n"/>
      <c r="O71" s="4093" t="n"/>
      <c r="P71" s="191" t="inlineStr">
        <is>
          <t>人</t>
        </is>
      </c>
      <c r="Q71" s="4357" t="inlineStr">
        <is>
          <t>単位ごとの定員</t>
        </is>
      </c>
      <c r="R71" s="4093" t="n"/>
      <c r="S71" s="4093" t="n"/>
      <c r="T71" s="4093" t="n"/>
      <c r="U71" s="4358" t="n"/>
      <c r="V71" s="1878" t="n"/>
      <c r="W71" s="4093" t="n"/>
      <c r="X71" s="4093" t="n"/>
      <c r="Y71" s="4093" t="n"/>
      <c r="Z71" s="4093" t="n"/>
      <c r="AA71" s="192" t="inlineStr">
        <is>
          <t>人</t>
        </is>
      </c>
      <c r="AB71" s="193" t="n"/>
      <c r="AC71" s="193" t="n"/>
      <c r="AD71" s="193" t="n"/>
      <c r="AE71" s="193" t="n"/>
      <c r="AF71" s="193" t="n"/>
      <c r="AG71" s="193" t="n"/>
      <c r="AH71" s="194" t="n"/>
    </row>
    <row r="72" ht="15" customHeight="1" s="4080">
      <c r="A72" s="4097" t="n"/>
      <c r="B72" s="4107" t="n"/>
      <c r="C72" s="1393" t="n"/>
      <c r="D72" s="1264" t="inlineStr">
        <is>
          <t>利用料</t>
        </is>
      </c>
      <c r="E72" s="4110" t="n"/>
      <c r="F72" s="4110" t="n"/>
      <c r="G72" s="4110" t="n"/>
      <c r="H72" s="4110" t="n"/>
      <c r="I72" s="4110" t="n"/>
      <c r="J72" s="1394" t="n"/>
      <c r="K72" s="4227" t="inlineStr">
        <is>
          <t xml:space="preserve">　</t>
        </is>
      </c>
      <c r="L72" s="4110" t="n"/>
      <c r="M72" s="4110" t="n"/>
      <c r="N72" s="4110" t="n"/>
      <c r="O72" s="4110" t="n"/>
      <c r="P72" s="4110" t="n"/>
      <c r="Q72" s="4110" t="n"/>
      <c r="R72" s="4110" t="n"/>
      <c r="S72" s="4110" t="n"/>
      <c r="T72" s="4110" t="n"/>
      <c r="U72" s="4110" t="n"/>
      <c r="V72" s="4110" t="n"/>
      <c r="W72" s="4110" t="n"/>
      <c r="X72" s="4110" t="n"/>
      <c r="Y72" s="4110" t="n"/>
      <c r="Z72" s="4110" t="n"/>
      <c r="AA72" s="4110" t="n"/>
      <c r="AB72" s="4110" t="n"/>
      <c r="AC72" s="4110" t="n"/>
      <c r="AD72" s="4110" t="n"/>
      <c r="AE72" s="4110" t="n"/>
      <c r="AF72" s="4110" t="n"/>
      <c r="AG72" s="4110" t="n"/>
      <c r="AH72" s="4113" t="n"/>
    </row>
    <row r="73" ht="15" customHeight="1" s="4080">
      <c r="A73" s="4097" t="n"/>
      <c r="B73" s="4107" t="n"/>
      <c r="C73" s="1322" t="n"/>
      <c r="D73" s="1264" t="inlineStr">
        <is>
          <t>その他の費用</t>
        </is>
      </c>
      <c r="E73" s="4110" t="n"/>
      <c r="F73" s="4110" t="n"/>
      <c r="G73" s="4110" t="n"/>
      <c r="H73" s="4110" t="n"/>
      <c r="I73" s="4110" t="n"/>
      <c r="J73" s="1331" t="n"/>
      <c r="K73" s="4121" t="n"/>
      <c r="L73" s="4110" t="n"/>
      <c r="M73" s="4110" t="n"/>
      <c r="N73" s="4110" t="n"/>
      <c r="O73" s="4110" t="n"/>
      <c r="P73" s="4110" t="n"/>
      <c r="Q73" s="4110" t="n"/>
      <c r="R73" s="4110" t="n"/>
      <c r="S73" s="4110" t="n"/>
      <c r="T73" s="4110" t="n"/>
      <c r="U73" s="4110" t="n"/>
      <c r="V73" s="4110" t="n"/>
      <c r="W73" s="4110" t="n"/>
      <c r="X73" s="4110" t="n"/>
      <c r="Y73" s="4110" t="n"/>
      <c r="Z73" s="4110" t="n"/>
      <c r="AA73" s="4110" t="n"/>
      <c r="AB73" s="4110" t="n"/>
      <c r="AC73" s="4110" t="n"/>
      <c r="AD73" s="4110" t="n"/>
      <c r="AE73" s="4110" t="n"/>
      <c r="AF73" s="4110" t="n"/>
      <c r="AG73" s="4110" t="n"/>
      <c r="AH73" s="4113" t="n"/>
    </row>
    <row r="74" ht="3.95" customHeight="1" s="4080">
      <c r="A74" s="4097" t="n"/>
      <c r="B74" s="4107" t="n"/>
      <c r="C74" s="4231" t="inlineStr">
        <is>
          <t>その他参考
となる事項</t>
        </is>
      </c>
      <c r="D74" s="4099" t="n"/>
      <c r="E74" s="2753" t="inlineStr">
        <is>
          <t>第三者評価の実施状況</t>
        </is>
      </c>
      <c r="F74" s="4098" t="n"/>
      <c r="G74" s="4098" t="n"/>
      <c r="H74" s="4098" t="n"/>
      <c r="I74" s="4098" t="n"/>
      <c r="J74" s="4099" t="n"/>
      <c r="K74" s="1657" t="n"/>
      <c r="L74" s="1658" t="n"/>
      <c r="M74" s="1658" t="n"/>
      <c r="N74" s="1658" t="n"/>
      <c r="O74" s="1658" t="n"/>
      <c r="P74" s="1658" t="n"/>
      <c r="Q74" s="1658" t="n"/>
      <c r="R74" s="930" t="n"/>
      <c r="AB74" s="1658" t="n"/>
      <c r="AC74" s="1658" t="n"/>
      <c r="AD74" s="1658" t="n"/>
      <c r="AE74" s="1658" t="n"/>
      <c r="AF74" s="1658" t="n"/>
      <c r="AG74" s="1658" t="n"/>
      <c r="AH74" s="1659" t="n"/>
    </row>
    <row r="75" ht="15" customHeight="1" s="4080">
      <c r="A75" s="4097" t="n"/>
      <c r="B75" s="4107" t="n"/>
      <c r="C75" s="4106" t="n"/>
      <c r="D75" s="4107" t="n"/>
      <c r="J75" s="4107" t="n"/>
      <c r="K75" s="1372" t="n"/>
      <c r="L75" s="1432" t="inlineStr">
        <is>
          <t>している</t>
        </is>
      </c>
      <c r="O75" s="1458" t="inlineStr">
        <is>
          <t>(実施先：</t>
        </is>
      </c>
      <c r="AB75" s="1325" t="inlineStr">
        <is>
          <t>)・</t>
        </is>
      </c>
      <c r="AD75" s="1432" t="inlineStr">
        <is>
          <t>していない</t>
        </is>
      </c>
      <c r="AH75" s="1668" t="n"/>
    </row>
    <row r="76" ht="3.95" customHeight="1" s="4080">
      <c r="A76" s="4097" t="n"/>
      <c r="B76" s="4107" t="n"/>
      <c r="C76" s="4106" t="n"/>
      <c r="D76" s="4107" t="n"/>
      <c r="E76" s="4103" t="n"/>
      <c r="F76" s="4103" t="n"/>
      <c r="G76" s="4103" t="n"/>
      <c r="H76" s="4103" t="n"/>
      <c r="I76" s="4103" t="n"/>
      <c r="J76" s="4104" t="n"/>
      <c r="K76" s="1657" t="n"/>
      <c r="L76" s="1658" t="n"/>
      <c r="M76" s="1658" t="n"/>
      <c r="N76" s="1658" t="n"/>
      <c r="O76" s="1658" t="n"/>
      <c r="P76" s="1658" t="n"/>
      <c r="Q76" s="1658" t="n"/>
      <c r="R76" s="4103" t="n"/>
      <c r="S76" s="4103" t="n"/>
      <c r="T76" s="4103" t="n"/>
      <c r="U76" s="4103" t="n"/>
      <c r="V76" s="4103" t="n"/>
      <c r="W76" s="4103" t="n"/>
      <c r="X76" s="4103" t="n"/>
      <c r="Y76" s="4103" t="n"/>
      <c r="Z76" s="4103" t="n"/>
      <c r="AA76" s="4103" t="n"/>
      <c r="AB76" s="1658" t="n"/>
      <c r="AC76" s="1658" t="n"/>
      <c r="AD76" s="1658" t="n"/>
      <c r="AE76" s="1658" t="n"/>
      <c r="AF76" s="1658" t="n"/>
      <c r="AG76" s="1658" t="n"/>
      <c r="AH76" s="1659" t="n"/>
    </row>
    <row r="77" ht="15" customHeight="1" s="4080">
      <c r="A77" s="4097" t="n"/>
      <c r="B77" s="4107" t="n"/>
      <c r="C77" s="4106" t="n"/>
      <c r="D77" s="4107" t="n"/>
      <c r="E77" s="1439" t="inlineStr">
        <is>
          <t>苦情解決の措置概要</t>
        </is>
      </c>
      <c r="F77" s="4098" t="n"/>
      <c r="G77" s="4098" t="n"/>
      <c r="H77" s="4098" t="n"/>
      <c r="I77" s="4098" t="n"/>
      <c r="J77" s="4099" t="n"/>
      <c r="K77" s="2542" t="inlineStr">
        <is>
          <t>窓　口</t>
        </is>
      </c>
      <c r="L77" s="4110" t="n"/>
      <c r="M77" s="4111" t="n"/>
      <c r="N77" s="4121" t="inlineStr">
        <is>
          <t xml:space="preserve">　</t>
        </is>
      </c>
      <c r="O77" s="4110" t="n"/>
      <c r="P77" s="4110" t="n"/>
      <c r="Q77" s="4110" t="n"/>
      <c r="R77" s="4110" t="n"/>
      <c r="S77" s="4110" t="n"/>
      <c r="T77" s="4110" t="n"/>
      <c r="U77" s="4110" t="n"/>
      <c r="V77" s="4110" t="n"/>
      <c r="W77" s="4110" t="n"/>
      <c r="X77" s="4110" t="n"/>
      <c r="Y77" s="4110" t="n"/>
      <c r="Z77" s="4110" t="n"/>
      <c r="AA77" s="4110" t="n"/>
      <c r="AB77" s="4110" t="n"/>
      <c r="AC77" s="4110" t="n"/>
      <c r="AD77" s="4110" t="n"/>
      <c r="AE77" s="4110" t="n"/>
      <c r="AF77" s="4110" t="n"/>
      <c r="AG77" s="4110" t="n"/>
      <c r="AH77" s="4113" t="n"/>
    </row>
    <row r="78" ht="15" customHeight="1" s="4080">
      <c r="A78" s="4097" t="n"/>
      <c r="B78" s="4107" t="n"/>
      <c r="C78" s="4106" t="n"/>
      <c r="D78" s="4107" t="n"/>
      <c r="E78" s="4103" t="n"/>
      <c r="F78" s="4103" t="n"/>
      <c r="G78" s="4103" t="n"/>
      <c r="H78" s="4103" t="n"/>
      <c r="I78" s="4103" t="n"/>
      <c r="J78" s="4104" t="n"/>
      <c r="K78" s="2542" t="inlineStr">
        <is>
          <t>担当者</t>
        </is>
      </c>
      <c r="L78" s="4110" t="n"/>
      <c r="M78" s="4111" t="n"/>
      <c r="N78" s="4123" t="n"/>
      <c r="O78" s="4110" t="n"/>
      <c r="P78" s="4110" t="n"/>
      <c r="Q78" s="4110" t="n"/>
      <c r="R78" s="4110" t="n"/>
      <c r="S78" s="4110" t="n"/>
      <c r="T78" s="4110" t="n"/>
      <c r="U78" s="4111" t="n"/>
      <c r="V78" s="2163" t="inlineStr">
        <is>
          <t>電話</t>
        </is>
      </c>
      <c r="W78" s="4111" t="n"/>
      <c r="X78" s="882" t="n"/>
      <c r="Y78" s="4110" t="n"/>
      <c r="Z78" s="4110" t="n"/>
      <c r="AA78" s="1492" t="inlineStr">
        <is>
          <t>－</t>
        </is>
      </c>
      <c r="AB78" s="920" t="n"/>
      <c r="AC78" s="4110" t="n"/>
      <c r="AD78" s="4110" t="n"/>
      <c r="AE78" s="1492" t="inlineStr">
        <is>
          <t>－</t>
        </is>
      </c>
      <c r="AF78" s="955" t="n"/>
      <c r="AG78" s="4110" t="n"/>
      <c r="AH78" s="4113" t="n"/>
    </row>
    <row r="79" ht="15" customHeight="1" s="4080">
      <c r="A79" s="4114" t="n"/>
      <c r="B79" s="4104" t="n"/>
      <c r="C79" s="4102" t="n"/>
      <c r="D79" s="4104" t="n"/>
      <c r="E79" s="1394" t="inlineStr">
        <is>
          <t>そ　　 の 　　他</t>
        </is>
      </c>
      <c r="F79" s="4110" t="n"/>
      <c r="G79" s="4110" t="n"/>
      <c r="H79" s="4110" t="n"/>
      <c r="I79" s="4110" t="n"/>
      <c r="J79" s="4111" t="n"/>
      <c r="K79" s="4121" t="n"/>
      <c r="L79" s="4110" t="n"/>
      <c r="M79" s="4110" t="n"/>
      <c r="N79" s="4110" t="n"/>
      <c r="O79" s="4110" t="n"/>
      <c r="P79" s="4110" t="n"/>
      <c r="Q79" s="4110" t="n"/>
      <c r="R79" s="4110" t="n"/>
      <c r="S79" s="4110" t="n"/>
      <c r="T79" s="4110" t="n"/>
      <c r="U79" s="4110" t="n"/>
      <c r="V79" s="4110" t="n"/>
      <c r="W79" s="4110" t="n"/>
      <c r="X79" s="4110" t="n"/>
      <c r="Y79" s="4110" t="n"/>
      <c r="Z79" s="4110" t="n"/>
      <c r="AA79" s="4110" t="n"/>
      <c r="AB79" s="4110" t="n"/>
      <c r="AC79" s="4110" t="n"/>
      <c r="AD79" s="4110" t="n"/>
      <c r="AE79" s="4110" t="n"/>
      <c r="AF79" s="4110" t="n"/>
      <c r="AG79" s="4110" t="n"/>
      <c r="AH79" s="4113" t="n"/>
    </row>
    <row r="80" ht="17.1" customHeight="1" s="4080" thickBot="1">
      <c r="A80" s="4234" t="inlineStr">
        <is>
          <t>添　　付　　書　　類</t>
        </is>
      </c>
      <c r="B80" s="4153" t="n"/>
      <c r="C80" s="4153" t="n"/>
      <c r="D80" s="4153" t="n"/>
      <c r="E80" s="4153" t="n"/>
      <c r="F80" s="4153" t="n"/>
      <c r="G80" s="4153" t="n"/>
      <c r="H80" s="4153" t="n"/>
      <c r="I80" s="4153" t="n"/>
      <c r="J80" s="4154" t="n"/>
      <c r="K80" s="4235" t="inlineStr">
        <is>
          <t xml:space="preserve">　別紙「添付書類一覧表」のとおり</t>
        </is>
      </c>
      <c r="L80" s="4153" t="n"/>
      <c r="M80" s="4153" t="n"/>
      <c r="N80" s="4153" t="n"/>
      <c r="O80" s="4153" t="n"/>
      <c r="P80" s="4153" t="n"/>
      <c r="Q80" s="4153" t="n"/>
      <c r="R80" s="4153" t="n"/>
      <c r="S80" s="4153" t="n"/>
      <c r="T80" s="4153" t="n"/>
      <c r="U80" s="4153" t="n"/>
      <c r="V80" s="4153" t="n"/>
      <c r="W80" s="4153" t="n"/>
      <c r="X80" s="4153" t="n"/>
      <c r="Y80" s="4153" t="n"/>
      <c r="Z80" s="4153" t="n"/>
      <c r="AA80" s="4153" t="n"/>
      <c r="AB80" s="4153" t="n"/>
      <c r="AC80" s="4153" t="n"/>
      <c r="AD80" s="4153" t="n"/>
      <c r="AE80" s="4153" t="n"/>
      <c r="AF80" s="4153" t="n"/>
      <c r="AG80" s="4153" t="n"/>
      <c r="AH80" s="4155" t="n"/>
    </row>
  </sheetData>
  <mergeCells count="283">
    <mergeCell ref="AF54:AH54"/>
    <mergeCell ref="AC53:AE53"/>
    <mergeCell ref="C14:E16"/>
    <mergeCell ref="C23:L23"/>
    <mergeCell ref="T55:V55"/>
    <mergeCell ref="K11:AH11"/>
    <mergeCell ref="T40:V42"/>
    <mergeCell ref="AA68:AG70"/>
    <mergeCell ref="W32:AH32"/>
    <mergeCell ref="AC55:AE55"/>
    <mergeCell ref="X27:AH29"/>
    <mergeCell ref="AC47:AD47"/>
    <mergeCell ref="F27:I29"/>
    <mergeCell ref="F47:H47"/>
    <mergeCell ref="A63:J63"/>
    <mergeCell ref="C57:J58"/>
    <mergeCell ref="I50:R50"/>
    <mergeCell ref="M21:X21"/>
    <mergeCell ref="A68:J70"/>
    <mergeCell ref="AB75:AC75"/>
    <mergeCell ref="N43:R43"/>
    <mergeCell ref="H66:J66"/>
    <mergeCell ref="V18:AH18"/>
    <mergeCell ref="K61:P61"/>
    <mergeCell ref="I34:R34"/>
    <mergeCell ref="P68:S70"/>
    <mergeCell ref="N60:P60"/>
    <mergeCell ref="W62:AB64"/>
    <mergeCell ref="W58:Y58"/>
    <mergeCell ref="W61:AB61"/>
    <mergeCell ref="Q63:R63"/>
    <mergeCell ref="Z60:AB60"/>
    <mergeCell ref="M24:X24"/>
    <mergeCell ref="S46:U51"/>
    <mergeCell ref="C10:E11"/>
    <mergeCell ref="I10:K10"/>
    <mergeCell ref="W60:Y60"/>
    <mergeCell ref="K65:P65"/>
    <mergeCell ref="C59:J59"/>
    <mergeCell ref="Z59:AB59"/>
    <mergeCell ref="K71:O71"/>
    <mergeCell ref="AC61:AH61"/>
    <mergeCell ref="AC50:AD50"/>
    <mergeCell ref="C7:E9"/>
    <mergeCell ref="N55:P55"/>
    <mergeCell ref="A4:B11"/>
    <mergeCell ref="W53:Y53"/>
    <mergeCell ref="AC2:AC3"/>
    <mergeCell ref="AA2:AA3"/>
    <mergeCell ref="I47:R47"/>
    <mergeCell ref="C61:J61"/>
    <mergeCell ref="AC62:AF64"/>
    <mergeCell ref="Z55:AB55"/>
    <mergeCell ref="C43:M45"/>
    <mergeCell ref="X14:AH16"/>
    <mergeCell ref="V44:AH44"/>
    <mergeCell ref="I37:R37"/>
    <mergeCell ref="C22:L22"/>
    <mergeCell ref="P39:S39"/>
    <mergeCell ref="N30:R30"/>
    <mergeCell ref="V31:AH31"/>
    <mergeCell ref="Z1:AA1"/>
    <mergeCell ref="Y22:AH22"/>
    <mergeCell ref="A71:B79"/>
    <mergeCell ref="K66:O66"/>
    <mergeCell ref="E79:J79"/>
    <mergeCell ref="W65:AB65"/>
    <mergeCell ref="S43:U45"/>
    <mergeCell ref="A12:S12"/>
    <mergeCell ref="K60:M60"/>
    <mergeCell ref="T58:V58"/>
    <mergeCell ref="W30:AH30"/>
    <mergeCell ref="X78:Z78"/>
    <mergeCell ref="W45:AH45"/>
    <mergeCell ref="Q58:S58"/>
    <mergeCell ref="U69:V69"/>
    <mergeCell ref="T54:V54"/>
    <mergeCell ref="X40:AH42"/>
    <mergeCell ref="F13:I13"/>
    <mergeCell ref="N8:O9"/>
    <mergeCell ref="AB1:AD1"/>
    <mergeCell ref="S33:U38"/>
    <mergeCell ref="F5:AH6"/>
    <mergeCell ref="AC58:AE58"/>
    <mergeCell ref="AF37:AG37"/>
    <mergeCell ref="AF10:AH10"/>
    <mergeCell ref="N58:P58"/>
    <mergeCell ref="S17:U19"/>
    <mergeCell ref="F50:H50"/>
    <mergeCell ref="Q60:S60"/>
    <mergeCell ref="N32:R32"/>
    <mergeCell ref="O75:Q75"/>
    <mergeCell ref="Z58:AB58"/>
    <mergeCell ref="AC37:AD37"/>
    <mergeCell ref="M22:X22"/>
    <mergeCell ref="D72:I72"/>
    <mergeCell ref="W59:Y59"/>
    <mergeCell ref="AC12:AD12"/>
    <mergeCell ref="AE12:AF12"/>
    <mergeCell ref="C30:M32"/>
    <mergeCell ref="B39:B51"/>
    <mergeCell ref="Q59:S59"/>
    <mergeCell ref="AF58:AH58"/>
    <mergeCell ref="Y23:AH23"/>
    <mergeCell ref="D71:I71"/>
    <mergeCell ref="E74:J76"/>
    <mergeCell ref="Q67:U67"/>
    <mergeCell ref="N59:P59"/>
    <mergeCell ref="T60:V60"/>
    <mergeCell ref="C39:E39"/>
    <mergeCell ref="P26:S26"/>
    <mergeCell ref="C20:AH20"/>
    <mergeCell ref="C55:J55"/>
    <mergeCell ref="W52:AB52"/>
    <mergeCell ref="S30:U32"/>
    <mergeCell ref="AF60:AH60"/>
    <mergeCell ref="P27:Q29"/>
    <mergeCell ref="C24:L24"/>
    <mergeCell ref="AF2:AF3"/>
    <mergeCell ref="AH2:AH3"/>
    <mergeCell ref="D73:I73"/>
    <mergeCell ref="A26:A51"/>
    <mergeCell ref="Y24:AH24"/>
    <mergeCell ref="N17:R17"/>
    <mergeCell ref="C13:E13"/>
    <mergeCell ref="M23:X23"/>
    <mergeCell ref="J7:N7"/>
    <mergeCell ref="T27:V29"/>
    <mergeCell ref="A1:Y1"/>
    <mergeCell ref="T10:W10"/>
    <mergeCell ref="AC52:AH52"/>
    <mergeCell ref="AE1:AF1"/>
    <mergeCell ref="N19:R19"/>
    <mergeCell ref="H67:J67"/>
    <mergeCell ref="C25:L25"/>
    <mergeCell ref="X69:Y69"/>
    <mergeCell ref="B26:B38"/>
    <mergeCell ref="C46:E51"/>
    <mergeCell ref="V48:AA48"/>
    <mergeCell ref="C26:E26"/>
    <mergeCell ref="M63:N63"/>
    <mergeCell ref="V35:AA35"/>
    <mergeCell ref="Y25:AH25"/>
    <mergeCell ref="J27:M29"/>
    <mergeCell ref="N45:R45"/>
    <mergeCell ref="K79:AH79"/>
    <mergeCell ref="AF78:AH78"/>
    <mergeCell ref="N39:O42"/>
    <mergeCell ref="T39:X39"/>
    <mergeCell ref="V34:AA34"/>
    <mergeCell ref="T59:V59"/>
    <mergeCell ref="F11:J11"/>
    <mergeCell ref="P13:S13"/>
    <mergeCell ref="Q10:S10"/>
    <mergeCell ref="A62:J62"/>
    <mergeCell ref="F39:I39"/>
    <mergeCell ref="F4:AH4"/>
    <mergeCell ref="Q71:U71"/>
    <mergeCell ref="K56:P56"/>
    <mergeCell ref="U2:X3"/>
    <mergeCell ref="P7:AH9"/>
    <mergeCell ref="K59:M59"/>
    <mergeCell ref="AF55:AH55"/>
    <mergeCell ref="W56:AB56"/>
    <mergeCell ref="K52:P52"/>
    <mergeCell ref="K77:M77"/>
    <mergeCell ref="N13:O16"/>
    <mergeCell ref="F14:I16"/>
    <mergeCell ref="C5:E6"/>
    <mergeCell ref="T63:U63"/>
    <mergeCell ref="C27:E29"/>
    <mergeCell ref="AC60:AE60"/>
    <mergeCell ref="Q65:V65"/>
    <mergeCell ref="C54:J54"/>
    <mergeCell ref="Z2:Z3"/>
    <mergeCell ref="A13:B25"/>
    <mergeCell ref="AB2:AB3"/>
    <mergeCell ref="AC56:AH56"/>
    <mergeCell ref="AD2:AD3"/>
    <mergeCell ref="F37:H37"/>
    <mergeCell ref="J14:M16"/>
    <mergeCell ref="AC59:AE59"/>
    <mergeCell ref="W66:AA66"/>
    <mergeCell ref="X10:Z10"/>
    <mergeCell ref="C56:J56"/>
    <mergeCell ref="U12:V12"/>
    <mergeCell ref="AB10:AD10"/>
    <mergeCell ref="V37:AA37"/>
    <mergeCell ref="F40:I42"/>
    <mergeCell ref="T26:X26"/>
    <mergeCell ref="W12:X12"/>
    <mergeCell ref="F7:I7"/>
    <mergeCell ref="AC65:AH67"/>
    <mergeCell ref="K78:M78"/>
    <mergeCell ref="Q57:V57"/>
    <mergeCell ref="V47:AA47"/>
    <mergeCell ref="F8:H9"/>
    <mergeCell ref="Y21:AH21"/>
    <mergeCell ref="J40:M42"/>
    <mergeCell ref="N78:U78"/>
    <mergeCell ref="A52:B61"/>
    <mergeCell ref="F34:H34"/>
    <mergeCell ref="T13:X13"/>
    <mergeCell ref="E77:J78"/>
    <mergeCell ref="J26:M26"/>
    <mergeCell ref="AF47:AG47"/>
    <mergeCell ref="L75:N75"/>
    <mergeCell ref="C4:E4"/>
    <mergeCell ref="AG62:AH64"/>
    <mergeCell ref="Q54:S54"/>
    <mergeCell ref="Q52:V52"/>
    <mergeCell ref="AF53:AH53"/>
    <mergeCell ref="V71:Z71"/>
    <mergeCell ref="K80:AH80"/>
    <mergeCell ref="N53:P53"/>
    <mergeCell ref="Q55:S55"/>
    <mergeCell ref="Z53:AB53"/>
    <mergeCell ref="L68:N68"/>
    <mergeCell ref="AF34:AG34"/>
    <mergeCell ref="W54:Y54"/>
    <mergeCell ref="M10:O10"/>
    <mergeCell ref="AG1:AH1"/>
    <mergeCell ref="N77:AH77"/>
    <mergeCell ref="AD75:AG75"/>
    <mergeCell ref="P14:Q16"/>
    <mergeCell ref="C40:E42"/>
    <mergeCell ref="K72:AH72"/>
    <mergeCell ref="AE2:AE3"/>
    <mergeCell ref="K58:M58"/>
    <mergeCell ref="C52:J53"/>
    <mergeCell ref="AG2:AG3"/>
    <mergeCell ref="Y2:Y3"/>
    <mergeCell ref="I8:M9"/>
    <mergeCell ref="AC54:AE54"/>
    <mergeCell ref="AF59:AH59"/>
    <mergeCell ref="M25:X25"/>
    <mergeCell ref="V49:AA49"/>
    <mergeCell ref="W43:AH43"/>
    <mergeCell ref="V78:W78"/>
    <mergeCell ref="V36:AA36"/>
    <mergeCell ref="J39:M39"/>
    <mergeCell ref="Q61:V61"/>
    <mergeCell ref="K68:K70"/>
    <mergeCell ref="P40:Q42"/>
    <mergeCell ref="K53:M53"/>
    <mergeCell ref="AB78:AD78"/>
    <mergeCell ref="W17:AH17"/>
    <mergeCell ref="C33:E38"/>
    <mergeCell ref="J13:M13"/>
    <mergeCell ref="V50:AA50"/>
    <mergeCell ref="K73:AH73"/>
    <mergeCell ref="K67:O67"/>
    <mergeCell ref="K57:P57"/>
    <mergeCell ref="AC34:AD34"/>
    <mergeCell ref="O68:O70"/>
    <mergeCell ref="L70:N70"/>
    <mergeCell ref="C60:J60"/>
    <mergeCell ref="W57:AB57"/>
    <mergeCell ref="W19:AH19"/>
    <mergeCell ref="A65:G67"/>
    <mergeCell ref="Q53:S53"/>
    <mergeCell ref="Q56:V56"/>
    <mergeCell ref="N26:O29"/>
    <mergeCell ref="AF50:AG50"/>
    <mergeCell ref="N54:P54"/>
    <mergeCell ref="A80:J80"/>
    <mergeCell ref="C74:D79"/>
    <mergeCell ref="F26:I26"/>
    <mergeCell ref="Y12:Z12"/>
    <mergeCell ref="AA12:AB12"/>
    <mergeCell ref="C17:M19"/>
    <mergeCell ref="Z54:AB54"/>
    <mergeCell ref="T14:V16"/>
    <mergeCell ref="F10:H10"/>
    <mergeCell ref="AC57:AH57"/>
    <mergeCell ref="K54:M54"/>
    <mergeCell ref="R74:AA76"/>
    <mergeCell ref="C21:L21"/>
    <mergeCell ref="W67:AA67"/>
    <mergeCell ref="K55:M55"/>
    <mergeCell ref="T53:V53"/>
    <mergeCell ref="Q66:U66"/>
    <mergeCell ref="W55:Y55"/>
  </mergeCells>
  <conditionalFormatting sqref="W66:AA67">
    <cfRule type="cellIs" priority="1" operator="lessThanOrEqual" dxfId="0" stopIfTrue="1">
      <formula>0</formula>
    </cfRule>
  </conditionalFormatting>
  <dataValidations count="12">
    <dataValidation sqref="V18:AH18"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M10:O10 Q10:S10 X10:Z10 AB10:AD10 AF10:AH10" showDropDown="0" showInputMessage="1" showErrorMessage="1" allowBlank="1" error="全角数字で入力してください" imeMode="fullAlpha"/>
    <dataValidation sqref="I37:R37 I50:R50" showDropDown="0" showInputMessage="1" showErrorMessage="1" allowBlank="1" prompt="プルダウンメニューから選択してください。" type="list">
      <formula1>"　,社会福祉主事任用資格,訪問介護員1級,訪問介護員2級,居宅介護従業者1級,居宅介護従業者2級,児童指導員任用資格,保育士,医師,歯科医師,薬剤師,保健師,助産師,看護師,准看護師,理学療法士,作業療法士,社会福祉士,介護福祉士,視能訓練士,義肢装具士,歯科衛生士,言語聴覚士,あん摩マッサージ指圧師,はり師,きゅう師,柔道整復師,栄養士,管理栄養士,精神保健福祉士,社会復帰指導員"</formula1>
    </dataValidation>
    <dataValidation sqref="V31:AH31 V44:AH44" showDropDown="0" showInputMessage="1" showErrorMessage="1" allowBlank="1" prompt="サービス管理責任者は、サービス提供職員との兼務はできません。" type="list" errorStyle="warning">
      <formula1>"　,管理者,事務職員,管理者、事務職員"</formula1>
    </dataValidation>
    <dataValidation sqref="I34:R34 I47:R47" showDropDown="0" showInputMessage="1" showErrorMessage="1" allowBlank="1" prompt="プルダウンメニューから選択してください。" type="list">
      <formula1>"　,相談支援業務5年以上,直接支援業務10年以上,直接支援業務5年以上＋有資格,国家資格業務5年以上＋相談支援業務3年以上,国家資格業務5年以上＋直接支援業務3年以上"</formula1>
    </dataValidation>
    <dataValidation sqref="F35:H35 F38:H38 F48:H48 F51:H51 O35 O38 O48 O51" showDropDown="0" showInputMessage="1" showErrorMessage="1" allowBlank="1" error="この行には入力できません。_x000a_下の行に入力してください。" prompt="この行には入力できません。_x000a_上の行に入力してください。" imeMode="on"/>
    <dataValidation sqref="E36:H36 E49:H49 F33:G33 F46:G46 I33:O33 I46:O46 R36 R49 V33:AH33 V46:AH46" showDropDown="0" showInputMessage="1" showErrorMessage="1" allowBlank="1" error="この行には入力できません。_x000a_下の行に入力してください。" prompt="この行には入力できません。_x000a_下の行に入力してください。" imeMode="on"/>
    <dataValidation sqref="F4:AH4 F13:M13 F26:M26 F39:M39" showDropDown="0" showInputMessage="1" showErrorMessage="1" allowBlank="1" imeMode="halfKatakana"/>
    <dataValidation sqref="I10:K10 J7:N7 T13:X13 T26:X26 T39:X39 U12:V12 X78 Y2:AH3 Y12:Z12 AB78:AD78 AC12:AD12 AC62 AF78" showDropDown="0" showInputMessage="1" showErrorMessage="1" allowBlank="1" imeMode="fullAlpha"/>
    <dataValidation sqref="K72:AH72" showDropDown="0" showInputMessage="1" showErrorMessage="1" allowBlank="1" type="list" errorStyle="warning">
      <formula1>"　,法定代理受領分：厚生労働大臣が定める基準の10/100、法定代理受領分以外：厚生労働大臣が定める基準"</formula1>
    </dataValidation>
    <dataValidation sqref="K73:AH73" showDropDown="0" showInputMessage="1" showErrorMessage="1" allowBlank="1" type="list">
      <formula1>"　,運営規程に定めるとおり"</formula1>
    </dataValidation>
    <dataValidation sqref="K54:AH56 K59:AH61 K62:P64 K66:K67 P66:Q67 Q62 V66:W67 W62 AG62" showDropDown="0" showInputMessage="1" showErrorMessage="1" allowBlank="1" imeMode="halfAlpha"/>
  </dataValidations>
  <printOptions horizontalCentered="1"/>
  <pageMargins left="0.7086614173228347" right="0.5905511811023623" top="0.3937007874015748" bottom="0.3937007874015748" header="0.5118110236220472" footer="0.5118110236220472"/>
  <pageSetup orientation="portrait" paperSize="9" scale="96"/>
  <legacyDrawing xmlns:r="http://schemas.openxmlformats.org/officeDocument/2006/relationships" r:id="anysvml"/>
</worksheet>
</file>

<file path=xl/worksheets/sheet9.xml><?xml version="1.0" encoding="utf-8"?>
<worksheet xmlns="http://schemas.openxmlformats.org/spreadsheetml/2006/main">
  <sheetPr codeName="Sheet8">
    <outlinePr summaryBelow="1" summaryRight="1"/>
    <pageSetUpPr/>
  </sheetPr>
  <dimension ref="A1:AU104"/>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5"/>
    <col width="2.5" customWidth="1" style="1667" min="6" max="6"/>
    <col width="2.625" customWidth="1" style="1667" min="7" max="18"/>
    <col width="2.75" customWidth="1" style="1667" min="19" max="19"/>
    <col width="2.625" customWidth="1" style="1667" min="20" max="34"/>
    <col width="1.625" customWidth="1" style="1667" min="35" max="35"/>
    <col width="3.5" customWidth="1" style="1667" min="36" max="62"/>
    <col width="9" customWidth="1" style="1667" min="63" max="16384"/>
  </cols>
  <sheetData>
    <row r="1" ht="24.75" customHeight="1" s="4080" thickBot="1">
      <c r="A1" s="1883" t="inlineStr">
        <is>
          <t>付表５　生活介護事業所の指定に係る記載事項</t>
        </is>
      </c>
      <c r="B1" s="4082" t="n"/>
      <c r="C1" s="4082" t="n"/>
      <c r="D1" s="4082" t="n"/>
      <c r="E1" s="4082" t="n"/>
      <c r="F1" s="4082" t="n"/>
      <c r="G1" s="4082" t="n"/>
      <c r="H1" s="4082" t="n"/>
      <c r="I1" s="4082" t="n"/>
      <c r="J1" s="4082" t="n"/>
      <c r="K1" s="4082" t="n"/>
      <c r="L1" s="4082" t="n"/>
      <c r="M1" s="4082" t="n"/>
      <c r="N1" s="4082" t="n"/>
      <c r="O1" s="4082" t="n"/>
      <c r="P1" s="4082" t="n"/>
      <c r="Q1" s="4082" t="n"/>
      <c r="R1" s="4082" t="n"/>
      <c r="S1" s="4082" t="n"/>
      <c r="T1" s="4082" t="n"/>
      <c r="U1" s="4082" t="n"/>
      <c r="V1" s="4082" t="n"/>
      <c r="W1" s="4082" t="n"/>
      <c r="X1" s="4082" t="n"/>
      <c r="Y1" s="4082" t="n"/>
      <c r="Z1" s="1885" t="n"/>
      <c r="AA1" s="4359" t="n"/>
      <c r="AB1" s="1886" t="inlineStr">
        <is>
          <t>単位／</t>
        </is>
      </c>
      <c r="AC1" s="4359" t="n"/>
      <c r="AD1" s="4359" t="n"/>
      <c r="AE1" s="1885" t="n"/>
      <c r="AF1" s="4359" t="n"/>
      <c r="AG1" s="1888" t="inlineStr">
        <is>
          <t>単位</t>
        </is>
      </c>
      <c r="AH1" s="4360" t="n"/>
      <c r="AU1" s="719">
        <f>HYPERLINK("#目次!A1","目次へ戻る")</f>
        <v/>
      </c>
    </row>
    <row r="2" ht="15" customHeight="1" s="4080">
      <c r="A2" s="195" t="n"/>
      <c r="B2" s="1889" t="n"/>
      <c r="C2" s="1889" t="n"/>
      <c r="D2" s="1889" t="n"/>
      <c r="E2" s="1889" t="n"/>
      <c r="F2" s="1889" t="n"/>
      <c r="G2" s="2069" t="n"/>
      <c r="H2" s="1889" t="n"/>
      <c r="I2" s="1889" t="n"/>
      <c r="J2" s="1889" t="n"/>
      <c r="K2" s="1889" t="n"/>
      <c r="L2" s="1889" t="n"/>
      <c r="M2" s="45" t="inlineStr">
        <is>
          <t>（</t>
        </is>
      </c>
      <c r="N2" s="1889" t="inlineStr">
        <is>
          <t>単独</t>
        </is>
      </c>
      <c r="P2" s="2069" t="inlineStr">
        <is>
          <t>・</t>
        </is>
      </c>
      <c r="Q2" s="1889" t="inlineStr">
        <is>
          <t>多機能</t>
        </is>
      </c>
      <c r="T2" s="1667" t="inlineStr">
        <is>
          <t>）</t>
        </is>
      </c>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A3" s="196" t="n"/>
      <c r="B3" s="45" t="n"/>
      <c r="C3" s="48" t="n"/>
      <c r="D3" s="48" t="n"/>
      <c r="E3" s="48" t="n"/>
      <c r="F3" s="49" t="n"/>
      <c r="G3" s="48" t="n"/>
      <c r="H3" s="48" t="n"/>
      <c r="I3" s="48" t="n"/>
      <c r="J3" s="49" t="n"/>
      <c r="K3" s="48" t="n"/>
      <c r="L3" s="48" t="n"/>
      <c r="M3" s="48" t="n"/>
      <c r="N3" s="197" t="n"/>
      <c r="O3" s="197" t="n"/>
      <c r="P3" s="197"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4179" t="inlineStr">
        <is>
          <t>事業所</t>
        </is>
      </c>
      <c r="B4" s="4082"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C5" s="4181" t="inlineStr">
        <is>
          <t>名　称</t>
        </is>
      </c>
      <c r="D5" s="4098" t="n"/>
      <c r="E5" s="4099" t="n"/>
      <c r="F5" s="4182"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C7" s="4181" t="inlineStr">
        <is>
          <t>所在地</t>
        </is>
      </c>
      <c r="D7" s="4098" t="n"/>
      <c r="E7" s="4099" t="n"/>
      <c r="F7" s="1244" t="inlineStr">
        <is>
          <t>郵便番号（</t>
        </is>
      </c>
      <c r="G7" s="4098" t="n"/>
      <c r="H7" s="4098" t="n"/>
      <c r="I7" s="4098" t="n"/>
      <c r="J7" s="1287" t="n"/>
      <c r="K7" s="4098" t="n"/>
      <c r="L7" s="4098" t="n"/>
      <c r="M7" s="4098" t="n"/>
      <c r="N7" s="4098" t="n"/>
      <c r="O7" s="1329" t="inlineStr">
        <is>
          <t>）</t>
        </is>
      </c>
      <c r="P7" s="4311"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986" t="n"/>
      <c r="N8" s="1260" t="inlineStr">
        <is>
          <t>区</t>
        </is>
      </c>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882" t="n"/>
      <c r="J10" s="4110" t="n"/>
      <c r="K10" s="4110" t="n"/>
      <c r="L10" s="53" t="inlineStr">
        <is>
          <t>－</t>
        </is>
      </c>
      <c r="M10" s="920" t="n"/>
      <c r="N10" s="4110" t="n"/>
      <c r="O10" s="4110" t="n"/>
      <c r="P10" s="53" t="inlineStr">
        <is>
          <t>－</t>
        </is>
      </c>
      <c r="Q10" s="878" t="n"/>
      <c r="R10" s="4110" t="n"/>
      <c r="S10" s="4111" t="n"/>
      <c r="T10" s="4184" t="inlineStr">
        <is>
          <t>ＦＡＸ番号</t>
        </is>
      </c>
      <c r="U10" s="4110" t="n"/>
      <c r="V10" s="4110" t="n"/>
      <c r="W10" s="4111" t="n"/>
      <c r="X10" s="882" t="n"/>
      <c r="Y10" s="4110" t="n"/>
      <c r="Z10" s="4110" t="n"/>
      <c r="AA10" s="53" t="inlineStr">
        <is>
          <t>－</t>
        </is>
      </c>
      <c r="AB10" s="920" t="n"/>
      <c r="AC10" s="4110" t="n"/>
      <c r="AD10" s="4110" t="n"/>
      <c r="AE10" s="53" t="inlineStr">
        <is>
          <t>－</t>
        </is>
      </c>
      <c r="AF10" s="955" t="n"/>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18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20" t="n"/>
      <c r="V12" s="4110" t="n"/>
      <c r="W12" s="1264" t="inlineStr">
        <is>
          <t>条第</t>
        </is>
      </c>
      <c r="X12" s="4110" t="n"/>
      <c r="Y12" s="920" t="n"/>
      <c r="Z12" s="4110" t="n"/>
      <c r="AA12" s="1264" t="inlineStr">
        <is>
          <t>項第</t>
        </is>
      </c>
      <c r="AB12" s="4110" t="n"/>
      <c r="AC12" s="920" t="n"/>
      <c r="AD12" s="4110" t="n"/>
      <c r="AE12" s="1264" t="inlineStr">
        <is>
          <t>号（</t>
        </is>
      </c>
      <c r="AF12" s="4110" t="n"/>
      <c r="AG12" s="920" t="n"/>
      <c r="AH12" s="2827" t="inlineStr">
        <is>
          <t>）</t>
        </is>
      </c>
    </row>
    <row r="13" ht="12" customHeight="1" s="4080">
      <c r="A13" s="4188" t="inlineStr">
        <is>
          <t>管　　理　　者</t>
        </is>
      </c>
      <c r="B13" s="4099" t="n"/>
      <c r="C13" s="4184" t="inlineStr">
        <is>
          <t>ﾌﾘｶﾞﾅ</t>
        </is>
      </c>
      <c r="D13" s="4110" t="n"/>
      <c r="E13" s="4111" t="n"/>
      <c r="F13" s="1278" t="n"/>
      <c r="G13" s="4110" t="n"/>
      <c r="H13" s="4110" t="n"/>
      <c r="I13" s="4189" t="n"/>
      <c r="J13" s="1279" t="n"/>
      <c r="K13" s="4110" t="n"/>
      <c r="L13" s="4110" t="n"/>
      <c r="M13" s="4189" t="n"/>
      <c r="N13" s="4185" t="inlineStr">
        <is>
          <t>住所</t>
        </is>
      </c>
      <c r="O13" s="4099" t="n"/>
      <c r="P13" s="1244" t="inlineStr">
        <is>
          <t>郵便番号（</t>
        </is>
      </c>
      <c r="Q13" s="4098" t="n"/>
      <c r="R13" s="4098" t="n"/>
      <c r="S13" s="4098" t="n"/>
      <c r="T13" s="1287" t="n"/>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278" t="n"/>
      <c r="G14" s="4098" t="n"/>
      <c r="H14" s="4098" t="n"/>
      <c r="I14" s="4190" t="n"/>
      <c r="J14" s="1279" t="n"/>
      <c r="K14" s="4098" t="n"/>
      <c r="L14" s="4098" t="n"/>
      <c r="M14" s="4190" t="n"/>
      <c r="N14" s="4106" t="n"/>
      <c r="O14" s="4107" t="n"/>
      <c r="P14" s="1318" t="n"/>
      <c r="R14" s="1325" t="inlineStr">
        <is>
          <t>都</t>
        </is>
      </c>
      <c r="S14" s="2378" t="inlineStr">
        <is>
          <t>道</t>
        </is>
      </c>
      <c r="T14" s="1319" t="n"/>
      <c r="W14" s="2378" t="inlineStr">
        <is>
          <t>郡</t>
        </is>
      </c>
      <c r="X14" s="1321" t="n"/>
      <c r="AH14" s="4109" t="n"/>
    </row>
    <row r="15" ht="12" customHeight="1" s="4080">
      <c r="A15" s="4097" t="n"/>
      <c r="B15" s="4107" t="n"/>
      <c r="C15" s="4106" t="n"/>
      <c r="E15" s="4107" t="n"/>
      <c r="F15" s="4106" t="n"/>
      <c r="I15" s="4191" t="n"/>
      <c r="J15" s="4192" t="n"/>
      <c r="M15" s="4191" t="n"/>
      <c r="N15" s="4106" t="n"/>
      <c r="O15" s="4107" t="n"/>
      <c r="P15" s="4106" t="n"/>
      <c r="R15" s="2378" t="inlineStr">
        <is>
          <t>府</t>
        </is>
      </c>
      <c r="S15" s="2378" t="inlineStr">
        <is>
          <t>県</t>
        </is>
      </c>
      <c r="W15" s="2378"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1325" t="inlineStr">
        <is>
          <t>無</t>
        </is>
      </c>
      <c r="R18" s="1332" t="n"/>
      <c r="S18" s="4106" t="n"/>
      <c r="U18" s="4107" t="n"/>
      <c r="V18" s="4312"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7.25" customHeight="1" s="4080">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Height="1" s="4080">
      <c r="A21" s="4097" t="n"/>
      <c r="B21" s="4107" t="n"/>
      <c r="C21" s="1303" t="inlineStr">
        <is>
          <t>事　業　所　名</t>
        </is>
      </c>
      <c r="D21" s="4138" t="n"/>
      <c r="E21" s="4138" t="n"/>
      <c r="F21" s="4138" t="n"/>
      <c r="G21" s="4138" t="n"/>
      <c r="H21" s="4138" t="n"/>
      <c r="I21" s="4138" t="n"/>
      <c r="J21" s="4138" t="n"/>
      <c r="K21" s="4138" t="n"/>
      <c r="L21" s="4198" t="n"/>
      <c r="M21" s="1304" t="inlineStr">
        <is>
          <t>サービス種別</t>
        </is>
      </c>
      <c r="N21" s="4138" t="n"/>
      <c r="O21" s="4138" t="n"/>
      <c r="P21" s="4138" t="n"/>
      <c r="Q21" s="4138" t="n"/>
      <c r="R21" s="4138" t="n"/>
      <c r="S21" s="4138" t="n"/>
      <c r="T21" s="4138" t="n"/>
      <c r="U21" s="4138" t="n"/>
      <c r="V21" s="4138" t="n"/>
      <c r="W21" s="4138" t="n"/>
      <c r="X21" s="4198" t="n"/>
      <c r="Y21" s="1641" t="inlineStr">
        <is>
          <t>職　　　種</t>
        </is>
      </c>
      <c r="Z21" s="4138" t="n"/>
      <c r="AA21" s="4138" t="n"/>
      <c r="AB21" s="4138" t="n"/>
      <c r="AC21" s="4138" t="n"/>
      <c r="AD21" s="4138" t="n"/>
      <c r="AE21" s="4138" t="n"/>
      <c r="AF21" s="4138" t="n"/>
      <c r="AG21" s="4138" t="n"/>
      <c r="AH21" s="4198" t="n"/>
    </row>
    <row r="22" ht="16.5" customHeight="1" s="4080">
      <c r="A22" s="4097" t="n"/>
      <c r="B22" s="4107" t="n"/>
      <c r="C22" s="1347" t="n"/>
      <c r="D22" s="4098" t="n"/>
      <c r="E22" s="4098" t="n"/>
      <c r="F22" s="4098" t="n"/>
      <c r="G22" s="4098" t="n"/>
      <c r="H22" s="4098" t="n"/>
      <c r="I22" s="4098" t="n"/>
      <c r="J22" s="4098" t="n"/>
      <c r="K22" s="4098" t="n"/>
      <c r="L22" s="4190" t="n"/>
      <c r="M22" s="1348" t="n"/>
      <c r="N22" s="4098" t="n"/>
      <c r="O22" s="4098" t="n"/>
      <c r="P22" s="4098" t="n"/>
      <c r="Q22" s="4098" t="n"/>
      <c r="R22" s="4098" t="n"/>
      <c r="S22" s="4098" t="n"/>
      <c r="T22" s="4098" t="n"/>
      <c r="U22" s="4098" t="n"/>
      <c r="V22" s="4098" t="n"/>
      <c r="W22" s="4098" t="n"/>
      <c r="X22" s="4190" t="n"/>
      <c r="Y22" s="1349" t="n"/>
      <c r="Z22" s="4098" t="n"/>
      <c r="AA22" s="4098" t="n"/>
      <c r="AB22" s="4098" t="n"/>
      <c r="AC22" s="4098" t="n"/>
      <c r="AD22" s="4098" t="n"/>
      <c r="AE22" s="4098" t="n"/>
      <c r="AF22" s="4098" t="n"/>
      <c r="AG22" s="4098" t="n"/>
      <c r="AH22" s="4190" t="n"/>
    </row>
    <row r="23" ht="16.5" customHeight="1" s="4080">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1" t="n"/>
      <c r="Z23" s="4199" t="n"/>
      <c r="AA23" s="4199" t="n"/>
      <c r="AB23" s="4199" t="n"/>
      <c r="AC23" s="4199" t="n"/>
      <c r="AD23" s="4199" t="n"/>
      <c r="AE23" s="4199" t="n"/>
      <c r="AF23" s="4199" t="n"/>
      <c r="AG23" s="4199" t="n"/>
      <c r="AH23" s="4200" t="n"/>
    </row>
    <row r="24" ht="16.5" customHeight="1" s="4080">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1" t="n"/>
      <c r="Z24" s="4199" t="n"/>
      <c r="AA24" s="4199" t="n"/>
      <c r="AB24" s="4199" t="n"/>
      <c r="AC24" s="4199" t="n"/>
      <c r="AD24" s="4199" t="n"/>
      <c r="AE24" s="4199" t="n"/>
      <c r="AF24" s="4199" t="n"/>
      <c r="AG24" s="4199" t="n"/>
      <c r="AH24" s="4200" t="n"/>
    </row>
    <row r="25" ht="16.5" customHeight="1" s="4080">
      <c r="A25" s="4097" t="n"/>
      <c r="B25" s="4107" t="n"/>
      <c r="C25" s="1343" t="n"/>
      <c r="D25" s="4146" t="n"/>
      <c r="E25" s="4146" t="n"/>
      <c r="F25" s="4146" t="n"/>
      <c r="G25" s="4146" t="n"/>
      <c r="H25" s="4146" t="n"/>
      <c r="I25" s="4146" t="n"/>
      <c r="J25" s="4146" t="n"/>
      <c r="K25" s="4146" t="n"/>
      <c r="L25" s="4201" t="n"/>
      <c r="M25" s="1344" t="n"/>
      <c r="N25" s="4146" t="n"/>
      <c r="O25" s="4146" t="n"/>
      <c r="P25" s="4146" t="n"/>
      <c r="Q25" s="4146" t="n"/>
      <c r="R25" s="4146" t="n"/>
      <c r="S25" s="4146" t="n"/>
      <c r="T25" s="4146" t="n"/>
      <c r="U25" s="4146" t="n"/>
      <c r="V25" s="4146" t="n"/>
      <c r="W25" s="4146" t="n"/>
      <c r="X25" s="4201" t="n"/>
      <c r="Y25" s="1345" t="n"/>
      <c r="Z25" s="4146" t="n"/>
      <c r="AA25" s="4146" t="n"/>
      <c r="AB25" s="4146" t="n"/>
      <c r="AC25" s="4146" t="n"/>
      <c r="AD25" s="4146" t="n"/>
      <c r="AE25" s="4146" t="n"/>
      <c r="AF25" s="4146" t="n"/>
      <c r="AG25" s="4146" t="n"/>
      <c r="AH25" s="4201" t="n"/>
    </row>
    <row r="26" ht="12" customHeight="1" s="4080">
      <c r="A26" s="4361" t="inlineStr">
        <is>
          <t>サービス管理
責任者</t>
        </is>
      </c>
      <c r="B26" s="4099" t="n"/>
      <c r="C26" s="4184" t="inlineStr">
        <is>
          <t>ﾌﾘｶﾞﾅ</t>
        </is>
      </c>
      <c r="D26" s="4110" t="n"/>
      <c r="E26" s="4111" t="n"/>
      <c r="F26" s="4203" t="n"/>
      <c r="G26" s="4110" t="n"/>
      <c r="H26" s="4110" t="n"/>
      <c r="I26" s="4204" t="n"/>
      <c r="J26" s="4205" t="n"/>
      <c r="K26" s="4110" t="n"/>
      <c r="L26" s="4110" t="n"/>
      <c r="M26" s="4111" t="n"/>
      <c r="N26" s="2164" t="inlineStr">
        <is>
          <t>住所</t>
        </is>
      </c>
      <c r="O26" s="4099" t="n"/>
      <c r="P26" s="1244" t="inlineStr">
        <is>
          <t>郵便番号（</t>
        </is>
      </c>
      <c r="Q26" s="4098" t="n"/>
      <c r="R26" s="4098" t="n"/>
      <c r="S26" s="4098" t="n"/>
      <c r="T26" s="1287" t="n"/>
      <c r="U26" s="4098" t="n"/>
      <c r="V26" s="4098" t="n"/>
      <c r="W26" s="4098" t="n"/>
      <c r="X26" s="4098" t="n"/>
      <c r="Y26" s="1329" t="inlineStr">
        <is>
          <t>）</t>
        </is>
      </c>
      <c r="Z26" s="1017" t="n"/>
      <c r="AA26" s="1017" t="n"/>
      <c r="AB26" s="1017" t="n"/>
      <c r="AC26" s="1017" t="n"/>
      <c r="AD26" s="1017" t="n"/>
      <c r="AE26" s="120" t="n"/>
      <c r="AF26" s="119" t="n"/>
      <c r="AG26" s="119" t="n"/>
      <c r="AH26" s="118" t="n"/>
    </row>
    <row r="27" ht="12" customHeight="1" s="4080">
      <c r="A27" s="4097" t="n"/>
      <c r="B27" s="4107" t="n"/>
      <c r="C27" s="4209" t="inlineStr">
        <is>
          <t>氏　　名</t>
        </is>
      </c>
      <c r="D27" s="4098" t="n"/>
      <c r="E27" s="4099" t="n"/>
      <c r="F27" s="4203" t="n"/>
      <c r="G27" s="4098" t="n"/>
      <c r="H27" s="4098" t="n"/>
      <c r="I27" s="4210" t="n"/>
      <c r="J27" s="4205" t="n"/>
      <c r="K27" s="4098" t="n"/>
      <c r="L27" s="4098" t="n"/>
      <c r="M27" s="4099" t="n"/>
      <c r="N27" s="4106" t="n"/>
      <c r="O27" s="4107" t="n"/>
      <c r="P27" s="1318" t="n"/>
      <c r="R27" s="2378" t="inlineStr">
        <is>
          <t>都</t>
        </is>
      </c>
      <c r="S27" s="2378" t="inlineStr">
        <is>
          <t>道</t>
        </is>
      </c>
      <c r="T27" s="1389" t="n"/>
      <c r="W27" s="2378" t="inlineStr">
        <is>
          <t>郡</t>
        </is>
      </c>
      <c r="X27" s="1686" t="n"/>
      <c r="AH27" s="4109" t="n"/>
    </row>
    <row r="28" ht="12" customHeight="1" s="4080">
      <c r="A28" s="4097" t="n"/>
      <c r="B28" s="4107" t="n"/>
      <c r="C28" s="4106" t="n"/>
      <c r="E28" s="4107" t="n"/>
      <c r="F28" s="4106" t="n"/>
      <c r="I28" s="4212" t="n"/>
      <c r="J28" s="4213" t="n"/>
      <c r="M28" s="4107" t="n"/>
      <c r="N28" s="4106" t="n"/>
      <c r="O28" s="4107" t="n"/>
      <c r="P28" s="4106" t="n"/>
      <c r="R28" s="2378" t="inlineStr">
        <is>
          <t>府</t>
        </is>
      </c>
      <c r="S28" s="2378" t="inlineStr">
        <is>
          <t>県</t>
        </is>
      </c>
      <c r="W28" s="2378" t="inlineStr">
        <is>
          <t>市</t>
        </is>
      </c>
      <c r="AH28" s="4109" t="n"/>
    </row>
    <row r="29" ht="3" customHeight="1" s="4080">
      <c r="A29" s="4097" t="n"/>
      <c r="B29" s="4107" t="n"/>
      <c r="C29" s="4102" t="n"/>
      <c r="D29" s="4103" t="n"/>
      <c r="E29" s="4104" t="n"/>
      <c r="F29" s="4102" t="n"/>
      <c r="G29" s="4103" t="n"/>
      <c r="H29" s="4103" t="n"/>
      <c r="I29" s="4215" t="n"/>
      <c r="J29" s="4216" t="n"/>
      <c r="K29" s="4103" t="n"/>
      <c r="L29" s="4103" t="n"/>
      <c r="M29" s="4104" t="n"/>
      <c r="N29" s="4102" t="n"/>
      <c r="O29" s="4104" t="n"/>
      <c r="P29" s="4102" t="n"/>
      <c r="Q29" s="4103" t="n"/>
      <c r="R29" s="2378" t="n"/>
      <c r="S29" s="2378" t="n"/>
      <c r="T29" s="4103" t="n"/>
      <c r="U29" s="4103" t="n"/>
      <c r="V29" s="4103" t="n"/>
      <c r="W29" s="63" t="n"/>
      <c r="X29" s="4103" t="n"/>
      <c r="Y29" s="4103" t="n"/>
      <c r="Z29" s="4103" t="n"/>
      <c r="AA29" s="4103" t="n"/>
      <c r="AB29" s="4103" t="n"/>
      <c r="AC29" s="4103" t="n"/>
      <c r="AD29" s="4103" t="n"/>
      <c r="AE29" s="4103" t="n"/>
      <c r="AF29" s="4103" t="n"/>
      <c r="AG29" s="4103" t="n"/>
      <c r="AH29" s="4105" t="n"/>
    </row>
    <row r="30" ht="12" customHeight="1" s="4080">
      <c r="A30" s="4097" t="n"/>
      <c r="B30" s="4107" t="n"/>
      <c r="C30" s="4184" t="inlineStr">
        <is>
          <t>ﾌﾘｶﾞﾅ</t>
        </is>
      </c>
      <c r="D30" s="4110" t="n"/>
      <c r="E30" s="4111" t="n"/>
      <c r="F30" s="4203" t="n"/>
      <c r="G30" s="4110" t="n"/>
      <c r="H30" s="4110" t="n"/>
      <c r="I30" s="4204" t="n"/>
      <c r="J30" s="4205" t="n"/>
      <c r="K30" s="4110" t="n"/>
      <c r="L30" s="4110" t="n"/>
      <c r="M30" s="4111" t="n"/>
      <c r="N30" s="2164" t="inlineStr">
        <is>
          <t>住所</t>
        </is>
      </c>
      <c r="O30" s="4099" t="n"/>
      <c r="P30" s="1244" t="inlineStr">
        <is>
          <t>郵便番号（</t>
        </is>
      </c>
      <c r="Q30" s="4098" t="n"/>
      <c r="R30" s="4098" t="n"/>
      <c r="S30" s="4098" t="n"/>
      <c r="T30" s="1287" t="n"/>
      <c r="U30" s="4098" t="n"/>
      <c r="V30" s="4098" t="n"/>
      <c r="W30" s="4098" t="n"/>
      <c r="X30" s="4098" t="n"/>
      <c r="Y30" s="1329" t="inlineStr">
        <is>
          <t>）</t>
        </is>
      </c>
      <c r="Z30" s="1017" t="n"/>
      <c r="AA30" s="1017" t="n"/>
      <c r="AB30" s="1017" t="n"/>
      <c r="AC30" s="1017" t="n"/>
      <c r="AD30" s="1017" t="n"/>
      <c r="AE30" s="120" t="n"/>
      <c r="AF30" s="119" t="n"/>
      <c r="AG30" s="119" t="n"/>
      <c r="AH30" s="118" t="n"/>
    </row>
    <row r="31" ht="12" customHeight="1" s="4080">
      <c r="A31" s="4097" t="n"/>
      <c r="B31" s="4107" t="n"/>
      <c r="C31" s="4209" t="inlineStr">
        <is>
          <t>氏　　名</t>
        </is>
      </c>
      <c r="D31" s="4098" t="n"/>
      <c r="E31" s="4099" t="n"/>
      <c r="F31" s="4203" t="n"/>
      <c r="G31" s="4098" t="n"/>
      <c r="H31" s="4098" t="n"/>
      <c r="I31" s="4210" t="n"/>
      <c r="J31" s="4205" t="n"/>
      <c r="K31" s="4098" t="n"/>
      <c r="L31" s="4098" t="n"/>
      <c r="M31" s="4099" t="n"/>
      <c r="N31" s="4106" t="n"/>
      <c r="O31" s="4107" t="n"/>
      <c r="P31" s="1318" t="n"/>
      <c r="R31" s="2378" t="inlineStr">
        <is>
          <t>都</t>
        </is>
      </c>
      <c r="S31" s="2378" t="inlineStr">
        <is>
          <t>道</t>
        </is>
      </c>
      <c r="T31" s="1389" t="n"/>
      <c r="W31" s="1325" t="inlineStr">
        <is>
          <t>郡</t>
        </is>
      </c>
      <c r="X31" s="1686" t="n"/>
      <c r="AH31" s="4109" t="n"/>
    </row>
    <row r="32" ht="12" customHeight="1" s="4080">
      <c r="A32" s="4097" t="n"/>
      <c r="B32" s="4107" t="n"/>
      <c r="C32" s="4106" t="n"/>
      <c r="E32" s="4107" t="n"/>
      <c r="F32" s="4106" t="n"/>
      <c r="I32" s="4212" t="n"/>
      <c r="J32" s="4213" t="n"/>
      <c r="M32" s="4107" t="n"/>
      <c r="N32" s="4106" t="n"/>
      <c r="O32" s="4107" t="n"/>
      <c r="P32" s="4106" t="n"/>
      <c r="R32" s="2378" t="inlineStr">
        <is>
          <t>府</t>
        </is>
      </c>
      <c r="S32" s="2378" t="inlineStr">
        <is>
          <t>県</t>
        </is>
      </c>
      <c r="W32" s="2378" t="inlineStr">
        <is>
          <t>市</t>
        </is>
      </c>
      <c r="AH32" s="4109" t="n"/>
    </row>
    <row r="33" ht="3.75" customHeight="1" s="4080">
      <c r="A33" s="4114" t="n"/>
      <c r="B33" s="4104" t="n"/>
      <c r="C33" s="4102" t="n"/>
      <c r="D33" s="4103" t="n"/>
      <c r="E33" s="4104" t="n"/>
      <c r="F33" s="4102" t="n"/>
      <c r="G33" s="4103" t="n"/>
      <c r="H33" s="4103" t="n"/>
      <c r="I33" s="4215" t="n"/>
      <c r="J33" s="4216" t="n"/>
      <c r="K33" s="4103" t="n"/>
      <c r="L33" s="4103" t="n"/>
      <c r="M33" s="4104" t="n"/>
      <c r="N33" s="4102" t="n"/>
      <c r="O33" s="4104" t="n"/>
      <c r="P33" s="4102" t="n"/>
      <c r="Q33" s="4103" t="n"/>
      <c r="R33" s="2378" t="n"/>
      <c r="S33" s="2378" t="n"/>
      <c r="T33" s="4103" t="n"/>
      <c r="U33" s="4103" t="n"/>
      <c r="V33" s="4103" t="n"/>
      <c r="W33" s="63" t="n"/>
      <c r="X33" s="4103" t="n"/>
      <c r="Y33" s="4103" t="n"/>
      <c r="Z33" s="4103" t="n"/>
      <c r="AA33" s="4103" t="n"/>
      <c r="AB33" s="4103" t="n"/>
      <c r="AC33" s="4103" t="n"/>
      <c r="AD33" s="4103" t="n"/>
      <c r="AE33" s="4103" t="n"/>
      <c r="AF33" s="4103" t="n"/>
      <c r="AG33" s="4103" t="n"/>
      <c r="AH33" s="4105" t="n"/>
    </row>
    <row r="34" ht="14.1" customHeight="1" s="4080">
      <c r="A34" s="3061" t="inlineStr">
        <is>
          <t>職　員　の　職　種　・　員　数</t>
        </is>
      </c>
      <c r="B34" s="4099" t="n"/>
      <c r="C34" s="4362" t="inlineStr">
        <is>
          <t xml:space="preserve">　　　　　　　　　職種・勤務形態
常勤・非常勤の別</t>
        </is>
      </c>
      <c r="D34" s="4098" t="n"/>
      <c r="E34" s="4098" t="n"/>
      <c r="F34" s="4098" t="n"/>
      <c r="G34" s="4098" t="n"/>
      <c r="H34" s="4098" t="n"/>
      <c r="I34" s="4098" t="n"/>
      <c r="J34" s="4099" t="n"/>
      <c r="K34" s="4185" t="inlineStr">
        <is>
          <t>サービス管理責任者</t>
        </is>
      </c>
      <c r="L34" s="4110" t="n"/>
      <c r="M34" s="4110" t="n"/>
      <c r="N34" s="4110" t="n"/>
      <c r="O34" s="4110" t="n"/>
      <c r="P34" s="4111" t="n"/>
      <c r="Q34" s="4185" t="inlineStr">
        <is>
          <t>医　　　師</t>
        </is>
      </c>
      <c r="R34" s="4110" t="n"/>
      <c r="S34" s="4110" t="n"/>
      <c r="T34" s="4110" t="n"/>
      <c r="U34" s="4110" t="n"/>
      <c r="V34" s="4111" t="n"/>
      <c r="W34" s="4185" t="inlineStr">
        <is>
          <t>生活支援員</t>
        </is>
      </c>
      <c r="X34" s="4110" t="n"/>
      <c r="Y34" s="4110" t="n"/>
      <c r="Z34" s="4110" t="n"/>
      <c r="AA34" s="4110" t="n"/>
      <c r="AB34" s="4111" t="n"/>
      <c r="AC34" s="4363" t="inlineStr">
        <is>
          <t>精神保健福祉士</t>
        </is>
      </c>
      <c r="AD34" s="4110" t="n"/>
      <c r="AE34" s="4110" t="n"/>
      <c r="AF34" s="4110" t="n"/>
      <c r="AG34" s="4110" t="n"/>
      <c r="AH34" s="4113" t="n"/>
    </row>
    <row r="35" ht="14.1" customHeight="1" s="4080">
      <c r="A35" s="4097" t="n"/>
      <c r="B35" s="4107" t="n"/>
      <c r="C35" s="4102" t="n"/>
      <c r="D35" s="4103" t="n"/>
      <c r="E35" s="4103" t="n"/>
      <c r="F35" s="4103" t="n"/>
      <c r="G35" s="4103" t="n"/>
      <c r="H35" s="4103" t="n"/>
      <c r="I35" s="4103" t="n"/>
      <c r="J35" s="4104" t="n"/>
      <c r="K35" s="1617" t="inlineStr">
        <is>
          <t>専従</t>
        </is>
      </c>
      <c r="L35" s="4110" t="n"/>
      <c r="M35" s="4189" t="n"/>
      <c r="N35" s="1604" t="inlineStr">
        <is>
          <t>兼務</t>
        </is>
      </c>
      <c r="O35" s="4110" t="n"/>
      <c r="P35" s="4111" t="n"/>
      <c r="Q35" s="1617" t="inlineStr">
        <is>
          <t>専従</t>
        </is>
      </c>
      <c r="R35" s="4110" t="n"/>
      <c r="S35" s="4189" t="n"/>
      <c r="T35" s="1604" t="inlineStr">
        <is>
          <t>兼務</t>
        </is>
      </c>
      <c r="U35" s="4110" t="n"/>
      <c r="V35" s="4111" t="n"/>
      <c r="W35" s="1617" t="inlineStr">
        <is>
          <t>専従</t>
        </is>
      </c>
      <c r="X35" s="4110" t="n"/>
      <c r="Y35" s="4189" t="n"/>
      <c r="Z35" s="1604" t="inlineStr">
        <is>
          <t>兼務</t>
        </is>
      </c>
      <c r="AA35" s="4110" t="n"/>
      <c r="AB35" s="4111" t="n"/>
      <c r="AC35" s="1617" t="inlineStr">
        <is>
          <t>専従</t>
        </is>
      </c>
      <c r="AD35" s="4110" t="n"/>
      <c r="AE35" s="4189" t="n"/>
      <c r="AF35" s="1799" t="inlineStr">
        <is>
          <t>兼務</t>
        </is>
      </c>
      <c r="AG35" s="4110" t="n"/>
      <c r="AH35" s="4113" t="n"/>
    </row>
    <row r="36" ht="14.1" customHeight="1" s="4080">
      <c r="A36" s="4097" t="n"/>
      <c r="B36" s="4107" t="n"/>
      <c r="C36" s="4185" t="inlineStr">
        <is>
          <t>常　　　　　勤（人）</t>
        </is>
      </c>
      <c r="D36" s="4110" t="n"/>
      <c r="E36" s="4110" t="n"/>
      <c r="F36" s="4110" t="n"/>
      <c r="G36" s="4110" t="n"/>
      <c r="H36" s="4110" t="n"/>
      <c r="I36" s="4110" t="n"/>
      <c r="J36" s="4111" t="n"/>
      <c r="K36" s="4327" t="n"/>
      <c r="L36" s="4110" t="n"/>
      <c r="M36" s="4189" t="n"/>
      <c r="N36" s="4364" t="n"/>
      <c r="O36" s="4110" t="n"/>
      <c r="P36" s="4111" t="n"/>
      <c r="Q36" s="4327" t="n"/>
      <c r="R36" s="4110" t="n"/>
      <c r="S36" s="4189" t="n"/>
      <c r="T36" s="4364" t="n"/>
      <c r="U36" s="4110" t="n"/>
      <c r="V36" s="4111" t="n"/>
      <c r="W36" s="4327" t="n"/>
      <c r="X36" s="4110" t="n"/>
      <c r="Y36" s="4189" t="n"/>
      <c r="Z36" s="4364" t="n"/>
      <c r="AA36" s="4110" t="n"/>
      <c r="AB36" s="4111" t="n"/>
      <c r="AC36" s="4327" t="n"/>
      <c r="AD36" s="4110" t="n"/>
      <c r="AE36" s="4189" t="n"/>
      <c r="AF36" s="4365" t="n"/>
      <c r="AG36" s="4110" t="n"/>
      <c r="AH36" s="4113" t="n"/>
    </row>
    <row r="37" ht="14.1" customHeight="1" s="4080">
      <c r="A37" s="4097" t="n"/>
      <c r="B37" s="4107" t="n"/>
      <c r="C37" s="4185" t="inlineStr">
        <is>
          <t>非　　常　　勤（人）</t>
        </is>
      </c>
      <c r="D37" s="4110" t="n"/>
      <c r="E37" s="4110" t="n"/>
      <c r="F37" s="4110" t="n"/>
      <c r="G37" s="4110" t="n"/>
      <c r="H37" s="4110" t="n"/>
      <c r="I37" s="4110" t="n"/>
      <c r="J37" s="4111" t="n"/>
      <c r="K37" s="4327" t="n"/>
      <c r="L37" s="4110" t="n"/>
      <c r="M37" s="4189" t="n"/>
      <c r="N37" s="4364" t="n"/>
      <c r="O37" s="4110" t="n"/>
      <c r="P37" s="4111" t="n"/>
      <c r="Q37" s="4327" t="n"/>
      <c r="R37" s="4110" t="n"/>
      <c r="S37" s="4189" t="n"/>
      <c r="T37" s="4364" t="n"/>
      <c r="U37" s="4110" t="n"/>
      <c r="V37" s="4111" t="n"/>
      <c r="W37" s="4327" t="n"/>
      <c r="X37" s="4110" t="n"/>
      <c r="Y37" s="4189" t="n"/>
      <c r="Z37" s="4364" t="n"/>
      <c r="AA37" s="4110" t="n"/>
      <c r="AB37" s="4111" t="n"/>
      <c r="AC37" s="4327" t="n"/>
      <c r="AD37" s="4110" t="n"/>
      <c r="AE37" s="4189" t="n"/>
      <c r="AF37" s="4365" t="n"/>
      <c r="AG37" s="4110" t="n"/>
      <c r="AH37" s="4113" t="n"/>
    </row>
    <row r="38" ht="14.1" customHeight="1" s="4080" thickBot="1">
      <c r="A38" s="4097" t="n"/>
      <c r="B38" s="4107" t="n"/>
      <c r="C38" s="4325" t="inlineStr">
        <is>
          <t>常勤換算後の人数（人）</t>
        </is>
      </c>
      <c r="D38" s="4098" t="n"/>
      <c r="E38" s="4098" t="n"/>
      <c r="F38" s="4098" t="n"/>
      <c r="G38" s="4098" t="n"/>
      <c r="H38" s="4098" t="n"/>
      <c r="I38" s="4098" t="n"/>
      <c r="J38" s="4099" t="n"/>
      <c r="K38" s="4366" t="n"/>
      <c r="L38" s="4098" t="n"/>
      <c r="M38" s="4098" t="n"/>
      <c r="N38" s="4098" t="n"/>
      <c r="O38" s="4098" t="n"/>
      <c r="P38" s="4099" t="n"/>
      <c r="Q38" s="4366" t="n"/>
      <c r="R38" s="4098" t="n"/>
      <c r="S38" s="4098" t="n"/>
      <c r="T38" s="4098" t="n"/>
      <c r="U38" s="4098" t="n"/>
      <c r="V38" s="4099" t="n"/>
      <c r="W38" s="4366" t="n"/>
      <c r="X38" s="4098" t="n"/>
      <c r="Y38" s="4098" t="n"/>
      <c r="Z38" s="4098" t="n"/>
      <c r="AA38" s="4098" t="n"/>
      <c r="AB38" s="4099" t="n"/>
      <c r="AC38" s="4367" t="n"/>
      <c r="AD38" s="4098" t="n"/>
      <c r="AE38" s="4098" t="n"/>
      <c r="AF38" s="4098" t="n"/>
      <c r="AG38" s="4098" t="n"/>
      <c r="AH38" s="4101" t="n"/>
    </row>
    <row r="39" ht="14.1" customHeight="1" s="4080" thickTop="1">
      <c r="A39" s="4097" t="n"/>
      <c r="B39" s="4107" t="n"/>
      <c r="C39" s="4368" t="inlineStr">
        <is>
          <t xml:space="preserve">　　　　　　　　　職種・勤務形態
常勤・非常勤の別</t>
        </is>
      </c>
      <c r="D39" s="4369" t="n"/>
      <c r="E39" s="4369" t="n"/>
      <c r="F39" s="4369" t="n"/>
      <c r="G39" s="4369" t="n"/>
      <c r="H39" s="4369" t="n"/>
      <c r="I39" s="4369" t="n"/>
      <c r="J39" s="4370" t="n"/>
      <c r="K39" s="4371" t="inlineStr">
        <is>
          <t>看　　　　　護　　　　　職　　　　　員</t>
        </is>
      </c>
      <c r="L39" s="4372" t="n"/>
      <c r="M39" s="4372" t="n"/>
      <c r="N39" s="4372" t="n"/>
      <c r="O39" s="4372" t="n"/>
      <c r="P39" s="4372" t="n"/>
      <c r="Q39" s="4372" t="n"/>
      <c r="R39" s="4372" t="n"/>
      <c r="S39" s="4372" t="n"/>
      <c r="T39" s="4372" t="n"/>
      <c r="U39" s="4372" t="n"/>
      <c r="V39" s="4372" t="n"/>
      <c r="W39" s="4372" t="n"/>
      <c r="X39" s="4372" t="n"/>
      <c r="Y39" s="4372" t="n"/>
      <c r="Z39" s="4372" t="n"/>
      <c r="AA39" s="4372" t="n"/>
      <c r="AB39" s="4372" t="n"/>
      <c r="AC39" s="4372" t="n"/>
      <c r="AD39" s="4372" t="n"/>
      <c r="AE39" s="4372" t="n"/>
      <c r="AF39" s="4372" t="n"/>
      <c r="AG39" s="4372" t="n"/>
      <c r="AH39" s="4373" t="n"/>
    </row>
    <row r="40" ht="14.1" customHeight="1" s="4080">
      <c r="A40" s="4097" t="n"/>
      <c r="B40" s="4107" t="n"/>
      <c r="C40" s="4106" t="n"/>
      <c r="J40" s="4107" t="n"/>
      <c r="K40" s="4374" t="inlineStr">
        <is>
          <t>保　健　師</t>
        </is>
      </c>
      <c r="L40" s="4110" t="n"/>
      <c r="M40" s="4110" t="n"/>
      <c r="N40" s="4110" t="n"/>
      <c r="O40" s="4110" t="n"/>
      <c r="P40" s="4111" t="n"/>
      <c r="Q40" s="4374" t="inlineStr">
        <is>
          <t>看　護　師</t>
        </is>
      </c>
      <c r="R40" s="4110" t="n"/>
      <c r="S40" s="4110" t="n"/>
      <c r="T40" s="4110" t="n"/>
      <c r="U40" s="4110" t="n"/>
      <c r="V40" s="4111" t="n"/>
      <c r="W40" s="4375" t="inlineStr">
        <is>
          <t>准看護師</t>
        </is>
      </c>
      <c r="X40" s="4110" t="n"/>
      <c r="Y40" s="4110" t="n"/>
      <c r="Z40" s="4110" t="n"/>
      <c r="AA40" s="4110" t="n"/>
      <c r="AB40" s="4110" t="n"/>
      <c r="AC40" s="4376" t="inlineStr">
        <is>
          <t>看護職員計</t>
        </is>
      </c>
      <c r="AD40" s="4110" t="n"/>
      <c r="AE40" s="4110" t="n"/>
      <c r="AF40" s="4110" t="n"/>
      <c r="AG40" s="4110" t="n"/>
      <c r="AH40" s="4113" t="n"/>
    </row>
    <row r="41" ht="14.1" customHeight="1" s="4080">
      <c r="A41" s="4097" t="n"/>
      <c r="B41" s="4107" t="n"/>
      <c r="C41" s="4102" t="n"/>
      <c r="D41" s="4103" t="n"/>
      <c r="E41" s="4103" t="n"/>
      <c r="F41" s="4103" t="n"/>
      <c r="G41" s="4103" t="n"/>
      <c r="H41" s="4103" t="n"/>
      <c r="I41" s="4103" t="n"/>
      <c r="J41" s="4104" t="n"/>
      <c r="K41" s="4377" t="inlineStr">
        <is>
          <t>専従</t>
        </is>
      </c>
      <c r="L41" s="4110" t="n"/>
      <c r="M41" s="4189" t="n"/>
      <c r="N41" s="4378" t="inlineStr">
        <is>
          <t>兼務</t>
        </is>
      </c>
      <c r="O41" s="4110" t="n"/>
      <c r="P41" s="4111" t="n"/>
      <c r="Q41" s="4377" t="inlineStr">
        <is>
          <t>専従</t>
        </is>
      </c>
      <c r="R41" s="4110" t="n"/>
      <c r="S41" s="4189" t="n"/>
      <c r="T41" s="4378" t="inlineStr">
        <is>
          <t>兼務</t>
        </is>
      </c>
      <c r="U41" s="4110" t="n"/>
      <c r="V41" s="4111" t="n"/>
      <c r="W41" s="4377" t="inlineStr">
        <is>
          <t>専従</t>
        </is>
      </c>
      <c r="X41" s="4110" t="n"/>
      <c r="Y41" s="4189" t="n"/>
      <c r="Z41" s="4378" t="inlineStr">
        <is>
          <t>兼務</t>
        </is>
      </c>
      <c r="AA41" s="4110" t="n"/>
      <c r="AB41" s="4111" t="n"/>
      <c r="AC41" s="4379" t="inlineStr">
        <is>
          <t>専従</t>
        </is>
      </c>
      <c r="AD41" s="4103" t="n"/>
      <c r="AE41" s="4193" t="n"/>
      <c r="AF41" s="4380" t="inlineStr">
        <is>
          <t>兼務</t>
        </is>
      </c>
      <c r="AG41" s="4103" t="n"/>
      <c r="AH41" s="4105" t="n"/>
    </row>
    <row r="42" ht="14.1" customHeight="1" s="4080">
      <c r="A42" s="4097" t="n"/>
      <c r="B42" s="4107" t="n"/>
      <c r="C42" s="4185" t="inlineStr">
        <is>
          <t>常　　　　　勤（人）</t>
        </is>
      </c>
      <c r="D42" s="4110" t="n"/>
      <c r="E42" s="4110" t="n"/>
      <c r="F42" s="4110" t="n"/>
      <c r="G42" s="4110" t="n"/>
      <c r="H42" s="4110" t="n"/>
      <c r="I42" s="4110" t="n"/>
      <c r="J42" s="4111" t="n"/>
      <c r="K42" s="4327" t="n"/>
      <c r="L42" s="4110" t="n"/>
      <c r="M42" s="4189" t="n"/>
      <c r="N42" s="4364" t="n"/>
      <c r="O42" s="4110" t="n"/>
      <c r="P42" s="4111" t="n"/>
      <c r="Q42" s="4327" t="n"/>
      <c r="R42" s="4110" t="n"/>
      <c r="S42" s="4189" t="n"/>
      <c r="T42" s="4364" t="n"/>
      <c r="U42" s="4110" t="n"/>
      <c r="V42" s="4111" t="n"/>
      <c r="W42" s="4327" t="n"/>
      <c r="X42" s="4110" t="n"/>
      <c r="Y42" s="4189" t="n"/>
      <c r="Z42" s="4364" t="n"/>
      <c r="AA42" s="4110" t="n"/>
      <c r="AB42" s="4111" t="n"/>
      <c r="AC42" s="4327">
        <f>+W42+Q42+K42</f>
        <v/>
      </c>
      <c r="AD42" s="4110" t="n"/>
      <c r="AE42" s="4189" t="n"/>
      <c r="AF42" s="4365">
        <f>+Z42+T42+N42</f>
        <v/>
      </c>
      <c r="AG42" s="4110" t="n"/>
      <c r="AH42" s="4113" t="n"/>
    </row>
    <row r="43" ht="14.1" customHeight="1" s="4080">
      <c r="A43" s="4097" t="n"/>
      <c r="B43" s="4107" t="n"/>
      <c r="C43" s="4185" t="inlineStr">
        <is>
          <t>非　　常　　勤（人）</t>
        </is>
      </c>
      <c r="D43" s="4110" t="n"/>
      <c r="E43" s="4110" t="n"/>
      <c r="F43" s="4110" t="n"/>
      <c r="G43" s="4110" t="n"/>
      <c r="H43" s="4110" t="n"/>
      <c r="I43" s="4110" t="n"/>
      <c r="J43" s="4111" t="n"/>
      <c r="K43" s="4327" t="n"/>
      <c r="L43" s="4110" t="n"/>
      <c r="M43" s="4189" t="n"/>
      <c r="N43" s="4364" t="n"/>
      <c r="O43" s="4110" t="n"/>
      <c r="P43" s="4111" t="n"/>
      <c r="Q43" s="4327" t="n"/>
      <c r="R43" s="4110" t="n"/>
      <c r="S43" s="4189" t="n"/>
      <c r="T43" s="4364" t="n"/>
      <c r="U43" s="4110" t="n"/>
      <c r="V43" s="4111" t="n"/>
      <c r="W43" s="4327" t="n"/>
      <c r="X43" s="4110" t="n"/>
      <c r="Y43" s="4189" t="n"/>
      <c r="Z43" s="4364" t="n"/>
      <c r="AA43" s="4110" t="n"/>
      <c r="AB43" s="4111" t="n"/>
      <c r="AC43" s="4327">
        <f>+W43+Q43+K43</f>
        <v/>
      </c>
      <c r="AD43" s="4110" t="n"/>
      <c r="AE43" s="4189" t="n"/>
      <c r="AF43" s="4365">
        <f>+Z43+T43+N43</f>
        <v/>
      </c>
      <c r="AG43" s="4110" t="n"/>
      <c r="AH43" s="4113" t="n"/>
    </row>
    <row r="44" ht="14.1" customHeight="1" s="4080" thickBot="1">
      <c r="A44" s="4097" t="n"/>
      <c r="B44" s="4107" t="n"/>
      <c r="C44" s="1282" t="inlineStr">
        <is>
          <t>常勤換算後の人数（人）</t>
        </is>
      </c>
      <c r="D44" s="4098" t="n"/>
      <c r="E44" s="4098" t="n"/>
      <c r="F44" s="4098" t="n"/>
      <c r="G44" s="4098" t="n"/>
      <c r="H44" s="4098" t="n"/>
      <c r="I44" s="4098" t="n"/>
      <c r="J44" s="4099" t="n"/>
      <c r="K44" s="4366" t="n"/>
      <c r="L44" s="4098" t="n"/>
      <c r="M44" s="4098" t="n"/>
      <c r="N44" s="4098" t="n"/>
      <c r="O44" s="4098" t="n"/>
      <c r="P44" s="4099" t="n"/>
      <c r="Q44" s="4366" t="n"/>
      <c r="R44" s="4098" t="n"/>
      <c r="S44" s="4098" t="n"/>
      <c r="T44" s="4098" t="n"/>
      <c r="U44" s="4098" t="n"/>
      <c r="V44" s="4099" t="n"/>
      <c r="W44" s="4366" t="n"/>
      <c r="X44" s="4098" t="n"/>
      <c r="Y44" s="4098" t="n"/>
      <c r="Z44" s="4098" t="n"/>
      <c r="AA44" s="4098" t="n"/>
      <c r="AB44" s="4099" t="n"/>
      <c r="AC44" s="4367">
        <f>+W44+Q44+K44</f>
        <v/>
      </c>
      <c r="AD44" s="4098" t="n"/>
      <c r="AE44" s="4098" t="n"/>
      <c r="AF44" s="4098" t="n"/>
      <c r="AG44" s="4098" t="n"/>
      <c r="AH44" s="4101" t="n"/>
    </row>
    <row r="45" ht="14.1" customHeight="1" s="4080" thickTop="1">
      <c r="A45" s="4097" t="n"/>
      <c r="B45" s="4107" t="n"/>
      <c r="C45" s="4368" t="inlineStr">
        <is>
          <t xml:space="preserve">　　　　　　　　　職種・勤務形態
常勤・非常勤の別</t>
        </is>
      </c>
      <c r="D45" s="4369" t="n"/>
      <c r="E45" s="4369" t="n"/>
      <c r="F45" s="4369" t="n"/>
      <c r="G45" s="4369" t="n"/>
      <c r="H45" s="4369" t="n"/>
      <c r="I45" s="4369" t="n"/>
      <c r="J45" s="4370" t="n"/>
      <c r="K45" s="4371" t="inlineStr">
        <is>
          <t>理　　　　学　　　　療　　　　法　　　　士　　　　等</t>
        </is>
      </c>
      <c r="L45" s="4372" t="n"/>
      <c r="M45" s="4372" t="n"/>
      <c r="N45" s="4372" t="n"/>
      <c r="O45" s="4372" t="n"/>
      <c r="P45" s="4372" t="n"/>
      <c r="Q45" s="4372" t="n"/>
      <c r="R45" s="4372" t="n"/>
      <c r="S45" s="4372" t="n"/>
      <c r="T45" s="4372" t="n"/>
      <c r="U45" s="4372" t="n"/>
      <c r="V45" s="4372" t="n"/>
      <c r="W45" s="4372" t="n"/>
      <c r="X45" s="4372" t="n"/>
      <c r="Y45" s="4372" t="n"/>
      <c r="Z45" s="4372" t="n"/>
      <c r="AA45" s="4372" t="n"/>
      <c r="AB45" s="4372" t="n"/>
      <c r="AC45" s="4372" t="n"/>
      <c r="AD45" s="4372" t="n"/>
      <c r="AE45" s="4372" t="n"/>
      <c r="AF45" s="4372" t="n"/>
      <c r="AG45" s="4372" t="n"/>
      <c r="AH45" s="4373" t="n"/>
    </row>
    <row r="46" ht="14.1" customHeight="1" s="4080">
      <c r="A46" s="4097" t="n"/>
      <c r="B46" s="4107" t="n"/>
      <c r="C46" s="4106" t="n"/>
      <c r="J46" s="4107" t="n"/>
      <c r="K46" s="4381" t="inlineStr">
        <is>
          <t>理学療法士</t>
        </is>
      </c>
      <c r="L46" s="4110" t="n"/>
      <c r="M46" s="4110" t="n"/>
      <c r="N46" s="4110" t="n"/>
      <c r="O46" s="4110" t="n"/>
      <c r="P46" s="4111" t="n"/>
      <c r="Q46" s="4381" t="inlineStr">
        <is>
          <t>作業療法士</t>
        </is>
      </c>
      <c r="R46" s="4110" t="n"/>
      <c r="S46" s="4110" t="n"/>
      <c r="T46" s="4110" t="n"/>
      <c r="U46" s="4110" t="n"/>
      <c r="V46" s="4111" t="n"/>
      <c r="W46" s="4382" t="inlineStr">
        <is>
          <t>機能訓練指導員</t>
        </is>
      </c>
      <c r="X46" s="4110" t="n"/>
      <c r="Y46" s="4110" t="n"/>
      <c r="Z46" s="4110" t="n"/>
      <c r="AA46" s="4110" t="n"/>
      <c r="AB46" s="4110" t="n"/>
      <c r="AC46" s="4383" t="inlineStr">
        <is>
          <t>理学療法士等計</t>
        </is>
      </c>
      <c r="AD46" s="4110" t="n"/>
      <c r="AE46" s="4110" t="n"/>
      <c r="AF46" s="4110" t="n"/>
      <c r="AG46" s="4110" t="n"/>
      <c r="AH46" s="4113" t="n"/>
    </row>
    <row r="47" ht="14.1" customHeight="1" s="4080">
      <c r="A47" s="4097" t="n"/>
      <c r="B47" s="4107" t="n"/>
      <c r="C47" s="4102" t="n"/>
      <c r="D47" s="4103" t="n"/>
      <c r="E47" s="4103" t="n"/>
      <c r="F47" s="4103" t="n"/>
      <c r="G47" s="4103" t="n"/>
      <c r="H47" s="4103" t="n"/>
      <c r="I47" s="4103" t="n"/>
      <c r="J47" s="4104" t="n"/>
      <c r="K47" s="4377" t="inlineStr">
        <is>
          <t>専従</t>
        </is>
      </c>
      <c r="L47" s="4110" t="n"/>
      <c r="M47" s="4189" t="n"/>
      <c r="N47" s="4384" t="inlineStr">
        <is>
          <t>兼務</t>
        </is>
      </c>
      <c r="O47" s="4110" t="n"/>
      <c r="P47" s="4189" t="n"/>
      <c r="Q47" s="4377" t="inlineStr">
        <is>
          <t>専従</t>
        </is>
      </c>
      <c r="R47" s="4110" t="n"/>
      <c r="S47" s="4189" t="n"/>
      <c r="T47" s="4384" t="inlineStr">
        <is>
          <t>兼務</t>
        </is>
      </c>
      <c r="U47" s="4110" t="n"/>
      <c r="V47" s="4189" t="n"/>
      <c r="W47" s="4377" t="inlineStr">
        <is>
          <t>専従</t>
        </is>
      </c>
      <c r="X47" s="4110" t="n"/>
      <c r="Y47" s="4189" t="n"/>
      <c r="Z47" s="4384" t="inlineStr">
        <is>
          <t>兼務</t>
        </is>
      </c>
      <c r="AA47" s="4110" t="n"/>
      <c r="AB47" s="4189" t="n"/>
      <c r="AC47" s="4379" t="inlineStr">
        <is>
          <t>専従</t>
        </is>
      </c>
      <c r="AD47" s="4103" t="n"/>
      <c r="AE47" s="4193" t="n"/>
      <c r="AF47" s="4385" t="inlineStr">
        <is>
          <t>兼務</t>
        </is>
      </c>
      <c r="AG47" s="4103" t="n"/>
      <c r="AH47" s="4193" t="n"/>
    </row>
    <row r="48" ht="14.1" customHeight="1" s="4080">
      <c r="A48" s="4097" t="n"/>
      <c r="B48" s="4107" t="n"/>
      <c r="C48" s="4185" t="inlineStr">
        <is>
          <t>常　　　　　勤（人）</t>
        </is>
      </c>
      <c r="D48" s="4110" t="n"/>
      <c r="E48" s="4110" t="n"/>
      <c r="F48" s="4110" t="n"/>
      <c r="G48" s="4110" t="n"/>
      <c r="H48" s="4110" t="n"/>
      <c r="I48" s="4110" t="n"/>
      <c r="J48" s="4111" t="n"/>
      <c r="K48" s="4327" t="n"/>
      <c r="L48" s="4110" t="n"/>
      <c r="M48" s="4189" t="n"/>
      <c r="N48" s="4328" t="n"/>
      <c r="O48" s="4110" t="n"/>
      <c r="P48" s="4189" t="n"/>
      <c r="Q48" s="4327" t="n"/>
      <c r="R48" s="4110" t="n"/>
      <c r="S48" s="4189" t="n"/>
      <c r="T48" s="4328" t="n"/>
      <c r="U48" s="4110" t="n"/>
      <c r="V48" s="4189" t="n"/>
      <c r="W48" s="4327" t="n"/>
      <c r="X48" s="4110" t="n"/>
      <c r="Y48" s="4189" t="n"/>
      <c r="Z48" s="4328" t="n"/>
      <c r="AA48" s="4110" t="n"/>
      <c r="AB48" s="4189" t="n"/>
      <c r="AC48" s="4327">
        <f>+W48+Q48+K48</f>
        <v/>
      </c>
      <c r="AD48" s="4110" t="n"/>
      <c r="AE48" s="4189" t="n"/>
      <c r="AF48" s="4365">
        <f>+Z48+T48+N48</f>
        <v/>
      </c>
      <c r="AG48" s="4110" t="n"/>
      <c r="AH48" s="4113" t="n"/>
    </row>
    <row r="49" ht="14.1" customHeight="1" s="4080">
      <c r="A49" s="4097" t="n"/>
      <c r="B49" s="4107" t="n"/>
      <c r="C49" s="4329" t="inlineStr">
        <is>
          <t>非　　常　　勤（人）</t>
        </is>
      </c>
      <c r="D49" s="4103" t="n"/>
      <c r="E49" s="4103" t="n"/>
      <c r="F49" s="4103" t="n"/>
      <c r="G49" s="4103" t="n"/>
      <c r="H49" s="4103" t="n"/>
      <c r="I49" s="4103" t="n"/>
      <c r="J49" s="4104" t="n"/>
      <c r="K49" s="4327" t="n"/>
      <c r="L49" s="4110" t="n"/>
      <c r="M49" s="4189" t="n"/>
      <c r="N49" s="4328" t="n"/>
      <c r="O49" s="4110" t="n"/>
      <c r="P49" s="4189" t="n"/>
      <c r="Q49" s="4327" t="n"/>
      <c r="R49" s="4110" t="n"/>
      <c r="S49" s="4189" t="n"/>
      <c r="T49" s="4328" t="n"/>
      <c r="U49" s="4110" t="n"/>
      <c r="V49" s="4189" t="n"/>
      <c r="W49" s="4327" t="n"/>
      <c r="X49" s="4110" t="n"/>
      <c r="Y49" s="4189" t="n"/>
      <c r="Z49" s="4328" t="n"/>
      <c r="AA49" s="4110" t="n"/>
      <c r="AB49" s="4189" t="n"/>
      <c r="AC49" s="4327">
        <f>+W49+Q49+K49</f>
        <v/>
      </c>
      <c r="AD49" s="4110" t="n"/>
      <c r="AE49" s="4189" t="n"/>
      <c r="AF49" s="4365">
        <f>+Z49+T49+N49</f>
        <v/>
      </c>
      <c r="AG49" s="4110" t="n"/>
      <c r="AH49" s="4113" t="n"/>
    </row>
    <row r="50" ht="14.1" customHeight="1" s="4080" thickBot="1">
      <c r="A50" s="4097" t="n"/>
      <c r="B50" s="4107" t="n"/>
      <c r="C50" s="1282" t="inlineStr">
        <is>
          <t>常勤換算後の人数（人）</t>
        </is>
      </c>
      <c r="D50" s="4098" t="n"/>
      <c r="E50" s="4098" t="n"/>
      <c r="F50" s="4098" t="n"/>
      <c r="G50" s="4098" t="n"/>
      <c r="H50" s="4098" t="n"/>
      <c r="I50" s="4098" t="n"/>
      <c r="J50" s="4099" t="n"/>
      <c r="K50" s="4366" t="n"/>
      <c r="L50" s="4098" t="n"/>
      <c r="M50" s="4098" t="n"/>
      <c r="N50" s="4098" t="n"/>
      <c r="O50" s="4098" t="n"/>
      <c r="P50" s="4099" t="n"/>
      <c r="Q50" s="4366" t="n"/>
      <c r="R50" s="4098" t="n"/>
      <c r="S50" s="4098" t="n"/>
      <c r="T50" s="4098" t="n"/>
      <c r="U50" s="4098" t="n"/>
      <c r="V50" s="4099" t="n"/>
      <c r="W50" s="4366" t="n"/>
      <c r="X50" s="4098" t="n"/>
      <c r="Y50" s="4098" t="n"/>
      <c r="Z50" s="4098" t="n"/>
      <c r="AA50" s="4098" t="n"/>
      <c r="AB50" s="4099" t="n"/>
      <c r="AC50" s="4367">
        <f>+W50+Q50+K50</f>
        <v/>
      </c>
      <c r="AD50" s="4098" t="n"/>
      <c r="AE50" s="4098" t="n"/>
      <c r="AF50" s="4098" t="n"/>
      <c r="AG50" s="4098" t="n"/>
      <c r="AH50" s="4101" t="n"/>
    </row>
    <row r="51" ht="15" customHeight="1" s="4080" thickTop="1">
      <c r="A51" s="4097" t="n"/>
      <c r="B51" s="4107" t="n"/>
      <c r="C51" s="4386" t="inlineStr">
        <is>
          <t xml:space="preserve">　　　　　　職種・勤務形態
常勤・非常勤の別</t>
        </is>
      </c>
      <c r="D51" s="4369" t="n"/>
      <c r="E51" s="4369" t="n"/>
      <c r="F51" s="4369" t="n"/>
      <c r="G51" s="4369" t="n"/>
      <c r="H51" s="4369" t="n"/>
      <c r="I51" s="4369" t="n"/>
      <c r="J51" s="4370" t="n"/>
      <c r="K51" s="4387" t="n"/>
      <c r="L51" s="4372" t="n"/>
      <c r="M51" s="4372" t="n"/>
      <c r="N51" s="4372" t="n"/>
      <c r="O51" s="4372" t="n"/>
      <c r="P51" s="4388" t="n"/>
      <c r="Q51" s="4389" t="n"/>
      <c r="R51" s="4369" t="n"/>
      <c r="S51" s="4369" t="n"/>
      <c r="T51" s="4369" t="n"/>
      <c r="U51" s="4369" t="n"/>
      <c r="V51" s="4370" t="n"/>
      <c r="W51" s="4389" t="n"/>
      <c r="X51" s="4369" t="n"/>
      <c r="Y51" s="4369" t="n"/>
      <c r="Z51" s="4369" t="n"/>
      <c r="AA51" s="4369" t="n"/>
      <c r="AB51" s="4370" t="n"/>
      <c r="AC51" s="4390" t="n"/>
      <c r="AD51" s="4369" t="n"/>
      <c r="AE51" s="4369" t="n"/>
      <c r="AF51" s="4369" t="n"/>
      <c r="AG51" s="4369" t="n"/>
      <c r="AH51" s="4391" t="n"/>
    </row>
    <row r="52" ht="15" customHeight="1" s="4080">
      <c r="A52" s="4097" t="n"/>
      <c r="B52" s="4107" t="n"/>
      <c r="C52" s="4102" t="n"/>
      <c r="D52" s="4103" t="n"/>
      <c r="E52" s="4103" t="n"/>
      <c r="F52" s="4103" t="n"/>
      <c r="G52" s="4103" t="n"/>
      <c r="H52" s="4103" t="n"/>
      <c r="I52" s="4103" t="n"/>
      <c r="J52" s="4104" t="n"/>
      <c r="K52" s="4377" t="inlineStr">
        <is>
          <t>専従</t>
        </is>
      </c>
      <c r="L52" s="4110" t="n"/>
      <c r="M52" s="4189" t="n"/>
      <c r="N52" s="4384" t="inlineStr">
        <is>
          <t>兼務</t>
        </is>
      </c>
      <c r="O52" s="4110" t="n"/>
      <c r="P52" s="4189" t="n"/>
      <c r="Q52" s="4377" t="inlineStr">
        <is>
          <t>専従</t>
        </is>
      </c>
      <c r="R52" s="4110" t="n"/>
      <c r="S52" s="4189" t="n"/>
      <c r="T52" s="4384" t="inlineStr">
        <is>
          <t>兼務</t>
        </is>
      </c>
      <c r="U52" s="4110" t="n"/>
      <c r="V52" s="4189" t="n"/>
      <c r="W52" s="4377" t="inlineStr">
        <is>
          <t>専従</t>
        </is>
      </c>
      <c r="X52" s="4110" t="n"/>
      <c r="Y52" s="4189" t="n"/>
      <c r="Z52" s="4384" t="inlineStr">
        <is>
          <t>兼務</t>
        </is>
      </c>
      <c r="AA52" s="4110" t="n"/>
      <c r="AB52" s="4189" t="n"/>
      <c r="AC52" s="4377" t="inlineStr">
        <is>
          <t>専従</t>
        </is>
      </c>
      <c r="AD52" s="4110" t="n"/>
      <c r="AE52" s="4189" t="n"/>
      <c r="AF52" s="4384" t="inlineStr">
        <is>
          <t>兼務</t>
        </is>
      </c>
      <c r="AG52" s="4110" t="n"/>
      <c r="AH52" s="4189" t="n"/>
    </row>
    <row r="53" ht="14.1" customHeight="1" s="4080">
      <c r="A53" s="4097" t="n"/>
      <c r="B53" s="4107" t="n"/>
      <c r="C53" s="4185" t="inlineStr">
        <is>
          <t>常　　　　　勤（人）</t>
        </is>
      </c>
      <c r="D53" s="4110" t="n"/>
      <c r="E53" s="4110" t="n"/>
      <c r="F53" s="4110" t="n"/>
      <c r="G53" s="4110" t="n"/>
      <c r="H53" s="4110" t="n"/>
      <c r="I53" s="4110" t="n"/>
      <c r="J53" s="4111" t="n"/>
      <c r="K53" s="4327" t="n"/>
      <c r="L53" s="4110" t="n"/>
      <c r="M53" s="4189" t="n"/>
      <c r="N53" s="4328" t="n"/>
      <c r="O53" s="4110" t="n"/>
      <c r="P53" s="4189" t="n"/>
      <c r="Q53" s="4327" t="n"/>
      <c r="R53" s="4110" t="n"/>
      <c r="S53" s="4189" t="n"/>
      <c r="T53" s="4328" t="n"/>
      <c r="U53" s="4110" t="n"/>
      <c r="V53" s="4189" t="n"/>
      <c r="W53" s="4327" t="n"/>
      <c r="X53" s="4110" t="n"/>
      <c r="Y53" s="4189" t="n"/>
      <c r="Z53" s="4328" t="n"/>
      <c r="AA53" s="4110" t="n"/>
      <c r="AB53" s="4189" t="n"/>
      <c r="AC53" s="4327" t="n"/>
      <c r="AD53" s="4110" t="n"/>
      <c r="AE53" s="4189" t="n"/>
      <c r="AF53" s="4328" t="n"/>
      <c r="AG53" s="4110" t="n"/>
      <c r="AH53" s="4189" t="n"/>
    </row>
    <row r="54" ht="14.1" customHeight="1" s="4080">
      <c r="A54" s="4097" t="n"/>
      <c r="B54" s="4107" t="n"/>
      <c r="C54" s="4329" t="inlineStr">
        <is>
          <t>非　　常　　勤（人）</t>
        </is>
      </c>
      <c r="D54" s="4103" t="n"/>
      <c r="E54" s="4103" t="n"/>
      <c r="F54" s="4103" t="n"/>
      <c r="G54" s="4103" t="n"/>
      <c r="H54" s="4103" t="n"/>
      <c r="I54" s="4103" t="n"/>
      <c r="J54" s="4104" t="n"/>
      <c r="K54" s="4327" t="n"/>
      <c r="L54" s="4110" t="n"/>
      <c r="M54" s="4189" t="n"/>
      <c r="N54" s="4328" t="n"/>
      <c r="O54" s="4110" t="n"/>
      <c r="P54" s="4189" t="n"/>
      <c r="Q54" s="4327" t="n"/>
      <c r="R54" s="4110" t="n"/>
      <c r="S54" s="4189" t="n"/>
      <c r="T54" s="4328" t="n"/>
      <c r="U54" s="4110" t="n"/>
      <c r="V54" s="4189" t="n"/>
      <c r="W54" s="4327" t="n"/>
      <c r="X54" s="4110" t="n"/>
      <c r="Y54" s="4189" t="n"/>
      <c r="Z54" s="4328" t="n"/>
      <c r="AA54" s="4110" t="n"/>
      <c r="AB54" s="4189" t="n"/>
      <c r="AC54" s="4327" t="n"/>
      <c r="AD54" s="4110" t="n"/>
      <c r="AE54" s="4189" t="n"/>
      <c r="AF54" s="4328" t="n"/>
      <c r="AG54" s="4110" t="n"/>
      <c r="AH54" s="4189" t="n"/>
    </row>
    <row r="55" ht="14.1" customHeight="1" s="4080">
      <c r="A55" s="4097" t="n"/>
      <c r="B55" s="4107" t="n"/>
      <c r="C55" s="1282" t="inlineStr">
        <is>
          <t>常勤換算後の人数（人）</t>
        </is>
      </c>
      <c r="D55" s="4098" t="n"/>
      <c r="E55" s="4098" t="n"/>
      <c r="F55" s="4098" t="n"/>
      <c r="G55" s="4098" t="n"/>
      <c r="H55" s="4098" t="n"/>
      <c r="I55" s="4098" t="n"/>
      <c r="J55" s="4099" t="n"/>
      <c r="K55" s="4366" t="n"/>
      <c r="L55" s="4098" t="n"/>
      <c r="M55" s="4098" t="n"/>
      <c r="N55" s="4098" t="n"/>
      <c r="O55" s="4098" t="n"/>
      <c r="P55" s="4099" t="n"/>
      <c r="Q55" s="4366" t="n"/>
      <c r="R55" s="4098" t="n"/>
      <c r="S55" s="4098" t="n"/>
      <c r="T55" s="4098" t="n"/>
      <c r="U55" s="4098" t="n"/>
      <c r="V55" s="4099" t="n"/>
      <c r="W55" s="4366" t="n"/>
      <c r="X55" s="4098" t="n"/>
      <c r="Y55" s="4098" t="n"/>
      <c r="Z55" s="4098" t="n"/>
      <c r="AA55" s="4098" t="n"/>
      <c r="AB55" s="4099" t="n"/>
      <c r="AC55" s="4367" t="n"/>
      <c r="AD55" s="4098" t="n"/>
      <c r="AE55" s="4098" t="n"/>
      <c r="AF55" s="4098" t="n"/>
      <c r="AG55" s="4098" t="n"/>
      <c r="AH55" s="4101" t="n"/>
    </row>
    <row r="56" ht="3.95" customHeight="1" s="4080">
      <c r="A56" s="3061" t="n"/>
      <c r="B56" s="4098" t="n"/>
      <c r="C56" s="4098" t="n"/>
      <c r="D56" s="4098" t="n"/>
      <c r="E56" s="4098" t="n"/>
      <c r="F56" s="4098" t="n"/>
      <c r="G56" s="4098" t="n"/>
      <c r="H56" s="4098" t="n"/>
      <c r="I56" s="4098" t="n"/>
      <c r="J56" s="4099" t="n"/>
      <c r="K56" s="4332" t="n"/>
      <c r="L56" s="4333" t="n"/>
      <c r="M56" s="4333" t="n"/>
      <c r="N56" s="4333" t="n"/>
      <c r="O56" s="4333" t="n"/>
      <c r="P56" s="4392" t="n"/>
      <c r="Q56" s="4393" t="inlineStr">
        <is>
          <t>短期入所の利用定員</t>
        </is>
      </c>
      <c r="R56" s="4098" t="n"/>
      <c r="S56" s="4098" t="n"/>
      <c r="T56" s="4098" t="n"/>
      <c r="U56" s="4098" t="n"/>
      <c r="V56" s="4099" t="n"/>
      <c r="W56" s="4394" t="n"/>
      <c r="X56" s="4098" t="n"/>
      <c r="Y56" s="4395" t="inlineStr">
        <is>
          <t>名</t>
        </is>
      </c>
      <c r="Z56" s="4396" t="n"/>
      <c r="AA56" s="4098" t="n"/>
      <c r="AB56" s="4098" t="n"/>
      <c r="AC56" s="4098" t="n"/>
      <c r="AD56" s="4098" t="n"/>
      <c r="AE56" s="4098" t="n"/>
      <c r="AF56" s="4098" t="n"/>
      <c r="AG56" s="4098" t="n"/>
      <c r="AH56" s="4101" t="n"/>
    </row>
    <row r="57" ht="16.5" customHeight="1" s="4080">
      <c r="A57" s="4338" t="inlineStr">
        <is>
          <t>短期入所の実施の有無</t>
        </is>
      </c>
      <c r="J57" s="4107" t="n"/>
      <c r="K57" s="4339" t="n"/>
      <c r="L57" s="4340" t="inlineStr">
        <is>
          <t>無</t>
        </is>
      </c>
      <c r="M57" s="4340" t="inlineStr">
        <is>
          <t>・</t>
        </is>
      </c>
      <c r="O57" s="4340" t="inlineStr">
        <is>
          <t>有</t>
        </is>
      </c>
      <c r="P57" s="4397" t="n"/>
      <c r="Q57" s="4106" t="n"/>
      <c r="V57" s="4107" t="n"/>
      <c r="W57" s="4106" t="n"/>
      <c r="Y57" s="4107" t="n"/>
      <c r="Z57" s="4106" t="n"/>
      <c r="AH57" s="4109" t="n"/>
    </row>
    <row r="58" ht="5.25" customHeight="1" s="4080">
      <c r="A58" s="2296" t="n"/>
      <c r="B58" s="2321" t="n"/>
      <c r="C58" s="2321" t="n"/>
      <c r="D58" s="2321" t="n"/>
      <c r="E58" s="2321" t="n"/>
      <c r="F58" s="2321" t="n"/>
      <c r="G58" s="2321" t="n"/>
      <c r="H58" s="2321" t="n"/>
      <c r="I58" s="2321" t="n"/>
      <c r="J58" s="1450" t="n"/>
      <c r="K58" s="4343" t="n"/>
      <c r="L58" s="4344" t="n"/>
      <c r="M58" s="4344" t="n"/>
      <c r="N58" s="4344" t="n"/>
      <c r="O58" s="4344" t="n"/>
      <c r="P58" s="4398" t="n"/>
      <c r="Q58" s="4102" t="n"/>
      <c r="R58" s="4103" t="n"/>
      <c r="S58" s="4103" t="n"/>
      <c r="T58" s="4103" t="n"/>
      <c r="U58" s="4103" t="n"/>
      <c r="V58" s="4104" t="n"/>
      <c r="W58" s="4102" t="n"/>
      <c r="X58" s="4103" t="n"/>
      <c r="Y58" s="4104" t="n"/>
      <c r="Z58" s="4102" t="n"/>
      <c r="AA58" s="4103" t="n"/>
      <c r="AB58" s="4103" t="n"/>
      <c r="AC58" s="4103" t="n"/>
      <c r="AD58" s="4103" t="n"/>
      <c r="AE58" s="4103" t="n"/>
      <c r="AF58" s="4103" t="n"/>
      <c r="AG58" s="4103" t="n"/>
      <c r="AH58" s="4105" t="n"/>
    </row>
    <row r="59" ht="15" customHeight="1" s="4080">
      <c r="A59" s="4399" t="inlineStr">
        <is>
          <t>前年度利用者実績</t>
        </is>
      </c>
      <c r="B59" s="4098" t="n"/>
      <c r="C59" s="4098" t="n"/>
      <c r="D59" s="4098" t="n"/>
      <c r="E59" s="4098" t="n"/>
      <c r="F59" s="4098" t="n"/>
      <c r="G59" s="4098" t="n"/>
      <c r="H59" s="4098" t="n"/>
      <c r="I59" s="4098" t="n"/>
      <c r="J59" s="4099" t="n"/>
      <c r="K59" s="2165" t="inlineStr">
        <is>
          <t>平均利用者数</t>
        </is>
      </c>
      <c r="L59" s="4110" t="n"/>
      <c r="M59" s="4110" t="n"/>
      <c r="N59" s="4110" t="n"/>
      <c r="O59" s="4110" t="n"/>
      <c r="P59" s="4111" t="n"/>
      <c r="Q59" s="4181" t="inlineStr">
        <is>
          <t>平均障がい支援区分</t>
        </is>
      </c>
      <c r="R59" s="4110" t="n"/>
      <c r="S59" s="4110" t="n"/>
      <c r="T59" s="4110" t="n"/>
      <c r="U59" s="4110" t="n"/>
      <c r="V59" s="4111" t="n"/>
      <c r="W59" s="4400" t="inlineStr">
        <is>
          <t>＊平均利用者数…小数第２位を切り上げ</t>
        </is>
      </c>
      <c r="X59" s="4098" t="n"/>
      <c r="Y59" s="4098" t="n"/>
      <c r="Z59" s="4098" t="n"/>
      <c r="AA59" s="4098" t="n"/>
      <c r="AB59" s="4098" t="n"/>
      <c r="AC59" s="4098" t="n"/>
      <c r="AD59" s="4098" t="n"/>
      <c r="AE59" s="4098" t="n"/>
      <c r="AF59" s="4098" t="n"/>
      <c r="AG59" s="4098" t="n"/>
      <c r="AH59" s="4101" t="n"/>
    </row>
    <row r="60" ht="24" customHeight="1" s="4080">
      <c r="A60" s="4114" t="n"/>
      <c r="B60" s="4103" t="n"/>
      <c r="C60" s="4103" t="n"/>
      <c r="D60" s="4103" t="n"/>
      <c r="E60" s="4103" t="n"/>
      <c r="F60" s="4103" t="n"/>
      <c r="G60" s="4103" t="n"/>
      <c r="H60" s="4103" t="n"/>
      <c r="I60" s="4103" t="n"/>
      <c r="J60" s="4104" t="n"/>
      <c r="K60" s="1300" t="n"/>
      <c r="L60" s="4110" t="n"/>
      <c r="M60" s="4110" t="n"/>
      <c r="N60" s="4110" t="n"/>
      <c r="O60" s="4110" t="n"/>
      <c r="P60" s="201" t="inlineStr">
        <is>
          <t>人</t>
        </is>
      </c>
      <c r="Q60" s="1300" t="inlineStr">
        <is>
          <t>区分</t>
        </is>
      </c>
      <c r="R60" s="4110" t="n"/>
      <c r="S60" s="1963" t="n"/>
      <c r="T60" s="4110" t="n"/>
      <c r="U60" s="4110" t="n"/>
      <c r="V60" s="4111" t="n"/>
      <c r="W60" s="4401" t="inlineStr">
        <is>
          <t>＊平均障がい支援区分…小数第２位を四捨五入</t>
        </is>
      </c>
      <c r="X60" s="4103" t="n"/>
      <c r="Y60" s="4103" t="n"/>
      <c r="Z60" s="4103" t="n"/>
      <c r="AA60" s="4103" t="n"/>
      <c r="AB60" s="4103" t="n"/>
      <c r="AC60" s="4103" t="n"/>
      <c r="AD60" s="4103" t="n"/>
      <c r="AE60" s="4103" t="n"/>
      <c r="AF60" s="4103" t="n"/>
      <c r="AG60" s="4103" t="n"/>
      <c r="AH60" s="4105" t="n"/>
    </row>
    <row r="61" ht="18" customHeight="1" s="4080">
      <c r="A61" s="4402" t="inlineStr">
        <is>
          <t>推定利用者（新規・増員分）</t>
        </is>
      </c>
      <c r="B61" s="4098" t="n"/>
      <c r="C61" s="4098" t="n"/>
      <c r="D61" s="4098" t="n"/>
      <c r="E61" s="4098" t="n"/>
      <c r="F61" s="4098" t="n"/>
      <c r="G61" s="4098" t="n"/>
      <c r="H61" s="4098" t="n"/>
      <c r="I61" s="4098" t="n"/>
      <c r="J61" s="4099" t="n"/>
      <c r="K61" s="2165" t="inlineStr">
        <is>
          <t>推定利用者数</t>
        </is>
      </c>
      <c r="L61" s="4110" t="n"/>
      <c r="M61" s="4110" t="n"/>
      <c r="N61" s="4110" t="n"/>
      <c r="O61" s="4110" t="n"/>
      <c r="P61" s="4111" t="n"/>
      <c r="Q61" s="4403" t="inlineStr">
        <is>
          <t>推定平均障がい支援区分</t>
        </is>
      </c>
      <c r="R61" s="4110" t="n"/>
      <c r="S61" s="4110" t="n"/>
      <c r="T61" s="4110" t="n"/>
      <c r="U61" s="4110" t="n"/>
      <c r="V61" s="4111" t="n"/>
      <c r="W61" s="4404" t="n"/>
      <c r="X61" s="1978" t="n"/>
      <c r="Y61" s="4405" t="n"/>
      <c r="Z61" s="4406" t="n"/>
      <c r="AA61" s="1978" t="n"/>
      <c r="AB61" s="206" t="n"/>
      <c r="AC61" s="4407" t="n"/>
      <c r="AD61" s="1978" t="n"/>
      <c r="AE61" s="1978" t="n"/>
      <c r="AF61" s="4408" t="n"/>
      <c r="AG61" s="1978" t="n"/>
      <c r="AH61" s="4409" t="n"/>
    </row>
    <row r="62" ht="24" customHeight="1" s="4080" thickBot="1">
      <c r="A62" s="4086" t="n"/>
      <c r="B62" s="4087" t="n"/>
      <c r="C62" s="4087" t="n"/>
      <c r="D62" s="4087" t="n"/>
      <c r="E62" s="4087" t="n"/>
      <c r="F62" s="4087" t="n"/>
      <c r="G62" s="4087" t="n"/>
      <c r="H62" s="4087" t="n"/>
      <c r="I62" s="4087" t="n"/>
      <c r="J62" s="4410" t="n"/>
      <c r="K62" s="1993" t="n"/>
      <c r="L62" s="4153" t="n"/>
      <c r="M62" s="4153" t="n"/>
      <c r="N62" s="4153" t="n"/>
      <c r="O62" s="4153" t="n"/>
      <c r="P62" s="210" t="inlineStr">
        <is>
          <t>人</t>
        </is>
      </c>
      <c r="Q62" s="1993" t="inlineStr">
        <is>
          <t>区分</t>
        </is>
      </c>
      <c r="R62" s="4153" t="n"/>
      <c r="S62" s="1995" t="n"/>
      <c r="T62" s="4153" t="n"/>
      <c r="U62" s="4153" t="n"/>
      <c r="V62" s="4154" t="n"/>
      <c r="W62" s="4411" t="n"/>
      <c r="X62" s="212" t="n"/>
      <c r="Y62" s="4412" t="n"/>
      <c r="Z62" s="4413" t="n"/>
      <c r="AA62" s="212" t="n"/>
      <c r="AB62" s="4414" t="n"/>
      <c r="AC62" s="4415" t="n"/>
      <c r="AD62" s="212" t="n"/>
      <c r="AE62" s="212" t="n"/>
      <c r="AF62" s="4416" t="n"/>
      <c r="AG62" s="212" t="n"/>
      <c r="AH62" s="4417" t="n"/>
    </row>
    <row r="63" ht="12" customHeight="1" s="4080" thickBot="1">
      <c r="A63" s="2506" t="inlineStr">
        <is>
          <t>主　　な　　掲　　示　　事　　項</t>
        </is>
      </c>
      <c r="B63" s="4356" t="n"/>
      <c r="C63" s="1999" t="n"/>
      <c r="D63" s="1886" t="inlineStr">
        <is>
          <t>営業日</t>
        </is>
      </c>
      <c r="E63" s="4082" t="n"/>
      <c r="F63" s="4082" t="n"/>
      <c r="G63" s="4082" t="n"/>
      <c r="H63" s="4082" t="n"/>
      <c r="I63" s="4082" t="n"/>
      <c r="J63" s="2002" t="n"/>
      <c r="K63" s="2352" t="inlineStr">
        <is>
          <t>月</t>
        </is>
      </c>
      <c r="L63" s="2354" t="inlineStr">
        <is>
          <t>火</t>
        </is>
      </c>
      <c r="M63" s="2354" t="inlineStr">
        <is>
          <t>水</t>
        </is>
      </c>
      <c r="N63" s="2354" t="inlineStr">
        <is>
          <t>木</t>
        </is>
      </c>
      <c r="O63" s="2354" t="inlineStr">
        <is>
          <t>金</t>
        </is>
      </c>
      <c r="P63" s="2354" t="inlineStr">
        <is>
          <t>土</t>
        </is>
      </c>
      <c r="Q63" s="2354" t="inlineStr">
        <is>
          <t>日</t>
        </is>
      </c>
      <c r="R63" s="2356" t="inlineStr">
        <is>
          <t>祝</t>
        </is>
      </c>
      <c r="S63" s="2004" t="inlineStr">
        <is>
          <t>休業日</t>
        </is>
      </c>
      <c r="T63" s="2006" t="inlineStr">
        <is>
          <t>年末年始</t>
        </is>
      </c>
      <c r="U63" s="4082" t="n"/>
      <c r="V63" s="2014" t="n"/>
      <c r="W63" s="4082" t="n"/>
      <c r="X63" s="4082" t="n"/>
      <c r="Y63" s="4082" t="n"/>
      <c r="Z63" s="4082" t="n"/>
      <c r="AA63" s="4082" t="n"/>
      <c r="AB63" s="4356" t="n"/>
      <c r="AC63" s="4418" t="inlineStr">
        <is>
          <t>備考</t>
        </is>
      </c>
      <c r="AD63" s="2243" t="n"/>
      <c r="AE63" s="4082" t="n"/>
      <c r="AF63" s="4082" t="n"/>
      <c r="AG63" s="4082" t="n"/>
      <c r="AH63" s="4083" t="n"/>
    </row>
    <row r="64" ht="12" customHeight="1" s="4080" thickBot="1">
      <c r="A64" s="4097" t="n"/>
      <c r="B64" s="4107" t="n"/>
      <c r="C64" s="4106" t="n"/>
      <c r="J64" s="4107" t="n"/>
      <c r="K64" s="2244" t="n"/>
      <c r="L64" s="2245" t="n"/>
      <c r="M64" s="2245" t="n"/>
      <c r="N64" s="2245" t="n"/>
      <c r="O64" s="2245" t="n"/>
      <c r="P64" s="2245" t="n"/>
      <c r="Q64" s="2245" t="n"/>
      <c r="R64" s="2249" t="n"/>
      <c r="S64" s="4282" t="n"/>
      <c r="T64" s="2008" t="inlineStr">
        <is>
          <t>夏季</t>
        </is>
      </c>
      <c r="V64" s="937" t="n"/>
      <c r="AB64" s="4107" t="n"/>
      <c r="AC64" s="4419" t="n"/>
      <c r="AH64" s="4109" t="n"/>
    </row>
    <row r="65" ht="12" customHeight="1" s="4080">
      <c r="A65" s="4097" t="n"/>
      <c r="B65" s="4107" t="n"/>
      <c r="C65" s="4420" t="n"/>
      <c r="D65" s="4087" t="n"/>
      <c r="E65" s="4087" t="n"/>
      <c r="F65" s="4087" t="n"/>
      <c r="G65" s="4087" t="n"/>
      <c r="H65" s="4087" t="n"/>
      <c r="I65" s="4087" t="n"/>
      <c r="J65" s="4410" t="n"/>
      <c r="K65" s="4283" t="n"/>
      <c r="L65" s="4284" t="n"/>
      <c r="M65" s="4284" t="n"/>
      <c r="N65" s="4284" t="n"/>
      <c r="O65" s="4284" t="n"/>
      <c r="P65" s="4284" t="n"/>
      <c r="Q65" s="4284" t="n"/>
      <c r="R65" s="4285" t="n"/>
      <c r="S65" s="4421" t="n"/>
      <c r="T65" s="2024" t="inlineStr">
        <is>
          <t>その他</t>
        </is>
      </c>
      <c r="U65" s="4103" t="n"/>
      <c r="V65" s="940" t="n"/>
      <c r="W65" s="4103" t="n"/>
      <c r="X65" s="4103" t="n"/>
      <c r="Y65" s="4103" t="n"/>
      <c r="Z65" s="4103" t="n"/>
      <c r="AA65" s="4103" t="n"/>
      <c r="AB65" s="4104" t="n"/>
      <c r="AC65" s="4283" t="n"/>
      <c r="AD65" s="4103" t="n"/>
      <c r="AE65" s="4103" t="n"/>
      <c r="AF65" s="4103" t="n"/>
      <c r="AG65" s="4103" t="n"/>
      <c r="AH65" s="4105" t="n"/>
    </row>
    <row r="66" ht="3.95" customHeight="1" s="4080">
      <c r="A66" s="4097" t="n"/>
      <c r="B66" s="4107" t="n"/>
      <c r="C66" s="1393" t="n"/>
      <c r="D66" s="1264" t="inlineStr">
        <is>
          <t>営業時間</t>
        </is>
      </c>
      <c r="E66" s="4098" t="n"/>
      <c r="F66" s="4098" t="n"/>
      <c r="G66" s="4098" t="n"/>
      <c r="H66" s="4098" t="n"/>
      <c r="I66" s="4098" t="n"/>
      <c r="J66" s="4223" t="n"/>
      <c r="K66" s="4287" t="inlineStr">
        <is>
          <t>平日</t>
        </is>
      </c>
      <c r="L66" s="4098" t="n"/>
      <c r="M66" s="4190" t="n"/>
      <c r="N66" s="1590" t="n"/>
      <c r="O66" s="4098" t="n"/>
      <c r="P66" s="2842" t="inlineStr">
        <is>
          <t>時</t>
        </is>
      </c>
      <c r="Q66" s="1323" t="n"/>
      <c r="R66" s="1323" t="n"/>
      <c r="S66" s="4288" t="inlineStr">
        <is>
          <t>分～</t>
        </is>
      </c>
      <c r="T66" s="4098" t="n"/>
      <c r="U66" s="108" t="inlineStr">
        <is>
          <t xml:space="preserve">　</t>
        </is>
      </c>
      <c r="V66" s="1591" t="n"/>
      <c r="W66" s="4098" t="n"/>
      <c r="X66" s="2842" t="inlineStr">
        <is>
          <t>時</t>
        </is>
      </c>
      <c r="Y66" s="2834" t="n"/>
      <c r="Z66" s="2834" t="n"/>
      <c r="AA66" s="2842" t="inlineStr">
        <is>
          <t>分</t>
        </is>
      </c>
      <c r="AB66" s="1323" t="n"/>
      <c r="AC66" s="4422" t="inlineStr">
        <is>
          <t>備考</t>
        </is>
      </c>
      <c r="AD66" s="1747" t="n"/>
      <c r="AE66" s="4098" t="n"/>
      <c r="AF66" s="4098" t="n"/>
      <c r="AG66" s="4098" t="n"/>
      <c r="AH66" s="4101" t="n"/>
    </row>
    <row r="67" ht="12" customHeight="1" s="4080">
      <c r="A67" s="4097" t="n"/>
      <c r="B67" s="4107" t="n"/>
      <c r="C67" s="4106" t="n"/>
      <c r="J67" s="4107" t="n"/>
      <c r="K67" s="4106" t="n"/>
      <c r="M67" s="4191" t="n"/>
      <c r="N67" s="1589" t="n"/>
      <c r="Q67" s="1325" t="n"/>
      <c r="U67" s="1257" t="n"/>
      <c r="Y67" s="1580" t="n"/>
      <c r="AB67" s="1325" t="n"/>
      <c r="AC67" s="4419" t="n"/>
      <c r="AH67" s="4109" t="n"/>
    </row>
    <row r="68" ht="3.95" customHeight="1" s="4080">
      <c r="A68" s="4097" t="n"/>
      <c r="B68" s="4107" t="n"/>
      <c r="C68" s="4106" t="n"/>
      <c r="J68" s="4107" t="n"/>
      <c r="K68" s="4145" t="n"/>
      <c r="L68" s="4146" t="n"/>
      <c r="M68" s="4201" t="n"/>
      <c r="N68" s="1586" t="n"/>
      <c r="O68" s="1587" t="n"/>
      <c r="P68" s="4146" t="n"/>
      <c r="Q68" s="1585" t="n"/>
      <c r="R68" s="1585" t="n"/>
      <c r="S68" s="4146" t="n"/>
      <c r="T68" s="4146" t="n"/>
      <c r="U68" s="105" t="n"/>
      <c r="V68" s="1587" t="n"/>
      <c r="W68" s="1587" t="n"/>
      <c r="X68" s="4146" t="n"/>
      <c r="Y68" s="101" t="n"/>
      <c r="Z68" s="101" t="n"/>
      <c r="AA68" s="4146" t="n"/>
      <c r="AB68" s="1585" t="n"/>
      <c r="AC68" s="4419" t="n"/>
      <c r="AH68" s="4109" t="n"/>
    </row>
    <row r="69" ht="3.95" customHeight="1" s="4080">
      <c r="A69" s="4097" t="n"/>
      <c r="B69" s="4107" t="n"/>
      <c r="C69" s="4106" t="n"/>
      <c r="J69" s="4107" t="n"/>
      <c r="K69" s="4289" t="inlineStr">
        <is>
          <t>土曜</t>
        </is>
      </c>
      <c r="L69" s="4290" t="n"/>
      <c r="M69" s="4291" t="n"/>
      <c r="N69" s="1581" t="n"/>
      <c r="O69" s="4290" t="n"/>
      <c r="P69" s="1514" t="inlineStr">
        <is>
          <t>時</t>
        </is>
      </c>
      <c r="Q69" s="1583" t="n"/>
      <c r="R69" s="1583" t="n"/>
      <c r="S69" s="4292" t="inlineStr">
        <is>
          <t>分～</t>
        </is>
      </c>
      <c r="T69" s="4290" t="n"/>
      <c r="U69" s="98" t="inlineStr">
        <is>
          <t xml:space="preserve">　</t>
        </is>
      </c>
      <c r="V69" s="1582" t="n"/>
      <c r="W69" s="1582" t="n"/>
      <c r="X69" s="1514" t="inlineStr">
        <is>
          <t>時</t>
        </is>
      </c>
      <c r="Y69" s="96" t="n"/>
      <c r="Z69" s="96" t="n"/>
      <c r="AA69" s="1514" t="inlineStr">
        <is>
          <t>分</t>
        </is>
      </c>
      <c r="AB69" s="1583" t="n"/>
      <c r="AC69" s="4419" t="n"/>
      <c r="AH69" s="4109" t="n"/>
    </row>
    <row r="70" ht="12" customHeight="1" s="4080">
      <c r="A70" s="4097" t="n"/>
      <c r="B70" s="4107" t="n"/>
      <c r="C70" s="4106" t="n"/>
      <c r="J70" s="4107" t="n"/>
      <c r="K70" s="4106" t="n"/>
      <c r="M70" s="4191" t="n"/>
      <c r="N70" s="1589" t="n"/>
      <c r="Q70" s="1325" t="n"/>
      <c r="U70" s="1257" t="n"/>
      <c r="Y70" s="1580" t="n"/>
      <c r="AB70" s="1325" t="n"/>
      <c r="AC70" s="4419" t="n"/>
      <c r="AH70" s="4109" t="n"/>
    </row>
    <row r="71" ht="3.95" customHeight="1" s="4080">
      <c r="A71" s="4097" t="n"/>
      <c r="B71" s="4107" t="n"/>
      <c r="C71" s="4106" t="n"/>
      <c r="J71" s="4107" t="n"/>
      <c r="K71" s="4145" t="n"/>
      <c r="L71" s="4146" t="n"/>
      <c r="M71" s="4201" t="n"/>
      <c r="N71" s="1586" t="n"/>
      <c r="O71" s="1587" t="n"/>
      <c r="P71" s="4146" t="n"/>
      <c r="Q71" s="1585" t="n"/>
      <c r="R71" s="1585" t="n"/>
      <c r="S71" s="4146" t="n"/>
      <c r="T71" s="4146" t="n"/>
      <c r="U71" s="103" t="n"/>
      <c r="V71" s="1587" t="n"/>
      <c r="W71" s="1587" t="n"/>
      <c r="X71" s="4146" t="n"/>
      <c r="Y71" s="101" t="n"/>
      <c r="Z71" s="101" t="n"/>
      <c r="AA71" s="4146" t="n"/>
      <c r="AB71" s="1585" t="n"/>
      <c r="AC71" s="4419" t="n"/>
      <c r="AH71" s="4109" t="n"/>
    </row>
    <row r="72" ht="3.95" customHeight="1" s="4080">
      <c r="A72" s="4097" t="n"/>
      <c r="B72" s="4107" t="n"/>
      <c r="C72" s="4106" t="n"/>
      <c r="J72" s="4107" t="n"/>
      <c r="K72" s="4293" t="inlineStr">
        <is>
          <t>日・祝日</t>
        </is>
      </c>
      <c r="L72" s="4290" t="n"/>
      <c r="M72" s="4291" t="n"/>
      <c r="N72" s="1581" t="n"/>
      <c r="O72" s="4290" t="n"/>
      <c r="P72" s="1521" t="inlineStr">
        <is>
          <t>時</t>
        </is>
      </c>
      <c r="Q72" s="1583" t="n"/>
      <c r="R72" s="1583" t="n"/>
      <c r="S72" s="4294" t="inlineStr">
        <is>
          <t>分～</t>
        </is>
      </c>
      <c r="T72" s="4290" t="n"/>
      <c r="U72" s="98" t="inlineStr">
        <is>
          <t xml:space="preserve">　</t>
        </is>
      </c>
      <c r="V72" s="1582" t="n"/>
      <c r="W72" s="1582" t="n"/>
      <c r="X72" s="1521" t="inlineStr">
        <is>
          <t>時</t>
        </is>
      </c>
      <c r="Y72" s="96" t="n"/>
      <c r="Z72" s="96" t="n"/>
      <c r="AA72" s="1521" t="inlineStr">
        <is>
          <t>分</t>
        </is>
      </c>
      <c r="AB72" s="1583" t="n"/>
      <c r="AC72" s="4419" t="n"/>
      <c r="AH72" s="4109" t="n"/>
    </row>
    <row r="73" ht="12" customHeight="1" s="4080">
      <c r="A73" s="4097" t="n"/>
      <c r="B73" s="4107" t="n"/>
      <c r="C73" s="4106" t="n"/>
      <c r="J73" s="4107" t="n"/>
      <c r="K73" s="4106" t="n"/>
      <c r="M73" s="4191" t="n"/>
      <c r="N73" s="1589" t="n"/>
      <c r="Q73" s="1325" t="n"/>
      <c r="U73" s="1257" t="n"/>
      <c r="Y73" s="1580" t="n"/>
      <c r="AB73" s="1325" t="n"/>
      <c r="AC73" s="4419" t="n"/>
      <c r="AH73" s="4109" t="n"/>
    </row>
    <row r="74" ht="3.95" customHeight="1" s="4080">
      <c r="A74" s="4097" t="n"/>
      <c r="B74" s="4107" t="n"/>
      <c r="C74" s="4102" t="n"/>
      <c r="D74" s="4103" t="n"/>
      <c r="E74" s="4103" t="n"/>
      <c r="F74" s="4103" t="n"/>
      <c r="G74" s="4103" t="n"/>
      <c r="H74" s="4103" t="n"/>
      <c r="I74" s="4103" t="n"/>
      <c r="J74" s="4104" t="n"/>
      <c r="K74" s="4102" t="n"/>
      <c r="L74" s="4103" t="n"/>
      <c r="M74" s="4193" t="n"/>
      <c r="N74" s="1588" t="n"/>
      <c r="O74" s="1258" t="n"/>
      <c r="P74" s="4103" t="n"/>
      <c r="Q74" s="1327" t="n"/>
      <c r="R74" s="1327" t="n"/>
      <c r="S74" s="4103" t="n"/>
      <c r="T74" s="4103" t="n"/>
      <c r="U74" s="92" t="n"/>
      <c r="V74" s="1258" t="n"/>
      <c r="W74" s="1258" t="n"/>
      <c r="X74" s="4103" t="n"/>
      <c r="Y74" s="2836" t="n"/>
      <c r="Z74" s="2836" t="n"/>
      <c r="AA74" s="4103" t="n"/>
      <c r="AB74" s="1327" t="n"/>
      <c r="AC74" s="4283" t="n"/>
      <c r="AD74" s="4103" t="n"/>
      <c r="AE74" s="4103" t="n"/>
      <c r="AF74" s="4103" t="n"/>
      <c r="AG74" s="4103" t="n"/>
      <c r="AH74" s="4105" t="n"/>
    </row>
    <row r="75" ht="12" customHeight="1" s="4080">
      <c r="A75" s="4097" t="n"/>
      <c r="B75" s="4107" t="n"/>
      <c r="C75" s="1393" t="n"/>
      <c r="D75" s="1264" t="inlineStr">
        <is>
          <t>サービス提供日</t>
        </is>
      </c>
      <c r="E75" s="4098" t="n"/>
      <c r="F75" s="4098" t="n"/>
      <c r="G75" s="4098" t="n"/>
      <c r="H75" s="4098" t="n"/>
      <c r="I75" s="4098" t="n"/>
      <c r="J75" s="4423" t="n"/>
      <c r="K75" s="2244" t="inlineStr">
        <is>
          <t>月</t>
        </is>
      </c>
      <c r="L75" s="2245" t="inlineStr">
        <is>
          <t>火</t>
        </is>
      </c>
      <c r="M75" s="2245" t="inlineStr">
        <is>
          <t>水</t>
        </is>
      </c>
      <c r="N75" s="2245" t="inlineStr">
        <is>
          <t>木</t>
        </is>
      </c>
      <c r="O75" s="2245" t="inlineStr">
        <is>
          <t>金</t>
        </is>
      </c>
      <c r="P75" s="2245" t="inlineStr">
        <is>
          <t>土</t>
        </is>
      </c>
      <c r="Q75" s="2245" t="inlineStr">
        <is>
          <t>日</t>
        </is>
      </c>
      <c r="R75" s="2249" t="inlineStr">
        <is>
          <t>祝</t>
        </is>
      </c>
      <c r="S75" s="4279" t="inlineStr">
        <is>
          <t>休業日</t>
        </is>
      </c>
      <c r="T75" s="1611" t="inlineStr">
        <is>
          <t>年末年始</t>
        </is>
      </c>
      <c r="U75" s="4098" t="n"/>
      <c r="V75" s="934" t="n"/>
      <c r="W75" s="4098" t="n"/>
      <c r="X75" s="4098" t="n"/>
      <c r="Y75" s="4098" t="n"/>
      <c r="Z75" s="4098" t="n"/>
      <c r="AA75" s="4098" t="n"/>
      <c r="AB75" s="4099" t="n"/>
      <c r="AC75" s="4424" t="inlineStr">
        <is>
          <t>備考</t>
        </is>
      </c>
      <c r="AD75" s="2767" t="n"/>
      <c r="AE75" s="4098" t="n"/>
      <c r="AF75" s="4098" t="n"/>
      <c r="AG75" s="4098" t="n"/>
      <c r="AH75" s="4101" t="n"/>
    </row>
    <row r="76" ht="12" customHeight="1" s="4080">
      <c r="A76" s="4097" t="n"/>
      <c r="B76" s="4107" t="n"/>
      <c r="C76" s="4106" t="n"/>
      <c r="J76" s="4107" t="n"/>
      <c r="K76" s="2244" t="n"/>
      <c r="L76" s="2245" t="n"/>
      <c r="M76" s="2245" t="n"/>
      <c r="N76" s="2245" t="n"/>
      <c r="O76" s="2245" t="n"/>
      <c r="P76" s="2245" t="n"/>
      <c r="Q76" s="2245" t="n"/>
      <c r="R76" s="2249" t="n"/>
      <c r="S76" s="4282" t="n"/>
      <c r="T76" s="1609" t="inlineStr">
        <is>
          <t>夏季</t>
        </is>
      </c>
      <c r="V76" s="937" t="n"/>
      <c r="AB76" s="4107" t="n"/>
      <c r="AC76" s="4419" t="n"/>
      <c r="AH76" s="4109" t="n"/>
    </row>
    <row r="77" ht="12" customHeight="1" s="4080">
      <c r="A77" s="4097" t="n"/>
      <c r="B77" s="4107" t="n"/>
      <c r="C77" s="4102" t="n"/>
      <c r="D77" s="4103" t="n"/>
      <c r="E77" s="4103" t="n"/>
      <c r="F77" s="4103" t="n"/>
      <c r="G77" s="4103" t="n"/>
      <c r="H77" s="4103" t="n"/>
      <c r="I77" s="4103" t="n"/>
      <c r="J77" s="4104" t="n"/>
      <c r="K77" s="4283" t="n"/>
      <c r="L77" s="4284" t="n"/>
      <c r="M77" s="4284" t="n"/>
      <c r="N77" s="4284" t="n"/>
      <c r="O77" s="4284" t="n"/>
      <c r="P77" s="4284" t="n"/>
      <c r="Q77" s="4284" t="n"/>
      <c r="R77" s="4285" t="n"/>
      <c r="S77" s="4286" t="n"/>
      <c r="T77" s="1610" t="inlineStr">
        <is>
          <t>その他</t>
        </is>
      </c>
      <c r="U77" s="4103" t="n"/>
      <c r="V77" s="940" t="n"/>
      <c r="W77" s="4103" t="n"/>
      <c r="X77" s="4103" t="n"/>
      <c r="Y77" s="4103" t="n"/>
      <c r="Z77" s="4103" t="n"/>
      <c r="AA77" s="4103" t="n"/>
      <c r="AB77" s="4104" t="n"/>
      <c r="AC77" s="4283" t="n"/>
      <c r="AD77" s="4103" t="n"/>
      <c r="AE77" s="4103" t="n"/>
      <c r="AF77" s="4103" t="n"/>
      <c r="AG77" s="4103" t="n"/>
      <c r="AH77" s="4105" t="n"/>
    </row>
    <row r="78" ht="3.95" customHeight="1" s="4080">
      <c r="A78" s="4097" t="n"/>
      <c r="B78" s="4107" t="n"/>
      <c r="C78" s="1393" t="n"/>
      <c r="D78" s="1264" t="inlineStr">
        <is>
          <t>サービス提供時間</t>
        </is>
      </c>
      <c r="E78" s="4098" t="n"/>
      <c r="F78" s="4098" t="n"/>
      <c r="G78" s="4098" t="n"/>
      <c r="H78" s="4098" t="n"/>
      <c r="I78" s="4098" t="n"/>
      <c r="J78" s="4223" t="n"/>
      <c r="K78" s="4295" t="n"/>
      <c r="L78" s="4098" t="n"/>
      <c r="M78" s="4098" t="n"/>
      <c r="N78" s="4098" t="n"/>
      <c r="O78" s="4098" t="n"/>
      <c r="P78" s="4098" t="n"/>
      <c r="Q78" s="4098" t="n"/>
      <c r="R78" s="4098" t="n"/>
      <c r="S78" s="4098" t="n"/>
      <c r="T78" s="4098" t="n"/>
      <c r="U78" s="4098" t="n"/>
      <c r="V78" s="4098" t="n"/>
      <c r="W78" s="4098" t="n"/>
      <c r="X78" s="4098" t="n"/>
      <c r="Y78" s="4098" t="n"/>
      <c r="Z78" s="4098" t="n"/>
      <c r="AA78" s="4098" t="n"/>
      <c r="AB78" s="4098" t="n"/>
      <c r="AC78" s="4098" t="n"/>
      <c r="AD78" s="4098" t="n"/>
      <c r="AE78" s="4098" t="n"/>
      <c r="AF78" s="4098" t="n"/>
      <c r="AG78" s="4098" t="n"/>
      <c r="AH78" s="4101" t="n"/>
    </row>
    <row r="79" ht="12" customHeight="1" s="4080">
      <c r="A79" s="4097" t="n"/>
      <c r="B79" s="4107" t="n"/>
      <c r="C79" s="4106" t="n"/>
      <c r="J79" s="4107" t="n"/>
      <c r="K79" s="224" t="n"/>
      <c r="L79" s="1388" t="n"/>
      <c r="O79" s="1325" t="inlineStr">
        <is>
          <t>時</t>
        </is>
      </c>
      <c r="P79" s="1626" t="n"/>
      <c r="R79" s="1325" t="inlineStr">
        <is>
          <t>分～</t>
        </is>
      </c>
      <c r="T79" s="1388" t="n"/>
      <c r="W79" s="1325" t="inlineStr">
        <is>
          <t>時</t>
        </is>
      </c>
      <c r="X79" s="1626" t="n"/>
      <c r="Z79" s="1325" t="inlineStr">
        <is>
          <t>分</t>
        </is>
      </c>
      <c r="AA79" s="1325" t="n"/>
      <c r="AC79" s="1325" t="n"/>
      <c r="AF79" s="1668" t="n"/>
      <c r="AH79" s="4109" t="n"/>
    </row>
    <row r="80" ht="3.95" customHeight="1" s="4080">
      <c r="A80" s="4097" t="n"/>
      <c r="B80" s="4107" t="n"/>
      <c r="C80" s="4102" t="n"/>
      <c r="D80" s="4103" t="n"/>
      <c r="E80" s="4103" t="n"/>
      <c r="F80" s="4103" t="n"/>
      <c r="G80" s="4103" t="n"/>
      <c r="H80" s="4103" t="n"/>
      <c r="I80" s="4103" t="n"/>
      <c r="J80" s="4104" t="n"/>
      <c r="K80" s="4296" t="n"/>
      <c r="AH80" s="4109" t="n"/>
    </row>
    <row r="81" ht="12" customHeight="1" s="4080">
      <c r="A81" s="4097" t="n"/>
      <c r="B81" s="4107" t="n"/>
      <c r="C81" s="1393" t="n"/>
      <c r="D81" s="4222" t="inlineStr">
        <is>
          <t>サービスを提供
する主たる対象者</t>
        </is>
      </c>
      <c r="E81" s="4098" t="n"/>
      <c r="F81" s="4098" t="n"/>
      <c r="G81" s="4098" t="n"/>
      <c r="H81" s="4098" t="n"/>
      <c r="I81" s="4098" t="n"/>
      <c r="J81" s="4223" t="n"/>
      <c r="K81" s="4425" t="inlineStr">
        <is>
          <t>身体障害者</t>
        </is>
      </c>
      <c r="L81" s="4098" t="n"/>
      <c r="M81" s="4098" t="n"/>
      <c r="N81" s="4099" t="n"/>
      <c r="O81" s="4425" t="inlineStr">
        <is>
          <t>知的障害者</t>
        </is>
      </c>
      <c r="P81" s="4098" t="n"/>
      <c r="Q81" s="4098" t="n"/>
      <c r="R81" s="4099" t="n"/>
      <c r="S81" s="4425" t="inlineStr">
        <is>
          <t>精神障害者</t>
        </is>
      </c>
      <c r="T81" s="4098" t="n"/>
      <c r="U81" s="4098" t="n"/>
      <c r="V81" s="4099" t="n"/>
      <c r="W81" s="4426" t="inlineStr">
        <is>
          <t>難病等対象者</t>
        </is>
      </c>
      <c r="X81" s="4098" t="n"/>
      <c r="Y81" s="4098" t="n"/>
      <c r="Z81" s="4099" t="n"/>
      <c r="AA81" s="2037" t="n"/>
      <c r="AB81" s="4098" t="n"/>
      <c r="AC81" s="4098" t="n"/>
      <c r="AD81" s="4098" t="n"/>
      <c r="AE81" s="2039" t="n"/>
      <c r="AF81" s="4098" t="n"/>
      <c r="AG81" s="4098" t="n"/>
      <c r="AH81" s="4101" t="n"/>
    </row>
    <row r="82" ht="12" customHeight="1" s="4080">
      <c r="A82" s="4097" t="n"/>
      <c r="B82" s="4107" t="n"/>
      <c r="C82" s="4106" t="n"/>
      <c r="J82" s="4107" t="n"/>
      <c r="K82" s="4102" t="n"/>
      <c r="L82" s="4103" t="n"/>
      <c r="M82" s="4103" t="n"/>
      <c r="N82" s="4104" t="n"/>
      <c r="O82" s="4102" t="n"/>
      <c r="P82" s="4103" t="n"/>
      <c r="Q82" s="4103" t="n"/>
      <c r="R82" s="4104" t="n"/>
      <c r="S82" s="4102" t="n"/>
      <c r="T82" s="4103" t="n"/>
      <c r="U82" s="4103" t="n"/>
      <c r="V82" s="4104" t="n"/>
      <c r="W82" s="4102" t="n"/>
      <c r="X82" s="4103" t="n"/>
      <c r="Y82" s="4103" t="n"/>
      <c r="Z82" s="4104" t="n"/>
      <c r="AH82" s="4109" t="n"/>
    </row>
    <row r="83" ht="12" customHeight="1" s="4080">
      <c r="A83" s="4097" t="n"/>
      <c r="B83" s="4107" t="n"/>
      <c r="C83" s="4102" t="n"/>
      <c r="D83" s="4103" t="n"/>
      <c r="E83" s="4103" t="n"/>
      <c r="F83" s="4103" t="n"/>
      <c r="G83" s="4103" t="n"/>
      <c r="H83" s="4103" t="n"/>
      <c r="I83" s="4103" t="n"/>
      <c r="J83" s="4104" t="n"/>
      <c r="K83" s="1663" t="n"/>
      <c r="L83" s="4140" t="n"/>
      <c r="M83" s="4140" t="n"/>
      <c r="N83" s="4141" t="n"/>
      <c r="O83" s="1663" t="n"/>
      <c r="P83" s="4140" t="n"/>
      <c r="Q83" s="4140" t="n"/>
      <c r="R83" s="4141" t="n"/>
      <c r="S83" s="988" t="n"/>
      <c r="T83" s="4110" t="n"/>
      <c r="U83" s="4110" t="n"/>
      <c r="V83" s="4111" t="n"/>
      <c r="W83" s="988" t="n"/>
      <c r="X83" s="4110" t="n"/>
      <c r="Y83" s="4110" t="n"/>
      <c r="Z83" s="4111" t="n"/>
      <c r="AA83" s="2031" t="n"/>
      <c r="AB83" s="4103" t="n"/>
      <c r="AC83" s="4103" t="n"/>
      <c r="AD83" s="4104" t="n"/>
      <c r="AE83" s="2031" t="n"/>
      <c r="AF83" s="4103" t="n"/>
      <c r="AG83" s="4103" t="n"/>
      <c r="AH83" s="4104" t="n"/>
    </row>
    <row r="84" ht="22.5" customHeight="1" s="4080">
      <c r="A84" s="4097" t="n"/>
      <c r="B84" s="4107" t="n"/>
      <c r="C84" s="1370" t="n"/>
      <c r="D84" s="1245" t="inlineStr">
        <is>
          <t>利用定員</t>
        </is>
      </c>
      <c r="E84" s="4098" t="n"/>
      <c r="F84" s="4098" t="n"/>
      <c r="G84" s="4098" t="n"/>
      <c r="H84" s="4098" t="n"/>
      <c r="I84" s="4098" t="n"/>
      <c r="J84" s="1371" t="n"/>
      <c r="K84" s="2041" t="n"/>
      <c r="L84" s="4110" t="n"/>
      <c r="M84" s="4110" t="n"/>
      <c r="N84" s="4110" t="n"/>
      <c r="O84" s="226" t="inlineStr">
        <is>
          <t>人</t>
        </is>
      </c>
      <c r="P84" s="4427" t="inlineStr">
        <is>
          <t>単位ごとの定員</t>
        </is>
      </c>
      <c r="Q84" s="4110" t="n"/>
      <c r="R84" s="4110" t="n"/>
      <c r="S84" s="4110" t="n"/>
      <c r="T84" s="4204" t="n"/>
      <c r="U84" s="2044" t="n"/>
      <c r="V84" s="4110" t="n"/>
      <c r="W84" s="4110" t="n"/>
      <c r="X84" s="4110" t="n"/>
      <c r="Y84" s="227" t="inlineStr">
        <is>
          <t>人</t>
        </is>
      </c>
      <c r="Z84" s="4428" t="n"/>
      <c r="AA84" s="4110" t="n"/>
      <c r="AB84" s="4110" t="n"/>
      <c r="AC84" s="4110" t="n"/>
      <c r="AD84" s="4110" t="n"/>
      <c r="AE84" s="4110" t="n"/>
      <c r="AF84" s="4110" t="n"/>
      <c r="AG84" s="4110" t="n"/>
      <c r="AH84" s="4113" t="n"/>
    </row>
    <row r="85" ht="3.95" customHeight="1" s="4080">
      <c r="A85" s="4097" t="n"/>
      <c r="B85" s="4107" t="n"/>
      <c r="C85" s="1322" t="n"/>
      <c r="D85" s="4429" t="inlineStr">
        <is>
          <t>従たる事業所の有無</t>
        </is>
      </c>
      <c r="E85" s="4098" t="n"/>
      <c r="F85" s="4098" t="n"/>
      <c r="G85" s="4098" t="n"/>
      <c r="H85" s="4098" t="n"/>
      <c r="I85" s="4098" t="n"/>
      <c r="J85" s="1394" t="n"/>
      <c r="K85" s="4430" t="n"/>
      <c r="L85" s="2056" t="n"/>
      <c r="M85" s="4098" t="n"/>
      <c r="N85" s="4098" t="n"/>
      <c r="O85" s="2070" t="n"/>
      <c r="P85" s="4431" t="inlineStr">
        <is>
          <t>従たる事業所に
おいて実施する
サービス種別</t>
        </is>
      </c>
      <c r="Q85" s="4098" t="n"/>
      <c r="R85" s="4098" t="n"/>
      <c r="S85" s="4098" t="n"/>
      <c r="T85" s="4190" t="n"/>
      <c r="U85" s="2056" t="n"/>
      <c r="V85" s="2056" t="n"/>
      <c r="W85" s="2056" t="n"/>
      <c r="X85" s="2056" t="n"/>
      <c r="Y85" s="2056" t="n"/>
      <c r="Z85" s="2056" t="n"/>
      <c r="AA85" s="2056" t="n"/>
      <c r="AB85" s="1334" t="inlineStr">
        <is>
          <t xml:space="preserve">　</t>
        </is>
      </c>
      <c r="AC85" s="1334" t="n"/>
      <c r="AD85" s="1334" t="n"/>
      <c r="AE85" s="1334" t="n"/>
      <c r="AF85" s="1334" t="n"/>
      <c r="AG85" s="1334" t="n"/>
      <c r="AH85" s="1335" t="n"/>
    </row>
    <row r="86" ht="12" customHeight="1" s="4080">
      <c r="A86" s="4097" t="n"/>
      <c r="B86" s="4107" t="n"/>
      <c r="C86" s="4106" t="n"/>
      <c r="J86" s="4107" t="n"/>
      <c r="K86" s="4106" t="n"/>
      <c r="L86" s="2069" t="inlineStr">
        <is>
          <t>有</t>
        </is>
      </c>
      <c r="M86" s="2069" t="inlineStr">
        <is>
          <t>・</t>
        </is>
      </c>
      <c r="N86" s="2069" t="inlineStr">
        <is>
          <t>無</t>
        </is>
      </c>
      <c r="O86" s="4107" t="n"/>
      <c r="P86" s="4106" t="n"/>
      <c r="T86" s="4191" t="n"/>
      <c r="U86" s="230" t="inlineStr">
        <is>
          <t>1)</t>
        </is>
      </c>
      <c r="V86" s="2057" t="n"/>
      <c r="AB86" s="231" t="inlineStr">
        <is>
          <t>3)</t>
        </is>
      </c>
      <c r="AC86" s="2058" t="n"/>
      <c r="AH86" s="4109" t="n"/>
    </row>
    <row r="87" ht="12" customHeight="1" s="4080">
      <c r="A87" s="4097" t="n"/>
      <c r="B87" s="4107" t="n"/>
      <c r="C87" s="1326" t="n"/>
      <c r="J87" s="4107" t="n"/>
      <c r="K87" s="4106" t="n"/>
      <c r="O87" s="4107" t="n"/>
      <c r="P87" s="4106" t="n"/>
      <c r="T87" s="4191" t="n"/>
      <c r="U87" s="232" t="inlineStr">
        <is>
          <t>2)</t>
        </is>
      </c>
      <c r="V87" s="2057" t="n"/>
      <c r="AB87" s="233" t="inlineStr">
        <is>
          <t>4)</t>
        </is>
      </c>
      <c r="AC87" s="2058" t="n"/>
      <c r="AH87" s="4109" t="n"/>
    </row>
    <row r="88" ht="3.95" customHeight="1" s="4080">
      <c r="A88" s="4097" t="n"/>
      <c r="B88" s="4107" t="n"/>
      <c r="C88" s="4102" t="n"/>
      <c r="D88" s="4103" t="n"/>
      <c r="E88" s="4103" t="n"/>
      <c r="F88" s="4103" t="n"/>
      <c r="G88" s="4103" t="n"/>
      <c r="H88" s="4103" t="n"/>
      <c r="I88" s="4103" t="n"/>
      <c r="J88" s="4104" t="n"/>
      <c r="K88" s="4102" t="n"/>
      <c r="L88" s="2059" t="n"/>
      <c r="M88" s="4103" t="n"/>
      <c r="N88" s="4103" t="n"/>
      <c r="O88" s="4104" t="n"/>
      <c r="P88" s="4102" t="n"/>
      <c r="Q88" s="4103" t="n"/>
      <c r="R88" s="4103" t="n"/>
      <c r="S88" s="4103" t="n"/>
      <c r="T88" s="4193" t="n"/>
      <c r="U88" s="2059" t="n"/>
      <c r="V88" s="2059" t="n"/>
      <c r="W88" s="2059" t="n"/>
      <c r="X88" s="2059" t="n"/>
      <c r="Y88" s="2059" t="n"/>
      <c r="Z88" s="2059" t="n"/>
      <c r="AA88" s="2059" t="n"/>
      <c r="AB88" s="1298" t="n"/>
      <c r="AC88" s="1298" t="n"/>
      <c r="AD88" s="1298" t="n"/>
      <c r="AE88" s="1298" t="n"/>
      <c r="AF88" s="1298" t="n"/>
      <c r="AG88" s="1298" t="n"/>
      <c r="AH88" s="1299" t="n"/>
    </row>
    <row r="89" ht="3.95" customHeight="1" s="4080">
      <c r="A89" s="4097" t="n"/>
      <c r="B89" s="4107" t="n"/>
      <c r="C89" s="2163" t="inlineStr">
        <is>
          <t>多機能型の実施</t>
        </is>
      </c>
      <c r="D89" s="4098" t="n"/>
      <c r="E89" s="4098" t="n"/>
      <c r="F89" s="4098" t="n"/>
      <c r="G89" s="4098" t="n"/>
      <c r="H89" s="4098" t="n"/>
      <c r="I89" s="4098" t="n"/>
      <c r="J89" s="4099" t="n"/>
      <c r="K89" s="2053" t="n"/>
      <c r="L89" s="2056" t="n"/>
      <c r="M89" s="2056" t="n"/>
      <c r="N89" s="2056" t="n"/>
      <c r="O89" s="1371" t="n"/>
      <c r="P89" s="3316" t="n"/>
      <c r="Q89" s="3316" t="n"/>
      <c r="R89" s="3316" t="n"/>
      <c r="S89" s="3316" t="n"/>
      <c r="T89" s="3316" t="n"/>
      <c r="U89" s="238" t="n"/>
      <c r="V89" s="238" t="n"/>
      <c r="W89" s="238" t="n"/>
      <c r="X89" s="238" t="n"/>
      <c r="Y89" s="238" t="n"/>
      <c r="Z89" s="238" t="n"/>
      <c r="AA89" s="238" t="n"/>
      <c r="AB89" s="2960" t="n"/>
      <c r="AC89" s="2960" t="n"/>
      <c r="AD89" s="2960" t="n"/>
      <c r="AE89" s="2960" t="n"/>
      <c r="AF89" s="2960" t="n"/>
      <c r="AG89" s="2960" t="n"/>
      <c r="AH89" s="2961" t="n"/>
    </row>
    <row r="90" ht="18.75" customHeight="1" s="4080">
      <c r="A90" s="4097" t="n"/>
      <c r="B90" s="4107" t="n"/>
      <c r="C90" s="4106" t="n"/>
      <c r="J90" s="4107" t="n"/>
      <c r="K90" s="1657" t="n"/>
      <c r="L90" s="1658" t="inlineStr">
        <is>
          <t>有</t>
        </is>
      </c>
      <c r="M90" s="2069" t="inlineStr">
        <is>
          <t>・</t>
        </is>
      </c>
      <c r="N90" s="1658" t="inlineStr">
        <is>
          <t>無</t>
        </is>
      </c>
      <c r="O90" s="241" t="n"/>
      <c r="P90" s="3315" t="n"/>
      <c r="Q90" s="3316" t="n"/>
      <c r="R90" s="3316" t="n"/>
      <c r="S90" s="3316" t="n"/>
      <c r="T90" s="3316" t="n"/>
      <c r="U90" s="238" t="n"/>
      <c r="V90" s="238" t="n"/>
      <c r="W90" s="238" t="n"/>
      <c r="X90" s="238" t="n"/>
      <c r="Y90" s="238" t="n"/>
      <c r="Z90" s="238" t="n"/>
      <c r="AA90" s="238" t="n"/>
      <c r="AB90" s="2960" t="n"/>
      <c r="AC90" s="2960" t="n"/>
      <c r="AD90" s="2960" t="n"/>
      <c r="AE90" s="2960" t="n"/>
      <c r="AF90" s="2960" t="n"/>
      <c r="AG90" s="2960" t="n"/>
      <c r="AH90" s="2961" t="n"/>
    </row>
    <row r="91" ht="3.75" customHeight="1" s="4080">
      <c r="A91" s="4097" t="n"/>
      <c r="B91" s="4107" t="n"/>
      <c r="C91" s="4102" t="n"/>
      <c r="D91" s="4103" t="n"/>
      <c r="E91" s="4103" t="n"/>
      <c r="F91" s="4103" t="n"/>
      <c r="G91" s="4103" t="n"/>
      <c r="H91" s="4103" t="n"/>
      <c r="I91" s="4103" t="n"/>
      <c r="J91" s="4104" t="n"/>
      <c r="K91" s="1374" t="n"/>
      <c r="L91" s="2059" t="n"/>
      <c r="M91" s="2059" t="n"/>
      <c r="N91" s="2059" t="n"/>
      <c r="O91" s="1375" t="n"/>
      <c r="P91" s="3318" t="n"/>
      <c r="Q91" s="3318" t="n"/>
      <c r="R91" s="3318" t="n"/>
      <c r="S91" s="3318" t="n"/>
      <c r="T91" s="3318" t="n"/>
      <c r="U91" s="244" t="n"/>
      <c r="V91" s="244" t="n"/>
      <c r="W91" s="244" t="n"/>
      <c r="X91" s="244" t="n"/>
      <c r="Y91" s="244" t="n"/>
      <c r="Z91" s="244" t="n"/>
      <c r="AA91" s="244" t="n"/>
      <c r="AB91" s="2963" t="n"/>
      <c r="AC91" s="2963" t="n"/>
      <c r="AD91" s="2963" t="n"/>
      <c r="AE91" s="2963" t="n"/>
      <c r="AF91" s="2963" t="n"/>
      <c r="AG91" s="2963" t="n"/>
      <c r="AH91" s="2964" t="n"/>
    </row>
    <row r="92" ht="15" customHeight="1" s="4080">
      <c r="A92" s="4097" t="n"/>
      <c r="B92" s="4107" t="n"/>
      <c r="C92" s="1393" t="n"/>
      <c r="D92" s="1264" t="inlineStr">
        <is>
          <t>利用料</t>
        </is>
      </c>
      <c r="E92" s="4110" t="n"/>
      <c r="F92" s="4110" t="n"/>
      <c r="G92" s="4110" t="n"/>
      <c r="H92" s="4110" t="n"/>
      <c r="I92" s="4110" t="n"/>
      <c r="J92" s="1394" t="n"/>
      <c r="K92" s="4227" t="n"/>
      <c r="L92" s="4110" t="n"/>
      <c r="M92" s="4110" t="n"/>
      <c r="N92" s="4110" t="n"/>
      <c r="O92" s="4110" t="n"/>
      <c r="P92" s="4110" t="n"/>
      <c r="Q92" s="4110" t="n"/>
      <c r="R92" s="4110" t="n"/>
      <c r="S92" s="4110" t="n"/>
      <c r="T92" s="4110" t="n"/>
      <c r="U92" s="4110" t="n"/>
      <c r="V92" s="4110" t="n"/>
      <c r="W92" s="4110" t="n"/>
      <c r="X92" s="4110" t="n"/>
      <c r="Y92" s="4110" t="n"/>
      <c r="Z92" s="4110" t="n"/>
      <c r="AA92" s="4110" t="n"/>
      <c r="AB92" s="4110" t="n"/>
      <c r="AC92" s="4110" t="n"/>
      <c r="AD92" s="4110" t="n"/>
      <c r="AE92" s="4110" t="n"/>
      <c r="AF92" s="4110" t="n"/>
      <c r="AG92" s="4110" t="n"/>
      <c r="AH92" s="4113" t="n"/>
    </row>
    <row r="93" ht="15" customHeight="1" s="4080">
      <c r="A93" s="4097" t="n"/>
      <c r="B93" s="4107" t="n"/>
      <c r="C93" s="1322" t="n"/>
      <c r="D93" s="1264" t="inlineStr">
        <is>
          <t>その他の費用</t>
        </is>
      </c>
      <c r="E93" s="4110" t="n"/>
      <c r="F93" s="4110" t="n"/>
      <c r="G93" s="4110" t="n"/>
      <c r="H93" s="4110" t="n"/>
      <c r="I93" s="4110" t="n"/>
      <c r="J93" s="1331" t="n"/>
      <c r="K93" s="4121" t="n"/>
      <c r="L93" s="4110" t="n"/>
      <c r="M93" s="4110" t="n"/>
      <c r="N93" s="4110" t="n"/>
      <c r="O93" s="4110" t="n"/>
      <c r="P93" s="4110" t="n"/>
      <c r="Q93" s="4110" t="n"/>
      <c r="R93" s="4110" t="n"/>
      <c r="S93" s="4110" t="n"/>
      <c r="T93" s="4110" t="n"/>
      <c r="U93" s="4110" t="n"/>
      <c r="V93" s="4110" t="n"/>
      <c r="W93" s="4110" t="n"/>
      <c r="X93" s="4110" t="n"/>
      <c r="Y93" s="4110" t="n"/>
      <c r="Z93" s="4110" t="n"/>
      <c r="AA93" s="4110" t="n"/>
      <c r="AB93" s="4110" t="n"/>
      <c r="AC93" s="4110" t="n"/>
      <c r="AD93" s="4110" t="n"/>
      <c r="AE93" s="4110" t="n"/>
      <c r="AF93" s="4110" t="n"/>
      <c r="AG93" s="4110" t="n"/>
      <c r="AH93" s="4113" t="n"/>
    </row>
    <row r="94" ht="20.1" customHeight="1" s="4080">
      <c r="A94" s="4097" t="n"/>
      <c r="B94" s="4107" t="n"/>
      <c r="C94" s="1300" t="n"/>
      <c r="D94" s="4222" t="inlineStr">
        <is>
          <t>通常の事業の
実施地域</t>
        </is>
      </c>
      <c r="E94" s="4098" t="n"/>
      <c r="F94" s="4098" t="n"/>
      <c r="G94" s="4098" t="n"/>
      <c r="H94" s="4098" t="n"/>
      <c r="I94" s="4098" t="n"/>
      <c r="J94" s="1963" t="n"/>
      <c r="K94" s="3272" t="inlineStr">
        <is>
          <t>1)</t>
        </is>
      </c>
      <c r="L94" s="1406" t="n"/>
      <c r="M94" s="4110" t="n"/>
      <c r="N94" s="4110" t="n"/>
      <c r="O94" s="2325" t="inlineStr">
        <is>
          <t>2)</t>
        </is>
      </c>
      <c r="P94" s="1406" t="n"/>
      <c r="Q94" s="4110" t="n"/>
      <c r="R94" s="4110" t="n"/>
      <c r="S94" s="2325" t="inlineStr">
        <is>
          <t>3)</t>
        </is>
      </c>
      <c r="T94" s="1406" t="n"/>
      <c r="U94" s="4110" t="n"/>
      <c r="V94" s="4110" t="n"/>
      <c r="W94" s="2325" t="inlineStr">
        <is>
          <t>4)</t>
        </is>
      </c>
      <c r="X94" s="1406" t="n"/>
      <c r="Y94" s="4110" t="n"/>
      <c r="Z94" s="4110" t="n"/>
      <c r="AA94" s="2325" t="inlineStr">
        <is>
          <t>5)</t>
        </is>
      </c>
      <c r="AB94" s="1406" t="n"/>
      <c r="AC94" s="4110" t="n"/>
      <c r="AD94" s="4110" t="n"/>
      <c r="AE94" s="4229" t="inlineStr">
        <is>
          <t>備考</t>
        </is>
      </c>
      <c r="AF94" s="4230" t="n"/>
      <c r="AG94" s="4098" t="n"/>
      <c r="AH94" s="4101" t="n"/>
    </row>
    <row r="95" ht="20.1" customHeight="1" s="4080">
      <c r="A95" s="4097" t="n"/>
      <c r="B95" s="4107" t="n"/>
      <c r="C95" s="4102" t="n"/>
      <c r="D95" s="4103" t="n"/>
      <c r="E95" s="4103" t="n"/>
      <c r="F95" s="4103" t="n"/>
      <c r="G95" s="4103" t="n"/>
      <c r="H95" s="4103" t="n"/>
      <c r="I95" s="4103" t="n"/>
      <c r="J95" s="4104" t="n"/>
      <c r="K95" s="3272" t="inlineStr">
        <is>
          <t>6)</t>
        </is>
      </c>
      <c r="L95" s="1406" t="n"/>
      <c r="M95" s="4110" t="n"/>
      <c r="N95" s="4110" t="n"/>
      <c r="O95" s="2325" t="inlineStr">
        <is>
          <t>7)</t>
        </is>
      </c>
      <c r="P95" s="1406" t="n"/>
      <c r="Q95" s="4110" t="n"/>
      <c r="R95" s="4110" t="n"/>
      <c r="S95" s="2325" t="inlineStr">
        <is>
          <t>8)</t>
        </is>
      </c>
      <c r="T95" s="1406" t="n"/>
      <c r="U95" s="4110" t="n"/>
      <c r="V95" s="4110" t="n"/>
      <c r="W95" s="2325" t="inlineStr">
        <is>
          <t>9)</t>
        </is>
      </c>
      <c r="X95" s="1406" t="n"/>
      <c r="Y95" s="4110" t="n"/>
      <c r="Z95" s="4110" t="n"/>
      <c r="AA95" s="71" t="inlineStr">
        <is>
          <t>10)</t>
        </is>
      </c>
      <c r="AB95" s="1406" t="n"/>
      <c r="AC95" s="4110" t="n"/>
      <c r="AD95" s="4110" t="n"/>
      <c r="AE95" s="4124" t="n"/>
      <c r="AF95" s="4102" t="n"/>
      <c r="AG95" s="4103" t="n"/>
      <c r="AH95" s="4105" t="n"/>
    </row>
    <row r="96" ht="3.95" customHeight="1" s="4080">
      <c r="A96" s="4097" t="n"/>
      <c r="B96" s="4107" t="n"/>
      <c r="C96" s="3070" t="inlineStr">
        <is>
          <t>その他参考
となる事項</t>
        </is>
      </c>
      <c r="D96" s="4099" t="n"/>
      <c r="E96" s="2753" t="inlineStr">
        <is>
          <t>第三者評価の実施状況</t>
        </is>
      </c>
      <c r="F96" s="4098" t="n"/>
      <c r="G96" s="4098" t="n"/>
      <c r="H96" s="4098" t="n"/>
      <c r="I96" s="4098" t="n"/>
      <c r="J96" s="4099" t="n"/>
      <c r="K96" s="1657" t="n"/>
      <c r="L96" s="1658" t="n"/>
      <c r="M96" s="1658" t="n"/>
      <c r="N96" s="1658" t="n"/>
      <c r="O96" s="1658" t="n"/>
      <c r="P96" s="1658" t="n"/>
      <c r="Q96" s="1658" t="n"/>
      <c r="R96" s="930" t="n"/>
      <c r="AB96" s="1658" t="n"/>
      <c r="AC96" s="1658" t="n"/>
      <c r="AD96" s="1658" t="n"/>
      <c r="AE96" s="1658" t="n"/>
      <c r="AF96" s="1658" t="n"/>
      <c r="AG96" s="1658" t="n"/>
      <c r="AH96" s="1659" t="n"/>
    </row>
    <row r="97" ht="15" customHeight="1" s="4080">
      <c r="A97" s="4097" t="n"/>
      <c r="B97" s="4107" t="n"/>
      <c r="C97" s="4106" t="n"/>
      <c r="D97" s="4107" t="n"/>
      <c r="J97" s="4107" t="n"/>
      <c r="K97" s="1372" t="n"/>
      <c r="L97" s="1432" t="inlineStr">
        <is>
          <t>している</t>
        </is>
      </c>
      <c r="O97" s="1458" t="inlineStr">
        <is>
          <t>(実施先：</t>
        </is>
      </c>
      <c r="AB97" s="1325" t="inlineStr">
        <is>
          <t>)・</t>
        </is>
      </c>
      <c r="AD97" s="1432" t="inlineStr">
        <is>
          <t>していない</t>
        </is>
      </c>
      <c r="AH97" s="1668" t="n"/>
    </row>
    <row r="98" ht="3.95" customHeight="1" s="4080">
      <c r="A98" s="4097" t="n"/>
      <c r="B98" s="4107" t="n"/>
      <c r="C98" s="4106" t="n"/>
      <c r="D98" s="4107" t="n"/>
      <c r="E98" s="4103" t="n"/>
      <c r="F98" s="4103" t="n"/>
      <c r="G98" s="4103" t="n"/>
      <c r="H98" s="4103" t="n"/>
      <c r="I98" s="4103" t="n"/>
      <c r="J98" s="4104" t="n"/>
      <c r="K98" s="1657" t="n"/>
      <c r="L98" s="1658" t="n"/>
      <c r="M98" s="1658" t="n"/>
      <c r="N98" s="1658" t="n"/>
      <c r="O98" s="1658" t="n"/>
      <c r="P98" s="1658" t="n"/>
      <c r="Q98" s="1658" t="n"/>
      <c r="R98" s="4103" t="n"/>
      <c r="S98" s="4103" t="n"/>
      <c r="T98" s="4103" t="n"/>
      <c r="U98" s="4103" t="n"/>
      <c r="V98" s="4103" t="n"/>
      <c r="W98" s="4103" t="n"/>
      <c r="X98" s="4103" t="n"/>
      <c r="Y98" s="4103" t="n"/>
      <c r="Z98" s="4103" t="n"/>
      <c r="AA98" s="4103" t="n"/>
      <c r="AB98" s="1658" t="n"/>
      <c r="AC98" s="1658" t="n"/>
      <c r="AD98" s="1658" t="n"/>
      <c r="AE98" s="1658" t="n"/>
      <c r="AF98" s="1658" t="n"/>
      <c r="AG98" s="1658" t="n"/>
      <c r="AH98" s="1659" t="n"/>
    </row>
    <row r="99" ht="15" customHeight="1" s="4080">
      <c r="A99" s="4097" t="n"/>
      <c r="B99" s="4107" t="n"/>
      <c r="C99" s="4106" t="n"/>
      <c r="D99" s="4107" t="n"/>
      <c r="E99" s="1439" t="inlineStr">
        <is>
          <t>苦情解決の措置概要</t>
        </is>
      </c>
      <c r="F99" s="4098" t="n"/>
      <c r="G99" s="4098" t="n"/>
      <c r="H99" s="4098" t="n"/>
      <c r="I99" s="4098" t="n"/>
      <c r="J99" s="4099" t="n"/>
      <c r="K99" s="2542" t="inlineStr">
        <is>
          <t>窓　口</t>
        </is>
      </c>
      <c r="L99" s="4110" t="n"/>
      <c r="M99" s="4111" t="n"/>
      <c r="N99" s="4121" t="n"/>
      <c r="O99" s="4110" t="n"/>
      <c r="P99" s="4110" t="n"/>
      <c r="Q99" s="4110" t="n"/>
      <c r="R99" s="4110" t="n"/>
      <c r="S99" s="4110" t="n"/>
      <c r="T99" s="4110" t="n"/>
      <c r="U99" s="4110" t="n"/>
      <c r="V99" s="4110" t="n"/>
      <c r="W99" s="4110" t="n"/>
      <c r="X99" s="4110" t="n"/>
      <c r="Y99" s="4110" t="n"/>
      <c r="Z99" s="4110" t="n"/>
      <c r="AA99" s="4110" t="n"/>
      <c r="AB99" s="4110" t="n"/>
      <c r="AC99" s="4110" t="n"/>
      <c r="AD99" s="4110" t="n"/>
      <c r="AE99" s="4110" t="n"/>
      <c r="AF99" s="4110" t="n"/>
      <c r="AG99" s="4110" t="n"/>
      <c r="AH99" s="4113" t="n"/>
    </row>
    <row r="100" ht="15" customHeight="1" s="4080">
      <c r="A100" s="4097" t="n"/>
      <c r="B100" s="4107" t="n"/>
      <c r="C100" s="4106" t="n"/>
      <c r="D100" s="4107" t="n"/>
      <c r="E100" s="4103" t="n"/>
      <c r="F100" s="4103" t="n"/>
      <c r="G100" s="4103" t="n"/>
      <c r="H100" s="4103" t="n"/>
      <c r="I100" s="4103" t="n"/>
      <c r="J100" s="4104" t="n"/>
      <c r="K100" s="2542" t="inlineStr">
        <is>
          <t>担当者</t>
        </is>
      </c>
      <c r="L100" s="4110" t="n"/>
      <c r="M100" s="4111" t="n"/>
      <c r="N100" s="4123" t="n"/>
      <c r="O100" s="4110" t="n"/>
      <c r="P100" s="4110" t="n"/>
      <c r="Q100" s="4110" t="n"/>
      <c r="R100" s="4110" t="n"/>
      <c r="S100" s="4110" t="n"/>
      <c r="T100" s="4110" t="n"/>
      <c r="U100" s="4111" t="n"/>
      <c r="V100" s="2163" t="inlineStr">
        <is>
          <t>電話</t>
        </is>
      </c>
      <c r="W100" s="4111" t="n"/>
      <c r="X100" s="882" t="n"/>
      <c r="Y100" s="4110" t="n"/>
      <c r="Z100" s="4110" t="n"/>
      <c r="AA100" s="1492" t="inlineStr">
        <is>
          <t>－</t>
        </is>
      </c>
      <c r="AB100" s="920" t="n"/>
      <c r="AC100" s="4110" t="n"/>
      <c r="AD100" s="4110" t="n"/>
      <c r="AE100" s="1492" t="inlineStr">
        <is>
          <t>－</t>
        </is>
      </c>
      <c r="AF100" s="955" t="n"/>
      <c r="AG100" s="4110" t="n"/>
      <c r="AH100" s="4113" t="n"/>
    </row>
    <row r="101" ht="15" customHeight="1" s="4080">
      <c r="A101" s="4097" t="n"/>
      <c r="B101" s="4107" t="n"/>
      <c r="C101" s="4106" t="n"/>
      <c r="D101" s="4107" t="n"/>
      <c r="E101" s="1331" t="inlineStr">
        <is>
          <t>そ　　 の 　　他</t>
        </is>
      </c>
      <c r="F101" s="4098" t="n"/>
      <c r="G101" s="4098" t="n"/>
      <c r="H101" s="4098" t="n"/>
      <c r="I101" s="4098" t="n"/>
      <c r="J101" s="4099" t="n"/>
      <c r="K101" s="4228" t="n"/>
      <c r="L101" s="4098" t="n"/>
      <c r="M101" s="4098" t="n"/>
      <c r="N101" s="4098" t="n"/>
      <c r="O101" s="4098" t="n"/>
      <c r="P101" s="4098" t="n"/>
      <c r="Q101" s="4098" t="n"/>
      <c r="R101" s="4098" t="n"/>
      <c r="S101" s="4098" t="n"/>
      <c r="T101" s="4098" t="n"/>
      <c r="U101" s="4098" t="n"/>
      <c r="V101" s="4098" t="n"/>
      <c r="W101" s="4098" t="n"/>
      <c r="X101" s="4098" t="n"/>
      <c r="Y101" s="4098" t="n"/>
      <c r="Z101" s="4098" t="n"/>
      <c r="AA101" s="4098" t="n"/>
      <c r="AB101" s="4098" t="n"/>
      <c r="AC101" s="4098" t="n"/>
      <c r="AD101" s="4098" t="n"/>
      <c r="AE101" s="4098" t="n"/>
      <c r="AF101" s="4098" t="n"/>
      <c r="AG101" s="4098" t="n"/>
      <c r="AH101" s="4101" t="n"/>
    </row>
    <row r="102" ht="15" customHeight="1" s="4080">
      <c r="A102" s="2915" t="n"/>
      <c r="B102" s="1264" t="inlineStr">
        <is>
          <t>協力医療機関</t>
        </is>
      </c>
      <c r="C102" s="4098" t="n"/>
      <c r="D102" s="4098" t="n"/>
      <c r="E102" s="4098" t="n"/>
      <c r="F102" s="4098" t="n"/>
      <c r="G102" s="4098" t="n"/>
      <c r="H102" s="4098" t="n"/>
      <c r="I102" s="4098" t="n"/>
      <c r="J102" s="2077" t="n"/>
      <c r="K102" s="1865" t="inlineStr">
        <is>
          <t>ﾌﾘｶﾞﾅ</t>
        </is>
      </c>
      <c r="L102" s="4110" t="n"/>
      <c r="M102" s="4110" t="n"/>
      <c r="N102" s="4432" t="n"/>
      <c r="O102" s="4110" t="n"/>
      <c r="P102" s="4110" t="n"/>
      <c r="Q102" s="4110" t="n"/>
      <c r="R102" s="4110" t="n"/>
      <c r="S102" s="4110" t="n"/>
      <c r="T102" s="4110" t="n"/>
      <c r="U102" s="4110" t="n"/>
      <c r="V102" s="4110" t="n"/>
      <c r="W102" s="4110" t="n"/>
      <c r="X102" s="4110" t="n"/>
      <c r="Y102" s="4110" t="n"/>
      <c r="Z102" s="4110" t="n"/>
      <c r="AA102" s="4110" t="n"/>
      <c r="AB102" s="4111" t="n"/>
      <c r="AC102" s="3362" t="inlineStr">
        <is>
          <t>主な診療科名</t>
        </is>
      </c>
      <c r="AD102" s="4099" t="n"/>
      <c r="AE102" s="4224" t="n"/>
      <c r="AF102" s="4098" t="n"/>
      <c r="AG102" s="4098" t="n"/>
      <c r="AH102" s="4101" t="n"/>
    </row>
    <row r="103" ht="24" customHeight="1" s="4080">
      <c r="A103" s="4114" t="n"/>
      <c r="B103" s="4103" t="n"/>
      <c r="C103" s="4103" t="n"/>
      <c r="D103" s="4103" t="n"/>
      <c r="E103" s="4103" t="n"/>
      <c r="F103" s="4103" t="n"/>
      <c r="G103" s="4103" t="n"/>
      <c r="H103" s="4103" t="n"/>
      <c r="I103" s="4103" t="n"/>
      <c r="J103" s="4104" t="n"/>
      <c r="K103" s="2164" t="inlineStr">
        <is>
          <t>名　称</t>
        </is>
      </c>
      <c r="L103" s="4110" t="n"/>
      <c r="M103" s="4111" t="n"/>
      <c r="N103" s="4123" t="n"/>
      <c r="O103" s="4110" t="n"/>
      <c r="P103" s="4110" t="n"/>
      <c r="Q103" s="4110" t="n"/>
      <c r="R103" s="4110" t="n"/>
      <c r="S103" s="4110" t="n"/>
      <c r="T103" s="4110" t="n"/>
      <c r="U103" s="4110" t="n"/>
      <c r="V103" s="4110" t="n"/>
      <c r="W103" s="4110" t="n"/>
      <c r="X103" s="4110" t="n"/>
      <c r="Y103" s="4110" t="n"/>
      <c r="Z103" s="4110" t="n"/>
      <c r="AA103" s="4110" t="n"/>
      <c r="AB103" s="4111" t="n"/>
      <c r="AC103" s="4103" t="n"/>
      <c r="AD103" s="4104" t="n"/>
      <c r="AE103" s="4102" t="n"/>
      <c r="AF103" s="4103" t="n"/>
      <c r="AG103" s="4103" t="n"/>
      <c r="AH103" s="4105" t="n"/>
    </row>
    <row r="104" ht="17.1" customHeight="1" s="4080" thickBot="1">
      <c r="A104" s="4234" t="inlineStr">
        <is>
          <t>添　　付　　書　　類</t>
        </is>
      </c>
      <c r="B104" s="4153" t="n"/>
      <c r="C104" s="4153" t="n"/>
      <c r="D104" s="4153" t="n"/>
      <c r="E104" s="4153" t="n"/>
      <c r="F104" s="4153" t="n"/>
      <c r="G104" s="4153" t="n"/>
      <c r="H104" s="4153" t="n"/>
      <c r="I104" s="4153" t="n"/>
      <c r="J104" s="4154" t="n"/>
      <c r="K104" s="4235" t="inlineStr">
        <is>
          <t xml:space="preserve">　別紙「添付書類一覧表」のとおり</t>
        </is>
      </c>
      <c r="L104" s="4153" t="n"/>
      <c r="M104" s="4153" t="n"/>
      <c r="N104" s="4153" t="n"/>
      <c r="O104" s="4153" t="n"/>
      <c r="P104" s="4153" t="n"/>
      <c r="Q104" s="4153" t="n"/>
      <c r="R104" s="4153" t="n"/>
      <c r="S104" s="4153" t="n"/>
      <c r="T104" s="4153" t="n"/>
      <c r="U104" s="4153" t="n"/>
      <c r="V104" s="4153" t="n"/>
      <c r="W104" s="4153" t="n"/>
      <c r="X104" s="4153" t="n"/>
      <c r="Y104" s="4153" t="n"/>
      <c r="Z104" s="4153" t="n"/>
      <c r="AA104" s="4153" t="n"/>
      <c r="AB104" s="4153" t="n"/>
      <c r="AC104" s="4153" t="n"/>
      <c r="AD104" s="4153" t="n"/>
      <c r="AE104" s="4153" t="n"/>
      <c r="AF104" s="4153" t="n"/>
      <c r="AG104" s="4153" t="n"/>
      <c r="AH104" s="4155" t="n"/>
    </row>
  </sheetData>
  <mergeCells count="452">
    <mergeCell ref="Z43:AB43"/>
    <mergeCell ref="W47:Y47"/>
    <mergeCell ref="P66:P68"/>
    <mergeCell ref="N42:P42"/>
    <mergeCell ref="V100:W100"/>
    <mergeCell ref="K11:AH11"/>
    <mergeCell ref="J102:J103"/>
    <mergeCell ref="C81:C83"/>
    <mergeCell ref="X27:AH29"/>
    <mergeCell ref="AC34:AH34"/>
    <mergeCell ref="Q44:V44"/>
    <mergeCell ref="V18:AH18"/>
    <mergeCell ref="U73:W73"/>
    <mergeCell ref="K38:P38"/>
    <mergeCell ref="C10:E11"/>
    <mergeCell ref="T64:U64"/>
    <mergeCell ref="W60:AH60"/>
    <mergeCell ref="T31:V33"/>
    <mergeCell ref="AA2:AA3"/>
    <mergeCell ref="L95:N95"/>
    <mergeCell ref="C63:C65"/>
    <mergeCell ref="W53:Y53"/>
    <mergeCell ref="N30:O33"/>
    <mergeCell ref="AC2:AC3"/>
    <mergeCell ref="P85:T88"/>
    <mergeCell ref="C22:L22"/>
    <mergeCell ref="L97:N97"/>
    <mergeCell ref="K36:M36"/>
    <mergeCell ref="E96:J98"/>
    <mergeCell ref="AD75:AH77"/>
    <mergeCell ref="K100:M100"/>
    <mergeCell ref="T54:V54"/>
    <mergeCell ref="F13:I13"/>
    <mergeCell ref="AA66:AA68"/>
    <mergeCell ref="AD97:AG97"/>
    <mergeCell ref="AD66:AH74"/>
    <mergeCell ref="W50:AB50"/>
    <mergeCell ref="K102:M102"/>
    <mergeCell ref="Q50:V50"/>
    <mergeCell ref="K59:P59"/>
    <mergeCell ref="Y23:AH23"/>
    <mergeCell ref="V65:AB65"/>
    <mergeCell ref="C20:AH20"/>
    <mergeCell ref="AA72:AA74"/>
    <mergeCell ref="C55:J55"/>
    <mergeCell ref="W48:Y48"/>
    <mergeCell ref="W81:Z82"/>
    <mergeCell ref="Q48:S48"/>
    <mergeCell ref="AF100:AH100"/>
    <mergeCell ref="C34:J35"/>
    <mergeCell ref="T27:V29"/>
    <mergeCell ref="A1:Y1"/>
    <mergeCell ref="AE1:AF1"/>
    <mergeCell ref="K49:M49"/>
    <mergeCell ref="E99:J100"/>
    <mergeCell ref="T49:V49"/>
    <mergeCell ref="N47:P47"/>
    <mergeCell ref="T42:V42"/>
    <mergeCell ref="AA69:AA71"/>
    <mergeCell ref="C26:E26"/>
    <mergeCell ref="J27:M29"/>
    <mergeCell ref="C37:J37"/>
    <mergeCell ref="W55:AB55"/>
    <mergeCell ref="AC87:AH87"/>
    <mergeCell ref="Q55:V55"/>
    <mergeCell ref="N70:O70"/>
    <mergeCell ref="Q38:V38"/>
    <mergeCell ref="N102:AB102"/>
    <mergeCell ref="Q35:S35"/>
    <mergeCell ref="P30:S30"/>
    <mergeCell ref="AE81:AH82"/>
    <mergeCell ref="T79:V79"/>
    <mergeCell ref="K85:K88"/>
    <mergeCell ref="Q40:V40"/>
    <mergeCell ref="Q49:S49"/>
    <mergeCell ref="N103:AB103"/>
    <mergeCell ref="Q36:S36"/>
    <mergeCell ref="Z2:Z3"/>
    <mergeCell ref="AB2:AB3"/>
    <mergeCell ref="AD2:AD3"/>
    <mergeCell ref="L76:L77"/>
    <mergeCell ref="S75:S77"/>
    <mergeCell ref="K103:M103"/>
    <mergeCell ref="T26:X26"/>
    <mergeCell ref="Z84:AH84"/>
    <mergeCell ref="D63:I65"/>
    <mergeCell ref="N35:P35"/>
    <mergeCell ref="X66:X68"/>
    <mergeCell ref="A56:J56"/>
    <mergeCell ref="B102:I103"/>
    <mergeCell ref="Q54:S54"/>
    <mergeCell ref="N53:P53"/>
    <mergeCell ref="K62:O62"/>
    <mergeCell ref="K76:K77"/>
    <mergeCell ref="Z37:AB37"/>
    <mergeCell ref="P14:Q16"/>
    <mergeCell ref="AC79:AE79"/>
    <mergeCell ref="N48:P48"/>
    <mergeCell ref="K52:M52"/>
    <mergeCell ref="I8:M9"/>
    <mergeCell ref="Q59:V59"/>
    <mergeCell ref="T65:U65"/>
    <mergeCell ref="Q46:V46"/>
    <mergeCell ref="L64:L65"/>
    <mergeCell ref="Y67:Z67"/>
    <mergeCell ref="N64:N65"/>
    <mergeCell ref="W42:Y42"/>
    <mergeCell ref="Q61:V61"/>
    <mergeCell ref="D92:I92"/>
    <mergeCell ref="K53:M53"/>
    <mergeCell ref="W17:AH17"/>
    <mergeCell ref="N73:O73"/>
    <mergeCell ref="W83:Z83"/>
    <mergeCell ref="S66:T68"/>
    <mergeCell ref="P72:P74"/>
    <mergeCell ref="W19:AH19"/>
    <mergeCell ref="N26:O29"/>
    <mergeCell ref="N54:P54"/>
    <mergeCell ref="AF37:AH37"/>
    <mergeCell ref="M57:N57"/>
    <mergeCell ref="N41:P41"/>
    <mergeCell ref="W34:AB34"/>
    <mergeCell ref="C17:M19"/>
    <mergeCell ref="T14:V16"/>
    <mergeCell ref="Q52:S52"/>
    <mergeCell ref="K64:K65"/>
    <mergeCell ref="N43:P43"/>
    <mergeCell ref="M64:M65"/>
    <mergeCell ref="J63:J65"/>
    <mergeCell ref="C14:E16"/>
    <mergeCell ref="Q62:R62"/>
    <mergeCell ref="N66:O66"/>
    <mergeCell ref="J75:J77"/>
    <mergeCell ref="F27:I29"/>
    <mergeCell ref="AE102:AH103"/>
    <mergeCell ref="K81:N82"/>
    <mergeCell ref="T94:V94"/>
    <mergeCell ref="X69:X71"/>
    <mergeCell ref="AF42:AH42"/>
    <mergeCell ref="V76:AB76"/>
    <mergeCell ref="AF47:AH47"/>
    <mergeCell ref="M24:X24"/>
    <mergeCell ref="I10:K10"/>
    <mergeCell ref="C96:D101"/>
    <mergeCell ref="T95:V95"/>
    <mergeCell ref="AC51:AH51"/>
    <mergeCell ref="J81:J83"/>
    <mergeCell ref="C7:E9"/>
    <mergeCell ref="J85:J88"/>
    <mergeCell ref="V77:AB77"/>
    <mergeCell ref="V86:AA86"/>
    <mergeCell ref="X14:AH16"/>
    <mergeCell ref="AF48:AH48"/>
    <mergeCell ref="C48:J48"/>
    <mergeCell ref="Q76:Q77"/>
    <mergeCell ref="A12:S12"/>
    <mergeCell ref="A104:J104"/>
    <mergeCell ref="N8:O9"/>
    <mergeCell ref="Q51:V51"/>
    <mergeCell ref="AF10:AH10"/>
    <mergeCell ref="S17:U19"/>
    <mergeCell ref="AE83:AH83"/>
    <mergeCell ref="C85:C86"/>
    <mergeCell ref="L88:N88"/>
    <mergeCell ref="AC42:AE42"/>
    <mergeCell ref="K60:O60"/>
    <mergeCell ref="Z35:AB35"/>
    <mergeCell ref="Y24:AH24"/>
    <mergeCell ref="Y56:Y58"/>
    <mergeCell ref="N67:O67"/>
    <mergeCell ref="F30:I30"/>
    <mergeCell ref="C36:J36"/>
    <mergeCell ref="Z36:AB36"/>
    <mergeCell ref="L86:L87"/>
    <mergeCell ref="N86:N87"/>
    <mergeCell ref="N69:O69"/>
    <mergeCell ref="V66:W66"/>
    <mergeCell ref="C25:L25"/>
    <mergeCell ref="AB94:AD94"/>
    <mergeCell ref="N37:P37"/>
    <mergeCell ref="K104:AH104"/>
    <mergeCell ref="T47:V47"/>
    <mergeCell ref="W35:Y35"/>
    <mergeCell ref="AF94:AH95"/>
    <mergeCell ref="P13:S13"/>
    <mergeCell ref="Q10:S10"/>
    <mergeCell ref="F4:AH4"/>
    <mergeCell ref="U2:X3"/>
    <mergeCell ref="D75:I77"/>
    <mergeCell ref="X72:X74"/>
    <mergeCell ref="W59:AH59"/>
    <mergeCell ref="C5:E6"/>
    <mergeCell ref="K83:N83"/>
    <mergeCell ref="A13:B25"/>
    <mergeCell ref="J14:M16"/>
    <mergeCell ref="D66:I74"/>
    <mergeCell ref="C66:C74"/>
    <mergeCell ref="T52:V52"/>
    <mergeCell ref="F7:I7"/>
    <mergeCell ref="AC52:AE52"/>
    <mergeCell ref="K101:AH101"/>
    <mergeCell ref="Y21:AH21"/>
    <mergeCell ref="T13:X13"/>
    <mergeCell ref="Z49:AB49"/>
    <mergeCell ref="K92:AH92"/>
    <mergeCell ref="AC37:AE37"/>
    <mergeCell ref="C4:E4"/>
    <mergeCell ref="AC47:AE47"/>
    <mergeCell ref="AA81:AD82"/>
    <mergeCell ref="S81:V82"/>
    <mergeCell ref="AB100:AD100"/>
    <mergeCell ref="W54:Y54"/>
    <mergeCell ref="AG1:AH1"/>
    <mergeCell ref="W41:Y41"/>
    <mergeCell ref="C31:E33"/>
    <mergeCell ref="Z52:AB52"/>
    <mergeCell ref="W43:Y43"/>
    <mergeCell ref="AB95:AD95"/>
    <mergeCell ref="N72:O72"/>
    <mergeCell ref="K42:M42"/>
    <mergeCell ref="D93:I93"/>
    <mergeCell ref="P31:Q33"/>
    <mergeCell ref="M86:M87"/>
    <mergeCell ref="R76:R77"/>
    <mergeCell ref="U67:W67"/>
    <mergeCell ref="K69:M71"/>
    <mergeCell ref="K37:M37"/>
    <mergeCell ref="K34:P34"/>
    <mergeCell ref="K84:N84"/>
    <mergeCell ref="C39:J41"/>
    <mergeCell ref="F26:I26"/>
    <mergeCell ref="Y12:Z12"/>
    <mergeCell ref="AA12:AB12"/>
    <mergeCell ref="C21:L21"/>
    <mergeCell ref="AA79:AB79"/>
    <mergeCell ref="A57:J57"/>
    <mergeCell ref="T53:V53"/>
    <mergeCell ref="AC86:AH86"/>
    <mergeCell ref="V87:AA87"/>
    <mergeCell ref="AF54:AH54"/>
    <mergeCell ref="AC53:AE53"/>
    <mergeCell ref="C23:L23"/>
    <mergeCell ref="K44:P44"/>
    <mergeCell ref="C94:C95"/>
    <mergeCell ref="K72:M74"/>
    <mergeCell ref="W46:AB46"/>
    <mergeCell ref="S63:S65"/>
    <mergeCell ref="O76:O77"/>
    <mergeCell ref="T37:V37"/>
    <mergeCell ref="AC41:AE41"/>
    <mergeCell ref="T48:V48"/>
    <mergeCell ref="AB97:AC97"/>
    <mergeCell ref="Q42:S42"/>
    <mergeCell ref="C38:J38"/>
    <mergeCell ref="Z1:AA1"/>
    <mergeCell ref="A59:J60"/>
    <mergeCell ref="P79:Q79"/>
    <mergeCell ref="X31:AH33"/>
    <mergeCell ref="K47:M47"/>
    <mergeCell ref="T30:X30"/>
    <mergeCell ref="F5:AH6"/>
    <mergeCell ref="AC43:AE43"/>
    <mergeCell ref="S83:V83"/>
    <mergeCell ref="A61:J62"/>
    <mergeCell ref="N100:U100"/>
    <mergeCell ref="M22:X22"/>
    <mergeCell ref="AC102:AD103"/>
    <mergeCell ref="Q34:V34"/>
    <mergeCell ref="C51:J52"/>
    <mergeCell ref="D94:I95"/>
    <mergeCell ref="Z48:AB48"/>
    <mergeCell ref="P26:S26"/>
    <mergeCell ref="C24:L24"/>
    <mergeCell ref="AF2:AF3"/>
    <mergeCell ref="AH2:AH3"/>
    <mergeCell ref="K39:AH39"/>
    <mergeCell ref="N49:P49"/>
    <mergeCell ref="C13:E13"/>
    <mergeCell ref="J7:N7"/>
    <mergeCell ref="A63:B101"/>
    <mergeCell ref="N36:P36"/>
    <mergeCell ref="T10:W10"/>
    <mergeCell ref="AC48:AE48"/>
    <mergeCell ref="Q47:S47"/>
    <mergeCell ref="O81:R82"/>
    <mergeCell ref="V63:AB63"/>
    <mergeCell ref="W56:X58"/>
    <mergeCell ref="P94:R94"/>
    <mergeCell ref="K35:M35"/>
    <mergeCell ref="Y25:AH25"/>
    <mergeCell ref="AC63:AC65"/>
    <mergeCell ref="W51:AB51"/>
    <mergeCell ref="K99:M99"/>
    <mergeCell ref="P95:R95"/>
    <mergeCell ref="K50:P50"/>
    <mergeCell ref="P7:AH9"/>
    <mergeCell ref="P84:T84"/>
    <mergeCell ref="Z56:AH58"/>
    <mergeCell ref="N13:O16"/>
    <mergeCell ref="J31:M33"/>
    <mergeCell ref="T63:U63"/>
    <mergeCell ref="C54:J54"/>
    <mergeCell ref="AF41:AH41"/>
    <mergeCell ref="K48:M48"/>
    <mergeCell ref="AF35:AH35"/>
    <mergeCell ref="U84:X84"/>
    <mergeCell ref="X10:Z10"/>
    <mergeCell ref="U12:V12"/>
    <mergeCell ref="AB10:AD10"/>
    <mergeCell ref="W12:X12"/>
    <mergeCell ref="C43:J43"/>
    <mergeCell ref="T76:U76"/>
    <mergeCell ref="AF36:AH36"/>
    <mergeCell ref="S69:T71"/>
    <mergeCell ref="C30:E30"/>
    <mergeCell ref="Y70:Z70"/>
    <mergeCell ref="Q70:R70"/>
    <mergeCell ref="K78:AH78"/>
    <mergeCell ref="T35:V35"/>
    <mergeCell ref="K55:P55"/>
    <mergeCell ref="K80:AH80"/>
    <mergeCell ref="K41:M41"/>
    <mergeCell ref="K46:P46"/>
    <mergeCell ref="N52:P52"/>
    <mergeCell ref="K40:P40"/>
    <mergeCell ref="K43:M43"/>
    <mergeCell ref="AE2:AE3"/>
    <mergeCell ref="AG2:AG3"/>
    <mergeCell ref="Y2:Y3"/>
    <mergeCell ref="M25:X25"/>
    <mergeCell ref="X94:Z94"/>
    <mergeCell ref="C44:J44"/>
    <mergeCell ref="Q2:S2"/>
    <mergeCell ref="Q60:R60"/>
    <mergeCell ref="J13:M13"/>
    <mergeCell ref="X79:Y79"/>
    <mergeCell ref="Q53:S53"/>
    <mergeCell ref="AF43:AH43"/>
    <mergeCell ref="W44:AB44"/>
    <mergeCell ref="F10:H10"/>
    <mergeCell ref="K54:M54"/>
    <mergeCell ref="O97:Q97"/>
    <mergeCell ref="AE94:AE95"/>
    <mergeCell ref="C49:J49"/>
    <mergeCell ref="T77:U77"/>
    <mergeCell ref="C42:J42"/>
    <mergeCell ref="Q64:Q65"/>
    <mergeCell ref="C89:J91"/>
    <mergeCell ref="S72:T74"/>
    <mergeCell ref="M21:X21"/>
    <mergeCell ref="L85:N85"/>
    <mergeCell ref="C78:C80"/>
    <mergeCell ref="Y73:Z73"/>
    <mergeCell ref="Q73:R73"/>
    <mergeCell ref="K61:P61"/>
    <mergeCell ref="AC44:AH44"/>
    <mergeCell ref="X100:Z100"/>
    <mergeCell ref="S62:V62"/>
    <mergeCell ref="P69:P71"/>
    <mergeCell ref="Q41:S41"/>
    <mergeCell ref="J94:J95"/>
    <mergeCell ref="W38:AB38"/>
    <mergeCell ref="J30:M30"/>
    <mergeCell ref="A4:B11"/>
    <mergeCell ref="O85:O88"/>
    <mergeCell ref="Q43:S43"/>
    <mergeCell ref="W40:AB40"/>
    <mergeCell ref="X95:Z95"/>
    <mergeCell ref="D84:I84"/>
    <mergeCell ref="A102:A103"/>
    <mergeCell ref="Y22:AH22"/>
    <mergeCell ref="W36:Y36"/>
    <mergeCell ref="N76:N77"/>
    <mergeCell ref="P76:P77"/>
    <mergeCell ref="AB1:AD1"/>
    <mergeCell ref="F31:I33"/>
    <mergeCell ref="V75:AB75"/>
    <mergeCell ref="AC12:AD12"/>
    <mergeCell ref="AE12:AF12"/>
    <mergeCell ref="AD63:AH65"/>
    <mergeCell ref="Z42:AB42"/>
    <mergeCell ref="N2:O2"/>
    <mergeCell ref="E101:J101"/>
    <mergeCell ref="C50:J50"/>
    <mergeCell ref="D78:I80"/>
    <mergeCell ref="P27:Q29"/>
    <mergeCell ref="A34:B55"/>
    <mergeCell ref="M76:M77"/>
    <mergeCell ref="AF52:AH52"/>
    <mergeCell ref="N17:R17"/>
    <mergeCell ref="M23:X23"/>
    <mergeCell ref="V64:AB64"/>
    <mergeCell ref="N19:R19"/>
    <mergeCell ref="T75:U75"/>
    <mergeCell ref="W49:Y49"/>
    <mergeCell ref="C87:C88"/>
    <mergeCell ref="AF49:AH49"/>
    <mergeCell ref="P64:P65"/>
    <mergeCell ref="R64:R65"/>
    <mergeCell ref="K51:P51"/>
    <mergeCell ref="F11:J11"/>
    <mergeCell ref="AA83:AD83"/>
    <mergeCell ref="Z47:AB47"/>
    <mergeCell ref="AC35:AE35"/>
    <mergeCell ref="C45:J47"/>
    <mergeCell ref="D85:I88"/>
    <mergeCell ref="F14:I16"/>
    <mergeCell ref="L79:N79"/>
    <mergeCell ref="T41:V41"/>
    <mergeCell ref="Q67:R67"/>
    <mergeCell ref="S60:V60"/>
    <mergeCell ref="C27:E29"/>
    <mergeCell ref="AC50:AH50"/>
    <mergeCell ref="W52:Y52"/>
    <mergeCell ref="O64:O65"/>
    <mergeCell ref="T43:V43"/>
    <mergeCell ref="AC75:AC77"/>
    <mergeCell ref="O83:R83"/>
    <mergeCell ref="W37:Y37"/>
    <mergeCell ref="N99:AH99"/>
    <mergeCell ref="T36:V36"/>
    <mergeCell ref="F8:H9"/>
    <mergeCell ref="J26:M26"/>
    <mergeCell ref="U70:W70"/>
    <mergeCell ref="AF53:AH53"/>
    <mergeCell ref="C53:J53"/>
    <mergeCell ref="D81:I83"/>
    <mergeCell ref="Z53:AB53"/>
    <mergeCell ref="M10:O10"/>
    <mergeCell ref="R79:S79"/>
    <mergeCell ref="AC55:AH55"/>
    <mergeCell ref="AC38:AH38"/>
    <mergeCell ref="AC54:AE54"/>
    <mergeCell ref="L94:N94"/>
    <mergeCell ref="J66:J74"/>
    <mergeCell ref="R96:AA98"/>
    <mergeCell ref="AC46:AH46"/>
    <mergeCell ref="AF79:AH79"/>
    <mergeCell ref="AC40:AH40"/>
    <mergeCell ref="A26:B33"/>
    <mergeCell ref="AC49:AE49"/>
    <mergeCell ref="J78:J80"/>
    <mergeCell ref="AC36:AE36"/>
    <mergeCell ref="K66:M68"/>
    <mergeCell ref="K93:AH93"/>
    <mergeCell ref="C75:C77"/>
    <mergeCell ref="AC66:AC74"/>
    <mergeCell ref="Z54:AB54"/>
    <mergeCell ref="Q37:S37"/>
    <mergeCell ref="Z41:AB41"/>
    <mergeCell ref="Q56:V58"/>
    <mergeCell ref="K45:AH45"/>
  </mergeCells>
  <conditionalFormatting sqref="Z61:Z62 AC42:AH44 AC48:AH50">
    <cfRule type="cellIs" priority="1" operator="lessThanOrEqual" dxfId="0" stopIfTrue="1">
      <formula>0</formula>
    </cfRule>
  </conditionalFormatting>
  <dataValidations count="12">
    <dataValidation sqref="M10:O10 Q10:S10 X10:Z10 AB10:AD10 AF10:AH10" showDropDown="0" showInputMessage="1" showErrorMessage="1" allowBlank="1" error="全角数字で入力してください" imeMode="fullAlpha"/>
    <dataValidation sqref="K51:AH51" showDropDown="0" showInputMessage="1" showErrorMessage="1" allowBlank="1" type="list" errorStyle="information">
      <formula1>"　,職業指導員,あん摩マッサージ指圧師,介護職員,保育士,事務職員,調理員,栄養士,運転手"</formula1>
    </dataValidation>
    <dataValidation sqref="K39 K45" showDropDown="0" showInputMessage="1" showErrorMessage="1" allowBlank="1" error="栄養士、調理員、事務職員、運転手等の直接処遇職員以外の職員は、(14)以降に記入すること" type="list" errorStyle="warning">
      <formula1>"　,医師,看護師(保健師),職業指導員,生活支援員,心理判定員,職能判定員,作業療法士,あん摩マッサージ指圧師,介護職員,保育士"</formula1>
    </dataValidation>
    <dataValidation sqref="K36:AH38 K42:AH44 K48:AH50 K53:P58 Q53:AH55 W56 W61:W62 Y61:Z62" showDropDown="0" showInputMessage="1" showErrorMessage="1" allowBlank="1" imeMode="halfAlpha"/>
    <dataValidation sqref="V86:AA87 AC86:AH87" showDropDown="0" showInputMessage="1" showErrorMessage="1" allowBlank="1" error="このサービスの組み合わせは、多機能型では選択できません" type="list">
      <formula1>"　,児童デイサービス,自立訓練(生活訓練),自立訓練(機能訓練),就労移行支援,就労継続支援(A型),就労継続支援(B型)"</formula1>
    </dataValidation>
    <dataValidation sqref="L79 N67 N70 N73 T79 U67:V67 U70:V70 U73:V73" showDropDown="0" showInputMessage="1" showErrorMessage="1" allowBlank="1" type="list">
      <formula1>"　,１,２,３,４,５,６,７,８,９,１０,１１,１２,１３,１４,１５,１６,１７,１８,１９,２０,２１,２２,２３,２４"</formula1>
    </dataValidation>
    <dataValidation sqref="I10:K10 J7:N7 K84:N84 T13:X13 T26:X26 T30:X30 U12:V12 U84 X100 Y2:AH3 Y12:Z12 AB100:AD100 AC12:AD12 AF100" showDropDown="0" showInputMessage="1" showErrorMessage="1" allowBlank="1" imeMode="fullAlpha"/>
    <dataValidation sqref="K64:R65 K76:R77 K83 O83 S83 W83 AA83 AE83" showDropDown="0" showInputMessage="1" showErrorMessage="1" allowBlank="1" type="list">
      <formula1>"　,○"</formula1>
    </dataValidation>
    <dataValidation sqref="F4:AH4 F13:M13 F26:M26 F30:M30 J102 N102 AE102" showDropDown="0" showInputMessage="1" showErrorMessage="1" allowBlank="1" imeMode="halfKatakana"/>
    <dataValidation sqref="AB85:AH85 AB88:AH91" showDropDown="0" showInputMessage="1" showErrorMessage="1" allowBlank="1" type="list">
      <formula1>"　,サービス提供責任者,事務職員,サービス提供責任者、事務職員"</formula1>
    </dataValidation>
    <dataValidation sqref="K92:AH92" showDropDown="0" showInputMessage="1" showErrorMessage="1" allowBlank="1" type="list" errorStyle="warning">
      <formula1>"　,法定代理受領分：厚生労働大臣が定める基準の10/100、法定代理受領分以外：厚生労働大臣が定める基準"</formula1>
    </dataValidation>
    <dataValidation sqref="K93:AH93" showDropDown="0" showInputMessage="1" showErrorMessage="1" allowBlank="1" type="list">
      <formula1>"　,運営規程に定めるとおり"</formula1>
    </dataValidation>
  </dataValidations>
  <printOptions horizontalCentered="1"/>
  <pageMargins left="0.7086614173228347" right="0.5905511811023623" top="0.72" bottom="0.3937007874015748" header="0.5118110236220472" footer="0.5118110236220472"/>
  <pageSetup orientation="portrait" paperSize="9"/>
  <rowBreaks count="1" manualBreakCount="1">
    <brk id="62" min="0" max="33" man="1"/>
  </rowBreaks>
  <legacyDrawing xmlns:r="http://schemas.openxmlformats.org/officeDocument/2006/relationships" r:id="anysvml"/>
</worksheet>
</file>

<file path=xl/worksheets/sheet10.xml><?xml version="1.0" encoding="utf-8"?>
<worksheet xmlns="http://schemas.openxmlformats.org/spreadsheetml/2006/main">
  <sheetPr codeName="Sheet9">
    <outlinePr summaryBelow="1" summaryRight="1"/>
    <pageSetUpPr/>
  </sheetPr>
  <dimension ref="A1:AN101"/>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7.1" customHeight="1" s="4080" thickBot="1">
      <c r="A1" s="1213" t="inlineStr">
        <is>
          <t>付表５　生活介護事業所の指定に係る記載事項</t>
        </is>
      </c>
      <c r="Z1" s="2082" t="inlineStr">
        <is>
          <t>１</t>
        </is>
      </c>
      <c r="AA1" s="4087" t="n"/>
      <c r="AB1" s="1754" t="inlineStr">
        <is>
          <t>単位／</t>
        </is>
      </c>
      <c r="AC1" s="4087" t="n"/>
      <c r="AD1" s="4087" t="n"/>
      <c r="AE1" s="2082" t="inlineStr">
        <is>
          <t>１</t>
        </is>
      </c>
      <c r="AF1" s="4087" t="n"/>
      <c r="AG1" s="1755" t="inlineStr">
        <is>
          <t>単位</t>
        </is>
      </c>
      <c r="AH1" s="4087" t="n"/>
      <c r="AN1" s="719">
        <f>HYPERLINK("#目次!A1","目次へ戻る")</f>
        <v/>
      </c>
    </row>
    <row r="2" ht="15" customHeight="1" s="4080">
      <c r="A2" s="45" t="n"/>
      <c r="B2" s="1889" t="n"/>
      <c r="C2" s="1889" t="n"/>
      <c r="D2" s="1889" t="n"/>
      <c r="E2" s="1889" t="n"/>
      <c r="F2" s="1889" t="n"/>
      <c r="G2" s="2069" t="n"/>
      <c r="H2" s="1889" t="n"/>
      <c r="I2" s="1889" t="n"/>
      <c r="J2" s="1889" t="n"/>
      <c r="K2" s="1889" t="n"/>
      <c r="L2" s="1889" t="n"/>
      <c r="M2" s="45" t="inlineStr">
        <is>
          <t>（</t>
        </is>
      </c>
      <c r="N2" s="1889" t="inlineStr">
        <is>
          <t>単独</t>
        </is>
      </c>
      <c r="P2" s="2069" t="inlineStr">
        <is>
          <t>・</t>
        </is>
      </c>
      <c r="Q2" s="4433" t="inlineStr">
        <is>
          <t>多機能</t>
        </is>
      </c>
      <c r="R2" s="4265" t="n"/>
      <c r="S2" s="4266" t="n"/>
      <c r="T2" s="1667" t="inlineStr">
        <is>
          <t>）</t>
        </is>
      </c>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N3" s="197" t="n"/>
      <c r="O3" s="197" t="n"/>
      <c r="P3" s="197"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4179" t="inlineStr">
        <is>
          <t>事業所</t>
        </is>
      </c>
      <c r="B4" s="4082" t="n"/>
      <c r="C4" s="4180" t="inlineStr">
        <is>
          <t>ﾌﾘｶﾞﾅ</t>
        </is>
      </c>
      <c r="D4" s="4093" t="n"/>
      <c r="E4" s="4094" t="n"/>
      <c r="F4" s="4236" t="inlineStr">
        <is>
          <t>ﾅｶﾉｼﾏｼｮｳｶﾞｲﾌｸｼｻｰﾋﾞｽｾﾝﾀｰ</t>
        </is>
      </c>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C5" s="4181" t="inlineStr">
        <is>
          <t>名　称</t>
        </is>
      </c>
      <c r="D5" s="4098" t="n"/>
      <c r="E5" s="4099" t="n"/>
      <c r="F5" s="4237" t="inlineStr">
        <is>
          <t>中之島障がい福祉サービスセンター</t>
        </is>
      </c>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C7" s="4181" t="inlineStr">
        <is>
          <t>所在地</t>
        </is>
      </c>
      <c r="D7" s="4098" t="n"/>
      <c r="E7" s="4099" t="n"/>
      <c r="F7" s="1244" t="inlineStr">
        <is>
          <t>郵便番号（</t>
        </is>
      </c>
      <c r="G7" s="4098" t="n"/>
      <c r="H7" s="4098" t="n"/>
      <c r="I7" s="4098" t="n"/>
      <c r="J7" s="2094" t="inlineStr">
        <is>
          <t>５３０－８２０１</t>
        </is>
      </c>
      <c r="K7" s="4098" t="n"/>
      <c r="L7" s="4098" t="n"/>
      <c r="M7" s="4098" t="n"/>
      <c r="N7" s="4098" t="n"/>
      <c r="O7" s="1329" t="inlineStr">
        <is>
          <t>）</t>
        </is>
      </c>
      <c r="P7" s="4434" t="inlineStr">
        <is>
          <t>中之島１－３－２０</t>
        </is>
      </c>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2093" t="inlineStr">
        <is>
          <t>北</t>
        </is>
      </c>
      <c r="N8" s="1260" t="inlineStr">
        <is>
          <t>区</t>
        </is>
      </c>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1479" t="inlineStr">
        <is>
          <t>０６</t>
        </is>
      </c>
      <c r="J10" s="4110" t="n"/>
      <c r="K10" s="4110" t="n"/>
      <c r="L10" s="53" t="inlineStr">
        <is>
          <t>－</t>
        </is>
      </c>
      <c r="M10" s="1150" t="inlineStr">
        <is>
          <t>６２４１</t>
        </is>
      </c>
      <c r="N10" s="4110" t="n"/>
      <c r="O10" s="4110" t="n"/>
      <c r="P10" s="53" t="inlineStr">
        <is>
          <t>－</t>
        </is>
      </c>
      <c r="Q10" s="1482" t="inlineStr">
        <is>
          <t>６５２０</t>
        </is>
      </c>
      <c r="R10" s="4110" t="n"/>
      <c r="S10" s="4111" t="n"/>
      <c r="T10" s="4184" t="inlineStr">
        <is>
          <t>ＦＡＸ番号</t>
        </is>
      </c>
      <c r="U10" s="4110" t="n"/>
      <c r="V10" s="4110" t="n"/>
      <c r="W10" s="4111" t="n"/>
      <c r="X10" s="1479" t="inlineStr">
        <is>
          <t>０６</t>
        </is>
      </c>
      <c r="Y10" s="4110" t="n"/>
      <c r="Z10" s="4110" t="n"/>
      <c r="AA10" s="53" t="inlineStr">
        <is>
          <t>－</t>
        </is>
      </c>
      <c r="AB10" s="1150" t="inlineStr">
        <is>
          <t>６２４１</t>
        </is>
      </c>
      <c r="AC10" s="4110" t="n"/>
      <c r="AD10" s="4110" t="n"/>
      <c r="AE10" s="53" t="inlineStr">
        <is>
          <t>－</t>
        </is>
      </c>
      <c r="AF10" s="1483" t="inlineStr">
        <is>
          <t>６６０８</t>
        </is>
      </c>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239" t="inlineStr">
        <is>
          <t>fa0260@city.osaka.lg.jp</t>
        </is>
      </c>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1150" t="inlineStr">
        <is>
          <t>２</t>
        </is>
      </c>
      <c r="V12" s="4110" t="n"/>
      <c r="W12" s="1264" t="inlineStr">
        <is>
          <t>条第</t>
        </is>
      </c>
      <c r="X12" s="4110" t="n"/>
      <c r="Y12" s="1150" t="inlineStr">
        <is>
          <t>１</t>
        </is>
      </c>
      <c r="Z12" s="4110" t="n"/>
      <c r="AA12" s="1264" t="inlineStr">
        <is>
          <t>項第</t>
        </is>
      </c>
      <c r="AB12" s="4110" t="n"/>
      <c r="AC12" s="1150" t="inlineStr">
        <is>
          <t>１４</t>
        </is>
      </c>
      <c r="AD12" s="4110" t="n"/>
      <c r="AE12" s="1264" t="inlineStr">
        <is>
          <t>号（</t>
        </is>
      </c>
      <c r="AF12" s="4110" t="n"/>
      <c r="AG12" s="1150" t="inlineStr">
        <is>
          <t>ア</t>
        </is>
      </c>
      <c r="AH12" s="2827" t="inlineStr">
        <is>
          <t>）</t>
        </is>
      </c>
    </row>
    <row r="13" ht="12" customHeight="1" s="4080">
      <c r="A13" s="4188" t="inlineStr">
        <is>
          <t>管　　理　　者</t>
        </is>
      </c>
      <c r="B13" s="4099" t="n"/>
      <c r="C13" s="4184" t="inlineStr">
        <is>
          <t>ﾌﾘｶﾞﾅ</t>
        </is>
      </c>
      <c r="D13" s="4110" t="n"/>
      <c r="E13" s="4111" t="n"/>
      <c r="F13" s="1487" t="inlineStr">
        <is>
          <t>ｵｵｻｶ</t>
        </is>
      </c>
      <c r="G13" s="4110" t="n"/>
      <c r="H13" s="4110" t="n"/>
      <c r="I13" s="4189" t="n"/>
      <c r="J13" s="1488" t="inlineStr">
        <is>
          <t>ﾀﾛｳ</t>
        </is>
      </c>
      <c r="K13" s="4110" t="n"/>
      <c r="L13" s="4110" t="n"/>
      <c r="M13" s="4189" t="n"/>
      <c r="N13" s="4185" t="inlineStr">
        <is>
          <t>住所</t>
        </is>
      </c>
      <c r="O13" s="4099" t="n"/>
      <c r="P13" s="1244" t="inlineStr">
        <is>
          <t>郵便番号（</t>
        </is>
      </c>
      <c r="Q13" s="4098" t="n"/>
      <c r="R13" s="4098" t="n"/>
      <c r="S13" s="4098" t="n"/>
      <c r="T13" s="1742" t="inlineStr">
        <is>
          <t>５４０－０００８</t>
        </is>
      </c>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487" t="inlineStr">
        <is>
          <t>大阪</t>
        </is>
      </c>
      <c r="G14" s="4098" t="n"/>
      <c r="H14" s="4098" t="n"/>
      <c r="I14" s="4190" t="n"/>
      <c r="J14" s="1488" t="inlineStr">
        <is>
          <t>太郎</t>
        </is>
      </c>
      <c r="K14" s="4098" t="n"/>
      <c r="L14" s="4098" t="n"/>
      <c r="M14" s="4190" t="n"/>
      <c r="N14" s="4106" t="n"/>
      <c r="O14" s="4107" t="n"/>
      <c r="P14" s="1509" t="inlineStr">
        <is>
          <t>大阪</t>
        </is>
      </c>
      <c r="R14" s="1325" t="inlineStr">
        <is>
          <t>都</t>
        </is>
      </c>
      <c r="S14" s="2378" t="inlineStr">
        <is>
          <t>道</t>
        </is>
      </c>
      <c r="T14" s="1510" t="inlineStr">
        <is>
          <t>大阪</t>
        </is>
      </c>
      <c r="W14" s="2378" t="inlineStr">
        <is>
          <t>郡</t>
        </is>
      </c>
      <c r="X14" s="1512" t="inlineStr">
        <is>
          <t>中央区大手前○丁目○番○号　○○マンション○○○号室</t>
        </is>
      </c>
      <c r="AH14" s="4109" t="n"/>
    </row>
    <row r="15" ht="12" customHeight="1" s="4080">
      <c r="A15" s="4097" t="n"/>
      <c r="B15" s="4107" t="n"/>
      <c r="C15" s="4106" t="n"/>
      <c r="E15" s="4107" t="n"/>
      <c r="F15" s="4106" t="n"/>
      <c r="I15" s="4191" t="n"/>
      <c r="J15" s="4192" t="n"/>
      <c r="M15" s="4191" t="n"/>
      <c r="N15" s="4106" t="n"/>
      <c r="O15" s="4107" t="n"/>
      <c r="P15" s="4106" t="n"/>
      <c r="R15" s="79" t="inlineStr">
        <is>
          <t>府</t>
        </is>
      </c>
      <c r="S15" s="2378" t="inlineStr">
        <is>
          <t>県</t>
        </is>
      </c>
      <c r="W15" s="79"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80" t="inlineStr">
        <is>
          <t>無</t>
        </is>
      </c>
      <c r="R18" s="1332" t="n"/>
      <c r="S18" s="4106" t="n"/>
      <c r="U18" s="4107" t="n"/>
      <c r="V18" s="4196"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7.25" customHeight="1" s="4080">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Height="1" s="4080">
      <c r="A21" s="4097" t="n"/>
      <c r="B21" s="4107" t="n"/>
      <c r="C21" s="4240" t="inlineStr">
        <is>
          <t>事　業　所　名</t>
        </is>
      </c>
      <c r="D21" s="4110" t="n"/>
      <c r="E21" s="4110" t="n"/>
      <c r="F21" s="4110" t="n"/>
      <c r="G21" s="4110" t="n"/>
      <c r="H21" s="4110" t="n"/>
      <c r="I21" s="4110" t="n"/>
      <c r="J21" s="4110" t="n"/>
      <c r="K21" s="4110" t="n"/>
      <c r="L21" s="4189" t="n"/>
      <c r="M21" s="4241" t="inlineStr">
        <is>
          <t>サービス種別</t>
        </is>
      </c>
      <c r="N21" s="4110" t="n"/>
      <c r="O21" s="4110" t="n"/>
      <c r="P21" s="4110" t="n"/>
      <c r="Q21" s="4110" t="n"/>
      <c r="R21" s="4110" t="n"/>
      <c r="S21" s="4110" t="n"/>
      <c r="T21" s="4110" t="n"/>
      <c r="U21" s="4110" t="n"/>
      <c r="V21" s="4110" t="n"/>
      <c r="W21" s="4110" t="n"/>
      <c r="X21" s="4189" t="n"/>
      <c r="Y21" s="4242" t="inlineStr">
        <is>
          <t>職　　　種</t>
        </is>
      </c>
      <c r="Z21" s="4110" t="n"/>
      <c r="AA21" s="4110" t="n"/>
      <c r="AB21" s="4110" t="n"/>
      <c r="AC21" s="4110" t="n"/>
      <c r="AD21" s="4110" t="n"/>
      <c r="AE21" s="4110" t="n"/>
      <c r="AF21" s="4110" t="n"/>
      <c r="AG21" s="4110" t="n"/>
      <c r="AH21" s="4113" t="n"/>
    </row>
    <row r="22" ht="15" customHeight="1" s="4080">
      <c r="A22" s="4097" t="n"/>
      <c r="B22" s="4107" t="n"/>
      <c r="C22" s="4243" t="inlineStr">
        <is>
          <t>大阪市障がい福祉サービス</t>
        </is>
      </c>
      <c r="D22" s="4138" t="n"/>
      <c r="E22" s="4138" t="n"/>
      <c r="F22" s="4138" t="n"/>
      <c r="G22" s="4138" t="n"/>
      <c r="H22" s="4138" t="n"/>
      <c r="I22" s="4138" t="n"/>
      <c r="J22" s="4138" t="n"/>
      <c r="K22" s="4138" t="n"/>
      <c r="L22" s="4198" t="n"/>
      <c r="M22" s="4244" t="inlineStr">
        <is>
          <t>就労継続支援B型</t>
        </is>
      </c>
      <c r="N22" s="4138" t="n"/>
      <c r="O22" s="4138" t="n"/>
      <c r="P22" s="4138" t="n"/>
      <c r="Q22" s="4138" t="n"/>
      <c r="R22" s="4138" t="n"/>
      <c r="S22" s="4138" t="n"/>
      <c r="T22" s="4138" t="n"/>
      <c r="U22" s="4138" t="n"/>
      <c r="V22" s="4138" t="n"/>
      <c r="W22" s="4138" t="n"/>
      <c r="X22" s="4198" t="n"/>
      <c r="Y22" s="4245" t="inlineStr">
        <is>
          <t>管理者</t>
        </is>
      </c>
      <c r="Z22" s="4138" t="n"/>
      <c r="AA22" s="4138" t="n"/>
      <c r="AB22" s="4138" t="n"/>
      <c r="AC22" s="4138" t="n"/>
      <c r="AD22" s="4138" t="n"/>
      <c r="AE22" s="4138" t="n"/>
      <c r="AF22" s="4138" t="n"/>
      <c r="AG22" s="4138" t="n"/>
      <c r="AH22" s="4246" t="n"/>
    </row>
    <row r="23" ht="15" customHeight="1" s="4080">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2" t="n"/>
      <c r="Z23" s="4199" t="n"/>
      <c r="AA23" s="4199" t="n"/>
      <c r="AB23" s="4199" t="n"/>
      <c r="AC23" s="4199" t="n"/>
      <c r="AD23" s="4199" t="n"/>
      <c r="AE23" s="4199" t="n"/>
      <c r="AF23" s="4199" t="n"/>
      <c r="AG23" s="4199" t="n"/>
      <c r="AH23" s="4247" t="n"/>
    </row>
    <row r="24" ht="15" customHeight="1" s="4080">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2" t="n"/>
      <c r="Z24" s="4199" t="n"/>
      <c r="AA24" s="4199" t="n"/>
      <c r="AB24" s="4199" t="n"/>
      <c r="AC24" s="4199" t="n"/>
      <c r="AD24" s="4199" t="n"/>
      <c r="AE24" s="4199" t="n"/>
      <c r="AF24" s="4199" t="n"/>
      <c r="AG24" s="4199" t="n"/>
      <c r="AH24" s="4247" t="n"/>
    </row>
    <row r="25" ht="15" customHeight="1" s="4080">
      <c r="A25" s="4097" t="n"/>
      <c r="B25" s="4107" t="n"/>
      <c r="C25" s="4248" t="n"/>
      <c r="D25" s="4140" t="n"/>
      <c r="E25" s="4140" t="n"/>
      <c r="F25" s="4140" t="n"/>
      <c r="G25" s="4140" t="n"/>
      <c r="H25" s="4140" t="n"/>
      <c r="I25" s="4140" t="n"/>
      <c r="J25" s="4140" t="n"/>
      <c r="K25" s="4140" t="n"/>
      <c r="L25" s="4249" t="n"/>
      <c r="M25" s="4250" t="n"/>
      <c r="N25" s="4140" t="n"/>
      <c r="O25" s="4140" t="n"/>
      <c r="P25" s="4140" t="n"/>
      <c r="Q25" s="4140" t="n"/>
      <c r="R25" s="4140" t="n"/>
      <c r="S25" s="4140" t="n"/>
      <c r="T25" s="4140" t="n"/>
      <c r="U25" s="4140" t="n"/>
      <c r="V25" s="4140" t="n"/>
      <c r="W25" s="4140" t="n"/>
      <c r="X25" s="4249" t="n"/>
      <c r="Y25" s="4251" t="n"/>
      <c r="Z25" s="4140" t="n"/>
      <c r="AA25" s="4140" t="n"/>
      <c r="AB25" s="4140" t="n"/>
      <c r="AC25" s="4140" t="n"/>
      <c r="AD25" s="4140" t="n"/>
      <c r="AE25" s="4140" t="n"/>
      <c r="AF25" s="4140" t="n"/>
      <c r="AG25" s="4140" t="n"/>
      <c r="AH25" s="4252" t="n"/>
    </row>
    <row r="26" ht="12" customHeight="1" s="4080">
      <c r="A26" s="4361" t="inlineStr">
        <is>
          <t>サービス管理
責任者</t>
        </is>
      </c>
      <c r="B26" s="4099" t="n"/>
      <c r="C26" s="4184" t="inlineStr">
        <is>
          <t>ﾌﾘｶﾞﾅ</t>
        </is>
      </c>
      <c r="D26" s="4110" t="n"/>
      <c r="E26" s="4111" t="n"/>
      <c r="F26" s="4435" t="inlineStr">
        <is>
          <t>ﾖﾄﾞﾔﾊﾞｼ</t>
        </is>
      </c>
      <c r="G26" s="4110" t="n"/>
      <c r="H26" s="4110" t="n"/>
      <c r="I26" s="4204" t="n"/>
      <c r="J26" s="4436" t="inlineStr">
        <is>
          <t>ﾊﾅｺ</t>
        </is>
      </c>
      <c r="K26" s="4110" t="n"/>
      <c r="L26" s="4110" t="n"/>
      <c r="M26" s="4111" t="n"/>
      <c r="N26" s="2164" t="inlineStr">
        <is>
          <t>住所</t>
        </is>
      </c>
      <c r="O26" s="4099" t="n"/>
      <c r="P26" s="1244" t="inlineStr">
        <is>
          <t>郵便番号（</t>
        </is>
      </c>
      <c r="Q26" s="4098" t="n"/>
      <c r="R26" s="4098" t="n"/>
      <c r="S26" s="4098" t="n"/>
      <c r="T26" s="1742" t="inlineStr">
        <is>
          <t>５４０－０００８</t>
        </is>
      </c>
      <c r="U26" s="4098" t="n"/>
      <c r="V26" s="4098" t="n"/>
      <c r="W26" s="4098" t="n"/>
      <c r="X26" s="4098" t="n"/>
      <c r="Y26" s="1329" t="inlineStr">
        <is>
          <t>）</t>
        </is>
      </c>
      <c r="Z26" s="1017" t="n"/>
      <c r="AA26" s="1017" t="n"/>
      <c r="AB26" s="1017" t="n"/>
      <c r="AC26" s="1017" t="n"/>
      <c r="AD26" s="1017" t="n"/>
      <c r="AE26" s="120" t="n"/>
      <c r="AF26" s="119" t="n"/>
      <c r="AG26" s="119" t="n"/>
      <c r="AH26" s="118" t="n"/>
    </row>
    <row r="27" ht="12" customHeight="1" s="4080">
      <c r="A27" s="4097" t="n"/>
      <c r="B27" s="4107" t="n"/>
      <c r="C27" s="4209" t="inlineStr">
        <is>
          <t>氏　　名</t>
        </is>
      </c>
      <c r="D27" s="4098" t="n"/>
      <c r="E27" s="4099" t="n"/>
      <c r="F27" s="4435" t="inlineStr">
        <is>
          <t>淀屋橋</t>
        </is>
      </c>
      <c r="G27" s="4098" t="n"/>
      <c r="H27" s="4098" t="n"/>
      <c r="I27" s="4210" t="n"/>
      <c r="J27" s="4436" t="inlineStr">
        <is>
          <t>花子</t>
        </is>
      </c>
      <c r="K27" s="4098" t="n"/>
      <c r="L27" s="4098" t="n"/>
      <c r="M27" s="4099" t="n"/>
      <c r="N27" s="4106" t="n"/>
      <c r="O27" s="4107" t="n"/>
      <c r="P27" s="1509" t="inlineStr">
        <is>
          <t>大阪</t>
        </is>
      </c>
      <c r="R27" s="2378" t="inlineStr">
        <is>
          <t>都</t>
        </is>
      </c>
      <c r="S27" s="2378" t="inlineStr">
        <is>
          <t>道</t>
        </is>
      </c>
      <c r="T27" s="2107" t="inlineStr">
        <is>
          <t>大阪</t>
        </is>
      </c>
      <c r="W27" s="2378" t="inlineStr">
        <is>
          <t>郡</t>
        </is>
      </c>
      <c r="X27" s="1696" t="inlineStr">
        <is>
          <t>中央区大手前△丁目△番△号</t>
        </is>
      </c>
      <c r="AH27" s="4109" t="n"/>
    </row>
    <row r="28" ht="12" customHeight="1" s="4080">
      <c r="A28" s="4097" t="n"/>
      <c r="B28" s="4107" t="n"/>
      <c r="C28" s="4106" t="n"/>
      <c r="E28" s="4107" t="n"/>
      <c r="F28" s="4106" t="n"/>
      <c r="I28" s="4212" t="n"/>
      <c r="J28" s="4213" t="n"/>
      <c r="M28" s="4107" t="n"/>
      <c r="N28" s="4106" t="n"/>
      <c r="O28" s="4107" t="n"/>
      <c r="P28" s="4106" t="n"/>
      <c r="R28" s="79" t="inlineStr">
        <is>
          <t>府</t>
        </is>
      </c>
      <c r="S28" s="2378" t="inlineStr">
        <is>
          <t>県</t>
        </is>
      </c>
      <c r="W28" s="79" t="inlineStr">
        <is>
          <t>市</t>
        </is>
      </c>
      <c r="AH28" s="4109" t="n"/>
    </row>
    <row r="29" ht="3" customHeight="1" s="4080">
      <c r="A29" s="4097" t="n"/>
      <c r="B29" s="4107" t="n"/>
      <c r="C29" s="4102" t="n"/>
      <c r="D29" s="4103" t="n"/>
      <c r="E29" s="4104" t="n"/>
      <c r="F29" s="4102" t="n"/>
      <c r="G29" s="4103" t="n"/>
      <c r="H29" s="4103" t="n"/>
      <c r="I29" s="4215" t="n"/>
      <c r="J29" s="4216" t="n"/>
      <c r="K29" s="4103" t="n"/>
      <c r="L29" s="4103" t="n"/>
      <c r="M29" s="4104" t="n"/>
      <c r="N29" s="4102" t="n"/>
      <c r="O29" s="4104" t="n"/>
      <c r="P29" s="4102" t="n"/>
      <c r="Q29" s="4103" t="n"/>
      <c r="R29" s="2378" t="n"/>
      <c r="S29" s="2378" t="n"/>
      <c r="T29" s="4103" t="n"/>
      <c r="U29" s="4103" t="n"/>
      <c r="V29" s="4103" t="n"/>
      <c r="W29" s="63" t="n"/>
      <c r="X29" s="4103" t="n"/>
      <c r="Y29" s="4103" t="n"/>
      <c r="Z29" s="4103" t="n"/>
      <c r="AA29" s="4103" t="n"/>
      <c r="AB29" s="4103" t="n"/>
      <c r="AC29" s="4103" t="n"/>
      <c r="AD29" s="4103" t="n"/>
      <c r="AE29" s="4103" t="n"/>
      <c r="AF29" s="4103" t="n"/>
      <c r="AG29" s="4103" t="n"/>
      <c r="AH29" s="4105" t="n"/>
    </row>
    <row r="30" ht="14.25" customHeight="1" s="4080">
      <c r="A30" s="4097" t="n"/>
      <c r="B30" s="4107" t="n"/>
      <c r="C30" s="4184" t="inlineStr">
        <is>
          <t>ﾌﾘｶﾞﾅ</t>
        </is>
      </c>
      <c r="D30" s="4110" t="n"/>
      <c r="E30" s="4111" t="n"/>
      <c r="F30" s="4203" t="n"/>
      <c r="G30" s="4110" t="n"/>
      <c r="H30" s="4110" t="n"/>
      <c r="I30" s="4204" t="n"/>
      <c r="J30" s="4205" t="n"/>
      <c r="K30" s="4110" t="n"/>
      <c r="L30" s="4110" t="n"/>
      <c r="M30" s="4111" t="n"/>
      <c r="N30" s="2164" t="inlineStr">
        <is>
          <t>住所</t>
        </is>
      </c>
      <c r="O30" s="4099" t="n"/>
      <c r="P30" s="1244" t="inlineStr">
        <is>
          <t>郵便番号（</t>
        </is>
      </c>
      <c r="Q30" s="4098" t="n"/>
      <c r="R30" s="4098" t="n"/>
      <c r="S30" s="4098" t="n"/>
      <c r="T30" s="1287" t="n"/>
      <c r="U30" s="4098" t="n"/>
      <c r="V30" s="4098" t="n"/>
      <c r="W30" s="4098" t="n"/>
      <c r="X30" s="4098" t="n"/>
      <c r="Y30" s="1329" t="inlineStr">
        <is>
          <t>）</t>
        </is>
      </c>
      <c r="Z30" s="1017" t="n"/>
      <c r="AA30" s="1017" t="n"/>
      <c r="AB30" s="1017" t="n"/>
      <c r="AC30" s="1017" t="n"/>
      <c r="AD30" s="1017" t="n"/>
      <c r="AE30" s="120" t="n"/>
      <c r="AF30" s="119" t="n"/>
      <c r="AG30" s="119" t="n"/>
      <c r="AH30" s="118" t="n"/>
    </row>
    <row r="31" ht="12.75" customHeight="1" s="4080">
      <c r="A31" s="4097" t="n"/>
      <c r="B31" s="4107" t="n"/>
      <c r="C31" s="4209" t="inlineStr">
        <is>
          <t>氏　　名</t>
        </is>
      </c>
      <c r="D31" s="4098" t="n"/>
      <c r="E31" s="4099" t="n"/>
      <c r="F31" s="4203" t="n"/>
      <c r="G31" s="4098" t="n"/>
      <c r="H31" s="4098" t="n"/>
      <c r="I31" s="4210" t="n"/>
      <c r="J31" s="4205" t="n"/>
      <c r="K31" s="4098" t="n"/>
      <c r="L31" s="4098" t="n"/>
      <c r="M31" s="4099" t="n"/>
      <c r="N31" s="4106" t="n"/>
      <c r="O31" s="4107" t="n"/>
      <c r="P31" s="1318" t="n"/>
      <c r="R31" s="2378" t="inlineStr">
        <is>
          <t>都</t>
        </is>
      </c>
      <c r="S31" s="2378" t="inlineStr">
        <is>
          <t>道</t>
        </is>
      </c>
      <c r="T31" s="1389" t="n"/>
      <c r="W31" s="1325" t="inlineStr">
        <is>
          <t>郡</t>
        </is>
      </c>
      <c r="X31" s="1686" t="n"/>
      <c r="AH31" s="4109" t="n"/>
    </row>
    <row r="32" ht="12.75" customHeight="1" s="4080">
      <c r="A32" s="4097" t="n"/>
      <c r="B32" s="4107" t="n"/>
      <c r="C32" s="4106" t="n"/>
      <c r="E32" s="4107" t="n"/>
      <c r="F32" s="4106" t="n"/>
      <c r="I32" s="4212" t="n"/>
      <c r="J32" s="4213" t="n"/>
      <c r="M32" s="4107" t="n"/>
      <c r="N32" s="4106" t="n"/>
      <c r="O32" s="4107" t="n"/>
      <c r="P32" s="4106" t="n"/>
      <c r="R32" s="2378" t="inlineStr">
        <is>
          <t>府</t>
        </is>
      </c>
      <c r="S32" s="2378" t="inlineStr">
        <is>
          <t>県</t>
        </is>
      </c>
      <c r="W32" s="2378" t="inlineStr">
        <is>
          <t>市</t>
        </is>
      </c>
      <c r="AH32" s="4109" t="n"/>
    </row>
    <row r="33" ht="6.75" customHeight="1" s="4080">
      <c r="A33" s="4114" t="n"/>
      <c r="B33" s="4104" t="n"/>
      <c r="C33" s="4102" t="n"/>
      <c r="D33" s="4103" t="n"/>
      <c r="E33" s="4104" t="n"/>
      <c r="F33" s="4102" t="n"/>
      <c r="G33" s="4103" t="n"/>
      <c r="H33" s="4103" t="n"/>
      <c r="I33" s="4215" t="n"/>
      <c r="J33" s="4216" t="n"/>
      <c r="K33" s="4103" t="n"/>
      <c r="L33" s="4103" t="n"/>
      <c r="M33" s="4104" t="n"/>
      <c r="N33" s="4102" t="n"/>
      <c r="O33" s="4104" t="n"/>
      <c r="P33" s="4102" t="n"/>
      <c r="Q33" s="4103" t="n"/>
      <c r="R33" s="2378" t="n"/>
      <c r="S33" s="2378" t="n"/>
      <c r="T33" s="4103" t="n"/>
      <c r="U33" s="4103" t="n"/>
      <c r="V33" s="4103" t="n"/>
      <c r="W33" s="63" t="n"/>
      <c r="X33" s="4103" t="n"/>
      <c r="Y33" s="4103" t="n"/>
      <c r="Z33" s="4103" t="n"/>
      <c r="AA33" s="4103" t="n"/>
      <c r="AB33" s="4103" t="n"/>
      <c r="AC33" s="4103" t="n"/>
      <c r="AD33" s="4103" t="n"/>
      <c r="AE33" s="4103" t="n"/>
      <c r="AF33" s="4103" t="n"/>
      <c r="AG33" s="4103" t="n"/>
      <c r="AH33" s="4105" t="n"/>
    </row>
    <row r="34" ht="14.1" customHeight="1" s="4080">
      <c r="A34" s="3061" t="inlineStr">
        <is>
          <t>職　員　の　職　種　・　員　数</t>
        </is>
      </c>
      <c r="B34" s="4099" t="n"/>
      <c r="C34" s="4272" t="inlineStr">
        <is>
          <t xml:space="preserve">　　　　　　職種・勤務形態
常勤・非常勤の別</t>
        </is>
      </c>
      <c r="D34" s="4098" t="n"/>
      <c r="E34" s="4098" t="n"/>
      <c r="F34" s="4098" t="n"/>
      <c r="G34" s="4098" t="n"/>
      <c r="H34" s="4098" t="n"/>
      <c r="I34" s="4098" t="n"/>
      <c r="J34" s="4099" t="n"/>
      <c r="K34" s="4185" t="inlineStr">
        <is>
          <t>サービス管理責任者</t>
        </is>
      </c>
      <c r="L34" s="4110" t="n"/>
      <c r="M34" s="4110" t="n"/>
      <c r="N34" s="4110" t="n"/>
      <c r="O34" s="4110" t="n"/>
      <c r="P34" s="4111" t="n"/>
      <c r="Q34" s="4185" t="inlineStr">
        <is>
          <t>医　　　師</t>
        </is>
      </c>
      <c r="R34" s="4110" t="n"/>
      <c r="S34" s="4110" t="n"/>
      <c r="T34" s="4110" t="n"/>
      <c r="U34" s="4110" t="n"/>
      <c r="V34" s="4111" t="n"/>
      <c r="W34" s="4185" t="inlineStr">
        <is>
          <t>生活支援員</t>
        </is>
      </c>
      <c r="X34" s="4110" t="n"/>
      <c r="Y34" s="4110" t="n"/>
      <c r="Z34" s="4110" t="n"/>
      <c r="AA34" s="4110" t="n"/>
      <c r="AB34" s="4111" t="n"/>
      <c r="AC34" s="4363" t="inlineStr">
        <is>
          <t>精神保健福祉士</t>
        </is>
      </c>
      <c r="AD34" s="4110" t="n"/>
      <c r="AE34" s="4110" t="n"/>
      <c r="AF34" s="4110" t="n"/>
      <c r="AG34" s="4110" t="n"/>
      <c r="AH34" s="4113" t="n"/>
    </row>
    <row r="35" ht="14.1" customHeight="1" s="4080">
      <c r="A35" s="4097" t="n"/>
      <c r="B35" s="4107" t="n"/>
      <c r="C35" s="4102" t="n"/>
      <c r="D35" s="4103" t="n"/>
      <c r="E35" s="4103" t="n"/>
      <c r="F35" s="4103" t="n"/>
      <c r="G35" s="4103" t="n"/>
      <c r="H35" s="4103" t="n"/>
      <c r="I35" s="4103" t="n"/>
      <c r="J35" s="4104" t="n"/>
      <c r="K35" s="1617" t="inlineStr">
        <is>
          <t>専従</t>
        </is>
      </c>
      <c r="L35" s="4110" t="n"/>
      <c r="M35" s="4189" t="n"/>
      <c r="N35" s="1604" t="inlineStr">
        <is>
          <t>兼務</t>
        </is>
      </c>
      <c r="O35" s="4110" t="n"/>
      <c r="P35" s="4111" t="n"/>
      <c r="Q35" s="1617" t="inlineStr">
        <is>
          <t>専従</t>
        </is>
      </c>
      <c r="R35" s="4110" t="n"/>
      <c r="S35" s="4189" t="n"/>
      <c r="T35" s="1604" t="inlineStr">
        <is>
          <t>兼務</t>
        </is>
      </c>
      <c r="U35" s="4110" t="n"/>
      <c r="V35" s="4111" t="n"/>
      <c r="W35" s="1617" t="inlineStr">
        <is>
          <t>専従</t>
        </is>
      </c>
      <c r="X35" s="4110" t="n"/>
      <c r="Y35" s="4189" t="n"/>
      <c r="Z35" s="1604" t="inlineStr">
        <is>
          <t>兼務</t>
        </is>
      </c>
      <c r="AA35" s="4110" t="n"/>
      <c r="AB35" s="4111" t="n"/>
      <c r="AC35" s="1617" t="inlineStr">
        <is>
          <t>専従</t>
        </is>
      </c>
      <c r="AD35" s="4110" t="n"/>
      <c r="AE35" s="4189" t="n"/>
      <c r="AF35" s="1799" t="inlineStr">
        <is>
          <t>兼務</t>
        </is>
      </c>
      <c r="AG35" s="4110" t="n"/>
      <c r="AH35" s="4113" t="n"/>
    </row>
    <row r="36" ht="14.1" customHeight="1" s="4080">
      <c r="A36" s="4097" t="n"/>
      <c r="B36" s="4107" t="n"/>
      <c r="C36" s="4185" t="inlineStr">
        <is>
          <t>常　　　　　勤（人）</t>
        </is>
      </c>
      <c r="D36" s="4110" t="n"/>
      <c r="E36" s="4110" t="n"/>
      <c r="F36" s="4110" t="n"/>
      <c r="G36" s="4110" t="n"/>
      <c r="H36" s="4110" t="n"/>
      <c r="I36" s="4110" t="n"/>
      <c r="J36" s="4111" t="n"/>
      <c r="K36" s="1487" t="n"/>
      <c r="L36" s="4110" t="n"/>
      <c r="M36" s="4189" t="n"/>
      <c r="N36" s="1489" t="inlineStr">
        <is>
          <t>１</t>
        </is>
      </c>
      <c r="O36" s="4110" t="n"/>
      <c r="P36" s="4111" t="n"/>
      <c r="Q36" s="1487" t="n"/>
      <c r="R36" s="4110" t="n"/>
      <c r="S36" s="4189" t="n"/>
      <c r="T36" s="1489" t="n"/>
      <c r="U36" s="4110" t="n"/>
      <c r="V36" s="4111" t="n"/>
      <c r="W36" s="1487" t="inlineStr">
        <is>
          <t>１</t>
        </is>
      </c>
      <c r="X36" s="4110" t="n"/>
      <c r="Y36" s="4189" t="n"/>
      <c r="Z36" s="1489" t="n"/>
      <c r="AA36" s="4110" t="n"/>
      <c r="AB36" s="4111" t="n"/>
      <c r="AC36" s="1487" t="n"/>
      <c r="AD36" s="4110" t="n"/>
      <c r="AE36" s="4189" t="n"/>
      <c r="AF36" s="2134" t="n"/>
      <c r="AG36" s="4110" t="n"/>
      <c r="AH36" s="4113" t="n"/>
    </row>
    <row r="37" ht="14.1" customHeight="1" s="4080">
      <c r="A37" s="4097" t="n"/>
      <c r="B37" s="4107" t="n"/>
      <c r="C37" s="4185" t="inlineStr">
        <is>
          <t>非　　常　　勤（人）</t>
        </is>
      </c>
      <c r="D37" s="4110" t="n"/>
      <c r="E37" s="4110" t="n"/>
      <c r="F37" s="4110" t="n"/>
      <c r="G37" s="4110" t="n"/>
      <c r="H37" s="4110" t="n"/>
      <c r="I37" s="4110" t="n"/>
      <c r="J37" s="4111" t="n"/>
      <c r="K37" s="1487" t="n"/>
      <c r="L37" s="4110" t="n"/>
      <c r="M37" s="4189" t="n"/>
      <c r="N37" s="1489" t="n"/>
      <c r="O37" s="4110" t="n"/>
      <c r="P37" s="4111" t="n"/>
      <c r="Q37" s="1487" t="n"/>
      <c r="R37" s="4110" t="n"/>
      <c r="S37" s="4189" t="n"/>
      <c r="T37" s="1489" t="inlineStr">
        <is>
          <t>１</t>
        </is>
      </c>
      <c r="U37" s="4110" t="n"/>
      <c r="V37" s="4111" t="n"/>
      <c r="W37" s="1487" t="inlineStr">
        <is>
          <t>１</t>
        </is>
      </c>
      <c r="X37" s="4110" t="n"/>
      <c r="Y37" s="4189" t="n"/>
      <c r="Z37" s="1489" t="n"/>
      <c r="AA37" s="4110" t="n"/>
      <c r="AB37" s="4111" t="n"/>
      <c r="AC37" s="1487" t="n"/>
      <c r="AD37" s="4110" t="n"/>
      <c r="AE37" s="4189" t="n"/>
      <c r="AF37" s="2134" t="n"/>
      <c r="AG37" s="4110" t="n"/>
      <c r="AH37" s="4113" t="n"/>
    </row>
    <row r="38" ht="14.1" customHeight="1" s="4080" thickBot="1">
      <c r="A38" s="4097" t="n"/>
      <c r="B38" s="4107" t="n"/>
      <c r="C38" s="4325" t="inlineStr">
        <is>
          <t>常勤換算後の人数（人）</t>
        </is>
      </c>
      <c r="D38" s="4098" t="n"/>
      <c r="E38" s="4098" t="n"/>
      <c r="F38" s="4098" t="n"/>
      <c r="G38" s="4098" t="n"/>
      <c r="H38" s="4098" t="n"/>
      <c r="I38" s="4098" t="n"/>
      <c r="J38" s="4099" t="n"/>
      <c r="K38" s="4437" t="inlineStr">
        <is>
          <t>１．０</t>
        </is>
      </c>
      <c r="L38" s="4098" t="n"/>
      <c r="M38" s="4098" t="n"/>
      <c r="N38" s="4098" t="n"/>
      <c r="O38" s="4098" t="n"/>
      <c r="P38" s="4099" t="n"/>
      <c r="Q38" s="4437" t="inlineStr">
        <is>
          <t>０．２</t>
        </is>
      </c>
      <c r="R38" s="4098" t="n"/>
      <c r="S38" s="4098" t="n"/>
      <c r="T38" s="4098" t="n"/>
      <c r="U38" s="4098" t="n"/>
      <c r="V38" s="4099" t="n"/>
      <c r="W38" s="4437" t="inlineStr">
        <is>
          <t>１．５</t>
        </is>
      </c>
      <c r="X38" s="4098" t="n"/>
      <c r="Y38" s="4098" t="n"/>
      <c r="Z38" s="4098" t="n"/>
      <c r="AA38" s="4098" t="n"/>
      <c r="AB38" s="4099" t="n"/>
      <c r="AC38" s="4438" t="n"/>
      <c r="AD38" s="4098" t="n"/>
      <c r="AE38" s="4098" t="n"/>
      <c r="AF38" s="4098" t="n"/>
      <c r="AG38" s="4098" t="n"/>
      <c r="AH38" s="4101" t="n"/>
    </row>
    <row r="39" ht="14.1" customHeight="1" s="4080" thickTop="1">
      <c r="A39" s="4097" t="n"/>
      <c r="B39" s="4107" t="n"/>
      <c r="C39" s="4368" t="inlineStr">
        <is>
          <t xml:space="preserve">　　　　　　　　　職種・勤務形態
常勤・非常勤の別</t>
        </is>
      </c>
      <c r="D39" s="4369" t="n"/>
      <c r="E39" s="4369" t="n"/>
      <c r="F39" s="4369" t="n"/>
      <c r="G39" s="4369" t="n"/>
      <c r="H39" s="4369" t="n"/>
      <c r="I39" s="4369" t="n"/>
      <c r="J39" s="4370" t="n"/>
      <c r="K39" s="4439" t="inlineStr">
        <is>
          <t>看　　　　　護　　　　　職　　　　　員</t>
        </is>
      </c>
      <c r="L39" s="4372" t="n"/>
      <c r="M39" s="4372" t="n"/>
      <c r="N39" s="4372" t="n"/>
      <c r="O39" s="4372" t="n"/>
      <c r="P39" s="4372" t="n"/>
      <c r="Q39" s="4372" t="n"/>
      <c r="R39" s="4372" t="n"/>
      <c r="S39" s="4372" t="n"/>
      <c r="T39" s="4372" t="n"/>
      <c r="U39" s="4372" t="n"/>
      <c r="V39" s="4372" t="n"/>
      <c r="W39" s="4372" t="n"/>
      <c r="X39" s="4372" t="n"/>
      <c r="Y39" s="4372" t="n"/>
      <c r="Z39" s="4372" t="n"/>
      <c r="AA39" s="4372" t="n"/>
      <c r="AB39" s="4372" t="n"/>
      <c r="AC39" s="4372" t="n"/>
      <c r="AD39" s="4372" t="n"/>
      <c r="AE39" s="4372" t="n"/>
      <c r="AF39" s="4372" t="n"/>
      <c r="AG39" s="4372" t="n"/>
      <c r="AH39" s="4373" t="n"/>
    </row>
    <row r="40" ht="14.1" customHeight="1" s="4080">
      <c r="A40" s="4097" t="n"/>
      <c r="B40" s="4107" t="n"/>
      <c r="C40" s="4106" t="n"/>
      <c r="J40" s="4107" t="n"/>
      <c r="K40" s="4440" t="inlineStr">
        <is>
          <t>保　健　師</t>
        </is>
      </c>
      <c r="L40" s="4110" t="n"/>
      <c r="M40" s="4110" t="n"/>
      <c r="N40" s="4110" t="n"/>
      <c r="O40" s="4110" t="n"/>
      <c r="P40" s="4111" t="n"/>
      <c r="Q40" s="4440" t="inlineStr">
        <is>
          <t>看　護　師</t>
        </is>
      </c>
      <c r="R40" s="4110" t="n"/>
      <c r="S40" s="4110" t="n"/>
      <c r="T40" s="4110" t="n"/>
      <c r="U40" s="4110" t="n"/>
      <c r="V40" s="4111" t="n"/>
      <c r="W40" s="4440" t="inlineStr">
        <is>
          <t>准看護師</t>
        </is>
      </c>
      <c r="X40" s="4110" t="n"/>
      <c r="Y40" s="4110" t="n"/>
      <c r="Z40" s="4110" t="n"/>
      <c r="AA40" s="4110" t="n"/>
      <c r="AB40" s="4111" t="n"/>
      <c r="AC40" s="4441" t="inlineStr">
        <is>
          <t>看護職員計</t>
        </is>
      </c>
      <c r="AD40" s="4110" t="n"/>
      <c r="AE40" s="4110" t="n"/>
      <c r="AF40" s="4110" t="n"/>
      <c r="AG40" s="4110" t="n"/>
      <c r="AH40" s="4113" t="n"/>
    </row>
    <row r="41" ht="14.1" customHeight="1" s="4080">
      <c r="A41" s="4097" t="n"/>
      <c r="B41" s="4107" t="n"/>
      <c r="C41" s="4102" t="n"/>
      <c r="D41" s="4103" t="n"/>
      <c r="E41" s="4103" t="n"/>
      <c r="F41" s="4103" t="n"/>
      <c r="G41" s="4103" t="n"/>
      <c r="H41" s="4103" t="n"/>
      <c r="I41" s="4103" t="n"/>
      <c r="J41" s="4104" t="n"/>
      <c r="K41" s="1617" t="inlineStr">
        <is>
          <t>専従</t>
        </is>
      </c>
      <c r="L41" s="4110" t="n"/>
      <c r="M41" s="4189" t="n"/>
      <c r="N41" s="1604" t="inlineStr">
        <is>
          <t>兼務</t>
        </is>
      </c>
      <c r="O41" s="4110" t="n"/>
      <c r="P41" s="4111" t="n"/>
      <c r="Q41" s="1617" t="inlineStr">
        <is>
          <t>専従</t>
        </is>
      </c>
      <c r="R41" s="4110" t="n"/>
      <c r="S41" s="4189" t="n"/>
      <c r="T41" s="1604" t="inlineStr">
        <is>
          <t>兼務</t>
        </is>
      </c>
      <c r="U41" s="4110" t="n"/>
      <c r="V41" s="4111" t="n"/>
      <c r="W41" s="1617" t="inlineStr">
        <is>
          <t>専従</t>
        </is>
      </c>
      <c r="X41" s="4110" t="n"/>
      <c r="Y41" s="4189" t="n"/>
      <c r="Z41" s="1604" t="inlineStr">
        <is>
          <t>兼務</t>
        </is>
      </c>
      <c r="AA41" s="4110" t="n"/>
      <c r="AB41" s="4111" t="n"/>
      <c r="AC41" s="1617" t="inlineStr">
        <is>
          <t>専従</t>
        </is>
      </c>
      <c r="AD41" s="4110" t="n"/>
      <c r="AE41" s="4189" t="n"/>
      <c r="AF41" s="1799" t="inlineStr">
        <is>
          <t>兼務</t>
        </is>
      </c>
      <c r="AG41" s="4110" t="n"/>
      <c r="AH41" s="4113" t="n"/>
    </row>
    <row r="42" ht="14.1" customHeight="1" s="4080">
      <c r="A42" s="4097" t="n"/>
      <c r="B42" s="4107" t="n"/>
      <c r="C42" s="4185" t="inlineStr">
        <is>
          <t>常　　　　　勤（人）</t>
        </is>
      </c>
      <c r="D42" s="4110" t="n"/>
      <c r="E42" s="4110" t="n"/>
      <c r="F42" s="4110" t="n"/>
      <c r="G42" s="4110" t="n"/>
      <c r="H42" s="4110" t="n"/>
      <c r="I42" s="4110" t="n"/>
      <c r="J42" s="4111" t="n"/>
      <c r="K42" s="1487" t="n"/>
      <c r="L42" s="4110" t="n"/>
      <c r="M42" s="4189" t="n"/>
      <c r="N42" s="1489" t="n"/>
      <c r="O42" s="4110" t="n"/>
      <c r="P42" s="4111" t="n"/>
      <c r="Q42" s="1487" t="n"/>
      <c r="R42" s="4110" t="n"/>
      <c r="S42" s="4189" t="n"/>
      <c r="T42" s="1489" t="n"/>
      <c r="U42" s="4110" t="n"/>
      <c r="V42" s="4111" t="n"/>
      <c r="W42" s="1487" t="n"/>
      <c r="X42" s="4110" t="n"/>
      <c r="Y42" s="4189" t="n"/>
      <c r="Z42" s="1489" t="n"/>
      <c r="AA42" s="4110" t="n"/>
      <c r="AB42" s="4111" t="n"/>
      <c r="AC42" s="1487" t="n"/>
      <c r="AD42" s="4110" t="n"/>
      <c r="AE42" s="4189" t="n"/>
      <c r="AF42" s="2134" t="n"/>
      <c r="AG42" s="4110" t="n"/>
      <c r="AH42" s="4113" t="n"/>
    </row>
    <row r="43" ht="14.1" customHeight="1" s="4080">
      <c r="A43" s="4097" t="n"/>
      <c r="B43" s="4107" t="n"/>
      <c r="C43" s="4185" t="inlineStr">
        <is>
          <t>非　　常　　勤（人）</t>
        </is>
      </c>
      <c r="D43" s="4110" t="n"/>
      <c r="E43" s="4110" t="n"/>
      <c r="F43" s="4110" t="n"/>
      <c r="G43" s="4110" t="n"/>
      <c r="H43" s="4110" t="n"/>
      <c r="I43" s="4110" t="n"/>
      <c r="J43" s="4111" t="n"/>
      <c r="K43" s="1487" t="n"/>
      <c r="L43" s="4110" t="n"/>
      <c r="M43" s="4189" t="n"/>
      <c r="N43" s="1489" t="n"/>
      <c r="O43" s="4110" t="n"/>
      <c r="P43" s="4111" t="n"/>
      <c r="Q43" s="1487" t="inlineStr">
        <is>
          <t>１</t>
        </is>
      </c>
      <c r="R43" s="4110" t="n"/>
      <c r="S43" s="4189" t="n"/>
      <c r="T43" s="1489" t="n"/>
      <c r="U43" s="4110" t="n"/>
      <c r="V43" s="4111" t="n"/>
      <c r="W43" s="1487" t="n"/>
      <c r="X43" s="4110" t="n"/>
      <c r="Y43" s="4189" t="n"/>
      <c r="Z43" s="1489" t="n"/>
      <c r="AA43" s="4110" t="n"/>
      <c r="AB43" s="4111" t="n"/>
      <c r="AC43" s="1487" t="inlineStr">
        <is>
          <t>１</t>
        </is>
      </c>
      <c r="AD43" s="4110" t="n"/>
      <c r="AE43" s="4189" t="n"/>
      <c r="AF43" s="2134" t="n"/>
      <c r="AG43" s="4110" t="n"/>
      <c r="AH43" s="4113" t="n"/>
    </row>
    <row r="44" ht="14.1" customHeight="1" s="4080" thickBot="1">
      <c r="A44" s="4097" t="n"/>
      <c r="B44" s="4107" t="n"/>
      <c r="C44" s="4442" t="inlineStr">
        <is>
          <t>常勤換算後の人数（人）</t>
        </is>
      </c>
      <c r="D44" s="4443" t="n"/>
      <c r="E44" s="4443" t="n"/>
      <c r="F44" s="4443" t="n"/>
      <c r="G44" s="4443" t="n"/>
      <c r="H44" s="4443" t="n"/>
      <c r="I44" s="4443" t="n"/>
      <c r="J44" s="4444" t="n"/>
      <c r="K44" s="4445" t="n"/>
      <c r="L44" s="4443" t="n"/>
      <c r="M44" s="4443" t="n"/>
      <c r="N44" s="4443" t="n"/>
      <c r="O44" s="4443" t="n"/>
      <c r="P44" s="4444" t="n"/>
      <c r="Q44" s="4445" t="inlineStr">
        <is>
          <t>０．５</t>
        </is>
      </c>
      <c r="R44" s="4443" t="n"/>
      <c r="S44" s="4443" t="n"/>
      <c r="T44" s="4443" t="n"/>
      <c r="U44" s="4443" t="n"/>
      <c r="V44" s="4444" t="n"/>
      <c r="W44" s="4445" t="n"/>
      <c r="X44" s="4443" t="n"/>
      <c r="Y44" s="4443" t="n"/>
      <c r="Z44" s="4443" t="n"/>
      <c r="AA44" s="4443" t="n"/>
      <c r="AB44" s="4444" t="n"/>
      <c r="AC44" s="4446" t="inlineStr">
        <is>
          <t>０．５</t>
        </is>
      </c>
      <c r="AD44" s="4443" t="n"/>
      <c r="AE44" s="4443" t="n"/>
      <c r="AF44" s="4443" t="n"/>
      <c r="AG44" s="4443" t="n"/>
      <c r="AH44" s="4447" t="n"/>
    </row>
    <row r="45" ht="14.1" customHeight="1" s="4080" thickTop="1">
      <c r="A45" s="4097" t="n"/>
      <c r="B45" s="4107" t="n"/>
      <c r="C45" s="1901" t="inlineStr">
        <is>
          <t xml:space="preserve">　　　　　　　　　職種・勤務形態
常勤・非常勤の別</t>
        </is>
      </c>
      <c r="J45" s="4107" t="n"/>
      <c r="K45" s="4448" t="inlineStr">
        <is>
          <t>理　　　　学　　　　療　　　　法　　　　士　　　　等</t>
        </is>
      </c>
      <c r="L45" s="4103" t="n"/>
      <c r="M45" s="4103" t="n"/>
      <c r="N45" s="4103" t="n"/>
      <c r="O45" s="4103" t="n"/>
      <c r="P45" s="4103" t="n"/>
      <c r="Q45" s="4103" t="n"/>
      <c r="R45" s="4103" t="n"/>
      <c r="S45" s="4103" t="n"/>
      <c r="T45" s="4103" t="n"/>
      <c r="U45" s="4103" t="n"/>
      <c r="V45" s="4103" t="n"/>
      <c r="W45" s="4103" t="n"/>
      <c r="X45" s="4103" t="n"/>
      <c r="Y45" s="4103" t="n"/>
      <c r="Z45" s="4103" t="n"/>
      <c r="AA45" s="4103" t="n"/>
      <c r="AB45" s="4103" t="n"/>
      <c r="AC45" s="4103" t="n"/>
      <c r="AD45" s="4103" t="n"/>
      <c r="AE45" s="4103" t="n"/>
      <c r="AF45" s="4103" t="n"/>
      <c r="AG45" s="4103" t="n"/>
      <c r="AH45" s="4105" t="n"/>
    </row>
    <row r="46" ht="14.1" customHeight="1" s="4080">
      <c r="A46" s="4097" t="n"/>
      <c r="B46" s="4107" t="n"/>
      <c r="J46" s="4107" t="n"/>
      <c r="K46" s="4449" t="inlineStr">
        <is>
          <t>理学療法士</t>
        </is>
      </c>
      <c r="L46" s="4110" t="n"/>
      <c r="M46" s="4110" t="n"/>
      <c r="N46" s="4110" t="n"/>
      <c r="O46" s="4110" t="n"/>
      <c r="P46" s="4111" t="n"/>
      <c r="Q46" s="4449" t="inlineStr">
        <is>
          <t>作業療法士</t>
        </is>
      </c>
      <c r="R46" s="4110" t="n"/>
      <c r="S46" s="4110" t="n"/>
      <c r="T46" s="4110" t="n"/>
      <c r="U46" s="4110" t="n"/>
      <c r="V46" s="4111" t="n"/>
      <c r="W46" s="4449" t="inlineStr">
        <is>
          <t>機能訓練指導員</t>
        </is>
      </c>
      <c r="X46" s="4110" t="n"/>
      <c r="Y46" s="4110" t="n"/>
      <c r="Z46" s="4110" t="n"/>
      <c r="AA46" s="4110" t="n"/>
      <c r="AB46" s="4111" t="n"/>
      <c r="AC46" s="4450" t="inlineStr">
        <is>
          <t>理学療法士等計</t>
        </is>
      </c>
      <c r="AD46" s="4110" t="n"/>
      <c r="AE46" s="4110" t="n"/>
      <c r="AF46" s="4110" t="n"/>
      <c r="AG46" s="4110" t="n"/>
      <c r="AH46" s="4113" t="n"/>
    </row>
    <row r="47" ht="14.1" customHeight="1" s="4080">
      <c r="A47" s="4097" t="n"/>
      <c r="B47" s="4107" t="n"/>
      <c r="C47" s="4103" t="n"/>
      <c r="D47" s="4103" t="n"/>
      <c r="E47" s="4103" t="n"/>
      <c r="F47" s="4103" t="n"/>
      <c r="G47" s="4103" t="n"/>
      <c r="H47" s="4103" t="n"/>
      <c r="I47" s="4103" t="n"/>
      <c r="J47" s="4104" t="n"/>
      <c r="K47" s="1617" t="inlineStr">
        <is>
          <t>専従</t>
        </is>
      </c>
      <c r="L47" s="4110" t="n"/>
      <c r="M47" s="4189" t="n"/>
      <c r="N47" s="1603" t="inlineStr">
        <is>
          <t>兼務</t>
        </is>
      </c>
      <c r="O47" s="4110" t="n"/>
      <c r="P47" s="4189" t="n"/>
      <c r="Q47" s="1617" t="inlineStr">
        <is>
          <t>専従</t>
        </is>
      </c>
      <c r="R47" s="4110" t="n"/>
      <c r="S47" s="4189" t="n"/>
      <c r="T47" s="1603" t="inlineStr">
        <is>
          <t>兼務</t>
        </is>
      </c>
      <c r="U47" s="4110" t="n"/>
      <c r="V47" s="4189" t="n"/>
      <c r="W47" s="1617" t="inlineStr">
        <is>
          <t>専従</t>
        </is>
      </c>
      <c r="X47" s="4110" t="n"/>
      <c r="Y47" s="4189" t="n"/>
      <c r="Z47" s="1603" t="inlineStr">
        <is>
          <t>兼務</t>
        </is>
      </c>
      <c r="AA47" s="4110" t="n"/>
      <c r="AB47" s="4189" t="n"/>
      <c r="AC47" s="1617" t="inlineStr">
        <is>
          <t>専従</t>
        </is>
      </c>
      <c r="AD47" s="4110" t="n"/>
      <c r="AE47" s="4189" t="n"/>
      <c r="AF47" s="1603" t="inlineStr">
        <is>
          <t>兼務</t>
        </is>
      </c>
      <c r="AG47" s="4110" t="n"/>
      <c r="AH47" s="4189" t="n"/>
    </row>
    <row r="48" ht="14.1" customHeight="1" s="4080">
      <c r="A48" s="4097" t="n"/>
      <c r="B48" s="4107" t="n"/>
      <c r="C48" s="4185" t="inlineStr">
        <is>
          <t>常　　　　　勤（人）</t>
        </is>
      </c>
      <c r="D48" s="4110" t="n"/>
      <c r="E48" s="4110" t="n"/>
      <c r="F48" s="4110" t="n"/>
      <c r="G48" s="4110" t="n"/>
      <c r="H48" s="4110" t="n"/>
      <c r="I48" s="4110" t="n"/>
      <c r="J48" s="4111" t="n"/>
      <c r="K48" s="1487" t="n"/>
      <c r="L48" s="4110" t="n"/>
      <c r="M48" s="4189" t="n"/>
      <c r="N48" s="1488" t="n"/>
      <c r="O48" s="4110" t="n"/>
      <c r="P48" s="4189" t="n"/>
      <c r="Q48" s="1487" t="n"/>
      <c r="R48" s="4110" t="n"/>
      <c r="S48" s="4189" t="n"/>
      <c r="T48" s="1488" t="n"/>
      <c r="U48" s="4110" t="n"/>
      <c r="V48" s="4189" t="n"/>
      <c r="W48" s="1487" t="n"/>
      <c r="X48" s="4110" t="n"/>
      <c r="Y48" s="4189" t="n"/>
      <c r="Z48" s="1488" t="n"/>
      <c r="AA48" s="4110" t="n"/>
      <c r="AB48" s="4189" t="n"/>
      <c r="AC48" s="1487" t="n"/>
      <c r="AD48" s="4110" t="n"/>
      <c r="AE48" s="4189" t="n"/>
      <c r="AF48" s="1488" t="n"/>
      <c r="AG48" s="4110" t="n"/>
      <c r="AH48" s="4189" t="n"/>
    </row>
    <row r="49" ht="14.1" customHeight="1" s="4080">
      <c r="A49" s="4097" t="n"/>
      <c r="B49" s="4107" t="n"/>
      <c r="C49" s="4329" t="inlineStr">
        <is>
          <t>非　　常　　勤（人）</t>
        </is>
      </c>
      <c r="D49" s="4103" t="n"/>
      <c r="E49" s="4103" t="n"/>
      <c r="F49" s="4103" t="n"/>
      <c r="G49" s="4103" t="n"/>
      <c r="H49" s="4103" t="n"/>
      <c r="I49" s="4103" t="n"/>
      <c r="J49" s="4104" t="n"/>
      <c r="K49" s="1487" t="n"/>
      <c r="L49" s="4110" t="n"/>
      <c r="M49" s="4189" t="n"/>
      <c r="N49" s="1488" t="n"/>
      <c r="O49" s="4110" t="n"/>
      <c r="P49" s="4189" t="n"/>
      <c r="Q49" s="1487" t="inlineStr">
        <is>
          <t>１</t>
        </is>
      </c>
      <c r="R49" s="4110" t="n"/>
      <c r="S49" s="4189" t="n"/>
      <c r="T49" s="1488" t="n"/>
      <c r="U49" s="4110" t="n"/>
      <c r="V49" s="4189" t="n"/>
      <c r="W49" s="1487" t="n"/>
      <c r="X49" s="4110" t="n"/>
      <c r="Y49" s="4189" t="n"/>
      <c r="Z49" s="1488" t="n"/>
      <c r="AA49" s="4110" t="n"/>
      <c r="AB49" s="4189" t="n"/>
      <c r="AC49" s="1487" t="inlineStr">
        <is>
          <t>１</t>
        </is>
      </c>
      <c r="AD49" s="4110" t="n"/>
      <c r="AE49" s="4189" t="n"/>
      <c r="AF49" s="1488" t="n"/>
      <c r="AG49" s="4110" t="n"/>
      <c r="AH49" s="4189" t="n"/>
    </row>
    <row r="50" ht="14.1" customHeight="1" s="4080" thickBot="1">
      <c r="A50" s="4097" t="n"/>
      <c r="B50" s="4107" t="n"/>
      <c r="C50" s="1282" t="inlineStr">
        <is>
          <t>常勤換算後の人数（人）</t>
        </is>
      </c>
      <c r="D50" s="4098" t="n"/>
      <c r="E50" s="4098" t="n"/>
      <c r="F50" s="4098" t="n"/>
      <c r="G50" s="4098" t="n"/>
      <c r="H50" s="4098" t="n"/>
      <c r="I50" s="4098" t="n"/>
      <c r="J50" s="4099" t="n"/>
      <c r="K50" s="4437" t="n"/>
      <c r="L50" s="4098" t="n"/>
      <c r="M50" s="4098" t="n"/>
      <c r="N50" s="4098" t="n"/>
      <c r="O50" s="4098" t="n"/>
      <c r="P50" s="4099" t="n"/>
      <c r="Q50" s="4437" t="inlineStr">
        <is>
          <t>０．５</t>
        </is>
      </c>
      <c r="R50" s="4098" t="n"/>
      <c r="S50" s="4098" t="n"/>
      <c r="T50" s="4098" t="n"/>
      <c r="U50" s="4098" t="n"/>
      <c r="V50" s="4099" t="n"/>
      <c r="W50" s="4437" t="n"/>
      <c r="X50" s="4098" t="n"/>
      <c r="Y50" s="4098" t="n"/>
      <c r="Z50" s="4098" t="n"/>
      <c r="AA50" s="4098" t="n"/>
      <c r="AB50" s="4099" t="n"/>
      <c r="AC50" s="4438" t="inlineStr">
        <is>
          <t>０．５</t>
        </is>
      </c>
      <c r="AD50" s="4098" t="n"/>
      <c r="AE50" s="4098" t="n"/>
      <c r="AF50" s="4098" t="n"/>
      <c r="AG50" s="4098" t="n"/>
      <c r="AH50" s="4101" t="n"/>
    </row>
    <row r="51" ht="14.1" customHeight="1" s="4080" thickTop="1">
      <c r="A51" s="4097" t="n"/>
      <c r="B51" s="4107" t="n"/>
      <c r="C51" s="4386" t="inlineStr">
        <is>
          <t xml:space="preserve">　　　　　　職種・勤務形態
常勤・非常勤の別</t>
        </is>
      </c>
      <c r="D51" s="4369" t="n"/>
      <c r="E51" s="4369" t="n"/>
      <c r="F51" s="4369" t="n"/>
      <c r="G51" s="4369" t="n"/>
      <c r="H51" s="4369" t="n"/>
      <c r="I51" s="4369" t="n"/>
      <c r="J51" s="4370" t="n"/>
      <c r="K51" s="4451" t="inlineStr">
        <is>
          <t>栄養士</t>
        </is>
      </c>
      <c r="L51" s="4372" t="n"/>
      <c r="M51" s="4372" t="n"/>
      <c r="N51" s="4372" t="n"/>
      <c r="O51" s="4372" t="n"/>
      <c r="P51" s="4388" t="n"/>
      <c r="Q51" s="4452" t="inlineStr">
        <is>
          <t>調理員</t>
        </is>
      </c>
      <c r="R51" s="4369" t="n"/>
      <c r="S51" s="4369" t="n"/>
      <c r="T51" s="4369" t="n"/>
      <c r="U51" s="4369" t="n"/>
      <c r="V51" s="4370" t="n"/>
      <c r="W51" s="4452" t="inlineStr">
        <is>
          <t>事務職員</t>
        </is>
      </c>
      <c r="X51" s="4369" t="n"/>
      <c r="Y51" s="4369" t="n"/>
      <c r="Z51" s="4369" t="n"/>
      <c r="AA51" s="4369" t="n"/>
      <c r="AB51" s="4370" t="n"/>
      <c r="AC51" s="4453" t="n"/>
      <c r="AD51" s="4369" t="n"/>
      <c r="AE51" s="4369" t="n"/>
      <c r="AF51" s="4369" t="n"/>
      <c r="AG51" s="4369" t="n"/>
      <c r="AH51" s="4391" t="n"/>
    </row>
    <row r="52" ht="14.1" customHeight="1" s="4080">
      <c r="A52" s="4097" t="n"/>
      <c r="B52" s="4107" t="n"/>
      <c r="C52" s="4102" t="n"/>
      <c r="D52" s="4103" t="n"/>
      <c r="E52" s="4103" t="n"/>
      <c r="F52" s="4103" t="n"/>
      <c r="G52" s="4103" t="n"/>
      <c r="H52" s="4103" t="n"/>
      <c r="I52" s="4103" t="n"/>
      <c r="J52" s="4104" t="n"/>
      <c r="K52" s="1617" t="inlineStr">
        <is>
          <t>専従</t>
        </is>
      </c>
      <c r="L52" s="4110" t="n"/>
      <c r="M52" s="4189" t="n"/>
      <c r="N52" s="1603" t="inlineStr">
        <is>
          <t>兼務</t>
        </is>
      </c>
      <c r="O52" s="4110" t="n"/>
      <c r="P52" s="4189" t="n"/>
      <c r="Q52" s="1617" t="inlineStr">
        <is>
          <t>専従</t>
        </is>
      </c>
      <c r="R52" s="4110" t="n"/>
      <c r="S52" s="4189" t="n"/>
      <c r="T52" s="1603" t="inlineStr">
        <is>
          <t>兼務</t>
        </is>
      </c>
      <c r="U52" s="4110" t="n"/>
      <c r="V52" s="4189" t="n"/>
      <c r="W52" s="1617" t="inlineStr">
        <is>
          <t>専従</t>
        </is>
      </c>
      <c r="X52" s="4110" t="n"/>
      <c r="Y52" s="4189" t="n"/>
      <c r="Z52" s="1603" t="inlineStr">
        <is>
          <t>兼務</t>
        </is>
      </c>
      <c r="AA52" s="4110" t="n"/>
      <c r="AB52" s="4189" t="n"/>
      <c r="AC52" s="1617" t="inlineStr">
        <is>
          <t>専従</t>
        </is>
      </c>
      <c r="AD52" s="4110" t="n"/>
      <c r="AE52" s="4189" t="n"/>
      <c r="AF52" s="1603" t="inlineStr">
        <is>
          <t>兼務</t>
        </is>
      </c>
      <c r="AG52" s="4110" t="n"/>
      <c r="AH52" s="4189" t="n"/>
    </row>
    <row r="53" ht="14.1" customHeight="1" s="4080">
      <c r="A53" s="4097" t="n"/>
      <c r="B53" s="4107" t="n"/>
      <c r="C53" s="4185" t="inlineStr">
        <is>
          <t>常　　　　　勤（人）</t>
        </is>
      </c>
      <c r="D53" s="4110" t="n"/>
      <c r="E53" s="4110" t="n"/>
      <c r="F53" s="4110" t="n"/>
      <c r="G53" s="4110" t="n"/>
      <c r="H53" s="4110" t="n"/>
      <c r="I53" s="4110" t="n"/>
      <c r="J53" s="4111" t="n"/>
      <c r="K53" s="1487" t="n"/>
      <c r="L53" s="4110" t="n"/>
      <c r="M53" s="4189" t="n"/>
      <c r="N53" s="1488" t="inlineStr">
        <is>
          <t>１</t>
        </is>
      </c>
      <c r="O53" s="4110" t="n"/>
      <c r="P53" s="4189" t="n"/>
      <c r="Q53" s="1487" t="n"/>
      <c r="R53" s="4110" t="n"/>
      <c r="S53" s="4189" t="n"/>
      <c r="T53" s="1488" t="n"/>
      <c r="U53" s="4110" t="n"/>
      <c r="V53" s="4189" t="n"/>
      <c r="W53" s="1487" t="n"/>
      <c r="X53" s="4110" t="n"/>
      <c r="Y53" s="4189" t="n"/>
      <c r="Z53" s="1488" t="inlineStr">
        <is>
          <t>１</t>
        </is>
      </c>
      <c r="AA53" s="4110" t="n"/>
      <c r="AB53" s="4189" t="n"/>
      <c r="AC53" s="1487" t="n"/>
      <c r="AD53" s="4110" t="n"/>
      <c r="AE53" s="4189" t="n"/>
      <c r="AF53" s="1488" t="n"/>
      <c r="AG53" s="4110" t="n"/>
      <c r="AH53" s="4189" t="n"/>
    </row>
    <row r="54" ht="14.1" customHeight="1" s="4080">
      <c r="A54" s="4097" t="n"/>
      <c r="B54" s="4107" t="n"/>
      <c r="C54" s="4329" t="inlineStr">
        <is>
          <t>非　　常　　勤（人）</t>
        </is>
      </c>
      <c r="D54" s="4103" t="n"/>
      <c r="E54" s="4103" t="n"/>
      <c r="F54" s="4103" t="n"/>
      <c r="G54" s="4103" t="n"/>
      <c r="H54" s="4103" t="n"/>
      <c r="I54" s="4103" t="n"/>
      <c r="J54" s="4104" t="n"/>
      <c r="K54" s="1487" t="n"/>
      <c r="L54" s="4110" t="n"/>
      <c r="M54" s="4189" t="n"/>
      <c r="N54" s="1488" t="n"/>
      <c r="O54" s="4110" t="n"/>
      <c r="P54" s="4189" t="n"/>
      <c r="Q54" s="1487" t="n"/>
      <c r="R54" s="4110" t="n"/>
      <c r="S54" s="4189" t="n"/>
      <c r="T54" s="1488" t="inlineStr">
        <is>
          <t>３</t>
        </is>
      </c>
      <c r="U54" s="4110" t="n"/>
      <c r="V54" s="4189" t="n"/>
      <c r="W54" s="1487" t="n"/>
      <c r="X54" s="4110" t="n"/>
      <c r="Y54" s="4189" t="n"/>
      <c r="Z54" s="1488" t="n"/>
      <c r="AA54" s="4110" t="n"/>
      <c r="AB54" s="4189" t="n"/>
      <c r="AC54" s="1487" t="n"/>
      <c r="AD54" s="4110" t="n"/>
      <c r="AE54" s="4189" t="n"/>
      <c r="AF54" s="1488" t="n"/>
      <c r="AG54" s="4110" t="n"/>
      <c r="AH54" s="4189" t="n"/>
    </row>
    <row r="55" ht="14.1" customHeight="1" s="4080">
      <c r="A55" s="4097" t="n"/>
      <c r="B55" s="4107" t="n"/>
      <c r="C55" s="1282" t="inlineStr">
        <is>
          <t>常勤換算後の人数（人）</t>
        </is>
      </c>
      <c r="D55" s="4098" t="n"/>
      <c r="E55" s="4098" t="n"/>
      <c r="F55" s="4098" t="n"/>
      <c r="G55" s="4098" t="n"/>
      <c r="H55" s="4098" t="n"/>
      <c r="I55" s="4098" t="n"/>
      <c r="J55" s="4099" t="n"/>
      <c r="K55" s="4437" t="n"/>
      <c r="L55" s="4098" t="n"/>
      <c r="M55" s="4098" t="n"/>
      <c r="N55" s="4098" t="n"/>
      <c r="O55" s="4098" t="n"/>
      <c r="P55" s="4099" t="n"/>
      <c r="Q55" s="4437" t="n"/>
      <c r="R55" s="4098" t="n"/>
      <c r="S55" s="4098" t="n"/>
      <c r="T55" s="4098" t="n"/>
      <c r="U55" s="4098" t="n"/>
      <c r="V55" s="4099" t="n"/>
      <c r="W55" s="4437" t="n"/>
      <c r="X55" s="4098" t="n"/>
      <c r="Y55" s="4098" t="n"/>
      <c r="Z55" s="4098" t="n"/>
      <c r="AA55" s="4098" t="n"/>
      <c r="AB55" s="4099" t="n"/>
      <c r="AC55" s="4438" t="n"/>
      <c r="AD55" s="4098" t="n"/>
      <c r="AE55" s="4098" t="n"/>
      <c r="AF55" s="4098" t="n"/>
      <c r="AG55" s="4098" t="n"/>
      <c r="AH55" s="4101" t="n"/>
    </row>
    <row r="56" ht="15" customHeight="1" s="4080">
      <c r="A56" s="4399" t="inlineStr">
        <is>
          <t>前年度利用者実績</t>
        </is>
      </c>
      <c r="B56" s="4098" t="n"/>
      <c r="C56" s="4098" t="n"/>
      <c r="D56" s="4098" t="n"/>
      <c r="E56" s="4098" t="n"/>
      <c r="F56" s="4098" t="n"/>
      <c r="G56" s="4098" t="n"/>
      <c r="H56" s="4098" t="n"/>
      <c r="I56" s="4098" t="n"/>
      <c r="J56" s="4099" t="n"/>
      <c r="K56" s="2165" t="inlineStr">
        <is>
          <t>平均利用者数</t>
        </is>
      </c>
      <c r="L56" s="4110" t="n"/>
      <c r="M56" s="4110" t="n"/>
      <c r="N56" s="4110" t="n"/>
      <c r="O56" s="4110" t="n"/>
      <c r="P56" s="4111" t="n"/>
      <c r="Q56" s="4181" t="inlineStr">
        <is>
          <t>平均障がい支援区分</t>
        </is>
      </c>
      <c r="R56" s="4110" t="n"/>
      <c r="S56" s="4110" t="n"/>
      <c r="T56" s="4110" t="n"/>
      <c r="U56" s="4110" t="n"/>
      <c r="V56" s="4111" t="n"/>
      <c r="W56" s="4400" t="inlineStr">
        <is>
          <t>＊平均利用者数…小数第２位を切り上げ</t>
        </is>
      </c>
      <c r="X56" s="4098" t="n"/>
      <c r="Y56" s="4098" t="n"/>
      <c r="Z56" s="4098" t="n"/>
      <c r="AA56" s="4098" t="n"/>
      <c r="AB56" s="4098" t="n"/>
      <c r="AC56" s="4098" t="n"/>
      <c r="AD56" s="4098" t="n"/>
      <c r="AE56" s="4098" t="n"/>
      <c r="AF56" s="4098" t="n"/>
      <c r="AG56" s="4098" t="n"/>
      <c r="AH56" s="4101" t="n"/>
    </row>
    <row r="57" ht="24" customHeight="1" s="4080">
      <c r="A57" s="4114" t="n"/>
      <c r="B57" s="4103" t="n"/>
      <c r="C57" s="4103" t="n"/>
      <c r="D57" s="4103" t="n"/>
      <c r="E57" s="4103" t="n"/>
      <c r="F57" s="4103" t="n"/>
      <c r="G57" s="4103" t="n"/>
      <c r="H57" s="4103" t="n"/>
      <c r="I57" s="4103" t="n"/>
      <c r="J57" s="4104" t="n"/>
      <c r="K57" s="2144" t="inlineStr">
        <is>
          <t>17.8</t>
        </is>
      </c>
      <c r="L57" s="4110" t="n"/>
      <c r="M57" s="4110" t="n"/>
      <c r="N57" s="4110" t="n"/>
      <c r="O57" s="4110" t="n"/>
      <c r="P57" s="201" t="inlineStr">
        <is>
          <t>人</t>
        </is>
      </c>
      <c r="Q57" s="1300" t="inlineStr">
        <is>
          <t>区分</t>
        </is>
      </c>
      <c r="R57" s="4110" t="n"/>
      <c r="S57" s="2146" t="inlineStr">
        <is>
          <t>4.2</t>
        </is>
      </c>
      <c r="T57" s="4110" t="n"/>
      <c r="U57" s="4110" t="n"/>
      <c r="V57" s="4111" t="n"/>
      <c r="W57" s="4401" t="inlineStr">
        <is>
          <t>＊平均障がい支援区分…小数第２位を四捨五入</t>
        </is>
      </c>
      <c r="X57" s="4103" t="n"/>
      <c r="Y57" s="4103" t="n"/>
      <c r="Z57" s="4103" t="n"/>
      <c r="AA57" s="4103" t="n"/>
      <c r="AB57" s="4103" t="n"/>
      <c r="AC57" s="4103" t="n"/>
      <c r="AD57" s="4103" t="n"/>
      <c r="AE57" s="4103" t="n"/>
      <c r="AF57" s="4103" t="n"/>
      <c r="AG57" s="4103" t="n"/>
      <c r="AH57" s="4105" t="n"/>
    </row>
    <row r="58" ht="18" customHeight="1" s="4080">
      <c r="A58" s="4402" t="inlineStr">
        <is>
          <t>推定利用者（新規・増員分）</t>
        </is>
      </c>
      <c r="B58" s="4098" t="n"/>
      <c r="C58" s="4098" t="n"/>
      <c r="D58" s="4098" t="n"/>
      <c r="E58" s="4098" t="n"/>
      <c r="F58" s="4098" t="n"/>
      <c r="G58" s="4098" t="n"/>
      <c r="H58" s="4098" t="n"/>
      <c r="I58" s="4098" t="n"/>
      <c r="J58" s="4099" t="n"/>
      <c r="K58" s="2165" t="inlineStr">
        <is>
          <t>推定利用者数</t>
        </is>
      </c>
      <c r="L58" s="4110" t="n"/>
      <c r="M58" s="4110" t="n"/>
      <c r="N58" s="4110" t="n"/>
      <c r="O58" s="4110" t="n"/>
      <c r="P58" s="4111" t="n"/>
      <c r="Q58" s="4403" t="inlineStr">
        <is>
          <t>推定平均障がい支援区分</t>
        </is>
      </c>
      <c r="R58" s="4110" t="n"/>
      <c r="S58" s="4110" t="n"/>
      <c r="T58" s="4110" t="n"/>
      <c r="U58" s="4110" t="n"/>
      <c r="V58" s="4111" t="n"/>
      <c r="W58" s="4404" t="n"/>
      <c r="X58" s="1978" t="n"/>
      <c r="Y58" s="4405" t="n"/>
      <c r="Z58" s="4406" t="n"/>
      <c r="AA58" s="1978" t="n"/>
      <c r="AB58" s="206" t="n"/>
      <c r="AC58" s="4407" t="n"/>
      <c r="AD58" s="1978" t="n"/>
      <c r="AE58" s="1978" t="n"/>
      <c r="AF58" s="4408" t="n"/>
      <c r="AG58" s="1978" t="n"/>
      <c r="AH58" s="4409" t="n"/>
    </row>
    <row r="59" ht="24" customHeight="1" s="4080" thickBot="1">
      <c r="A59" s="4086" t="n"/>
      <c r="B59" s="4087" t="n"/>
      <c r="C59" s="4087" t="n"/>
      <c r="D59" s="4087" t="n"/>
      <c r="E59" s="4087" t="n"/>
      <c r="F59" s="4087" t="n"/>
      <c r="G59" s="4087" t="n"/>
      <c r="H59" s="4087" t="n"/>
      <c r="I59" s="4087" t="n"/>
      <c r="J59" s="4410" t="n"/>
      <c r="K59" s="1993" t="n"/>
      <c r="L59" s="4153" t="n"/>
      <c r="M59" s="4153" t="n"/>
      <c r="N59" s="4153" t="n"/>
      <c r="O59" s="4153" t="n"/>
      <c r="P59" s="210" t="inlineStr">
        <is>
          <t>人</t>
        </is>
      </c>
      <c r="Q59" s="1993" t="inlineStr">
        <is>
          <t>区分</t>
        </is>
      </c>
      <c r="R59" s="4153" t="n"/>
      <c r="S59" s="1995" t="n"/>
      <c r="T59" s="4153" t="n"/>
      <c r="U59" s="4153" t="n"/>
      <c r="V59" s="4154" t="n"/>
      <c r="W59" s="4411" t="n"/>
      <c r="X59" s="212" t="n"/>
      <c r="Y59" s="4412" t="n"/>
      <c r="Z59" s="4413" t="n"/>
      <c r="AA59" s="212" t="n"/>
      <c r="AB59" s="4414" t="n"/>
      <c r="AC59" s="4415" t="n"/>
      <c r="AD59" s="212" t="n"/>
      <c r="AE59" s="212" t="n"/>
      <c r="AF59" s="4416" t="n"/>
      <c r="AG59" s="212" t="n"/>
      <c r="AH59" s="4417" t="n"/>
    </row>
    <row r="60" ht="12" customHeight="1" s="4080" thickBot="1">
      <c r="A60" s="4219" t="inlineStr">
        <is>
          <t>主　　な　　掲　　示　　事　　項</t>
        </is>
      </c>
      <c r="B60" s="4099" t="n"/>
      <c r="C60" s="2147" t="n"/>
      <c r="D60" s="1618" t="inlineStr">
        <is>
          <t>営業日</t>
        </is>
      </c>
      <c r="E60" s="4098" t="n"/>
      <c r="F60" s="4098" t="n"/>
      <c r="G60" s="4098" t="n"/>
      <c r="H60" s="4098" t="n"/>
      <c r="I60" s="4098" t="n"/>
      <c r="J60" s="2148" t="n"/>
      <c r="K60" s="2244" t="inlineStr">
        <is>
          <t>月</t>
        </is>
      </c>
      <c r="L60" s="2245" t="inlineStr">
        <is>
          <t>火</t>
        </is>
      </c>
      <c r="M60" s="2245" t="inlineStr">
        <is>
          <t>水</t>
        </is>
      </c>
      <c r="N60" s="2245" t="inlineStr">
        <is>
          <t>木</t>
        </is>
      </c>
      <c r="O60" s="2245" t="inlineStr">
        <is>
          <t>金</t>
        </is>
      </c>
      <c r="P60" s="2245" t="inlineStr">
        <is>
          <t>土</t>
        </is>
      </c>
      <c r="Q60" s="2245" t="inlineStr">
        <is>
          <t>日</t>
        </is>
      </c>
      <c r="R60" s="2249" t="inlineStr">
        <is>
          <t>祝</t>
        </is>
      </c>
      <c r="S60" s="2149" t="inlineStr">
        <is>
          <t>休業日</t>
        </is>
      </c>
      <c r="T60" s="2150" t="inlineStr">
        <is>
          <t>年末年始</t>
        </is>
      </c>
      <c r="U60" s="4098" t="n"/>
      <c r="V60" s="1717" t="inlineStr">
        <is>
          <t>12/29～1/3</t>
        </is>
      </c>
      <c r="W60" s="4098" t="n"/>
      <c r="X60" s="4098" t="n"/>
      <c r="Y60" s="4098" t="n"/>
      <c r="Z60" s="4098" t="n"/>
      <c r="AA60" s="4098" t="n"/>
      <c r="AB60" s="4099" t="n"/>
      <c r="AC60" s="4424" t="inlineStr">
        <is>
          <t>備考</t>
        </is>
      </c>
      <c r="AD60" s="2793" t="n"/>
      <c r="AE60" s="4098" t="n"/>
      <c r="AF60" s="4098" t="n"/>
      <c r="AG60" s="4098" t="n"/>
      <c r="AH60" s="4101" t="n"/>
    </row>
    <row r="61" ht="12" customHeight="1" s="4080" thickBot="1">
      <c r="A61" s="4097" t="n"/>
      <c r="B61" s="4107" t="n"/>
      <c r="C61" s="4106" t="n"/>
      <c r="J61" s="4107" t="n"/>
      <c r="K61" s="4302" t="inlineStr">
        <is>
          <t>○</t>
        </is>
      </c>
      <c r="L61" s="4303" t="inlineStr">
        <is>
          <t>○</t>
        </is>
      </c>
      <c r="M61" s="4303" t="inlineStr">
        <is>
          <t>○</t>
        </is>
      </c>
      <c r="N61" s="4303" t="inlineStr">
        <is>
          <t>○</t>
        </is>
      </c>
      <c r="O61" s="4303" t="inlineStr">
        <is>
          <t>○</t>
        </is>
      </c>
      <c r="P61" s="4303" t="n"/>
      <c r="Q61" s="4303" t="n"/>
      <c r="R61" s="4309" t="inlineStr">
        <is>
          <t>○</t>
        </is>
      </c>
      <c r="S61" s="4282" t="n"/>
      <c r="T61" s="2008" t="inlineStr">
        <is>
          <t>夏季</t>
        </is>
      </c>
      <c r="V61" s="1744" t="inlineStr">
        <is>
          <t>8/13～8/16</t>
        </is>
      </c>
      <c r="AB61" s="4107" t="n"/>
      <c r="AC61" s="4419" t="n"/>
      <c r="AH61" s="4109" t="n"/>
    </row>
    <row r="62" ht="12" customHeight="1" s="4080">
      <c r="A62" s="4097" t="n"/>
      <c r="B62" s="4107" t="n"/>
      <c r="C62" s="4420" t="n"/>
      <c r="D62" s="4087" t="n"/>
      <c r="E62" s="4087" t="n"/>
      <c r="F62" s="4087" t="n"/>
      <c r="G62" s="4087" t="n"/>
      <c r="H62" s="4087" t="n"/>
      <c r="I62" s="4087" t="n"/>
      <c r="J62" s="4410" t="n"/>
      <c r="K62" s="4283" t="n"/>
      <c r="L62" s="4284" t="n"/>
      <c r="M62" s="4284" t="n"/>
      <c r="N62" s="4284" t="n"/>
      <c r="O62" s="4284" t="n"/>
      <c r="P62" s="4284" t="n"/>
      <c r="Q62" s="4284" t="n"/>
      <c r="R62" s="4285" t="n"/>
      <c r="S62" s="4421" t="n"/>
      <c r="T62" s="2024" t="inlineStr">
        <is>
          <t>その他</t>
        </is>
      </c>
      <c r="U62" s="4103" t="n"/>
      <c r="V62" s="940" t="n"/>
      <c r="W62" s="4103" t="n"/>
      <c r="X62" s="4103" t="n"/>
      <c r="Y62" s="4103" t="n"/>
      <c r="Z62" s="4103" t="n"/>
      <c r="AA62" s="4103" t="n"/>
      <c r="AB62" s="4104" t="n"/>
      <c r="AC62" s="4283" t="n"/>
      <c r="AD62" s="4103" t="n"/>
      <c r="AE62" s="4103" t="n"/>
      <c r="AF62" s="4103" t="n"/>
      <c r="AG62" s="4103" t="n"/>
      <c r="AH62" s="4105" t="n"/>
    </row>
    <row r="63" ht="3.95" customHeight="1" s="4080">
      <c r="A63" s="4097" t="n"/>
      <c r="B63" s="4107" t="n"/>
      <c r="C63" s="1393" t="n"/>
      <c r="D63" s="1264" t="inlineStr">
        <is>
          <t>営業時間</t>
        </is>
      </c>
      <c r="E63" s="4098" t="n"/>
      <c r="F63" s="4098" t="n"/>
      <c r="G63" s="4098" t="n"/>
      <c r="H63" s="4098" t="n"/>
      <c r="I63" s="4098" t="n"/>
      <c r="J63" s="4223" t="n"/>
      <c r="K63" s="4287" t="inlineStr">
        <is>
          <t>平日</t>
        </is>
      </c>
      <c r="L63" s="4098" t="n"/>
      <c r="M63" s="4190" t="n"/>
      <c r="N63" s="1590" t="n"/>
      <c r="O63" s="4098" t="n"/>
      <c r="P63" s="2842" t="inlineStr">
        <is>
          <t>時</t>
        </is>
      </c>
      <c r="Q63" s="1323" t="n"/>
      <c r="R63" s="1323" t="n"/>
      <c r="S63" s="4288" t="inlineStr">
        <is>
          <t>分～</t>
        </is>
      </c>
      <c r="T63" s="4098" t="n"/>
      <c r="U63" s="108" t="inlineStr">
        <is>
          <t xml:space="preserve">　</t>
        </is>
      </c>
      <c r="V63" s="1591" t="n"/>
      <c r="W63" s="4098" t="n"/>
      <c r="X63" s="2842" t="inlineStr">
        <is>
          <t>時</t>
        </is>
      </c>
      <c r="Y63" s="2834" t="n"/>
      <c r="Z63" s="2834" t="n"/>
      <c r="AA63" s="2842" t="inlineStr">
        <is>
          <t>分</t>
        </is>
      </c>
      <c r="AB63" s="1323" t="n"/>
      <c r="AC63" s="4422" t="inlineStr">
        <is>
          <t>備考</t>
        </is>
      </c>
      <c r="AD63" s="1747" t="n"/>
      <c r="AE63" s="4098" t="n"/>
      <c r="AF63" s="4098" t="n"/>
      <c r="AG63" s="4098" t="n"/>
      <c r="AH63" s="4101" t="n"/>
    </row>
    <row r="64" ht="12" customHeight="1" s="4080">
      <c r="A64" s="4097" t="n"/>
      <c r="B64" s="4107" t="n"/>
      <c r="C64" s="4106" t="n"/>
      <c r="J64" s="4107" t="n"/>
      <c r="K64" s="4106" t="n"/>
      <c r="M64" s="4191" t="n"/>
      <c r="N64" s="1733" t="inlineStr">
        <is>
          <t>９</t>
        </is>
      </c>
      <c r="Q64" s="1752" t="inlineStr">
        <is>
          <t>００</t>
        </is>
      </c>
      <c r="U64" s="1734" t="inlineStr">
        <is>
          <t>１７</t>
        </is>
      </c>
      <c r="Y64" s="1732" t="inlineStr">
        <is>
          <t>４５</t>
        </is>
      </c>
      <c r="AB64" s="1325" t="n"/>
      <c r="AC64" s="4419" t="n"/>
      <c r="AH64" s="4109" t="n"/>
    </row>
    <row r="65" ht="3.95" customHeight="1" s="4080">
      <c r="A65" s="4097" t="n"/>
      <c r="B65" s="4107" t="n"/>
      <c r="C65" s="4106" t="n"/>
      <c r="J65" s="4107" t="n"/>
      <c r="K65" s="4145" t="n"/>
      <c r="L65" s="4146" t="n"/>
      <c r="M65" s="4201" t="n"/>
      <c r="N65" s="1586" t="n"/>
      <c r="O65" s="1587" t="n"/>
      <c r="P65" s="4146" t="n"/>
      <c r="Q65" s="1585" t="n"/>
      <c r="R65" s="1585" t="n"/>
      <c r="S65" s="4146" t="n"/>
      <c r="T65" s="4146" t="n"/>
      <c r="U65" s="2253" t="n"/>
      <c r="V65" s="1587" t="n"/>
      <c r="W65" s="1587" t="n"/>
      <c r="X65" s="4146" t="n"/>
      <c r="Y65" s="101" t="n"/>
      <c r="Z65" s="101" t="n"/>
      <c r="AA65" s="4146" t="n"/>
      <c r="AB65" s="1585" t="n"/>
      <c r="AC65" s="4419" t="n"/>
      <c r="AH65" s="4109" t="n"/>
    </row>
    <row r="66" ht="3.95" customHeight="1" s="4080">
      <c r="A66" s="4097" t="n"/>
      <c r="B66" s="4107" t="n"/>
      <c r="C66" s="4106" t="n"/>
      <c r="J66" s="4107" t="n"/>
      <c r="K66" s="4289" t="inlineStr">
        <is>
          <t>土曜</t>
        </is>
      </c>
      <c r="L66" s="4290" t="n"/>
      <c r="M66" s="4291" t="n"/>
      <c r="N66" s="1581" t="n"/>
      <c r="O66" s="4290" t="n"/>
      <c r="P66" s="1514" t="inlineStr">
        <is>
          <t>時</t>
        </is>
      </c>
      <c r="Q66" s="1583" t="n"/>
      <c r="R66" s="1583" t="n"/>
      <c r="S66" s="4292" t="inlineStr">
        <is>
          <t>分～</t>
        </is>
      </c>
      <c r="T66" s="4290" t="n"/>
      <c r="U66" s="98" t="inlineStr">
        <is>
          <t xml:space="preserve">　</t>
        </is>
      </c>
      <c r="V66" s="1582" t="n"/>
      <c r="W66" s="1582" t="n"/>
      <c r="X66" s="1514" t="inlineStr">
        <is>
          <t>時</t>
        </is>
      </c>
      <c r="Y66" s="96" t="n"/>
      <c r="Z66" s="96" t="n"/>
      <c r="AA66" s="1514" t="inlineStr">
        <is>
          <t>分</t>
        </is>
      </c>
      <c r="AB66" s="1583" t="n"/>
      <c r="AC66" s="4419" t="n"/>
      <c r="AH66" s="4109" t="n"/>
    </row>
    <row r="67" ht="12" customHeight="1" s="4080">
      <c r="A67" s="4097" t="n"/>
      <c r="B67" s="4107" t="n"/>
      <c r="C67" s="4106" t="n"/>
      <c r="J67" s="4107" t="n"/>
      <c r="K67" s="4106" t="n"/>
      <c r="M67" s="4191" t="n"/>
      <c r="N67" s="1589" t="n"/>
      <c r="Q67" s="1325" t="n"/>
      <c r="U67" s="1257" t="n"/>
      <c r="Y67" s="1580" t="n"/>
      <c r="AB67" s="1325" t="n"/>
      <c r="AC67" s="4419" t="n"/>
      <c r="AH67" s="4109" t="n"/>
    </row>
    <row r="68" ht="3.95" customHeight="1" s="4080">
      <c r="A68" s="4097" t="n"/>
      <c r="B68" s="4107" t="n"/>
      <c r="C68" s="4106" t="n"/>
      <c r="J68" s="4107" t="n"/>
      <c r="K68" s="4145" t="n"/>
      <c r="L68" s="4146" t="n"/>
      <c r="M68" s="4201" t="n"/>
      <c r="N68" s="1586" t="n"/>
      <c r="O68" s="1587" t="n"/>
      <c r="P68" s="4146" t="n"/>
      <c r="Q68" s="1585" t="n"/>
      <c r="R68" s="1585" t="n"/>
      <c r="S68" s="4146" t="n"/>
      <c r="T68" s="4146" t="n"/>
      <c r="U68" s="103" t="n"/>
      <c r="V68" s="1587" t="n"/>
      <c r="W68" s="1587" t="n"/>
      <c r="X68" s="4146" t="n"/>
      <c r="Y68" s="101" t="n"/>
      <c r="Z68" s="101" t="n"/>
      <c r="AA68" s="4146" t="n"/>
      <c r="AB68" s="1585" t="n"/>
      <c r="AC68" s="4419" t="n"/>
      <c r="AH68" s="4109" t="n"/>
    </row>
    <row r="69" ht="3.95" customHeight="1" s="4080">
      <c r="A69" s="4097" t="n"/>
      <c r="B69" s="4107" t="n"/>
      <c r="C69" s="4106" t="n"/>
      <c r="J69" s="4107" t="n"/>
      <c r="K69" s="4293" t="inlineStr">
        <is>
          <t>日・祝日</t>
        </is>
      </c>
      <c r="L69" s="4290" t="n"/>
      <c r="M69" s="4291" t="n"/>
      <c r="N69" s="1581" t="n"/>
      <c r="O69" s="4290" t="n"/>
      <c r="P69" s="1521" t="inlineStr">
        <is>
          <t>時</t>
        </is>
      </c>
      <c r="Q69" s="1583" t="n"/>
      <c r="R69" s="1583" t="n"/>
      <c r="S69" s="4294" t="inlineStr">
        <is>
          <t>分～</t>
        </is>
      </c>
      <c r="T69" s="4290" t="n"/>
      <c r="U69" s="98" t="inlineStr">
        <is>
          <t xml:space="preserve">　</t>
        </is>
      </c>
      <c r="V69" s="1582" t="n"/>
      <c r="W69" s="1582" t="n"/>
      <c r="X69" s="1521" t="inlineStr">
        <is>
          <t>時</t>
        </is>
      </c>
      <c r="Y69" s="96" t="n"/>
      <c r="Z69" s="96" t="n"/>
      <c r="AA69" s="1521" t="inlineStr">
        <is>
          <t>分</t>
        </is>
      </c>
      <c r="AB69" s="1583" t="n"/>
      <c r="AC69" s="4419" t="n"/>
      <c r="AH69" s="4109" t="n"/>
    </row>
    <row r="70" ht="12" customHeight="1" s="4080">
      <c r="A70" s="4097" t="n"/>
      <c r="B70" s="4107" t="n"/>
      <c r="C70" s="4106" t="n"/>
      <c r="J70" s="4107" t="n"/>
      <c r="K70" s="4106" t="n"/>
      <c r="M70" s="4191" t="n"/>
      <c r="N70" s="1733" t="inlineStr">
        <is>
          <t>９</t>
        </is>
      </c>
      <c r="Q70" s="1752" t="inlineStr">
        <is>
          <t>００</t>
        </is>
      </c>
      <c r="U70" s="1734" t="inlineStr">
        <is>
          <t>１７</t>
        </is>
      </c>
      <c r="Y70" s="1732" t="inlineStr">
        <is>
          <t>４５</t>
        </is>
      </c>
      <c r="AB70" s="1325" t="n"/>
      <c r="AC70" s="4419" t="n"/>
      <c r="AH70" s="4109" t="n"/>
    </row>
    <row r="71" ht="3.95" customHeight="1" s="4080">
      <c r="A71" s="4097" t="n"/>
      <c r="B71" s="4107" t="n"/>
      <c r="C71" s="4102" t="n"/>
      <c r="D71" s="4103" t="n"/>
      <c r="E71" s="4103" t="n"/>
      <c r="F71" s="4103" t="n"/>
      <c r="G71" s="4103" t="n"/>
      <c r="H71" s="4103" t="n"/>
      <c r="I71" s="4103" t="n"/>
      <c r="J71" s="4104" t="n"/>
      <c r="K71" s="4102" t="n"/>
      <c r="L71" s="4103" t="n"/>
      <c r="M71" s="4193" t="n"/>
      <c r="N71" s="1588" t="n"/>
      <c r="O71" s="1258" t="n"/>
      <c r="P71" s="4103" t="n"/>
      <c r="Q71" s="1327" t="n"/>
      <c r="R71" s="1327" t="n"/>
      <c r="S71" s="4103" t="n"/>
      <c r="T71" s="4103" t="n"/>
      <c r="U71" s="92" t="n"/>
      <c r="V71" s="1258" t="n"/>
      <c r="W71" s="1258" t="n"/>
      <c r="X71" s="4103" t="n"/>
      <c r="Y71" s="2836" t="n"/>
      <c r="Z71" s="2836" t="n"/>
      <c r="AA71" s="4103" t="n"/>
      <c r="AB71" s="1327" t="n"/>
      <c r="AC71" s="4283" t="n"/>
      <c r="AD71" s="4103" t="n"/>
      <c r="AE71" s="4103" t="n"/>
      <c r="AF71" s="4103" t="n"/>
      <c r="AG71" s="4103" t="n"/>
      <c r="AH71" s="4105" t="n"/>
    </row>
    <row r="72" ht="12" customHeight="1" s="4080">
      <c r="A72" s="4097" t="n"/>
      <c r="B72" s="4107" t="n"/>
      <c r="C72" s="1393" t="n"/>
      <c r="D72" s="1264" t="inlineStr">
        <is>
          <t>サービス提供日</t>
        </is>
      </c>
      <c r="E72" s="4098" t="n"/>
      <c r="F72" s="4098" t="n"/>
      <c r="G72" s="4098" t="n"/>
      <c r="H72" s="4098" t="n"/>
      <c r="I72" s="4098" t="n"/>
      <c r="J72" s="4423" t="n"/>
      <c r="K72" s="2244" t="inlineStr">
        <is>
          <t>月</t>
        </is>
      </c>
      <c r="L72" s="2245" t="inlineStr">
        <is>
          <t>火</t>
        </is>
      </c>
      <c r="M72" s="2245" t="inlineStr">
        <is>
          <t>水</t>
        </is>
      </c>
      <c r="N72" s="2245" t="inlineStr">
        <is>
          <t>木</t>
        </is>
      </c>
      <c r="O72" s="2245" t="inlineStr">
        <is>
          <t>金</t>
        </is>
      </c>
      <c r="P72" s="2245" t="inlineStr">
        <is>
          <t>土</t>
        </is>
      </c>
      <c r="Q72" s="2245" t="inlineStr">
        <is>
          <t>日</t>
        </is>
      </c>
      <c r="R72" s="2249" t="inlineStr">
        <is>
          <t>祝</t>
        </is>
      </c>
      <c r="S72" s="4279" t="inlineStr">
        <is>
          <t>休業日</t>
        </is>
      </c>
      <c r="T72" s="1611" t="inlineStr">
        <is>
          <t>年末年始</t>
        </is>
      </c>
      <c r="U72" s="4098" t="n"/>
      <c r="V72" s="1717" t="inlineStr">
        <is>
          <t>12/29～1/3</t>
        </is>
      </c>
      <c r="W72" s="4098" t="n"/>
      <c r="X72" s="4098" t="n"/>
      <c r="Y72" s="4098" t="n"/>
      <c r="Z72" s="4098" t="n"/>
      <c r="AA72" s="4098" t="n"/>
      <c r="AB72" s="4099" t="n"/>
      <c r="AC72" s="4424" t="inlineStr">
        <is>
          <t>備考</t>
        </is>
      </c>
      <c r="AD72" s="2793" t="n"/>
      <c r="AE72" s="4098" t="n"/>
      <c r="AF72" s="4098" t="n"/>
      <c r="AG72" s="4098" t="n"/>
      <c r="AH72" s="4101" t="n"/>
    </row>
    <row r="73" ht="12" customHeight="1" s="4080">
      <c r="A73" s="4097" t="n"/>
      <c r="B73" s="4107" t="n"/>
      <c r="C73" s="4106" t="n"/>
      <c r="J73" s="4107" t="n"/>
      <c r="K73" s="4302" t="inlineStr">
        <is>
          <t>○</t>
        </is>
      </c>
      <c r="L73" s="4303" t="inlineStr">
        <is>
          <t>○</t>
        </is>
      </c>
      <c r="M73" s="4303" t="inlineStr">
        <is>
          <t>○</t>
        </is>
      </c>
      <c r="N73" s="4303" t="inlineStr">
        <is>
          <t>○</t>
        </is>
      </c>
      <c r="O73" s="4303" t="inlineStr">
        <is>
          <t>○</t>
        </is>
      </c>
      <c r="P73" s="4303" t="n"/>
      <c r="Q73" s="4303" t="n"/>
      <c r="R73" s="4309" t="inlineStr">
        <is>
          <t>○</t>
        </is>
      </c>
      <c r="S73" s="4282" t="n"/>
      <c r="T73" s="1609" t="inlineStr">
        <is>
          <t>夏季</t>
        </is>
      </c>
      <c r="V73" s="1744" t="inlineStr">
        <is>
          <t>8/13～8/16</t>
        </is>
      </c>
      <c r="AB73" s="4107" t="n"/>
      <c r="AC73" s="4419" t="n"/>
      <c r="AH73" s="4109" t="n"/>
    </row>
    <row r="74" ht="12" customHeight="1" s="4080">
      <c r="A74" s="4097" t="n"/>
      <c r="B74" s="4107" t="n"/>
      <c r="C74" s="4102" t="n"/>
      <c r="D74" s="4103" t="n"/>
      <c r="E74" s="4103" t="n"/>
      <c r="F74" s="4103" t="n"/>
      <c r="G74" s="4103" t="n"/>
      <c r="H74" s="4103" t="n"/>
      <c r="I74" s="4103" t="n"/>
      <c r="J74" s="4104" t="n"/>
      <c r="K74" s="4283" t="n"/>
      <c r="L74" s="4284" t="n"/>
      <c r="M74" s="4284" t="n"/>
      <c r="N74" s="4284" t="n"/>
      <c r="O74" s="4284" t="n"/>
      <c r="P74" s="4284" t="n"/>
      <c r="Q74" s="4284" t="n"/>
      <c r="R74" s="4285" t="n"/>
      <c r="S74" s="4286" t="n"/>
      <c r="T74" s="1610" t="inlineStr">
        <is>
          <t>その他</t>
        </is>
      </c>
      <c r="U74" s="4103" t="n"/>
      <c r="V74" s="940" t="n"/>
      <c r="W74" s="4103" t="n"/>
      <c r="X74" s="4103" t="n"/>
      <c r="Y74" s="4103" t="n"/>
      <c r="Z74" s="4103" t="n"/>
      <c r="AA74" s="4103" t="n"/>
      <c r="AB74" s="4104" t="n"/>
      <c r="AC74" s="4283" t="n"/>
      <c r="AD74" s="4103" t="n"/>
      <c r="AE74" s="4103" t="n"/>
      <c r="AF74" s="4103" t="n"/>
      <c r="AG74" s="4103" t="n"/>
      <c r="AH74" s="4105" t="n"/>
    </row>
    <row r="75" ht="3.95" customHeight="1" s="4080">
      <c r="A75" s="4097" t="n"/>
      <c r="B75" s="4107" t="n"/>
      <c r="C75" s="1393" t="n"/>
      <c r="D75" s="1264" t="inlineStr">
        <is>
          <t>サービス提供時間</t>
        </is>
      </c>
      <c r="E75" s="4098" t="n"/>
      <c r="F75" s="4098" t="n"/>
      <c r="G75" s="4098" t="n"/>
      <c r="H75" s="4098" t="n"/>
      <c r="I75" s="4098" t="n"/>
      <c r="J75" s="4223" t="n"/>
      <c r="K75" s="4295" t="n"/>
      <c r="L75" s="4098" t="n"/>
      <c r="M75" s="4098" t="n"/>
      <c r="N75" s="4098" t="n"/>
      <c r="O75" s="4098" t="n"/>
      <c r="P75" s="4098" t="n"/>
      <c r="Q75" s="4098" t="n"/>
      <c r="R75" s="4098" t="n"/>
      <c r="S75" s="4098" t="n"/>
      <c r="T75" s="4098" t="n"/>
      <c r="U75" s="4098" t="n"/>
      <c r="V75" s="4098" t="n"/>
      <c r="W75" s="4098" t="n"/>
      <c r="X75" s="4098" t="n"/>
      <c r="Y75" s="4098" t="n"/>
      <c r="Z75" s="4098" t="n"/>
      <c r="AA75" s="4098" t="n"/>
      <c r="AB75" s="4098" t="n"/>
      <c r="AC75" s="4098" t="n"/>
      <c r="AD75" s="4098" t="n"/>
      <c r="AE75" s="4098" t="n"/>
      <c r="AF75" s="4098" t="n"/>
      <c r="AG75" s="4098" t="n"/>
      <c r="AH75" s="4101" t="n"/>
    </row>
    <row r="76" ht="12" customHeight="1" s="4080">
      <c r="A76" s="4097" t="n"/>
      <c r="B76" s="4107" t="n"/>
      <c r="C76" s="4106" t="n"/>
      <c r="J76" s="4107" t="n"/>
      <c r="K76" s="224" t="n"/>
      <c r="L76" s="1707" t="inlineStr">
        <is>
          <t>１０</t>
        </is>
      </c>
      <c r="O76" s="1325" t="inlineStr">
        <is>
          <t>時</t>
        </is>
      </c>
      <c r="P76" s="1538" t="inlineStr">
        <is>
          <t>００</t>
        </is>
      </c>
      <c r="R76" s="1325" t="inlineStr">
        <is>
          <t>分～</t>
        </is>
      </c>
      <c r="T76" s="1707" t="inlineStr">
        <is>
          <t>１７</t>
        </is>
      </c>
      <c r="W76" s="1325" t="inlineStr">
        <is>
          <t>時</t>
        </is>
      </c>
      <c r="X76" s="1538" t="inlineStr">
        <is>
          <t>００</t>
        </is>
      </c>
      <c r="Z76" s="1325" t="inlineStr">
        <is>
          <t>分</t>
        </is>
      </c>
      <c r="AA76" s="1325" t="n"/>
      <c r="AC76" s="1325" t="n"/>
      <c r="AF76" s="1668" t="n"/>
      <c r="AH76" s="4109" t="n"/>
    </row>
    <row r="77" ht="3.95" customHeight="1" s="4080">
      <c r="A77" s="4097" t="n"/>
      <c r="B77" s="4107" t="n"/>
      <c r="C77" s="4102" t="n"/>
      <c r="D77" s="4103" t="n"/>
      <c r="E77" s="4103" t="n"/>
      <c r="F77" s="4103" t="n"/>
      <c r="G77" s="4103" t="n"/>
      <c r="H77" s="4103" t="n"/>
      <c r="I77" s="4103" t="n"/>
      <c r="J77" s="4104" t="n"/>
      <c r="K77" s="4296" t="n"/>
      <c r="AH77" s="4109" t="n"/>
    </row>
    <row r="78" ht="12" customHeight="1" s="4080">
      <c r="A78" s="4097" t="n"/>
      <c r="B78" s="4107" t="n"/>
      <c r="C78" s="1393" t="n"/>
      <c r="D78" s="4222" t="inlineStr">
        <is>
          <t>サービスを提供
する主たる対象者</t>
        </is>
      </c>
      <c r="E78" s="4098" t="n"/>
      <c r="F78" s="4098" t="n"/>
      <c r="G78" s="4098" t="n"/>
      <c r="H78" s="4098" t="n"/>
      <c r="I78" s="4098" t="n"/>
      <c r="J78" s="4223" t="n"/>
      <c r="K78" s="4425" t="inlineStr">
        <is>
          <t>身体障害者</t>
        </is>
      </c>
      <c r="L78" s="4098" t="n"/>
      <c r="M78" s="4098" t="n"/>
      <c r="N78" s="4099" t="n"/>
      <c r="O78" s="4425" t="inlineStr">
        <is>
          <t>知的障害者</t>
        </is>
      </c>
      <c r="P78" s="4098" t="n"/>
      <c r="Q78" s="4098" t="n"/>
      <c r="R78" s="4099" t="n"/>
      <c r="S78" s="4425" t="inlineStr">
        <is>
          <t>精神障害者</t>
        </is>
      </c>
      <c r="T78" s="4098" t="n"/>
      <c r="U78" s="4098" t="n"/>
      <c r="V78" s="4099" t="n"/>
      <c r="W78" s="4426" t="inlineStr">
        <is>
          <t>難病等対象者</t>
        </is>
      </c>
      <c r="X78" s="4098" t="n"/>
      <c r="Y78" s="4098" t="n"/>
      <c r="Z78" s="4099" t="n"/>
      <c r="AA78" s="2037" t="n"/>
      <c r="AB78" s="4098" t="n"/>
      <c r="AC78" s="4098" t="n"/>
      <c r="AD78" s="4098" t="n"/>
      <c r="AE78" s="2039" t="n"/>
      <c r="AF78" s="4098" t="n"/>
      <c r="AG78" s="4098" t="n"/>
      <c r="AH78" s="4101" t="n"/>
    </row>
    <row r="79" ht="12" customHeight="1" s="4080">
      <c r="A79" s="4097" t="n"/>
      <c r="B79" s="4107" t="n"/>
      <c r="C79" s="4106" t="n"/>
      <c r="J79" s="4107" t="n"/>
      <c r="K79" s="4102" t="n"/>
      <c r="L79" s="4103" t="n"/>
      <c r="M79" s="4103" t="n"/>
      <c r="N79" s="4104" t="n"/>
      <c r="O79" s="4102" t="n"/>
      <c r="P79" s="4103" t="n"/>
      <c r="Q79" s="4103" t="n"/>
      <c r="R79" s="4104" t="n"/>
      <c r="S79" s="4102" t="n"/>
      <c r="T79" s="4103" t="n"/>
      <c r="U79" s="4103" t="n"/>
      <c r="V79" s="4104" t="n"/>
      <c r="W79" s="4102" t="n"/>
      <c r="X79" s="4103" t="n"/>
      <c r="Y79" s="4103" t="n"/>
      <c r="Z79" s="4104" t="n"/>
      <c r="AH79" s="4109" t="n"/>
    </row>
    <row r="80" ht="12" customHeight="1" s="4080">
      <c r="A80" s="4097" t="n"/>
      <c r="B80" s="4107" t="n"/>
      <c r="C80" s="4102" t="n"/>
      <c r="D80" s="4103" t="n"/>
      <c r="E80" s="4103" t="n"/>
      <c r="F80" s="4103" t="n"/>
      <c r="G80" s="4103" t="n"/>
      <c r="H80" s="4103" t="n"/>
      <c r="I80" s="4103" t="n"/>
      <c r="J80" s="4104" t="n"/>
      <c r="K80" s="2151" t="inlineStr">
        <is>
          <t>○</t>
        </is>
      </c>
      <c r="L80" s="4140" t="n"/>
      <c r="M80" s="4140" t="n"/>
      <c r="N80" s="4141" t="n"/>
      <c r="O80" s="2151" t="inlineStr">
        <is>
          <t>○</t>
        </is>
      </c>
      <c r="P80" s="4140" t="n"/>
      <c r="Q80" s="4140" t="n"/>
      <c r="R80" s="4141" t="n"/>
      <c r="S80" s="2152" t="inlineStr">
        <is>
          <t>○</t>
        </is>
      </c>
      <c r="T80" s="4110" t="n"/>
      <c r="U80" s="4110" t="n"/>
      <c r="V80" s="4111" t="n"/>
      <c r="W80" s="2152" t="inlineStr">
        <is>
          <t>○</t>
        </is>
      </c>
      <c r="X80" s="4110" t="n"/>
      <c r="Y80" s="4110" t="n"/>
      <c r="Z80" s="4111" t="n"/>
      <c r="AA80" s="2031" t="n"/>
      <c r="AB80" s="4103" t="n"/>
      <c r="AC80" s="4103" t="n"/>
      <c r="AD80" s="4104" t="n"/>
      <c r="AE80" s="2031" t="n"/>
      <c r="AF80" s="4103" t="n"/>
      <c r="AG80" s="4103" t="n"/>
      <c r="AH80" s="4104" t="n"/>
    </row>
    <row r="81" ht="19.5" customHeight="1" s="4080">
      <c r="A81" s="4097" t="n"/>
      <c r="B81" s="4107" t="n"/>
      <c r="C81" s="1370" t="n"/>
      <c r="D81" s="1245" t="inlineStr">
        <is>
          <t>利用定員</t>
        </is>
      </c>
      <c r="E81" s="4098" t="n"/>
      <c r="F81" s="4098" t="n"/>
      <c r="G81" s="4098" t="n"/>
      <c r="H81" s="4098" t="n"/>
      <c r="I81" s="4098" t="n"/>
      <c r="J81" s="1371" t="n"/>
      <c r="K81" s="2153" t="inlineStr">
        <is>
          <t>１０</t>
        </is>
      </c>
      <c r="L81" s="4110" t="n"/>
      <c r="M81" s="4110" t="n"/>
      <c r="N81" s="4110" t="n"/>
      <c r="O81" s="226" t="inlineStr">
        <is>
          <t>人</t>
        </is>
      </c>
      <c r="P81" s="4427" t="inlineStr">
        <is>
          <t>単位ごとの定員</t>
        </is>
      </c>
      <c r="Q81" s="4110" t="n"/>
      <c r="R81" s="4110" t="n"/>
      <c r="S81" s="4110" t="n"/>
      <c r="T81" s="4204" t="n"/>
      <c r="U81" s="2155" t="n"/>
      <c r="V81" s="4110" t="n"/>
      <c r="W81" s="4110" t="n"/>
      <c r="X81" s="4110" t="n"/>
      <c r="Y81" s="227" t="inlineStr">
        <is>
          <t>人</t>
        </is>
      </c>
      <c r="Z81" s="4428" t="n"/>
      <c r="AA81" s="4110" t="n"/>
      <c r="AB81" s="4110" t="n"/>
      <c r="AC81" s="4110" t="n"/>
      <c r="AD81" s="4110" t="n"/>
      <c r="AE81" s="4110" t="n"/>
      <c r="AF81" s="4110" t="n"/>
      <c r="AG81" s="4110" t="n"/>
      <c r="AH81" s="4113" t="n"/>
    </row>
    <row r="82" ht="3.95" customHeight="1" s="4080">
      <c r="A82" s="4097" t="n"/>
      <c r="B82" s="4107" t="n"/>
      <c r="C82" s="1322" t="n"/>
      <c r="D82" s="4429" t="inlineStr">
        <is>
          <t>従たる事業所の有無</t>
        </is>
      </c>
      <c r="E82" s="4098" t="n"/>
      <c r="F82" s="4098" t="n"/>
      <c r="G82" s="4098" t="n"/>
      <c r="H82" s="4098" t="n"/>
      <c r="I82" s="4098" t="n"/>
      <c r="J82" s="1394" t="n"/>
      <c r="K82" s="4430" t="n"/>
      <c r="L82" s="2056" t="n"/>
      <c r="M82" s="4098" t="n"/>
      <c r="N82" s="4098" t="n"/>
      <c r="O82" s="2070" t="n"/>
      <c r="P82" s="4431" t="inlineStr">
        <is>
          <t>従たる事業所に
おいて実施する
サービス種別</t>
        </is>
      </c>
      <c r="Q82" s="4098" t="n"/>
      <c r="R82" s="4098" t="n"/>
      <c r="S82" s="4098" t="n"/>
      <c r="T82" s="4190" t="n"/>
      <c r="U82" s="2056" t="n"/>
      <c r="V82" s="2056" t="n"/>
      <c r="W82" s="2056" t="n"/>
      <c r="X82" s="2056" t="n"/>
      <c r="Y82" s="2056" t="n"/>
      <c r="Z82" s="2056" t="n"/>
      <c r="AA82" s="2056" t="n"/>
      <c r="AB82" s="1334" t="inlineStr">
        <is>
          <t xml:space="preserve">　</t>
        </is>
      </c>
      <c r="AC82" s="1334" t="n"/>
      <c r="AD82" s="1334" t="n"/>
      <c r="AE82" s="1334" t="n"/>
      <c r="AF82" s="1334" t="n"/>
      <c r="AG82" s="1334" t="n"/>
      <c r="AH82" s="1335" t="n"/>
    </row>
    <row r="83" ht="12" customHeight="1" s="4080">
      <c r="A83" s="4097" t="n"/>
      <c r="B83" s="4107" t="n"/>
      <c r="C83" s="4106" t="n"/>
      <c r="J83" s="4107" t="n"/>
      <c r="K83" s="4106" t="n"/>
      <c r="L83" s="4454" t="inlineStr">
        <is>
          <t>有</t>
        </is>
      </c>
      <c r="M83" s="2069" t="inlineStr">
        <is>
          <t>・</t>
        </is>
      </c>
      <c r="N83" s="2069" t="inlineStr">
        <is>
          <t>無</t>
        </is>
      </c>
      <c r="O83" s="4107" t="n"/>
      <c r="P83" s="4106" t="n"/>
      <c r="T83" s="4191" t="n"/>
      <c r="U83" s="230" t="inlineStr">
        <is>
          <t>1)</t>
        </is>
      </c>
      <c r="V83" s="2159" t="inlineStr">
        <is>
          <t>就労継続支援(B型)</t>
        </is>
      </c>
      <c r="AB83" s="231" t="inlineStr">
        <is>
          <t>3)</t>
        </is>
      </c>
      <c r="AC83" s="2058" t="n"/>
      <c r="AH83" s="4109" t="n"/>
    </row>
    <row r="84" ht="12" customHeight="1" s="4080">
      <c r="A84" s="4097" t="n"/>
      <c r="B84" s="4107" t="n"/>
      <c r="C84" s="1326" t="n"/>
      <c r="J84" s="4107" t="n"/>
      <c r="K84" s="4106" t="n"/>
      <c r="L84" s="4455" t="n"/>
      <c r="O84" s="4107" t="n"/>
      <c r="P84" s="4106" t="n"/>
      <c r="T84" s="4191" t="n"/>
      <c r="U84" s="232" t="inlineStr">
        <is>
          <t>2)</t>
        </is>
      </c>
      <c r="V84" s="2057" t="n"/>
      <c r="AB84" s="233" t="inlineStr">
        <is>
          <t>4)</t>
        </is>
      </c>
      <c r="AC84" s="2058" t="n"/>
      <c r="AH84" s="4109" t="n"/>
    </row>
    <row r="85" ht="3.95" customHeight="1" s="4080">
      <c r="A85" s="4097" t="n"/>
      <c r="B85" s="4107" t="n"/>
      <c r="C85" s="4102" t="n"/>
      <c r="D85" s="4103" t="n"/>
      <c r="E85" s="4103" t="n"/>
      <c r="F85" s="4103" t="n"/>
      <c r="G85" s="4103" t="n"/>
      <c r="H85" s="4103" t="n"/>
      <c r="I85" s="4103" t="n"/>
      <c r="J85" s="4104" t="n"/>
      <c r="K85" s="4102" t="n"/>
      <c r="L85" s="2059" t="n"/>
      <c r="M85" s="4103" t="n"/>
      <c r="N85" s="4103" t="n"/>
      <c r="O85" s="4104" t="n"/>
      <c r="P85" s="4102" t="n"/>
      <c r="Q85" s="4103" t="n"/>
      <c r="R85" s="4103" t="n"/>
      <c r="S85" s="4103" t="n"/>
      <c r="T85" s="4193" t="n"/>
      <c r="U85" s="2059" t="n"/>
      <c r="V85" s="2059" t="n"/>
      <c r="W85" s="2059" t="n"/>
      <c r="X85" s="2059" t="n"/>
      <c r="Y85" s="2059" t="n"/>
      <c r="Z85" s="2059" t="n"/>
      <c r="AA85" s="2059" t="n"/>
      <c r="AB85" s="1298" t="n"/>
      <c r="AC85" s="1298" t="n"/>
      <c r="AD85" s="1298" t="n"/>
      <c r="AE85" s="1298" t="n"/>
      <c r="AF85" s="1298" t="n"/>
      <c r="AG85" s="1298" t="n"/>
      <c r="AH85" s="1299" t="n"/>
    </row>
    <row r="86" ht="3.95" customHeight="1" s="4080">
      <c r="A86" s="4097" t="n"/>
      <c r="B86" s="4107" t="n"/>
      <c r="C86" s="2163" t="inlineStr">
        <is>
          <t>多機能型の実施</t>
        </is>
      </c>
      <c r="D86" s="4098" t="n"/>
      <c r="E86" s="4098" t="n"/>
      <c r="F86" s="4098" t="n"/>
      <c r="G86" s="4098" t="n"/>
      <c r="H86" s="4098" t="n"/>
      <c r="I86" s="4098" t="n"/>
      <c r="J86" s="4099" t="n"/>
      <c r="K86" s="2053" t="n"/>
      <c r="L86" s="2056" t="n"/>
      <c r="M86" s="2056" t="n"/>
      <c r="N86" s="2056" t="n"/>
      <c r="O86" s="1371" t="n"/>
      <c r="P86" s="3316" t="n"/>
      <c r="Q86" s="3316" t="n"/>
      <c r="R86" s="3316" t="n"/>
      <c r="S86" s="3316" t="n"/>
      <c r="T86" s="3316" t="n"/>
      <c r="U86" s="238" t="n"/>
      <c r="V86" s="238" t="n"/>
      <c r="W86" s="238" t="n"/>
      <c r="X86" s="238" t="n"/>
      <c r="Y86" s="238" t="n"/>
      <c r="Z86" s="238" t="n"/>
      <c r="AA86" s="238" t="n"/>
      <c r="AB86" s="2960" t="n"/>
      <c r="AC86" s="2960" t="n"/>
      <c r="AD86" s="2960" t="n"/>
      <c r="AE86" s="2960" t="n"/>
      <c r="AF86" s="2960" t="n"/>
      <c r="AG86" s="2960" t="n"/>
      <c r="AH86" s="2961" t="n"/>
    </row>
    <row r="87" ht="18.75" customHeight="1" s="4080">
      <c r="A87" s="4097" t="n"/>
      <c r="B87" s="4107" t="n"/>
      <c r="C87" s="4106" t="n"/>
      <c r="J87" s="4107" t="n"/>
      <c r="K87" s="1657" t="n"/>
      <c r="L87" s="1658" t="inlineStr">
        <is>
          <t>有</t>
        </is>
      </c>
      <c r="M87" s="2069" t="inlineStr">
        <is>
          <t>・</t>
        </is>
      </c>
      <c r="N87" s="247" t="inlineStr">
        <is>
          <t>無</t>
        </is>
      </c>
      <c r="O87" s="241" t="n"/>
      <c r="P87" s="3315" t="n"/>
      <c r="Q87" s="3316" t="n"/>
      <c r="R87" s="3316" t="n"/>
      <c r="S87" s="3316" t="n"/>
      <c r="T87" s="3316" t="n"/>
      <c r="U87" s="238" t="n"/>
      <c r="V87" s="238" t="n"/>
      <c r="W87" s="238" t="n"/>
      <c r="X87" s="238" t="n"/>
      <c r="Y87" s="238" t="n"/>
      <c r="Z87" s="238" t="n"/>
      <c r="AA87" s="238" t="n"/>
      <c r="AB87" s="2960" t="n"/>
      <c r="AC87" s="2960" t="n"/>
      <c r="AD87" s="2960" t="n"/>
      <c r="AE87" s="2960" t="n"/>
      <c r="AF87" s="2960" t="n"/>
      <c r="AG87" s="2960" t="n"/>
      <c r="AH87" s="2961" t="n"/>
    </row>
    <row r="88" ht="3.75" customHeight="1" s="4080">
      <c r="A88" s="4097" t="n"/>
      <c r="B88" s="4107" t="n"/>
      <c r="C88" s="4102" t="n"/>
      <c r="D88" s="4103" t="n"/>
      <c r="E88" s="4103" t="n"/>
      <c r="F88" s="4103" t="n"/>
      <c r="G88" s="4103" t="n"/>
      <c r="H88" s="4103" t="n"/>
      <c r="I88" s="4103" t="n"/>
      <c r="J88" s="4104" t="n"/>
      <c r="K88" s="1374" t="n"/>
      <c r="L88" s="2059" t="n"/>
      <c r="M88" s="2059" t="n"/>
      <c r="N88" s="2059" t="n"/>
      <c r="O88" s="1375" t="n"/>
      <c r="P88" s="3318" t="n"/>
      <c r="Q88" s="3318" t="n"/>
      <c r="R88" s="3318" t="n"/>
      <c r="S88" s="3318" t="n"/>
      <c r="T88" s="3318" t="n"/>
      <c r="U88" s="244" t="n"/>
      <c r="V88" s="244" t="n"/>
      <c r="W88" s="244" t="n"/>
      <c r="X88" s="244" t="n"/>
      <c r="Y88" s="244" t="n"/>
      <c r="Z88" s="244" t="n"/>
      <c r="AA88" s="244" t="n"/>
      <c r="AB88" s="2963" t="n"/>
      <c r="AC88" s="2963" t="n"/>
      <c r="AD88" s="2963" t="n"/>
      <c r="AE88" s="2963" t="n"/>
      <c r="AF88" s="2963" t="n"/>
      <c r="AG88" s="2963" t="n"/>
      <c r="AH88" s="2964" t="n"/>
    </row>
    <row r="89" ht="15" customHeight="1" s="4080">
      <c r="A89" s="4097" t="n"/>
      <c r="B89" s="4107" t="n"/>
      <c r="C89" s="1393" t="n"/>
      <c r="D89" s="1264" t="inlineStr">
        <is>
          <t>利用料</t>
        </is>
      </c>
      <c r="E89" s="4110" t="n"/>
      <c r="F89" s="4110" t="n"/>
      <c r="G89" s="4110" t="n"/>
      <c r="H89" s="4110" t="n"/>
      <c r="I89" s="4110" t="n"/>
      <c r="J89" s="1394" t="n"/>
      <c r="K89" s="4262" t="inlineStr">
        <is>
          <t>法定代理受領分：厚生労働大臣が定める基準の10/100、法定代理受領分以外：厚生労働大臣が定める基準</t>
        </is>
      </c>
      <c r="L89" s="4110" t="n"/>
      <c r="M89" s="4110" t="n"/>
      <c r="N89" s="4110" t="n"/>
      <c r="O89" s="4110" t="n"/>
      <c r="P89" s="4110" t="n"/>
      <c r="Q89" s="4110" t="n"/>
      <c r="R89" s="4110" t="n"/>
      <c r="S89" s="4110" t="n"/>
      <c r="T89" s="4110" t="n"/>
      <c r="U89" s="4110" t="n"/>
      <c r="V89" s="4110" t="n"/>
      <c r="W89" s="4110" t="n"/>
      <c r="X89" s="4110" t="n"/>
      <c r="Y89" s="4110" t="n"/>
      <c r="Z89" s="4110" t="n"/>
      <c r="AA89" s="4110" t="n"/>
      <c r="AB89" s="4110" t="n"/>
      <c r="AC89" s="4110" t="n"/>
      <c r="AD89" s="4110" t="n"/>
      <c r="AE89" s="4110" t="n"/>
      <c r="AF89" s="4110" t="n"/>
      <c r="AG89" s="4110" t="n"/>
      <c r="AH89" s="4113" t="n"/>
    </row>
    <row r="90" ht="15" customHeight="1" s="4080">
      <c r="A90" s="4097" t="n"/>
      <c r="B90" s="4107" t="n"/>
      <c r="C90" s="1322" t="n"/>
      <c r="D90" s="1264" t="inlineStr">
        <is>
          <t>その他の費用</t>
        </is>
      </c>
      <c r="E90" s="4110" t="n"/>
      <c r="F90" s="4110" t="n"/>
      <c r="G90" s="4110" t="n"/>
      <c r="H90" s="4110" t="n"/>
      <c r="I90" s="4110" t="n"/>
      <c r="J90" s="1331" t="n"/>
      <c r="K90" s="4267" t="inlineStr">
        <is>
          <t>運営規程に定めるとおり</t>
        </is>
      </c>
      <c r="L90" s="4110" t="n"/>
      <c r="M90" s="4110" t="n"/>
      <c r="N90" s="4110" t="n"/>
      <c r="O90" s="4110" t="n"/>
      <c r="P90" s="4110" t="n"/>
      <c r="Q90" s="4110" t="n"/>
      <c r="R90" s="4110" t="n"/>
      <c r="S90" s="4110" t="n"/>
      <c r="T90" s="4110" t="n"/>
      <c r="U90" s="4110" t="n"/>
      <c r="V90" s="4110" t="n"/>
      <c r="W90" s="4110" t="n"/>
      <c r="X90" s="4110" t="n"/>
      <c r="Y90" s="4110" t="n"/>
      <c r="Z90" s="4110" t="n"/>
      <c r="AA90" s="4110" t="n"/>
      <c r="AB90" s="4110" t="n"/>
      <c r="AC90" s="4110" t="n"/>
      <c r="AD90" s="4110" t="n"/>
      <c r="AE90" s="4110" t="n"/>
      <c r="AF90" s="4110" t="n"/>
      <c r="AG90" s="4110" t="n"/>
      <c r="AH90" s="4113" t="n"/>
    </row>
    <row r="91" ht="20.1" customHeight="1" s="4080">
      <c r="A91" s="4097" t="n"/>
      <c r="B91" s="4107" t="n"/>
      <c r="C91" s="1300" t="n"/>
      <c r="D91" s="4222" t="inlineStr">
        <is>
          <t>通常の事業の
実施地域</t>
        </is>
      </c>
      <c r="E91" s="4098" t="n"/>
      <c r="F91" s="4098" t="n"/>
      <c r="G91" s="4098" t="n"/>
      <c r="H91" s="4098" t="n"/>
      <c r="I91" s="4098" t="n"/>
      <c r="J91" s="1963" t="n"/>
      <c r="K91" s="3272" t="inlineStr">
        <is>
          <t>1)</t>
        </is>
      </c>
      <c r="L91" s="1562" t="inlineStr">
        <is>
          <t>大阪市中央区</t>
        </is>
      </c>
      <c r="M91" s="4110" t="n"/>
      <c r="N91" s="4110" t="n"/>
      <c r="O91" s="2325" t="inlineStr">
        <is>
          <t>2)</t>
        </is>
      </c>
      <c r="P91" s="1562" t="inlineStr">
        <is>
          <t>大阪市北区</t>
        </is>
      </c>
      <c r="Q91" s="4110" t="n"/>
      <c r="R91" s="4110" t="n"/>
      <c r="S91" s="2325" t="inlineStr">
        <is>
          <t>3)</t>
        </is>
      </c>
      <c r="T91" s="1562" t="inlineStr">
        <is>
          <t>大阪市天王寺区</t>
        </is>
      </c>
      <c r="U91" s="4110" t="n"/>
      <c r="V91" s="4110" t="n"/>
      <c r="W91" s="2325" t="inlineStr">
        <is>
          <t>4)</t>
        </is>
      </c>
      <c r="X91" s="1562" t="inlineStr">
        <is>
          <t>大阪市東成区</t>
        </is>
      </c>
      <c r="Y91" s="4110" t="n"/>
      <c r="Z91" s="4110" t="n"/>
      <c r="AA91" s="2325" t="inlineStr">
        <is>
          <t>5)</t>
        </is>
      </c>
      <c r="AB91" s="1562" t="inlineStr">
        <is>
          <t>大阪市生野区</t>
        </is>
      </c>
      <c r="AC91" s="4110" t="n"/>
      <c r="AD91" s="4110" t="n"/>
      <c r="AE91" s="4229" t="inlineStr">
        <is>
          <t>備考</t>
        </is>
      </c>
      <c r="AF91" s="4230" t="n"/>
      <c r="AG91" s="4098" t="n"/>
      <c r="AH91" s="4101" t="n"/>
    </row>
    <row r="92" ht="20.1" customHeight="1" s="4080">
      <c r="A92" s="4097" t="n"/>
      <c r="B92" s="4107" t="n"/>
      <c r="C92" s="4102" t="n"/>
      <c r="D92" s="4103" t="n"/>
      <c r="E92" s="4103" t="n"/>
      <c r="F92" s="4103" t="n"/>
      <c r="G92" s="4103" t="n"/>
      <c r="H92" s="4103" t="n"/>
      <c r="I92" s="4103" t="n"/>
      <c r="J92" s="4104" t="n"/>
      <c r="K92" s="3272" t="inlineStr">
        <is>
          <t>6)</t>
        </is>
      </c>
      <c r="L92" s="1562" t="inlineStr">
        <is>
          <t>東大阪市</t>
        </is>
      </c>
      <c r="M92" s="4110" t="n"/>
      <c r="N92" s="4110" t="n"/>
      <c r="O92" s="2325" t="inlineStr">
        <is>
          <t>7)</t>
        </is>
      </c>
      <c r="P92" s="1406" t="n"/>
      <c r="Q92" s="4110" t="n"/>
      <c r="R92" s="4110" t="n"/>
      <c r="S92" s="2325" t="inlineStr">
        <is>
          <t>8)</t>
        </is>
      </c>
      <c r="T92" s="1406" t="n"/>
      <c r="U92" s="4110" t="n"/>
      <c r="V92" s="4110" t="n"/>
      <c r="W92" s="2325" t="inlineStr">
        <is>
          <t>9)</t>
        </is>
      </c>
      <c r="X92" s="1406" t="n"/>
      <c r="Y92" s="4110" t="n"/>
      <c r="Z92" s="4110" t="n"/>
      <c r="AA92" s="71" t="inlineStr">
        <is>
          <t>10)</t>
        </is>
      </c>
      <c r="AB92" s="1406" t="n"/>
      <c r="AC92" s="4110" t="n"/>
      <c r="AD92" s="4110" t="n"/>
      <c r="AE92" s="4124" t="n"/>
      <c r="AF92" s="4102" t="n"/>
      <c r="AG92" s="4103" t="n"/>
      <c r="AH92" s="4105" t="n"/>
    </row>
    <row r="93" ht="3.95" customHeight="1" s="4080">
      <c r="A93" s="4097" t="n"/>
      <c r="B93" s="4107" t="n"/>
      <c r="C93" s="4231" t="inlineStr">
        <is>
          <t>その他参考
となる事項</t>
        </is>
      </c>
      <c r="D93" s="4099" t="n"/>
      <c r="E93" s="2753" t="inlineStr">
        <is>
          <t>第三者評価の実施状況</t>
        </is>
      </c>
      <c r="F93" s="4098" t="n"/>
      <c r="G93" s="4098" t="n"/>
      <c r="H93" s="4098" t="n"/>
      <c r="I93" s="4098" t="n"/>
      <c r="J93" s="4099" t="n"/>
      <c r="K93" s="1657" t="n"/>
      <c r="L93" s="1658" t="n"/>
      <c r="M93" s="1658" t="n"/>
      <c r="N93" s="1658" t="n"/>
      <c r="O93" s="1658" t="n"/>
      <c r="P93" s="1658" t="n"/>
      <c r="Q93" s="1658" t="n"/>
      <c r="R93" s="930" t="n"/>
      <c r="AB93" s="1658" t="n"/>
      <c r="AC93" s="1658" t="n"/>
      <c r="AD93" s="1658" t="n"/>
      <c r="AE93" s="1658" t="n"/>
      <c r="AF93" s="1658" t="n"/>
      <c r="AG93" s="1658" t="n"/>
      <c r="AH93" s="1659" t="n"/>
    </row>
    <row r="94" ht="15" customHeight="1" s="4080">
      <c r="A94" s="4097" t="n"/>
      <c r="B94" s="4107" t="n"/>
      <c r="C94" s="4106" t="n"/>
      <c r="D94" s="4107" t="n"/>
      <c r="J94" s="4107" t="n"/>
      <c r="K94" s="1372" t="n"/>
      <c r="L94" s="1432" t="inlineStr">
        <is>
          <t>している</t>
        </is>
      </c>
      <c r="O94" s="1458" t="inlineStr">
        <is>
          <t>(実施先：</t>
        </is>
      </c>
      <c r="AB94" s="1325" t="inlineStr">
        <is>
          <t>)・</t>
        </is>
      </c>
      <c r="AD94" s="4264" t="inlineStr">
        <is>
          <t>していない</t>
        </is>
      </c>
      <c r="AE94" s="4265" t="n"/>
      <c r="AF94" s="4265" t="n"/>
      <c r="AG94" s="4266" t="n"/>
      <c r="AH94" s="1668" t="n"/>
    </row>
    <row r="95" ht="3.95" customHeight="1" s="4080">
      <c r="A95" s="4097" t="n"/>
      <c r="B95" s="4107" t="n"/>
      <c r="C95" s="4106" t="n"/>
      <c r="D95" s="4107" t="n"/>
      <c r="E95" s="4103" t="n"/>
      <c r="F95" s="4103" t="n"/>
      <c r="G95" s="4103" t="n"/>
      <c r="H95" s="4103" t="n"/>
      <c r="I95" s="4103" t="n"/>
      <c r="J95" s="4104" t="n"/>
      <c r="K95" s="1657" t="n"/>
      <c r="L95" s="1658" t="n"/>
      <c r="M95" s="1658" t="n"/>
      <c r="N95" s="1658" t="n"/>
      <c r="O95" s="1658" t="n"/>
      <c r="P95" s="1658" t="n"/>
      <c r="Q95" s="1658" t="n"/>
      <c r="R95" s="4103" t="n"/>
      <c r="S95" s="4103" t="n"/>
      <c r="T95" s="4103" t="n"/>
      <c r="U95" s="4103" t="n"/>
      <c r="V95" s="4103" t="n"/>
      <c r="W95" s="4103" t="n"/>
      <c r="X95" s="4103" t="n"/>
      <c r="Y95" s="4103" t="n"/>
      <c r="Z95" s="4103" t="n"/>
      <c r="AA95" s="4103" t="n"/>
      <c r="AB95" s="1658" t="n"/>
      <c r="AC95" s="1658" t="n"/>
      <c r="AD95" s="1658" t="n"/>
      <c r="AE95" s="1658" t="n"/>
      <c r="AF95" s="1658" t="n"/>
      <c r="AG95" s="1658" t="n"/>
      <c r="AH95" s="1659" t="n"/>
    </row>
    <row r="96" ht="15" customHeight="1" s="4080">
      <c r="A96" s="4097" t="n"/>
      <c r="B96" s="4107" t="n"/>
      <c r="C96" s="4106" t="n"/>
      <c r="D96" s="4107" t="n"/>
      <c r="E96" s="1439" t="inlineStr">
        <is>
          <t>苦情解決の措置概要</t>
        </is>
      </c>
      <c r="F96" s="4098" t="n"/>
      <c r="G96" s="4098" t="n"/>
      <c r="H96" s="4098" t="n"/>
      <c r="I96" s="4098" t="n"/>
      <c r="J96" s="4099" t="n"/>
      <c r="K96" s="2542" t="inlineStr">
        <is>
          <t>窓　口</t>
        </is>
      </c>
      <c r="L96" s="4110" t="n"/>
      <c r="M96" s="4111" t="n"/>
      <c r="N96" s="4267" t="inlineStr">
        <is>
          <t>中之島障がい福祉サービスセンター</t>
        </is>
      </c>
      <c r="O96" s="4110" t="n"/>
      <c r="P96" s="4110" t="n"/>
      <c r="Q96" s="4110" t="n"/>
      <c r="R96" s="4110" t="n"/>
      <c r="S96" s="4110" t="n"/>
      <c r="T96" s="4110" t="n"/>
      <c r="U96" s="4110" t="n"/>
      <c r="V96" s="4110" t="n"/>
      <c r="W96" s="4110" t="n"/>
      <c r="X96" s="4110" t="n"/>
      <c r="Y96" s="4110" t="n"/>
      <c r="Z96" s="4110" t="n"/>
      <c r="AA96" s="4110" t="n"/>
      <c r="AB96" s="4110" t="n"/>
      <c r="AC96" s="4110" t="n"/>
      <c r="AD96" s="4110" t="n"/>
      <c r="AE96" s="4110" t="n"/>
      <c r="AF96" s="4110" t="n"/>
      <c r="AG96" s="4110" t="n"/>
      <c r="AH96" s="4113" t="n"/>
    </row>
    <row r="97" ht="15" customHeight="1" s="4080">
      <c r="A97" s="4097" t="n"/>
      <c r="B97" s="4107" t="n"/>
      <c r="C97" s="4106" t="n"/>
      <c r="D97" s="4107" t="n"/>
      <c r="E97" s="4103" t="n"/>
      <c r="F97" s="4103" t="n"/>
      <c r="G97" s="4103" t="n"/>
      <c r="H97" s="4103" t="n"/>
      <c r="I97" s="4103" t="n"/>
      <c r="J97" s="4104" t="n"/>
      <c r="K97" s="2542" t="inlineStr">
        <is>
          <t>担当者</t>
        </is>
      </c>
      <c r="L97" s="4110" t="n"/>
      <c r="M97" s="4111" t="n"/>
      <c r="N97" s="4233" t="inlineStr">
        <is>
          <t>淀屋橋花子</t>
        </is>
      </c>
      <c r="O97" s="4110" t="n"/>
      <c r="P97" s="4110" t="n"/>
      <c r="Q97" s="4110" t="n"/>
      <c r="R97" s="4110" t="n"/>
      <c r="S97" s="4110" t="n"/>
      <c r="T97" s="4110" t="n"/>
      <c r="U97" s="4111" t="n"/>
      <c r="V97" s="2163" t="inlineStr">
        <is>
          <t>電話</t>
        </is>
      </c>
      <c r="W97" s="4111" t="n"/>
      <c r="X97" s="1479" t="inlineStr">
        <is>
          <t>０６</t>
        </is>
      </c>
      <c r="Y97" s="4110" t="n"/>
      <c r="Z97" s="4110" t="n"/>
      <c r="AA97" s="1492" t="inlineStr">
        <is>
          <t>－</t>
        </is>
      </c>
      <c r="AB97" s="1150" t="inlineStr">
        <is>
          <t>６２４１</t>
        </is>
      </c>
      <c r="AC97" s="4110" t="n"/>
      <c r="AD97" s="4110" t="n"/>
      <c r="AE97" s="1492" t="inlineStr">
        <is>
          <t>－</t>
        </is>
      </c>
      <c r="AF97" s="1483" t="inlineStr">
        <is>
          <t>６５２０</t>
        </is>
      </c>
      <c r="AG97" s="4110" t="n"/>
      <c r="AH97" s="4113" t="n"/>
    </row>
    <row r="98" ht="15" customHeight="1" s="4080">
      <c r="A98" s="4114" t="n"/>
      <c r="B98" s="4104" t="n"/>
      <c r="C98" s="4102" t="n"/>
      <c r="D98" s="4104" t="n"/>
      <c r="E98" s="1394" t="inlineStr">
        <is>
          <t>そ　　 の 　　他</t>
        </is>
      </c>
      <c r="F98" s="4110" t="n"/>
      <c r="G98" s="4110" t="n"/>
      <c r="H98" s="4110" t="n"/>
      <c r="I98" s="4110" t="n"/>
      <c r="J98" s="4111" t="n"/>
      <c r="K98" s="4121" t="n"/>
      <c r="L98" s="4110" t="n"/>
      <c r="M98" s="4110" t="n"/>
      <c r="N98" s="4110" t="n"/>
      <c r="O98" s="4110" t="n"/>
      <c r="P98" s="4110" t="n"/>
      <c r="Q98" s="4110" t="n"/>
      <c r="R98" s="4110" t="n"/>
      <c r="S98" s="4110" t="n"/>
      <c r="T98" s="4110" t="n"/>
      <c r="U98" s="4110" t="n"/>
      <c r="V98" s="4110" t="n"/>
      <c r="W98" s="4110" t="n"/>
      <c r="X98" s="4110" t="n"/>
      <c r="Y98" s="4110" t="n"/>
      <c r="Z98" s="4110" t="n"/>
      <c r="AA98" s="4110" t="n"/>
      <c r="AB98" s="4110" t="n"/>
      <c r="AC98" s="4110" t="n"/>
      <c r="AD98" s="4110" t="n"/>
      <c r="AE98" s="4110" t="n"/>
      <c r="AF98" s="4110" t="n"/>
      <c r="AG98" s="4110" t="n"/>
      <c r="AH98" s="4113" t="n"/>
    </row>
    <row r="99" ht="15" customHeight="1" s="4080">
      <c r="A99" s="2915" t="n"/>
      <c r="B99" s="1264" t="inlineStr">
        <is>
          <t>協力医療機関</t>
        </is>
      </c>
      <c r="C99" s="4098" t="n"/>
      <c r="D99" s="4098" t="n"/>
      <c r="E99" s="4098" t="n"/>
      <c r="F99" s="4098" t="n"/>
      <c r="G99" s="4098" t="n"/>
      <c r="H99" s="4098" t="n"/>
      <c r="I99" s="4098" t="n"/>
      <c r="J99" s="2077" t="n"/>
      <c r="K99" s="1865" t="inlineStr">
        <is>
          <t>ﾌﾘｶﾞﾅ</t>
        </is>
      </c>
      <c r="L99" s="4110" t="n"/>
      <c r="M99" s="4110" t="n"/>
      <c r="N99" s="4456" t="inlineStr">
        <is>
          <t>ﾏﾙﾏﾙｷﾈﾝﾋﾞｮｳｲﾝ</t>
        </is>
      </c>
      <c r="O99" s="4110" t="n"/>
      <c r="P99" s="4110" t="n"/>
      <c r="Q99" s="4110" t="n"/>
      <c r="R99" s="4110" t="n"/>
      <c r="S99" s="4110" t="n"/>
      <c r="T99" s="4110" t="n"/>
      <c r="U99" s="4110" t="n"/>
      <c r="V99" s="4110" t="n"/>
      <c r="W99" s="4110" t="n"/>
      <c r="X99" s="4110" t="n"/>
      <c r="Y99" s="4110" t="n"/>
      <c r="Z99" s="4110" t="n"/>
      <c r="AA99" s="4110" t="n"/>
      <c r="AB99" s="4111" t="n"/>
      <c r="AC99" s="3362" t="inlineStr">
        <is>
          <t>主な診療科名</t>
        </is>
      </c>
      <c r="AD99" s="4099" t="n"/>
      <c r="AE99" s="4260" t="inlineStr">
        <is>
          <t>内科､外科</t>
        </is>
      </c>
      <c r="AF99" s="4098" t="n"/>
      <c r="AG99" s="4098" t="n"/>
      <c r="AH99" s="4101" t="n"/>
    </row>
    <row r="100" ht="24" customHeight="1" s="4080">
      <c r="A100" s="4114" t="n"/>
      <c r="B100" s="4103" t="n"/>
      <c r="C100" s="4103" t="n"/>
      <c r="D100" s="4103" t="n"/>
      <c r="E100" s="4103" t="n"/>
      <c r="F100" s="4103" t="n"/>
      <c r="G100" s="4103" t="n"/>
      <c r="H100" s="4103" t="n"/>
      <c r="I100" s="4103" t="n"/>
      <c r="J100" s="4104" t="n"/>
      <c r="K100" s="2164" t="inlineStr">
        <is>
          <t>名　称</t>
        </is>
      </c>
      <c r="L100" s="4110" t="n"/>
      <c r="M100" s="4111" t="n"/>
      <c r="N100" s="4233" t="inlineStr">
        <is>
          <t>○○記念病院</t>
        </is>
      </c>
      <c r="O100" s="4110" t="n"/>
      <c r="P100" s="4110" t="n"/>
      <c r="Q100" s="4110" t="n"/>
      <c r="R100" s="4110" t="n"/>
      <c r="S100" s="4110" t="n"/>
      <c r="T100" s="4110" t="n"/>
      <c r="U100" s="4110" t="n"/>
      <c r="V100" s="4110" t="n"/>
      <c r="W100" s="4110" t="n"/>
      <c r="X100" s="4110" t="n"/>
      <c r="Y100" s="4110" t="n"/>
      <c r="Z100" s="4110" t="n"/>
      <c r="AA100" s="4110" t="n"/>
      <c r="AB100" s="4111" t="n"/>
      <c r="AC100" s="4103" t="n"/>
      <c r="AD100" s="4104" t="n"/>
      <c r="AE100" s="4102" t="n"/>
      <c r="AF100" s="4103" t="n"/>
      <c r="AG100" s="4103" t="n"/>
      <c r="AH100" s="4105" t="n"/>
    </row>
    <row r="101" ht="17.1" customHeight="1" s="4080" thickBot="1">
      <c r="A101" s="4234" t="inlineStr">
        <is>
          <t>添　　付　　書　　類</t>
        </is>
      </c>
      <c r="B101" s="4153" t="n"/>
      <c r="C101" s="4153" t="n"/>
      <c r="D101" s="4153" t="n"/>
      <c r="E101" s="4153" t="n"/>
      <c r="F101" s="4153" t="n"/>
      <c r="G101" s="4153" t="n"/>
      <c r="H101" s="4153" t="n"/>
      <c r="I101" s="4153" t="n"/>
      <c r="J101" s="4154" t="n"/>
      <c r="K101" s="4235" t="inlineStr">
        <is>
          <t xml:space="preserve">　別紙「添付書類一覧表」のとおり</t>
        </is>
      </c>
      <c r="L101" s="4153" t="n"/>
      <c r="M101" s="4153" t="n"/>
      <c r="N101" s="4153" t="n"/>
      <c r="O101" s="4153" t="n"/>
      <c r="P101" s="4153" t="n"/>
      <c r="Q101" s="4153" t="n"/>
      <c r="R101" s="4153" t="n"/>
      <c r="S101" s="4153" t="n"/>
      <c r="T101" s="4153" t="n"/>
      <c r="U101" s="4153" t="n"/>
      <c r="V101" s="4153" t="n"/>
      <c r="W101" s="4153" t="n"/>
      <c r="X101" s="4153" t="n"/>
      <c r="Y101" s="4153" t="n"/>
      <c r="Z101" s="4153" t="n"/>
      <c r="AA101" s="4153" t="n"/>
      <c r="AB101" s="4153" t="n"/>
      <c r="AC101" s="4153" t="n"/>
      <c r="AD101" s="4153" t="n"/>
      <c r="AE101" s="4153" t="n"/>
      <c r="AF101" s="4153" t="n"/>
      <c r="AG101" s="4153" t="n"/>
      <c r="AH101" s="4155" t="n"/>
    </row>
  </sheetData>
  <mergeCells count="445">
    <mergeCell ref="Z43:AB43"/>
    <mergeCell ref="W47:Y47"/>
    <mergeCell ref="P66:P68"/>
    <mergeCell ref="N42:P42"/>
    <mergeCell ref="P76:Q76"/>
    <mergeCell ref="K11:AH11"/>
    <mergeCell ref="X27:AH29"/>
    <mergeCell ref="N97:U97"/>
    <mergeCell ref="AC34:AH34"/>
    <mergeCell ref="Q44:V44"/>
    <mergeCell ref="V18:AH18"/>
    <mergeCell ref="A99:A100"/>
    <mergeCell ref="T62:U62"/>
    <mergeCell ref="U81:X81"/>
    <mergeCell ref="K38:P38"/>
    <mergeCell ref="C10:E11"/>
    <mergeCell ref="N99:AB99"/>
    <mergeCell ref="T31:V33"/>
    <mergeCell ref="AA2:AA3"/>
    <mergeCell ref="AD63:AH71"/>
    <mergeCell ref="W53:Y53"/>
    <mergeCell ref="N30:O33"/>
    <mergeCell ref="AC2:AC3"/>
    <mergeCell ref="N100:AB100"/>
    <mergeCell ref="C22:L22"/>
    <mergeCell ref="V74:AB74"/>
    <mergeCell ref="K36:M36"/>
    <mergeCell ref="K100:M100"/>
    <mergeCell ref="T54:V54"/>
    <mergeCell ref="F13:I13"/>
    <mergeCell ref="N96:AH96"/>
    <mergeCell ref="AA66:AA68"/>
    <mergeCell ref="AD72:AH74"/>
    <mergeCell ref="V84:AA84"/>
    <mergeCell ref="W50:AB50"/>
    <mergeCell ref="Q50:V50"/>
    <mergeCell ref="X63:X65"/>
    <mergeCell ref="P81:T81"/>
    <mergeCell ref="Y23:AH23"/>
    <mergeCell ref="J99:J100"/>
    <mergeCell ref="D72:I74"/>
    <mergeCell ref="K97:M97"/>
    <mergeCell ref="C20:AH20"/>
    <mergeCell ref="C55:J55"/>
    <mergeCell ref="W48:Y48"/>
    <mergeCell ref="AE78:AH79"/>
    <mergeCell ref="Q48:S48"/>
    <mergeCell ref="C34:J35"/>
    <mergeCell ref="T27:V29"/>
    <mergeCell ref="A1:Y1"/>
    <mergeCell ref="X76:Y76"/>
    <mergeCell ref="AE1:AF1"/>
    <mergeCell ref="K49:M49"/>
    <mergeCell ref="T49:V49"/>
    <mergeCell ref="N47:P47"/>
    <mergeCell ref="T72:U72"/>
    <mergeCell ref="T42:V42"/>
    <mergeCell ref="AA69:AA71"/>
    <mergeCell ref="C26:E26"/>
    <mergeCell ref="C37:J37"/>
    <mergeCell ref="J27:M29"/>
    <mergeCell ref="AF97:AH97"/>
    <mergeCell ref="W55:AB55"/>
    <mergeCell ref="Q55:V55"/>
    <mergeCell ref="N70:O70"/>
    <mergeCell ref="Q38:V38"/>
    <mergeCell ref="C86:J88"/>
    <mergeCell ref="Q35:S35"/>
    <mergeCell ref="P30:S30"/>
    <mergeCell ref="K56:P56"/>
    <mergeCell ref="Q40:V40"/>
    <mergeCell ref="C84:C85"/>
    <mergeCell ref="Q49:S49"/>
    <mergeCell ref="S60:S62"/>
    <mergeCell ref="Q36:S36"/>
    <mergeCell ref="Z2:Z3"/>
    <mergeCell ref="AB2:AB3"/>
    <mergeCell ref="AD2:AD3"/>
    <mergeCell ref="K59:O59"/>
    <mergeCell ref="T26:X26"/>
    <mergeCell ref="Q59:R59"/>
    <mergeCell ref="S72:S74"/>
    <mergeCell ref="K73:K74"/>
    <mergeCell ref="N35:P35"/>
    <mergeCell ref="AE99:AH100"/>
    <mergeCell ref="T60:U60"/>
    <mergeCell ref="K78:N79"/>
    <mergeCell ref="X66:X68"/>
    <mergeCell ref="D81:I81"/>
    <mergeCell ref="A60:B98"/>
    <mergeCell ref="Q54:S54"/>
    <mergeCell ref="N53:P53"/>
    <mergeCell ref="V60:AB60"/>
    <mergeCell ref="AC83:AH83"/>
    <mergeCell ref="Z37:AB37"/>
    <mergeCell ref="P14:Q16"/>
    <mergeCell ref="N48:P48"/>
    <mergeCell ref="K52:M52"/>
    <mergeCell ref="I8:M9"/>
    <mergeCell ref="Q46:V46"/>
    <mergeCell ref="Y67:Z67"/>
    <mergeCell ref="W42:Y42"/>
    <mergeCell ref="K53:M53"/>
    <mergeCell ref="W17:AH17"/>
    <mergeCell ref="T73:U73"/>
    <mergeCell ref="S66:T68"/>
    <mergeCell ref="W19:AH19"/>
    <mergeCell ref="Q56:V56"/>
    <mergeCell ref="N26:O29"/>
    <mergeCell ref="N54:P54"/>
    <mergeCell ref="AF37:AH37"/>
    <mergeCell ref="W34:AB34"/>
    <mergeCell ref="N41:P41"/>
    <mergeCell ref="C17:M19"/>
    <mergeCell ref="T14:V16"/>
    <mergeCell ref="Q52:S52"/>
    <mergeCell ref="J82:J85"/>
    <mergeCell ref="N43:P43"/>
    <mergeCell ref="C14:E16"/>
    <mergeCell ref="AA80:AD80"/>
    <mergeCell ref="L83:L84"/>
    <mergeCell ref="T92:V92"/>
    <mergeCell ref="Q73:Q74"/>
    <mergeCell ref="N66:O66"/>
    <mergeCell ref="J75:J77"/>
    <mergeCell ref="F27:I29"/>
    <mergeCell ref="L76:N76"/>
    <mergeCell ref="Q64:R64"/>
    <mergeCell ref="X69:X71"/>
    <mergeCell ref="AF42:AH42"/>
    <mergeCell ref="AC84:AH84"/>
    <mergeCell ref="AF47:AH47"/>
    <mergeCell ref="M24:X24"/>
    <mergeCell ref="I10:K10"/>
    <mergeCell ref="AC51:AH51"/>
    <mergeCell ref="C7:E9"/>
    <mergeCell ref="X14:AH16"/>
    <mergeCell ref="AF48:AH48"/>
    <mergeCell ref="C48:J48"/>
    <mergeCell ref="E98:J98"/>
    <mergeCell ref="A12:S12"/>
    <mergeCell ref="C63:C71"/>
    <mergeCell ref="N8:O9"/>
    <mergeCell ref="Q51:V51"/>
    <mergeCell ref="AE91:AE92"/>
    <mergeCell ref="AC60:AC62"/>
    <mergeCell ref="AF10:AH10"/>
    <mergeCell ref="S17:U19"/>
    <mergeCell ref="AC42:AE42"/>
    <mergeCell ref="R93:AA95"/>
    <mergeCell ref="AF76:AH76"/>
    <mergeCell ref="V61:AB61"/>
    <mergeCell ref="J91:J92"/>
    <mergeCell ref="S78:V79"/>
    <mergeCell ref="S59:V59"/>
    <mergeCell ref="Z35:AB35"/>
    <mergeCell ref="J60:J62"/>
    <mergeCell ref="Y24:AH24"/>
    <mergeCell ref="N67:O67"/>
    <mergeCell ref="C82:C83"/>
    <mergeCell ref="F30:I30"/>
    <mergeCell ref="C36:J36"/>
    <mergeCell ref="Z36:AB36"/>
    <mergeCell ref="K82:K85"/>
    <mergeCell ref="AB92:AD92"/>
    <mergeCell ref="N69:O69"/>
    <mergeCell ref="C25:L25"/>
    <mergeCell ref="M83:M84"/>
    <mergeCell ref="P73:P74"/>
    <mergeCell ref="N37:P37"/>
    <mergeCell ref="R73:R74"/>
    <mergeCell ref="T47:V47"/>
    <mergeCell ref="W35:Y35"/>
    <mergeCell ref="D63:I71"/>
    <mergeCell ref="P13:S13"/>
    <mergeCell ref="Q10:S10"/>
    <mergeCell ref="C93:D98"/>
    <mergeCell ref="F4:AH4"/>
    <mergeCell ref="U2:X3"/>
    <mergeCell ref="D75:I77"/>
    <mergeCell ref="C5:E6"/>
    <mergeCell ref="B99:I100"/>
    <mergeCell ref="A13:B25"/>
    <mergeCell ref="J14:M16"/>
    <mergeCell ref="T52:V52"/>
    <mergeCell ref="F7:I7"/>
    <mergeCell ref="AC52:AE52"/>
    <mergeCell ref="K101:AH101"/>
    <mergeCell ref="Y21:AH21"/>
    <mergeCell ref="T91:V91"/>
    <mergeCell ref="L91:N91"/>
    <mergeCell ref="T13:X13"/>
    <mergeCell ref="Z49:AB49"/>
    <mergeCell ref="R61:R62"/>
    <mergeCell ref="AC37:AE37"/>
    <mergeCell ref="E93:J95"/>
    <mergeCell ref="L61:L62"/>
    <mergeCell ref="C4:E4"/>
    <mergeCell ref="AC47:AE47"/>
    <mergeCell ref="W54:Y54"/>
    <mergeCell ref="AC76:AE76"/>
    <mergeCell ref="AG1:AH1"/>
    <mergeCell ref="W41:Y41"/>
    <mergeCell ref="S63:T65"/>
    <mergeCell ref="C31:E33"/>
    <mergeCell ref="AB94:AC94"/>
    <mergeCell ref="Z52:AB52"/>
    <mergeCell ref="V97:W97"/>
    <mergeCell ref="W56:AH56"/>
    <mergeCell ref="W43:Y43"/>
    <mergeCell ref="K42:M42"/>
    <mergeCell ref="P31:Q33"/>
    <mergeCell ref="AB97:AD97"/>
    <mergeCell ref="U67:W67"/>
    <mergeCell ref="K69:M71"/>
    <mergeCell ref="K37:M37"/>
    <mergeCell ref="K34:P34"/>
    <mergeCell ref="C39:J41"/>
    <mergeCell ref="Y12:Z12"/>
    <mergeCell ref="F26:I26"/>
    <mergeCell ref="AA12:AB12"/>
    <mergeCell ref="C21:L21"/>
    <mergeCell ref="T53:V53"/>
    <mergeCell ref="O80:R80"/>
    <mergeCell ref="AF54:AH54"/>
    <mergeCell ref="AC53:AE53"/>
    <mergeCell ref="C23:L23"/>
    <mergeCell ref="K44:P44"/>
    <mergeCell ref="K96:M96"/>
    <mergeCell ref="J63:J71"/>
    <mergeCell ref="W46:AB46"/>
    <mergeCell ref="AD60:AH62"/>
    <mergeCell ref="U64:W64"/>
    <mergeCell ref="K61:K62"/>
    <mergeCell ref="T37:V37"/>
    <mergeCell ref="M61:M62"/>
    <mergeCell ref="AC41:AE41"/>
    <mergeCell ref="W57:AH57"/>
    <mergeCell ref="T48:V48"/>
    <mergeCell ref="Q42:S42"/>
    <mergeCell ref="C38:J38"/>
    <mergeCell ref="Z1:AA1"/>
    <mergeCell ref="X31:AH33"/>
    <mergeCell ref="K47:M47"/>
    <mergeCell ref="T30:X30"/>
    <mergeCell ref="F5:AH6"/>
    <mergeCell ref="AC43:AE43"/>
    <mergeCell ref="M22:X22"/>
    <mergeCell ref="K75:AH75"/>
    <mergeCell ref="Q34:V34"/>
    <mergeCell ref="C51:J52"/>
    <mergeCell ref="T76:V76"/>
    <mergeCell ref="Y64:Z64"/>
    <mergeCell ref="Z48:AB48"/>
    <mergeCell ref="A56:J57"/>
    <mergeCell ref="P26:S26"/>
    <mergeCell ref="C24:L24"/>
    <mergeCell ref="AF2:AF3"/>
    <mergeCell ref="AH2:AH3"/>
    <mergeCell ref="K39:AH39"/>
    <mergeCell ref="W80:Z80"/>
    <mergeCell ref="N49:P49"/>
    <mergeCell ref="C13:E13"/>
    <mergeCell ref="J7:N7"/>
    <mergeCell ref="N36:P36"/>
    <mergeCell ref="P92:R92"/>
    <mergeCell ref="AC48:AE48"/>
    <mergeCell ref="T10:W10"/>
    <mergeCell ref="O73:O74"/>
    <mergeCell ref="Q47:S47"/>
    <mergeCell ref="K35:M35"/>
    <mergeCell ref="K57:O57"/>
    <mergeCell ref="Y25:AH25"/>
    <mergeCell ref="Q57:R57"/>
    <mergeCell ref="AA63:AA65"/>
    <mergeCell ref="W51:AB51"/>
    <mergeCell ref="K99:M99"/>
    <mergeCell ref="K50:P50"/>
    <mergeCell ref="V83:AA83"/>
    <mergeCell ref="C72:C74"/>
    <mergeCell ref="P7:AH9"/>
    <mergeCell ref="K58:P58"/>
    <mergeCell ref="N13:O16"/>
    <mergeCell ref="J31:M33"/>
    <mergeCell ref="AC99:AD100"/>
    <mergeCell ref="E96:J97"/>
    <mergeCell ref="V63:W63"/>
    <mergeCell ref="C54:J54"/>
    <mergeCell ref="O94:Q94"/>
    <mergeCell ref="AF41:AH41"/>
    <mergeCell ref="K48:M48"/>
    <mergeCell ref="AA78:AD79"/>
    <mergeCell ref="AF35:AH35"/>
    <mergeCell ref="T74:U74"/>
    <mergeCell ref="X10:Z10"/>
    <mergeCell ref="U12:V12"/>
    <mergeCell ref="AB10:AD10"/>
    <mergeCell ref="W12:X12"/>
    <mergeCell ref="C43:J43"/>
    <mergeCell ref="D89:I89"/>
    <mergeCell ref="Q61:Q62"/>
    <mergeCell ref="R76:S76"/>
    <mergeCell ref="C91:C92"/>
    <mergeCell ref="AF36:AH36"/>
    <mergeCell ref="S69:T71"/>
    <mergeCell ref="C30:E30"/>
    <mergeCell ref="L82:N82"/>
    <mergeCell ref="Y70:Z70"/>
    <mergeCell ref="Q70:R70"/>
    <mergeCell ref="D90:I90"/>
    <mergeCell ref="T35:V35"/>
    <mergeCell ref="O78:R79"/>
    <mergeCell ref="A101:J101"/>
    <mergeCell ref="K55:P55"/>
    <mergeCell ref="K41:M41"/>
    <mergeCell ref="K46:P46"/>
    <mergeCell ref="N52:P52"/>
    <mergeCell ref="K40:P40"/>
    <mergeCell ref="K43:M43"/>
    <mergeCell ref="X92:Z92"/>
    <mergeCell ref="AE2:AE3"/>
    <mergeCell ref="AG2:AG3"/>
    <mergeCell ref="Y2:Y3"/>
    <mergeCell ref="M25:X25"/>
    <mergeCell ref="L73:L74"/>
    <mergeCell ref="N73:N74"/>
    <mergeCell ref="C44:J44"/>
    <mergeCell ref="Q2:S2"/>
    <mergeCell ref="N64:O64"/>
    <mergeCell ref="J13:M13"/>
    <mergeCell ref="V72:AB72"/>
    <mergeCell ref="Q53:S53"/>
    <mergeCell ref="AF43:AH43"/>
    <mergeCell ref="W44:AB44"/>
    <mergeCell ref="F10:H10"/>
    <mergeCell ref="K54:M54"/>
    <mergeCell ref="AC72:AC74"/>
    <mergeCell ref="M73:M74"/>
    <mergeCell ref="C49:J49"/>
    <mergeCell ref="Q58:V58"/>
    <mergeCell ref="C42:J42"/>
    <mergeCell ref="P91:R91"/>
    <mergeCell ref="AE80:AH80"/>
    <mergeCell ref="D82:I85"/>
    <mergeCell ref="N61:N62"/>
    <mergeCell ref="M21:X21"/>
    <mergeCell ref="L85:N85"/>
    <mergeCell ref="V62:AB62"/>
    <mergeCell ref="P61:P62"/>
    <mergeCell ref="C78:C80"/>
    <mergeCell ref="AC44:AH44"/>
    <mergeCell ref="P69:P71"/>
    <mergeCell ref="Q41:S41"/>
    <mergeCell ref="W38:AB38"/>
    <mergeCell ref="T61:U61"/>
    <mergeCell ref="J30:M30"/>
    <mergeCell ref="A4:B11"/>
    <mergeCell ref="Q43:S43"/>
    <mergeCell ref="W40:AB40"/>
    <mergeCell ref="S57:V57"/>
    <mergeCell ref="Y22:AH22"/>
    <mergeCell ref="X97:Z97"/>
    <mergeCell ref="W36:Y36"/>
    <mergeCell ref="AB1:AD1"/>
    <mergeCell ref="F31:I33"/>
    <mergeCell ref="N63:O63"/>
    <mergeCell ref="AC12:AD12"/>
    <mergeCell ref="AE12:AF12"/>
    <mergeCell ref="Z42:AB42"/>
    <mergeCell ref="N2:O2"/>
    <mergeCell ref="K77:AH77"/>
    <mergeCell ref="C50:J50"/>
    <mergeCell ref="D78:I80"/>
    <mergeCell ref="J72:J74"/>
    <mergeCell ref="P27:Q29"/>
    <mergeCell ref="A34:B55"/>
    <mergeCell ref="K80:N80"/>
    <mergeCell ref="AF52:AH52"/>
    <mergeCell ref="N17:R17"/>
    <mergeCell ref="M23:X23"/>
    <mergeCell ref="D91:I92"/>
    <mergeCell ref="N19:R19"/>
    <mergeCell ref="W49:Y49"/>
    <mergeCell ref="K81:N81"/>
    <mergeCell ref="D60:I62"/>
    <mergeCell ref="AF49:AH49"/>
    <mergeCell ref="O82:O85"/>
    <mergeCell ref="AA76:AB76"/>
    <mergeCell ref="K89:AH89"/>
    <mergeCell ref="K51:P51"/>
    <mergeCell ref="Z81:AH81"/>
    <mergeCell ref="K63:M65"/>
    <mergeCell ref="F11:J11"/>
    <mergeCell ref="Z47:AB47"/>
    <mergeCell ref="K90:AH90"/>
    <mergeCell ref="AC35:AE35"/>
    <mergeCell ref="C45:J47"/>
    <mergeCell ref="AC63:AC71"/>
    <mergeCell ref="F14:I16"/>
    <mergeCell ref="T41:V41"/>
    <mergeCell ref="Q67:R67"/>
    <mergeCell ref="C27:E29"/>
    <mergeCell ref="AC50:AH50"/>
    <mergeCell ref="W52:Y52"/>
    <mergeCell ref="T43:V43"/>
    <mergeCell ref="P63:P65"/>
    <mergeCell ref="W37:Y37"/>
    <mergeCell ref="T36:V36"/>
    <mergeCell ref="N83:N84"/>
    <mergeCell ref="F8:H9"/>
    <mergeCell ref="J26:M26"/>
    <mergeCell ref="X91:Z91"/>
    <mergeCell ref="U70:W70"/>
    <mergeCell ref="AF53:AH53"/>
    <mergeCell ref="AB91:AD91"/>
    <mergeCell ref="C53:J53"/>
    <mergeCell ref="C60:C62"/>
    <mergeCell ref="A58:J59"/>
    <mergeCell ref="Z53:AB53"/>
    <mergeCell ref="S80:V80"/>
    <mergeCell ref="M10:O10"/>
    <mergeCell ref="L92:N92"/>
    <mergeCell ref="P82:T85"/>
    <mergeCell ref="AC55:AH55"/>
    <mergeCell ref="AC38:AH38"/>
    <mergeCell ref="AC54:AE54"/>
    <mergeCell ref="L94:N94"/>
    <mergeCell ref="AC46:AH46"/>
    <mergeCell ref="AC40:AH40"/>
    <mergeCell ref="V73:AB73"/>
    <mergeCell ref="A26:B33"/>
    <mergeCell ref="K98:AH98"/>
    <mergeCell ref="AD94:AG94"/>
    <mergeCell ref="AC49:AE49"/>
    <mergeCell ref="J78:J80"/>
    <mergeCell ref="AC36:AE36"/>
    <mergeCell ref="O61:O62"/>
    <mergeCell ref="K66:M68"/>
    <mergeCell ref="C75:C77"/>
    <mergeCell ref="Q37:S37"/>
    <mergeCell ref="Z54:AB54"/>
    <mergeCell ref="Z41:AB41"/>
    <mergeCell ref="W78:Z79"/>
    <mergeCell ref="K45:AH45"/>
    <mergeCell ref="AF91:AH92"/>
  </mergeCells>
  <conditionalFormatting sqref="Z58:Z59">
    <cfRule type="cellIs" priority="1" operator="lessThanOrEqual" dxfId="0" stopIfTrue="1">
      <formula>0</formula>
    </cfRule>
  </conditionalFormatting>
  <dataValidations count="13">
    <dataValidation sqref="V18:AH18"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M10:O10 Q10:S10 X10:Z10 AB10:AD10 AF10:AH10" showDropDown="0" showInputMessage="1" showErrorMessage="1" allowBlank="1" error="全角数字で入力してください" imeMode="fullAlpha"/>
    <dataValidation sqref="W58:W59 Y58:Z59" showDropDown="0" showInputMessage="1" showErrorMessage="1" allowBlank="1" imeMode="halfAlpha"/>
    <dataValidation sqref="K51:AH51" showDropDown="0" showInputMessage="1" showErrorMessage="1" allowBlank="1" type="list" errorStyle="information">
      <formula1>"　,職業指導員,あん摩マッサージ指圧師,介護職員,保育士,事務職員,調理員,栄養士,運転手"</formula1>
    </dataValidation>
    <dataValidation sqref="K39 K45" showDropDown="0" showInputMessage="1" showErrorMessage="1" allowBlank="1" error="栄養士、調理員、事務職員、運転手等の直接処遇職員以外の職員は、(14)以降に記入すること" type="list" errorStyle="warning">
      <formula1>"　,医師,看護師(保健師),職業指導員,生活支援員,心理判定員,職能判定員,作業療法士,あん摩マッサージ指圧師,介護職員,保育士"</formula1>
    </dataValidation>
    <dataValidation sqref="V83:AA84 AC83:AH84" showDropDown="0" showInputMessage="1" showErrorMessage="1" allowBlank="1" error="このサービスの組み合わせは、多機能型では選択できません" type="list">
      <formula1>"　,児童デイサービス,自立訓練(生活訓練),自立訓練(機能訓練),就労移行支援,就労継続支援(A型),就労継続支援(B型)"</formula1>
    </dataValidation>
    <dataValidation sqref="L76 N64 N67 N70 T76 U64:V64 U67:V67 U70:V70" showDropDown="0" showInputMessage="1" showErrorMessage="1" allowBlank="1" type="list">
      <formula1>"　,１,２,３,４,５,６,７,８,９,１０,１１,１２,１３,１４,１５,１６,１７,１８,１９,２０,２１,２２,２３,２４"</formula1>
    </dataValidation>
    <dataValidation sqref="I10:K10 J7:N7 K36:K38 K42:K44 K48:AH50 K53:AH55 K81:N81 L44:M44 N36:N37 N42:N44 O44:P44 Q36:Q38 Q42:Q44 R44:S44 T13:X13 T26:X26 T30:X30 T36:T37 T42:T44 U12:V12 U44:V44 U81 W36:W38 W42:W44 X44:Y44 X97 Y2:AH3 Y12:Z12 Z36:Z37 Z42:Z44 AA44:AB44 AB97:AD97 AC12:AD12 AC36:AC38 AC42:AC44 AD44:AE44 AF36:AF37 AF42:AF44 AF97 AG44:AH44" showDropDown="0" showInputMessage="1" showErrorMessage="1" allowBlank="1" imeMode="fullAlpha"/>
    <dataValidation sqref="K61:R62 K73:R74 K80 O80 S80 W80 AE80" showDropDown="0" showInputMessage="1" showErrorMessage="1" allowBlank="1" type="list">
      <formula1>"　,○"</formula1>
    </dataValidation>
    <dataValidation sqref="F4:AH4 F13:M13 F26:M26 F30:M30 J99 N99 AE99" showDropDown="0" showInputMessage="1" showErrorMessage="1" allowBlank="1" imeMode="halfKatakana"/>
    <dataValidation sqref="AB82:AH82 AB85:AH88" showDropDown="0" showInputMessage="1" showErrorMessage="1" allowBlank="1" type="list">
      <formula1>"　,サービス提供責任者,事務職員,サービス提供責任者、事務職員"</formula1>
    </dataValidation>
    <dataValidation sqref="K89:AH89" showDropDown="0" showInputMessage="1" showErrorMessage="1" allowBlank="1" type="list" errorStyle="warning">
      <formula1>"　,法定代理受領分：厚生労働大臣が定める基準の10/100、法定代理受領分以外：厚生労働大臣が定める基準"</formula1>
    </dataValidation>
    <dataValidation sqref="K90:AH90" showDropDown="0" showInputMessage="1" showErrorMessage="1" allowBlank="1" type="list">
      <formula1>"　,運営規程に定めるとおり"</formula1>
    </dataValidation>
  </dataValidations>
  <printOptions horizontalCentered="1"/>
  <pageMargins left="0.7086614173228347" right="0.5905511811023623" top="0.3937007874015748" bottom="0.3937007874015748" header="0.5118110236220472" footer="0.5118110236220472"/>
  <pageSetup orientation="portrait" paperSize="9"/>
  <rowBreaks count="1" manualBreakCount="1">
    <brk id="59" min="0" max="33" man="1"/>
  </rowBreaks>
  <legacyDrawing xmlns:r="http://schemas.openxmlformats.org/officeDocument/2006/relationships" r:id="anysvml"/>
</worksheet>
</file>

<file path=xl/worksheets/sheet11.xml><?xml version="1.0" encoding="utf-8"?>
<worksheet xmlns="http://schemas.openxmlformats.org/spreadsheetml/2006/main">
  <sheetPr codeName="Sheet10">
    <outlinePr summaryBelow="1" summaryRight="1"/>
    <pageSetUpPr/>
  </sheetPr>
  <dimension ref="A1:AN107"/>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27.75" customHeight="1" s="4080" thickBot="1">
      <c r="A1" s="1213" t="inlineStr">
        <is>
          <t>付表６　自立訓練（機能訓練）事業所の指定に係る記載事項</t>
        </is>
      </c>
      <c r="Z1" s="1753" t="n"/>
      <c r="AA1" s="4087" t="n"/>
      <c r="AB1" s="1754" t="n"/>
      <c r="AC1" s="4087" t="n"/>
      <c r="AD1" s="4087" t="n"/>
      <c r="AE1" s="1753" t="n"/>
      <c r="AF1" s="4087" t="n"/>
      <c r="AG1" s="1755" t="n"/>
      <c r="AH1" s="4087" t="n"/>
      <c r="AN1" s="719">
        <f>HYPERLINK("#目次!A1","目次へ戻る")</f>
        <v/>
      </c>
    </row>
    <row r="2" ht="15" customHeight="1" s="4080">
      <c r="B2" s="45" t="n"/>
      <c r="C2" s="45" t="n"/>
      <c r="D2" s="45" t="n"/>
      <c r="E2" s="1889" t="n"/>
      <c r="F2" s="1889" t="n"/>
      <c r="G2" s="1889" t="n"/>
      <c r="H2" s="2069" t="n"/>
      <c r="I2" s="1889" t="n"/>
      <c r="J2" s="1889" t="n"/>
      <c r="K2" s="1889" t="n"/>
      <c r="L2" s="1889" t="n"/>
      <c r="M2" s="45" t="inlineStr">
        <is>
          <t>（</t>
        </is>
      </c>
      <c r="N2" s="1889" t="inlineStr">
        <is>
          <t>単独</t>
        </is>
      </c>
      <c r="P2" s="2069" t="inlineStr">
        <is>
          <t>・</t>
        </is>
      </c>
      <c r="Q2" s="1889" t="inlineStr">
        <is>
          <t>多機能</t>
        </is>
      </c>
      <c r="T2" s="1667" t="inlineStr">
        <is>
          <t>）</t>
        </is>
      </c>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4179" t="inlineStr">
        <is>
          <t>事業所</t>
        </is>
      </c>
      <c r="B4" s="4082"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C5" s="4181" t="inlineStr">
        <is>
          <t>名　称</t>
        </is>
      </c>
      <c r="D5" s="4098" t="n"/>
      <c r="E5" s="4099" t="n"/>
      <c r="F5" s="4182"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C7" s="4181" t="inlineStr">
        <is>
          <t>所在地</t>
        </is>
      </c>
      <c r="D7" s="4098" t="n"/>
      <c r="E7" s="4099" t="n"/>
      <c r="F7" s="1244" t="inlineStr">
        <is>
          <t>郵便番号（</t>
        </is>
      </c>
      <c r="G7" s="4098" t="n"/>
      <c r="H7" s="4098" t="n"/>
      <c r="I7" s="4098" t="n"/>
      <c r="J7" s="1287" t="n"/>
      <c r="K7" s="4098" t="n"/>
      <c r="L7" s="4098" t="n"/>
      <c r="M7" s="4098" t="n"/>
      <c r="N7" s="4098" t="n"/>
      <c r="O7" s="1329" t="inlineStr">
        <is>
          <t>）</t>
        </is>
      </c>
      <c r="P7" s="4311"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986" t="n"/>
      <c r="N8" s="1260" t="inlineStr">
        <is>
          <t>区</t>
        </is>
      </c>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882" t="n"/>
      <c r="J10" s="4110" t="n"/>
      <c r="K10" s="4110" t="n"/>
      <c r="L10" s="53" t="inlineStr">
        <is>
          <t>－</t>
        </is>
      </c>
      <c r="M10" s="920" t="n"/>
      <c r="N10" s="4110" t="n"/>
      <c r="O10" s="4110" t="n"/>
      <c r="P10" s="53" t="inlineStr">
        <is>
          <t>－</t>
        </is>
      </c>
      <c r="Q10" s="878" t="n"/>
      <c r="R10" s="4110" t="n"/>
      <c r="S10" s="4111" t="n"/>
      <c r="T10" s="4184" t="inlineStr">
        <is>
          <t>ＦＡＸ番号</t>
        </is>
      </c>
      <c r="U10" s="4110" t="n"/>
      <c r="V10" s="4110" t="n"/>
      <c r="W10" s="4111" t="n"/>
      <c r="X10" s="882" t="n"/>
      <c r="Y10" s="4110" t="n"/>
      <c r="Z10" s="4110" t="n"/>
      <c r="AA10" s="53" t="inlineStr">
        <is>
          <t>－</t>
        </is>
      </c>
      <c r="AB10" s="920" t="n"/>
      <c r="AC10" s="4110" t="n"/>
      <c r="AD10" s="4110" t="n"/>
      <c r="AE10" s="53" t="inlineStr">
        <is>
          <t>－</t>
        </is>
      </c>
      <c r="AF10" s="955" t="n"/>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18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54" t="n"/>
      <c r="V12" s="4110" t="n"/>
      <c r="W12" s="1264" t="inlineStr">
        <is>
          <t>条第</t>
        </is>
      </c>
      <c r="X12" s="4110" t="n"/>
      <c r="Y12" s="954" t="n"/>
      <c r="Z12" s="4110" t="n"/>
      <c r="AA12" s="1264" t="inlineStr">
        <is>
          <t>項第</t>
        </is>
      </c>
      <c r="AB12" s="4110" t="n"/>
      <c r="AC12" s="954" t="n"/>
      <c r="AD12" s="4110" t="n"/>
      <c r="AE12" s="1264" t="inlineStr">
        <is>
          <t>号（</t>
        </is>
      </c>
      <c r="AF12" s="4110" t="n"/>
      <c r="AG12" s="954" t="n"/>
      <c r="AH12" s="2827" t="inlineStr">
        <is>
          <t>）</t>
        </is>
      </c>
    </row>
    <row r="13" ht="12" customHeight="1" s="4080">
      <c r="A13" s="4188" t="inlineStr">
        <is>
          <t>管　　理　　者</t>
        </is>
      </c>
      <c r="B13" s="4099" t="n"/>
      <c r="C13" s="4184" t="inlineStr">
        <is>
          <t>ﾌﾘｶﾞﾅ</t>
        </is>
      </c>
      <c r="D13" s="4110" t="n"/>
      <c r="E13" s="4111" t="n"/>
      <c r="F13" s="1278" t="n"/>
      <c r="G13" s="4110" t="n"/>
      <c r="H13" s="4110" t="n"/>
      <c r="I13" s="4189" t="n"/>
      <c r="J13" s="1279" t="n"/>
      <c r="K13" s="4110" t="n"/>
      <c r="L13" s="4110" t="n"/>
      <c r="M13" s="4189" t="n"/>
      <c r="N13" s="4185" t="inlineStr">
        <is>
          <t>住所</t>
        </is>
      </c>
      <c r="O13" s="4099" t="n"/>
      <c r="P13" s="1244" t="inlineStr">
        <is>
          <t>郵便番号（</t>
        </is>
      </c>
      <c r="Q13" s="4098" t="n"/>
      <c r="R13" s="4098" t="n"/>
      <c r="S13" s="4098" t="n"/>
      <c r="T13" s="1287" t="n"/>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278" t="n"/>
      <c r="G14" s="4098" t="n"/>
      <c r="H14" s="4098" t="n"/>
      <c r="I14" s="4190" t="n"/>
      <c r="J14" s="1279" t="n"/>
      <c r="K14" s="4098" t="n"/>
      <c r="L14" s="4098" t="n"/>
      <c r="M14" s="4190" t="n"/>
      <c r="N14" s="4106" t="n"/>
      <c r="O14" s="4107" t="n"/>
      <c r="P14" s="1318" t="n"/>
      <c r="R14" s="2378" t="inlineStr">
        <is>
          <t>都</t>
        </is>
      </c>
      <c r="S14" s="2378" t="inlineStr">
        <is>
          <t>道</t>
        </is>
      </c>
      <c r="T14" s="1319" t="n"/>
      <c r="W14" s="2378" t="inlineStr">
        <is>
          <t>郡</t>
        </is>
      </c>
      <c r="X14" s="1321" t="n"/>
      <c r="AH14" s="4109" t="n"/>
    </row>
    <row r="15" ht="12" customHeight="1" s="4080">
      <c r="A15" s="4097" t="n"/>
      <c r="B15" s="4107" t="n"/>
      <c r="C15" s="4106" t="n"/>
      <c r="E15" s="4107" t="n"/>
      <c r="F15" s="4106" t="n"/>
      <c r="I15" s="4191" t="n"/>
      <c r="J15" s="4192" t="n"/>
      <c r="M15" s="4191" t="n"/>
      <c r="N15" s="4106" t="n"/>
      <c r="O15" s="4107" t="n"/>
      <c r="P15" s="4106" t="n"/>
      <c r="R15" s="2378" t="inlineStr">
        <is>
          <t>府</t>
        </is>
      </c>
      <c r="S15" s="2378" t="inlineStr">
        <is>
          <t>県</t>
        </is>
      </c>
      <c r="W15" s="2378"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1325" t="inlineStr">
        <is>
          <t>無</t>
        </is>
      </c>
      <c r="R18" s="1332" t="n"/>
      <c r="S18" s="4106" t="n"/>
      <c r="U18" s="4107" t="n"/>
      <c r="V18" s="4196"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5" customHeight="1" s="4080">
      <c r="A20" s="4097" t="n"/>
      <c r="B20" s="4107" t="n"/>
      <c r="C20" s="4220" t="inlineStr">
        <is>
          <t>他の事業所又は施設を兼務する場合、当該兼務する事業所等の名称等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5" customHeight="1" s="4080">
      <c r="A21" s="4097" t="n"/>
      <c r="B21" s="4107" t="n"/>
      <c r="C21" s="2163" t="inlineStr">
        <is>
          <t>事業所名</t>
        </is>
      </c>
      <c r="D21" s="4110" t="n"/>
      <c r="E21" s="4110" t="n"/>
      <c r="F21" s="4110" t="n"/>
      <c r="G21" s="4110" t="n"/>
      <c r="H21" s="4110" t="n"/>
      <c r="I21" s="4110" t="n"/>
      <c r="J21" s="4111" t="n"/>
      <c r="K21" s="2164" t="inlineStr">
        <is>
          <t>サービス種別</t>
        </is>
      </c>
      <c r="L21" s="4110" t="n"/>
      <c r="M21" s="4110" t="n"/>
      <c r="N21" s="4110" t="n"/>
      <c r="O21" s="4110" t="n"/>
      <c r="P21" s="4110" t="n"/>
      <c r="Q21" s="4110" t="n"/>
      <c r="R21" s="4110" t="n"/>
      <c r="S21" s="4110" t="n"/>
      <c r="T21" s="4110" t="n"/>
      <c r="U21" s="4110" t="n"/>
      <c r="V21" s="4110" t="n"/>
      <c r="W21" s="4110" t="n"/>
      <c r="X21" s="4110" t="n"/>
      <c r="Y21" s="4111" t="n"/>
      <c r="Z21" s="2165" t="inlineStr">
        <is>
          <t>職種</t>
        </is>
      </c>
      <c r="AA21" s="4110" t="n"/>
      <c r="AB21" s="4110" t="n"/>
      <c r="AC21" s="4110" t="n"/>
      <c r="AD21" s="4110" t="n"/>
      <c r="AE21" s="4110" t="n"/>
      <c r="AF21" s="4110" t="n"/>
      <c r="AG21" s="4110" t="n"/>
      <c r="AH21" s="4111" t="n"/>
    </row>
    <row r="22" ht="15" customHeight="1" s="4080">
      <c r="A22" s="4097" t="n"/>
      <c r="B22" s="4107" t="n"/>
      <c r="C22" s="2178" t="n"/>
      <c r="D22" s="4098" t="n"/>
      <c r="E22" s="4098" t="n"/>
      <c r="F22" s="4098" t="n"/>
      <c r="G22" s="4098" t="n"/>
      <c r="H22" s="4098" t="n"/>
      <c r="I22" s="4098" t="n"/>
      <c r="J22" s="4099" t="n"/>
      <c r="K22" s="2179" t="n"/>
      <c r="L22" s="4098" t="n"/>
      <c r="M22" s="4098" t="n"/>
      <c r="N22" s="4098" t="n"/>
      <c r="O22" s="4098" t="n"/>
      <c r="P22" s="4098" t="n"/>
      <c r="Q22" s="4098" t="n"/>
      <c r="R22" s="4098" t="n"/>
      <c r="S22" s="4098" t="n"/>
      <c r="T22" s="4098" t="n"/>
      <c r="U22" s="4098" t="n"/>
      <c r="V22" s="4098" t="n"/>
      <c r="W22" s="4098" t="n"/>
      <c r="X22" s="4098" t="n"/>
      <c r="Y22" s="4099" t="n"/>
      <c r="Z22" s="2180" t="n"/>
      <c r="AA22" s="4098" t="n"/>
      <c r="AB22" s="4098" t="n"/>
      <c r="AC22" s="4098" t="n"/>
      <c r="AD22" s="4098" t="n"/>
      <c r="AE22" s="4098" t="n"/>
      <c r="AF22" s="4098" t="n"/>
      <c r="AG22" s="4098" t="n"/>
      <c r="AH22" s="4099" t="n"/>
    </row>
    <row r="23" ht="15" customHeight="1" s="4080">
      <c r="A23" s="4097" t="n"/>
      <c r="B23" s="4107" t="n"/>
      <c r="C23" s="2167" t="n"/>
      <c r="D23" s="4457" t="n"/>
      <c r="E23" s="4457" t="n"/>
      <c r="F23" s="4457" t="n"/>
      <c r="G23" s="4457" t="n"/>
      <c r="H23" s="4457" t="n"/>
      <c r="I23" s="4457" t="n"/>
      <c r="J23" s="4458" t="n"/>
      <c r="K23" s="2168" t="n"/>
      <c r="L23" s="4457" t="n"/>
      <c r="M23" s="4457" t="n"/>
      <c r="N23" s="4457" t="n"/>
      <c r="O23" s="4457" t="n"/>
      <c r="P23" s="4457" t="n"/>
      <c r="Q23" s="4457" t="n"/>
      <c r="R23" s="4457" t="n"/>
      <c r="S23" s="4457" t="n"/>
      <c r="T23" s="4457" t="n"/>
      <c r="U23" s="4457" t="n"/>
      <c r="V23" s="4457" t="n"/>
      <c r="W23" s="4457" t="n"/>
      <c r="X23" s="4457" t="n"/>
      <c r="Y23" s="4458" t="n"/>
      <c r="Z23" s="2169" t="n"/>
      <c r="AA23" s="4457" t="n"/>
      <c r="AB23" s="4457" t="n"/>
      <c r="AC23" s="4457" t="n"/>
      <c r="AD23" s="4457" t="n"/>
      <c r="AE23" s="4457" t="n"/>
      <c r="AF23" s="4457" t="n"/>
      <c r="AG23" s="4457" t="n"/>
      <c r="AH23" s="4458" t="n"/>
    </row>
    <row r="24" ht="15" customHeight="1" s="4080">
      <c r="A24" s="4097" t="n"/>
      <c r="B24" s="4107" t="n"/>
      <c r="C24" s="2167" t="n"/>
      <c r="D24" s="4457" t="n"/>
      <c r="E24" s="4457" t="n"/>
      <c r="F24" s="4457" t="n"/>
      <c r="G24" s="4457" t="n"/>
      <c r="H24" s="4457" t="n"/>
      <c r="I24" s="4457" t="n"/>
      <c r="J24" s="4458" t="n"/>
      <c r="K24" s="2168" t="n"/>
      <c r="L24" s="4457" t="n"/>
      <c r="M24" s="4457" t="n"/>
      <c r="N24" s="4457" t="n"/>
      <c r="O24" s="4457" t="n"/>
      <c r="P24" s="4457" t="n"/>
      <c r="Q24" s="4457" t="n"/>
      <c r="R24" s="4457" t="n"/>
      <c r="S24" s="4457" t="n"/>
      <c r="T24" s="4457" t="n"/>
      <c r="U24" s="4457" t="n"/>
      <c r="V24" s="4457" t="n"/>
      <c r="W24" s="4457" t="n"/>
      <c r="X24" s="4457" t="n"/>
      <c r="Y24" s="4458" t="n"/>
      <c r="Z24" s="2169" t="n"/>
      <c r="AA24" s="4457" t="n"/>
      <c r="AB24" s="4457" t="n"/>
      <c r="AC24" s="4457" t="n"/>
      <c r="AD24" s="4457" t="n"/>
      <c r="AE24" s="4457" t="n"/>
      <c r="AF24" s="4457" t="n"/>
      <c r="AG24" s="4457" t="n"/>
      <c r="AH24" s="4458" t="n"/>
    </row>
    <row r="25" ht="15" customHeight="1" s="4080">
      <c r="A25" s="4097" t="n"/>
      <c r="B25" s="4107" t="n"/>
      <c r="C25" s="2171" t="n"/>
      <c r="D25" s="4459" t="n"/>
      <c r="E25" s="4459" t="n"/>
      <c r="F25" s="4459" t="n"/>
      <c r="G25" s="4459" t="n"/>
      <c r="H25" s="4459" t="n"/>
      <c r="I25" s="4459" t="n"/>
      <c r="J25" s="4459" t="n"/>
      <c r="K25" s="4460" t="n"/>
      <c r="L25" s="4459" t="n"/>
      <c r="M25" s="4459" t="n"/>
      <c r="N25" s="4459" t="n"/>
      <c r="O25" s="4459" t="n"/>
      <c r="P25" s="4459" t="n"/>
      <c r="Q25" s="4459" t="n"/>
      <c r="R25" s="4459" t="n"/>
      <c r="S25" s="4459" t="n"/>
      <c r="T25" s="4459" t="n"/>
      <c r="U25" s="4459" t="n"/>
      <c r="V25" s="4459" t="n"/>
      <c r="W25" s="4459" t="n"/>
      <c r="X25" s="4459" t="n"/>
      <c r="Y25" s="4461" t="n"/>
      <c r="Z25" s="2177" t="n"/>
      <c r="AA25" s="4459" t="n"/>
      <c r="AB25" s="4459" t="n"/>
      <c r="AC25" s="4459" t="n"/>
      <c r="AD25" s="4459" t="n"/>
      <c r="AE25" s="4459" t="n"/>
      <c r="AF25" s="4459" t="n"/>
      <c r="AG25" s="4459" t="n"/>
      <c r="AH25" s="4462" t="n"/>
    </row>
    <row r="26" ht="12" customHeight="1" s="4080">
      <c r="A26" s="4361" t="inlineStr">
        <is>
          <t>サービス管理
責任者</t>
        </is>
      </c>
      <c r="B26" s="4099" t="n"/>
      <c r="C26" s="4184" t="inlineStr">
        <is>
          <t>ﾌﾘｶﾞﾅ</t>
        </is>
      </c>
      <c r="D26" s="4110" t="n"/>
      <c r="E26" s="4111" t="n"/>
      <c r="F26" s="4203" t="n"/>
      <c r="G26" s="4110" t="n"/>
      <c r="H26" s="4110" t="n"/>
      <c r="I26" s="4204" t="n"/>
      <c r="J26" s="4205" t="n"/>
      <c r="K26" s="4110" t="n"/>
      <c r="L26" s="4110" t="n"/>
      <c r="M26" s="4111" t="n"/>
      <c r="N26" s="2164" t="inlineStr">
        <is>
          <t>住所</t>
        </is>
      </c>
      <c r="O26" s="4099" t="n"/>
      <c r="P26" s="1244" t="inlineStr">
        <is>
          <t>郵便番号（</t>
        </is>
      </c>
      <c r="Q26" s="4098" t="n"/>
      <c r="R26" s="4098" t="n"/>
      <c r="S26" s="4098" t="n"/>
      <c r="T26" s="1287" t="n"/>
      <c r="U26" s="4098" t="n"/>
      <c r="V26" s="4098" t="n"/>
      <c r="W26" s="4098" t="n"/>
      <c r="X26" s="4098" t="n"/>
      <c r="Y26" s="1329" t="inlineStr">
        <is>
          <t>）</t>
        </is>
      </c>
      <c r="Z26" s="1017" t="n"/>
      <c r="AA26" s="1017" t="n"/>
      <c r="AB26" s="1017" t="n"/>
      <c r="AC26" s="1017" t="n"/>
      <c r="AD26" s="1017" t="n"/>
      <c r="AE26" s="120" t="n"/>
      <c r="AF26" s="119" t="n"/>
      <c r="AG26" s="119" t="n"/>
      <c r="AH26" s="118" t="n"/>
    </row>
    <row r="27" ht="12" customHeight="1" s="4080">
      <c r="A27" s="4097" t="n"/>
      <c r="B27" s="4107" t="n"/>
      <c r="C27" s="4209" t="inlineStr">
        <is>
          <t>氏　　名</t>
        </is>
      </c>
      <c r="D27" s="4098" t="n"/>
      <c r="E27" s="4099" t="n"/>
      <c r="F27" s="4203" t="n"/>
      <c r="G27" s="4098" t="n"/>
      <c r="H27" s="4098" t="n"/>
      <c r="I27" s="4210" t="n"/>
      <c r="J27" s="4205" t="n"/>
      <c r="K27" s="4098" t="n"/>
      <c r="L27" s="4098" t="n"/>
      <c r="M27" s="4099" t="n"/>
      <c r="N27" s="4106" t="n"/>
      <c r="O27" s="4107" t="n"/>
      <c r="P27" s="1318" t="n"/>
      <c r="R27" s="2378" t="inlineStr">
        <is>
          <t>都</t>
        </is>
      </c>
      <c r="S27" s="2378" t="inlineStr">
        <is>
          <t>道</t>
        </is>
      </c>
      <c r="T27" s="1389" t="n"/>
      <c r="W27" s="2378" t="inlineStr">
        <is>
          <t>郡</t>
        </is>
      </c>
      <c r="X27" s="1686" t="n"/>
      <c r="AH27" s="4109" t="n"/>
    </row>
    <row r="28" ht="12" customHeight="1" s="4080">
      <c r="A28" s="4097" t="n"/>
      <c r="B28" s="4107" t="n"/>
      <c r="C28" s="4106" t="n"/>
      <c r="E28" s="4107" t="n"/>
      <c r="F28" s="4106" t="n"/>
      <c r="I28" s="4212" t="n"/>
      <c r="J28" s="4213" t="n"/>
      <c r="M28" s="4107" t="n"/>
      <c r="N28" s="4106" t="n"/>
      <c r="O28" s="4107" t="n"/>
      <c r="P28" s="4106" t="n"/>
      <c r="R28" s="2378" t="inlineStr">
        <is>
          <t>府</t>
        </is>
      </c>
      <c r="S28" s="2378" t="inlineStr">
        <is>
          <t>県</t>
        </is>
      </c>
      <c r="W28" s="2378" t="inlineStr">
        <is>
          <t>市</t>
        </is>
      </c>
      <c r="AH28" s="4109" t="n"/>
    </row>
    <row r="29" ht="3" customHeight="1" s="4080">
      <c r="A29" s="4097" t="n"/>
      <c r="B29" s="4107" t="n"/>
      <c r="C29" s="4102" t="n"/>
      <c r="D29" s="4103" t="n"/>
      <c r="E29" s="4104" t="n"/>
      <c r="F29" s="4102" t="n"/>
      <c r="G29" s="4103" t="n"/>
      <c r="H29" s="4103" t="n"/>
      <c r="I29" s="4215" t="n"/>
      <c r="J29" s="4216" t="n"/>
      <c r="K29" s="4103" t="n"/>
      <c r="L29" s="4103" t="n"/>
      <c r="M29" s="4104" t="n"/>
      <c r="N29" s="4102" t="n"/>
      <c r="O29" s="4104" t="n"/>
      <c r="P29" s="4102" t="n"/>
      <c r="Q29" s="4103" t="n"/>
      <c r="R29" s="2378" t="n"/>
      <c r="S29" s="2378" t="n"/>
      <c r="T29" s="4103" t="n"/>
      <c r="U29" s="4103" t="n"/>
      <c r="V29" s="4103" t="n"/>
      <c r="W29" s="63" t="n"/>
      <c r="X29" s="4103" t="n"/>
      <c r="Y29" s="4103" t="n"/>
      <c r="Z29" s="4103" t="n"/>
      <c r="AA29" s="4103" t="n"/>
      <c r="AB29" s="4103" t="n"/>
      <c r="AC29" s="4103" t="n"/>
      <c r="AD29" s="4103" t="n"/>
      <c r="AE29" s="4103" t="n"/>
      <c r="AF29" s="4103" t="n"/>
      <c r="AG29" s="4103" t="n"/>
      <c r="AH29" s="4105" t="n"/>
    </row>
    <row r="30" ht="12" customHeight="1" s="4080">
      <c r="A30" s="4097" t="n"/>
      <c r="B30" s="4107" t="n"/>
      <c r="C30" s="4184" t="inlineStr">
        <is>
          <t>ﾌﾘｶﾞﾅ</t>
        </is>
      </c>
      <c r="D30" s="4110" t="n"/>
      <c r="E30" s="4111" t="n"/>
      <c r="F30" s="4203" t="n"/>
      <c r="G30" s="4110" t="n"/>
      <c r="H30" s="4110" t="n"/>
      <c r="I30" s="4204" t="n"/>
      <c r="J30" s="4205" t="n"/>
      <c r="K30" s="4110" t="n"/>
      <c r="L30" s="4110" t="n"/>
      <c r="M30" s="4111" t="n"/>
      <c r="N30" s="2164" t="inlineStr">
        <is>
          <t>住所</t>
        </is>
      </c>
      <c r="O30" s="4099" t="n"/>
      <c r="P30" s="1244" t="inlineStr">
        <is>
          <t>郵便番号（</t>
        </is>
      </c>
      <c r="Q30" s="4098" t="n"/>
      <c r="R30" s="4098" t="n"/>
      <c r="S30" s="4098" t="n"/>
      <c r="T30" s="1287" t="n"/>
      <c r="U30" s="4098" t="n"/>
      <c r="V30" s="4098" t="n"/>
      <c r="W30" s="4098" t="n"/>
      <c r="X30" s="4098" t="n"/>
      <c r="Y30" s="1329" t="inlineStr">
        <is>
          <t>）</t>
        </is>
      </c>
      <c r="Z30" s="1017" t="n"/>
      <c r="AA30" s="1017" t="n"/>
      <c r="AB30" s="1017" t="n"/>
      <c r="AC30" s="1017" t="n"/>
      <c r="AD30" s="1017" t="n"/>
      <c r="AE30" s="120" t="n"/>
      <c r="AF30" s="119" t="n"/>
      <c r="AG30" s="119" t="n"/>
      <c r="AH30" s="118" t="n"/>
    </row>
    <row r="31" ht="12" customHeight="1" s="4080">
      <c r="A31" s="4097" t="n"/>
      <c r="B31" s="4107" t="n"/>
      <c r="C31" s="4209" t="inlineStr">
        <is>
          <t>氏　　名</t>
        </is>
      </c>
      <c r="D31" s="4098" t="n"/>
      <c r="E31" s="4099" t="n"/>
      <c r="F31" s="4203" t="n"/>
      <c r="G31" s="4098" t="n"/>
      <c r="H31" s="4098" t="n"/>
      <c r="I31" s="4210" t="n"/>
      <c r="J31" s="4205" t="n"/>
      <c r="K31" s="4098" t="n"/>
      <c r="L31" s="4098" t="n"/>
      <c r="M31" s="4099" t="n"/>
      <c r="N31" s="4106" t="n"/>
      <c r="O31" s="4107" t="n"/>
      <c r="P31" s="1318" t="n"/>
      <c r="R31" s="2378" t="inlineStr">
        <is>
          <t>都</t>
        </is>
      </c>
      <c r="S31" s="2378" t="inlineStr">
        <is>
          <t>道</t>
        </is>
      </c>
      <c r="T31" s="1389" t="n"/>
      <c r="W31" s="1325" t="inlineStr">
        <is>
          <t>郡</t>
        </is>
      </c>
      <c r="X31" s="1686" t="n"/>
      <c r="AH31" s="4109" t="n"/>
    </row>
    <row r="32" ht="12" customHeight="1" s="4080">
      <c r="A32" s="4097" t="n"/>
      <c r="B32" s="4107" t="n"/>
      <c r="C32" s="4106" t="n"/>
      <c r="E32" s="4107" t="n"/>
      <c r="F32" s="4106" t="n"/>
      <c r="I32" s="4212" t="n"/>
      <c r="J32" s="4213" t="n"/>
      <c r="M32" s="4107" t="n"/>
      <c r="N32" s="4106" t="n"/>
      <c r="O32" s="4107" t="n"/>
      <c r="P32" s="4106" t="n"/>
      <c r="R32" s="2378" t="inlineStr">
        <is>
          <t>府</t>
        </is>
      </c>
      <c r="S32" s="2378" t="inlineStr">
        <is>
          <t>県</t>
        </is>
      </c>
      <c r="W32" s="2378" t="inlineStr">
        <is>
          <t>市</t>
        </is>
      </c>
      <c r="AH32" s="4109" t="n"/>
    </row>
    <row r="33" ht="3.75" customHeight="1" s="4080">
      <c r="A33" s="4114" t="n"/>
      <c r="B33" s="4104" t="n"/>
      <c r="C33" s="4102" t="n"/>
      <c r="D33" s="4103" t="n"/>
      <c r="E33" s="4104" t="n"/>
      <c r="F33" s="4102" t="n"/>
      <c r="G33" s="4103" t="n"/>
      <c r="H33" s="4103" t="n"/>
      <c r="I33" s="4215" t="n"/>
      <c r="J33" s="4216" t="n"/>
      <c r="K33" s="4103" t="n"/>
      <c r="L33" s="4103" t="n"/>
      <c r="M33" s="4104" t="n"/>
      <c r="N33" s="4102" t="n"/>
      <c r="O33" s="4104" t="n"/>
      <c r="P33" s="4102" t="n"/>
      <c r="Q33" s="4103" t="n"/>
      <c r="R33" s="2378" t="n"/>
      <c r="S33" s="2378" t="n"/>
      <c r="T33" s="4103" t="n"/>
      <c r="U33" s="4103" t="n"/>
      <c r="V33" s="4103" t="n"/>
      <c r="W33" s="63" t="n"/>
      <c r="X33" s="4103" t="n"/>
      <c r="Y33" s="4103" t="n"/>
      <c r="Z33" s="4103" t="n"/>
      <c r="AA33" s="4103" t="n"/>
      <c r="AB33" s="4103" t="n"/>
      <c r="AC33" s="4103" t="n"/>
      <c r="AD33" s="4103" t="n"/>
      <c r="AE33" s="4103" t="n"/>
      <c r="AF33" s="4103" t="n"/>
      <c r="AG33" s="4103" t="n"/>
      <c r="AH33" s="4105" t="n"/>
    </row>
    <row r="34" ht="15.95" customHeight="1" s="4080">
      <c r="A34" s="4463" t="inlineStr">
        <is>
          <t>職　員　の　職　種　・　員　数</t>
        </is>
      </c>
      <c r="B34" s="4099" t="n"/>
      <c r="C34" s="4272" t="inlineStr">
        <is>
          <t xml:space="preserve">　　　　　　職種・勤務形態
常勤・非常勤の別</t>
        </is>
      </c>
      <c r="D34" s="4098" t="n"/>
      <c r="E34" s="4098" t="n"/>
      <c r="F34" s="4098" t="n"/>
      <c r="G34" s="4098" t="n"/>
      <c r="H34" s="4098" t="n"/>
      <c r="I34" s="4098" t="n"/>
      <c r="J34" s="4099" t="n"/>
      <c r="K34" s="4185" t="inlineStr">
        <is>
          <t>サービス管理責任者</t>
        </is>
      </c>
      <c r="L34" s="4110" t="n"/>
      <c r="M34" s="4110" t="n"/>
      <c r="N34" s="4110" t="n"/>
      <c r="O34" s="4110" t="n"/>
      <c r="P34" s="4111" t="n"/>
      <c r="Q34" s="4185" t="inlineStr">
        <is>
          <t>生活支援員（通所）</t>
        </is>
      </c>
      <c r="R34" s="4110" t="n"/>
      <c r="S34" s="4110" t="n"/>
      <c r="T34" s="4110" t="n"/>
      <c r="U34" s="4110" t="n"/>
      <c r="V34" s="4111" t="n"/>
      <c r="W34" s="4185" t="inlineStr">
        <is>
          <t>生活支援員（訪問）</t>
        </is>
      </c>
      <c r="X34" s="4110" t="n"/>
      <c r="Y34" s="4110" t="n"/>
      <c r="Z34" s="4110" t="n"/>
      <c r="AA34" s="4110" t="n"/>
      <c r="AB34" s="4111" t="n"/>
      <c r="AC34" s="4326" t="n"/>
      <c r="AD34" s="4098" t="n"/>
      <c r="AE34" s="4098" t="n"/>
      <c r="AF34" s="4098" t="n"/>
      <c r="AG34" s="4098" t="n"/>
      <c r="AH34" s="4101" t="n"/>
    </row>
    <row r="35" ht="15.95" customHeight="1" s="4080">
      <c r="A35" s="4097" t="n"/>
      <c r="B35" s="4107" t="n"/>
      <c r="C35" s="4102" t="n"/>
      <c r="D35" s="4103" t="n"/>
      <c r="E35" s="4103" t="n"/>
      <c r="F35" s="4103" t="n"/>
      <c r="G35" s="4103" t="n"/>
      <c r="H35" s="4103" t="n"/>
      <c r="I35" s="4103" t="n"/>
      <c r="J35" s="4104" t="n"/>
      <c r="K35" s="1617" t="inlineStr">
        <is>
          <t>専従</t>
        </is>
      </c>
      <c r="L35" s="4110" t="n"/>
      <c r="M35" s="4189" t="n"/>
      <c r="N35" s="1603" t="inlineStr">
        <is>
          <t>兼務</t>
        </is>
      </c>
      <c r="O35" s="4110" t="n"/>
      <c r="P35" s="4189" t="n"/>
      <c r="Q35" s="1617" t="inlineStr">
        <is>
          <t>専従</t>
        </is>
      </c>
      <c r="R35" s="4110" t="n"/>
      <c r="S35" s="4189" t="n"/>
      <c r="T35" s="1603" t="inlineStr">
        <is>
          <t>兼務</t>
        </is>
      </c>
      <c r="U35" s="4110" t="n"/>
      <c r="V35" s="4189" t="n"/>
      <c r="W35" s="1617" t="inlineStr">
        <is>
          <t>専従</t>
        </is>
      </c>
      <c r="X35" s="4110" t="n"/>
      <c r="Y35" s="4189" t="n"/>
      <c r="Z35" s="1603" t="inlineStr">
        <is>
          <t>兼務</t>
        </is>
      </c>
      <c r="AA35" s="4110" t="n"/>
      <c r="AB35" s="4189" t="n"/>
      <c r="AC35" s="1617" t="inlineStr">
        <is>
          <t>専従</t>
        </is>
      </c>
      <c r="AD35" s="4110" t="n"/>
      <c r="AE35" s="4189" t="n"/>
      <c r="AF35" s="1603" t="inlineStr">
        <is>
          <t>兼務</t>
        </is>
      </c>
      <c r="AG35" s="4110" t="n"/>
      <c r="AH35" s="4189" t="n"/>
    </row>
    <row r="36" ht="15" customHeight="1" s="4080">
      <c r="A36" s="4097" t="n"/>
      <c r="B36" s="4107" t="n"/>
      <c r="C36" s="1268" t="inlineStr">
        <is>
          <t>常　　　　　勤（人）</t>
        </is>
      </c>
      <c r="D36" s="4110" t="n"/>
      <c r="E36" s="4110" t="n"/>
      <c r="F36" s="4110" t="n"/>
      <c r="G36" s="4110" t="n"/>
      <c r="H36" s="4110" t="n"/>
      <c r="I36" s="4110" t="n"/>
      <c r="J36" s="4111" t="n"/>
      <c r="K36" s="4275" t="n"/>
      <c r="L36" s="4110" t="n"/>
      <c r="M36" s="4189" t="n"/>
      <c r="N36" s="4276" t="n"/>
      <c r="O36" s="4110" t="n"/>
      <c r="P36" s="4189" t="n"/>
      <c r="Q36" s="4275" t="n"/>
      <c r="R36" s="4110" t="n"/>
      <c r="S36" s="4189" t="n"/>
      <c r="T36" s="4276" t="n"/>
      <c r="U36" s="4110" t="n"/>
      <c r="V36" s="4189" t="n"/>
      <c r="W36" s="4275" t="n"/>
      <c r="X36" s="4110" t="n"/>
      <c r="Y36" s="4189" t="n"/>
      <c r="Z36" s="4276" t="n"/>
      <c r="AA36" s="4110" t="n"/>
      <c r="AB36" s="4189" t="n"/>
      <c r="AC36" s="4275" t="n"/>
      <c r="AD36" s="4110" t="n"/>
      <c r="AE36" s="4189" t="n"/>
      <c r="AF36" s="4276" t="n"/>
      <c r="AG36" s="4110" t="n"/>
      <c r="AH36" s="4189" t="n"/>
    </row>
    <row r="37" ht="15" customHeight="1" s="4080">
      <c r="A37" s="4097" t="n"/>
      <c r="B37" s="4107" t="n"/>
      <c r="C37" s="1286" t="inlineStr">
        <is>
          <t>非　　常　　勤（人）</t>
        </is>
      </c>
      <c r="D37" s="4103" t="n"/>
      <c r="E37" s="4103" t="n"/>
      <c r="F37" s="4103" t="n"/>
      <c r="G37" s="4103" t="n"/>
      <c r="H37" s="4103" t="n"/>
      <c r="I37" s="4103" t="n"/>
      <c r="J37" s="4104" t="n"/>
      <c r="K37" s="4275" t="n"/>
      <c r="L37" s="4110" t="n"/>
      <c r="M37" s="4189" t="n"/>
      <c r="N37" s="4276" t="n"/>
      <c r="O37" s="4110" t="n"/>
      <c r="P37" s="4189" t="n"/>
      <c r="Q37" s="4275" t="n"/>
      <c r="R37" s="4110" t="n"/>
      <c r="S37" s="4189" t="n"/>
      <c r="T37" s="4276" t="n"/>
      <c r="U37" s="4110" t="n"/>
      <c r="V37" s="4189" t="n"/>
      <c r="W37" s="4275" t="n"/>
      <c r="X37" s="4110" t="n"/>
      <c r="Y37" s="4189" t="n"/>
      <c r="Z37" s="4276" t="n"/>
      <c r="AA37" s="4110" t="n"/>
      <c r="AB37" s="4189" t="n"/>
      <c r="AC37" s="4275" t="n"/>
      <c r="AD37" s="4110" t="n"/>
      <c r="AE37" s="4189" t="n"/>
      <c r="AF37" s="4276" t="n"/>
      <c r="AG37" s="4110" t="n"/>
      <c r="AH37" s="4189" t="n"/>
    </row>
    <row r="38" ht="15" customHeight="1" s="4080">
      <c r="A38" s="4097" t="n"/>
      <c r="B38" s="4107" t="n"/>
      <c r="C38" s="1268" t="inlineStr">
        <is>
          <t>常勤換算後の人数（人）</t>
        </is>
      </c>
      <c r="D38" s="4110" t="n"/>
      <c r="E38" s="4110" t="n"/>
      <c r="F38" s="4110" t="n"/>
      <c r="G38" s="4110" t="n"/>
      <c r="H38" s="4110" t="n"/>
      <c r="I38" s="4110" t="n"/>
      <c r="J38" s="4111" t="n"/>
      <c r="K38" s="4464" t="n"/>
      <c r="L38" s="4110" t="n"/>
      <c r="M38" s="4110" t="n"/>
      <c r="N38" s="4110" t="n"/>
      <c r="O38" s="4110" t="n"/>
      <c r="P38" s="4111" t="n"/>
      <c r="Q38" s="4464" t="n"/>
      <c r="R38" s="4110" t="n"/>
      <c r="S38" s="4110" t="n"/>
      <c r="T38" s="4110" t="n"/>
      <c r="U38" s="4110" t="n"/>
      <c r="V38" s="4111" t="n"/>
      <c r="W38" s="4464" t="n"/>
      <c r="X38" s="4110" t="n"/>
      <c r="Y38" s="4110" t="n"/>
      <c r="Z38" s="4110" t="n"/>
      <c r="AA38" s="4110" t="n"/>
      <c r="AB38" s="4111" t="n"/>
      <c r="AC38" s="4465" t="n"/>
      <c r="AD38" s="4110" t="n"/>
      <c r="AE38" s="4110" t="n"/>
      <c r="AF38" s="4110" t="n"/>
      <c r="AG38" s="4110" t="n"/>
      <c r="AH38" s="4113" t="n"/>
    </row>
    <row r="39" ht="15.95" customHeight="1" s="4080">
      <c r="A39" s="4097" t="n"/>
      <c r="B39" s="4107" t="n"/>
      <c r="C39" s="4362" t="inlineStr">
        <is>
          <t xml:space="preserve">　　　　　　　　　職種・勤務形態
常勤・非常勤の別</t>
        </is>
      </c>
      <c r="D39" s="4098" t="n"/>
      <c r="E39" s="4098" t="n"/>
      <c r="F39" s="4098" t="n"/>
      <c r="G39" s="4098" t="n"/>
      <c r="H39" s="4098" t="n"/>
      <c r="I39" s="4098" t="n"/>
      <c r="J39" s="4099" t="n"/>
      <c r="K39" s="4441" t="inlineStr">
        <is>
          <t>看　　　　　護　　　　　職　　　　　員</t>
        </is>
      </c>
      <c r="L39" s="4110" t="n"/>
      <c r="M39" s="4110" t="n"/>
      <c r="N39" s="4110" t="n"/>
      <c r="O39" s="4110" t="n"/>
      <c r="P39" s="4110" t="n"/>
      <c r="Q39" s="4110" t="n"/>
      <c r="R39" s="4110" t="n"/>
      <c r="S39" s="4110" t="n"/>
      <c r="T39" s="4110" t="n"/>
      <c r="U39" s="4110" t="n"/>
      <c r="V39" s="4110" t="n"/>
      <c r="W39" s="4110" t="n"/>
      <c r="X39" s="4110" t="n"/>
      <c r="Y39" s="4110" t="n"/>
      <c r="Z39" s="4110" t="n"/>
      <c r="AA39" s="4110" t="n"/>
      <c r="AB39" s="4110" t="n"/>
      <c r="AC39" s="4110" t="n"/>
      <c r="AD39" s="4110" t="n"/>
      <c r="AE39" s="4110" t="n"/>
      <c r="AF39" s="4110" t="n"/>
      <c r="AG39" s="4110" t="n"/>
      <c r="AH39" s="4113" t="n"/>
    </row>
    <row r="40" ht="15.95" customHeight="1" s="4080">
      <c r="A40" s="4097" t="n"/>
      <c r="B40" s="4107" t="n"/>
      <c r="C40" s="4106" t="n"/>
      <c r="J40" s="4107" t="n"/>
      <c r="K40" s="4440" t="inlineStr">
        <is>
          <t>保　健　師</t>
        </is>
      </c>
      <c r="L40" s="4110" t="n"/>
      <c r="M40" s="4110" t="n"/>
      <c r="N40" s="4110" t="n"/>
      <c r="O40" s="4110" t="n"/>
      <c r="P40" s="4111" t="n"/>
      <c r="Q40" s="4440" t="inlineStr">
        <is>
          <t>看　護　師</t>
        </is>
      </c>
      <c r="R40" s="4110" t="n"/>
      <c r="S40" s="4110" t="n"/>
      <c r="T40" s="4110" t="n"/>
      <c r="U40" s="4110" t="n"/>
      <c r="V40" s="4111" t="n"/>
      <c r="W40" s="4440" t="inlineStr">
        <is>
          <t>准看護師</t>
        </is>
      </c>
      <c r="X40" s="4110" t="n"/>
      <c r="Y40" s="4110" t="n"/>
      <c r="Z40" s="4110" t="n"/>
      <c r="AA40" s="4110" t="n"/>
      <c r="AB40" s="4111" t="n"/>
      <c r="AC40" s="4441" t="inlineStr">
        <is>
          <t>看護職員計</t>
        </is>
      </c>
      <c r="AD40" s="4110" t="n"/>
      <c r="AE40" s="4110" t="n"/>
      <c r="AF40" s="4110" t="n"/>
      <c r="AG40" s="4110" t="n"/>
      <c r="AH40" s="4113" t="n"/>
    </row>
    <row r="41" ht="15.95" customHeight="1" s="4080">
      <c r="A41" s="4097" t="n"/>
      <c r="B41" s="4107" t="n"/>
      <c r="C41" s="4102" t="n"/>
      <c r="D41" s="4103" t="n"/>
      <c r="E41" s="4103" t="n"/>
      <c r="F41" s="4103" t="n"/>
      <c r="G41" s="4103" t="n"/>
      <c r="H41" s="4103" t="n"/>
      <c r="I41" s="4103" t="n"/>
      <c r="J41" s="4104" t="n"/>
      <c r="K41" s="1617" t="inlineStr">
        <is>
          <t>専従</t>
        </is>
      </c>
      <c r="L41" s="4110" t="n"/>
      <c r="M41" s="4189" t="n"/>
      <c r="N41" s="1603" t="inlineStr">
        <is>
          <t>兼務</t>
        </is>
      </c>
      <c r="O41" s="4110" t="n"/>
      <c r="P41" s="4189" t="n"/>
      <c r="Q41" s="1617" t="inlineStr">
        <is>
          <t>専従</t>
        </is>
      </c>
      <c r="R41" s="4110" t="n"/>
      <c r="S41" s="4189" t="n"/>
      <c r="T41" s="1603" t="inlineStr">
        <is>
          <t>兼務</t>
        </is>
      </c>
      <c r="U41" s="4110" t="n"/>
      <c r="V41" s="4189" t="n"/>
      <c r="W41" s="1617" t="inlineStr">
        <is>
          <t>専従</t>
        </is>
      </c>
      <c r="X41" s="4110" t="n"/>
      <c r="Y41" s="4189" t="n"/>
      <c r="Z41" s="1603" t="inlineStr">
        <is>
          <t>兼務</t>
        </is>
      </c>
      <c r="AA41" s="4110" t="n"/>
      <c r="AB41" s="4189" t="n"/>
      <c r="AC41" s="1617" t="inlineStr">
        <is>
          <t>専従</t>
        </is>
      </c>
      <c r="AD41" s="4110" t="n"/>
      <c r="AE41" s="4189" t="n"/>
      <c r="AF41" s="1603" t="inlineStr">
        <is>
          <t>兼務</t>
        </is>
      </c>
      <c r="AG41" s="4110" t="n"/>
      <c r="AH41" s="4189" t="n"/>
    </row>
    <row r="42" ht="15" customHeight="1" s="4080">
      <c r="A42" s="4097" t="n"/>
      <c r="B42" s="4107" t="n"/>
      <c r="C42" s="1268" t="inlineStr">
        <is>
          <t>常　　　　　勤（人）</t>
        </is>
      </c>
      <c r="D42" s="4110" t="n"/>
      <c r="E42" s="4110" t="n"/>
      <c r="F42" s="4110" t="n"/>
      <c r="G42" s="4110" t="n"/>
      <c r="H42" s="4110" t="n"/>
      <c r="I42" s="4110" t="n"/>
      <c r="J42" s="4111" t="n"/>
      <c r="K42" s="4275" t="n"/>
      <c r="L42" s="4110" t="n"/>
      <c r="M42" s="4189" t="n"/>
      <c r="N42" s="4466" t="n"/>
      <c r="O42" s="4110" t="n"/>
      <c r="P42" s="4111" t="n"/>
      <c r="Q42" s="4275" t="n"/>
      <c r="R42" s="4110" t="n"/>
      <c r="S42" s="4189" t="n"/>
      <c r="T42" s="4466" t="n"/>
      <c r="U42" s="4110" t="n"/>
      <c r="V42" s="4111" t="n"/>
      <c r="W42" s="4275" t="n"/>
      <c r="X42" s="4110" t="n"/>
      <c r="Y42" s="4189" t="n"/>
      <c r="Z42" s="4466" t="n"/>
      <c r="AA42" s="4110" t="n"/>
      <c r="AB42" s="4111" t="n"/>
      <c r="AC42" s="4275">
        <f>+W42+Q42+K42</f>
        <v/>
      </c>
      <c r="AD42" s="4110" t="n"/>
      <c r="AE42" s="4189" t="n"/>
      <c r="AF42" s="4467">
        <f>+Z42+T42+N42</f>
        <v/>
      </c>
      <c r="AG42" s="4110" t="n"/>
      <c r="AH42" s="4113" t="n"/>
    </row>
    <row r="43" ht="15" customHeight="1" s="4080">
      <c r="A43" s="4097" t="n"/>
      <c r="B43" s="4107" t="n"/>
      <c r="C43" s="1286" t="inlineStr">
        <is>
          <t>非　　常　　勤（人）</t>
        </is>
      </c>
      <c r="D43" s="4103" t="n"/>
      <c r="E43" s="4103" t="n"/>
      <c r="F43" s="4103" t="n"/>
      <c r="G43" s="4103" t="n"/>
      <c r="H43" s="4103" t="n"/>
      <c r="I43" s="4103" t="n"/>
      <c r="J43" s="4104" t="n"/>
      <c r="K43" s="4275" t="n"/>
      <c r="L43" s="4110" t="n"/>
      <c r="M43" s="4189" t="n"/>
      <c r="N43" s="4466" t="n"/>
      <c r="O43" s="4110" t="n"/>
      <c r="P43" s="4111" t="n"/>
      <c r="Q43" s="4275" t="n"/>
      <c r="R43" s="4110" t="n"/>
      <c r="S43" s="4189" t="n"/>
      <c r="T43" s="4466" t="n"/>
      <c r="U43" s="4110" t="n"/>
      <c r="V43" s="4111" t="n"/>
      <c r="W43" s="4275" t="n"/>
      <c r="X43" s="4110" t="n"/>
      <c r="Y43" s="4189" t="n"/>
      <c r="Z43" s="4466" t="n"/>
      <c r="AA43" s="4110" t="n"/>
      <c r="AB43" s="4111" t="n"/>
      <c r="AC43" s="4275">
        <f>+W43+Q43+K43</f>
        <v/>
      </c>
      <c r="AD43" s="4110" t="n"/>
      <c r="AE43" s="4189" t="n"/>
      <c r="AF43" s="4467">
        <f>+Z43+T43+N43</f>
        <v/>
      </c>
      <c r="AG43" s="4110" t="n"/>
      <c r="AH43" s="4113" t="n"/>
    </row>
    <row r="44" ht="15" customHeight="1" s="4080">
      <c r="A44" s="4097" t="n"/>
      <c r="B44" s="4107" t="n"/>
      <c r="C44" s="1268" t="inlineStr">
        <is>
          <t>常勤換算後の人数（人）</t>
        </is>
      </c>
      <c r="D44" s="4110" t="n"/>
      <c r="E44" s="4110" t="n"/>
      <c r="F44" s="4110" t="n"/>
      <c r="G44" s="4110" t="n"/>
      <c r="H44" s="4110" t="n"/>
      <c r="I44" s="4110" t="n"/>
      <c r="J44" s="4111" t="n"/>
      <c r="K44" s="4468" t="n"/>
      <c r="L44" s="4110" t="n"/>
      <c r="M44" s="4110" t="n"/>
      <c r="N44" s="4110" t="n"/>
      <c r="O44" s="4110" t="n"/>
      <c r="P44" s="4111" t="n"/>
      <c r="Q44" s="4468" t="n"/>
      <c r="R44" s="4110" t="n"/>
      <c r="S44" s="4110" t="n"/>
      <c r="T44" s="4110" t="n"/>
      <c r="U44" s="4110" t="n"/>
      <c r="V44" s="4111" t="n"/>
      <c r="W44" s="4468" t="n"/>
      <c r="X44" s="4110" t="n"/>
      <c r="Y44" s="4110" t="n"/>
      <c r="Z44" s="4110" t="n"/>
      <c r="AA44" s="4110" t="n"/>
      <c r="AB44" s="4111" t="n"/>
      <c r="AC44" s="4469" t="n"/>
      <c r="AD44" s="4110" t="n"/>
      <c r="AE44" s="4110" t="n"/>
      <c r="AF44" s="4110" t="n"/>
      <c r="AG44" s="4110" t="n"/>
      <c r="AH44" s="4113" t="n"/>
    </row>
    <row r="45" ht="15.95" customHeight="1" s="4080">
      <c r="A45" s="4097" t="n"/>
      <c r="B45" s="4107" t="n"/>
      <c r="C45" s="4362" t="inlineStr">
        <is>
          <t xml:space="preserve">　　　　　　　　　職種・勤務形態
常勤・非常勤の別</t>
        </is>
      </c>
      <c r="D45" s="4098" t="n"/>
      <c r="E45" s="4098" t="n"/>
      <c r="F45" s="4098" t="n"/>
      <c r="G45" s="4098" t="n"/>
      <c r="H45" s="4098" t="n"/>
      <c r="I45" s="4098" t="n"/>
      <c r="J45" s="4099" t="n"/>
      <c r="K45" s="4441" t="inlineStr">
        <is>
          <t>理　　　　学　　　　療　　　　法　　　　士　　　　等</t>
        </is>
      </c>
      <c r="L45" s="4110" t="n"/>
      <c r="M45" s="4110" t="n"/>
      <c r="N45" s="4110" t="n"/>
      <c r="O45" s="4110" t="n"/>
      <c r="P45" s="4110" t="n"/>
      <c r="Q45" s="4110" t="n"/>
      <c r="R45" s="4110" t="n"/>
      <c r="S45" s="4110" t="n"/>
      <c r="T45" s="4110" t="n"/>
      <c r="U45" s="4110" t="n"/>
      <c r="V45" s="4110" t="n"/>
      <c r="W45" s="4110" t="n"/>
      <c r="X45" s="4110" t="n"/>
      <c r="Y45" s="4110" t="n"/>
      <c r="Z45" s="4110" t="n"/>
      <c r="AA45" s="4110" t="n"/>
      <c r="AB45" s="4110" t="n"/>
      <c r="AC45" s="4110" t="n"/>
      <c r="AD45" s="4110" t="n"/>
      <c r="AE45" s="4110" t="n"/>
      <c r="AF45" s="4110" t="n"/>
      <c r="AG45" s="4110" t="n"/>
      <c r="AH45" s="4113" t="n"/>
    </row>
    <row r="46" ht="15.95" customHeight="1" s="4080">
      <c r="A46" s="4097" t="n"/>
      <c r="B46" s="4107" t="n"/>
      <c r="C46" s="4106" t="n"/>
      <c r="J46" s="4107" t="n"/>
      <c r="K46" s="4449" t="inlineStr">
        <is>
          <t>理学療法士</t>
        </is>
      </c>
      <c r="L46" s="4110" t="n"/>
      <c r="M46" s="4110" t="n"/>
      <c r="N46" s="4110" t="n"/>
      <c r="O46" s="4110" t="n"/>
      <c r="P46" s="4111" t="n"/>
      <c r="Q46" s="4449" t="inlineStr">
        <is>
          <t>作業療法士</t>
        </is>
      </c>
      <c r="R46" s="4110" t="n"/>
      <c r="S46" s="4110" t="n"/>
      <c r="T46" s="4110" t="n"/>
      <c r="U46" s="4110" t="n"/>
      <c r="V46" s="4111" t="n"/>
      <c r="W46" s="4449" t="inlineStr">
        <is>
          <t>機能訓練指導員</t>
        </is>
      </c>
      <c r="X46" s="4110" t="n"/>
      <c r="Y46" s="4110" t="n"/>
      <c r="Z46" s="4110" t="n"/>
      <c r="AA46" s="4110" t="n"/>
      <c r="AB46" s="4111" t="n"/>
      <c r="AC46" s="4363" t="inlineStr">
        <is>
          <t>歩行訓練士</t>
        </is>
      </c>
      <c r="AD46" s="4110" t="n"/>
      <c r="AE46" s="4110" t="n"/>
      <c r="AF46" s="4110" t="n"/>
      <c r="AG46" s="4110" t="n"/>
      <c r="AH46" s="4113" t="n"/>
    </row>
    <row r="47" ht="15.95" customHeight="1" s="4080">
      <c r="A47" s="4097" t="n"/>
      <c r="B47" s="4107" t="n"/>
      <c r="C47" s="4102" t="n"/>
      <c r="D47" s="4103" t="n"/>
      <c r="E47" s="4103" t="n"/>
      <c r="F47" s="4103" t="n"/>
      <c r="G47" s="4103" t="n"/>
      <c r="H47" s="4103" t="n"/>
      <c r="I47" s="4103" t="n"/>
      <c r="J47" s="4104" t="n"/>
      <c r="K47" s="1617" t="inlineStr">
        <is>
          <t>専従</t>
        </is>
      </c>
      <c r="L47" s="4110" t="n"/>
      <c r="M47" s="4189" t="n"/>
      <c r="N47" s="1603" t="inlineStr">
        <is>
          <t>兼務</t>
        </is>
      </c>
      <c r="O47" s="4110" t="n"/>
      <c r="P47" s="4189" t="n"/>
      <c r="Q47" s="1617" t="inlineStr">
        <is>
          <t>専従</t>
        </is>
      </c>
      <c r="R47" s="4110" t="n"/>
      <c r="S47" s="4189" t="n"/>
      <c r="T47" s="1603" t="inlineStr">
        <is>
          <t>兼務</t>
        </is>
      </c>
      <c r="U47" s="4110" t="n"/>
      <c r="V47" s="4189" t="n"/>
      <c r="W47" s="1617" t="inlineStr">
        <is>
          <t>専従</t>
        </is>
      </c>
      <c r="X47" s="4110" t="n"/>
      <c r="Y47" s="4189" t="n"/>
      <c r="Z47" s="1603" t="inlineStr">
        <is>
          <t>兼務</t>
        </is>
      </c>
      <c r="AA47" s="4110" t="n"/>
      <c r="AB47" s="4189" t="n"/>
      <c r="AC47" s="1617" t="inlineStr">
        <is>
          <t>専従</t>
        </is>
      </c>
      <c r="AD47" s="4110" t="n"/>
      <c r="AE47" s="4189" t="n"/>
      <c r="AF47" s="1603" t="inlineStr">
        <is>
          <t>兼務</t>
        </is>
      </c>
      <c r="AG47" s="4110" t="n"/>
      <c r="AH47" s="4189" t="n"/>
    </row>
    <row r="48" ht="15" customHeight="1" s="4080">
      <c r="A48" s="4097" t="n"/>
      <c r="B48" s="4107" t="n"/>
      <c r="C48" s="1268" t="inlineStr">
        <is>
          <t>常　　　　　勤（人）</t>
        </is>
      </c>
      <c r="D48" s="4110" t="n"/>
      <c r="E48" s="4110" t="n"/>
      <c r="F48" s="4110" t="n"/>
      <c r="G48" s="4110" t="n"/>
      <c r="H48" s="4110" t="n"/>
      <c r="I48" s="4110" t="n"/>
      <c r="J48" s="4111" t="n"/>
      <c r="K48" s="4275" t="n"/>
      <c r="L48" s="4110" t="n"/>
      <c r="M48" s="4189" t="n"/>
      <c r="N48" s="4276" t="n"/>
      <c r="O48" s="4110" t="n"/>
      <c r="P48" s="4189" t="n"/>
      <c r="Q48" s="4275" t="n"/>
      <c r="R48" s="4110" t="n"/>
      <c r="S48" s="4189" t="n"/>
      <c r="T48" s="4276" t="n"/>
      <c r="U48" s="4110" t="n"/>
      <c r="V48" s="4189" t="n"/>
      <c r="W48" s="4275" t="n"/>
      <c r="X48" s="4110" t="n"/>
      <c r="Y48" s="4189" t="n"/>
      <c r="Z48" s="4276" t="n"/>
      <c r="AA48" s="4110" t="n"/>
      <c r="AB48" s="4189" t="n"/>
      <c r="AC48" s="4275" t="n"/>
      <c r="AD48" s="4110" t="n"/>
      <c r="AE48" s="4189" t="n"/>
      <c r="AF48" s="4276" t="n"/>
      <c r="AG48" s="4110" t="n"/>
      <c r="AH48" s="4189" t="n"/>
    </row>
    <row r="49" ht="15" customHeight="1" s="4080">
      <c r="A49" s="4097" t="n"/>
      <c r="B49" s="4107" t="n"/>
      <c r="C49" s="1286" t="inlineStr">
        <is>
          <t>非　　常　　勤（人）</t>
        </is>
      </c>
      <c r="D49" s="4103" t="n"/>
      <c r="E49" s="4103" t="n"/>
      <c r="F49" s="4103" t="n"/>
      <c r="G49" s="4103" t="n"/>
      <c r="H49" s="4103" t="n"/>
      <c r="I49" s="4103" t="n"/>
      <c r="J49" s="4104" t="n"/>
      <c r="K49" s="4275" t="n"/>
      <c r="L49" s="4110" t="n"/>
      <c r="M49" s="4189" t="n"/>
      <c r="N49" s="4276" t="n"/>
      <c r="O49" s="4110" t="n"/>
      <c r="P49" s="4189" t="n"/>
      <c r="Q49" s="4275" t="n"/>
      <c r="R49" s="4110" t="n"/>
      <c r="S49" s="4189" t="n"/>
      <c r="T49" s="4276" t="n"/>
      <c r="U49" s="4110" t="n"/>
      <c r="V49" s="4189" t="n"/>
      <c r="W49" s="4275" t="n"/>
      <c r="X49" s="4110" t="n"/>
      <c r="Y49" s="4189" t="n"/>
      <c r="Z49" s="4276" t="n"/>
      <c r="AA49" s="4110" t="n"/>
      <c r="AB49" s="4189" t="n"/>
      <c r="AC49" s="4275" t="n"/>
      <c r="AD49" s="4110" t="n"/>
      <c r="AE49" s="4189" t="n"/>
      <c r="AF49" s="4276" t="n"/>
      <c r="AG49" s="4110" t="n"/>
      <c r="AH49" s="4189" t="n"/>
    </row>
    <row r="50" ht="15" customHeight="1" s="4080">
      <c r="A50" s="4097" t="n"/>
      <c r="B50" s="4107" t="n"/>
      <c r="C50" s="1268" t="inlineStr">
        <is>
          <t>常勤換算後の人数（人）</t>
        </is>
      </c>
      <c r="D50" s="4110" t="n"/>
      <c r="E50" s="4110" t="n"/>
      <c r="F50" s="4110" t="n"/>
      <c r="G50" s="4110" t="n"/>
      <c r="H50" s="4110" t="n"/>
      <c r="I50" s="4110" t="n"/>
      <c r="J50" s="4111" t="n"/>
      <c r="K50" s="4464" t="n"/>
      <c r="L50" s="4110" t="n"/>
      <c r="M50" s="4110" t="n"/>
      <c r="N50" s="4110" t="n"/>
      <c r="O50" s="4110" t="n"/>
      <c r="P50" s="4111" t="n"/>
      <c r="Q50" s="4464" t="n"/>
      <c r="R50" s="4110" t="n"/>
      <c r="S50" s="4110" t="n"/>
      <c r="T50" s="4110" t="n"/>
      <c r="U50" s="4110" t="n"/>
      <c r="V50" s="4111" t="n"/>
      <c r="W50" s="4464" t="n"/>
      <c r="X50" s="4110" t="n"/>
      <c r="Y50" s="4110" t="n"/>
      <c r="Z50" s="4110" t="n"/>
      <c r="AA50" s="4110" t="n"/>
      <c r="AB50" s="4111" t="n"/>
      <c r="AC50" s="4465" t="n"/>
      <c r="AD50" s="4110" t="n"/>
      <c r="AE50" s="4110" t="n"/>
      <c r="AF50" s="4110" t="n"/>
      <c r="AG50" s="4110" t="n"/>
      <c r="AH50" s="4113" t="n"/>
    </row>
    <row r="51" ht="15.95" customHeight="1" s="4080">
      <c r="A51" s="4097" t="n"/>
      <c r="B51" s="4107" t="n"/>
      <c r="C51" s="4272" t="inlineStr">
        <is>
          <t xml:space="preserve">　　　　　　職種・勤務形態
常勤・非常勤の別</t>
        </is>
      </c>
      <c r="D51" s="4098" t="n"/>
      <c r="E51" s="4098" t="n"/>
      <c r="F51" s="4098" t="n"/>
      <c r="G51" s="4098" t="n"/>
      <c r="H51" s="4098" t="n"/>
      <c r="I51" s="4098" t="n"/>
      <c r="J51" s="4099" t="n"/>
      <c r="K51" s="4449" t="inlineStr">
        <is>
          <t>理学療法士等計</t>
        </is>
      </c>
      <c r="L51" s="4110" t="n"/>
      <c r="M51" s="4110" t="n"/>
      <c r="N51" s="4110" t="n"/>
      <c r="O51" s="4110" t="n"/>
      <c r="P51" s="4111" t="n"/>
      <c r="Q51" s="4440" t="n"/>
      <c r="R51" s="4110" t="n"/>
      <c r="S51" s="4110" t="n"/>
      <c r="T51" s="4110" t="n"/>
      <c r="U51" s="4110" t="n"/>
      <c r="V51" s="4111" t="n"/>
      <c r="W51" s="4440" t="n"/>
      <c r="X51" s="4110" t="n"/>
      <c r="Y51" s="4110" t="n"/>
      <c r="Z51" s="4110" t="n"/>
      <c r="AA51" s="4110" t="n"/>
      <c r="AB51" s="4111" t="n"/>
      <c r="AC51" s="4470" t="n"/>
      <c r="AD51" s="4098" t="n"/>
      <c r="AE51" s="4098" t="n"/>
      <c r="AF51" s="4098" t="n"/>
      <c r="AG51" s="4098" t="n"/>
      <c r="AH51" s="4101" t="n"/>
    </row>
    <row r="52" ht="15.95" customHeight="1" s="4080">
      <c r="A52" s="4097" t="n"/>
      <c r="B52" s="4107" t="n"/>
      <c r="C52" s="4102" t="n"/>
      <c r="D52" s="4103" t="n"/>
      <c r="E52" s="4103" t="n"/>
      <c r="F52" s="4103" t="n"/>
      <c r="G52" s="4103" t="n"/>
      <c r="H52" s="4103" t="n"/>
      <c r="I52" s="4103" t="n"/>
      <c r="J52" s="4104" t="n"/>
      <c r="K52" s="1617" t="inlineStr">
        <is>
          <t>専従</t>
        </is>
      </c>
      <c r="L52" s="4110" t="n"/>
      <c r="M52" s="4189" t="n"/>
      <c r="N52" s="1603" t="inlineStr">
        <is>
          <t>兼務</t>
        </is>
      </c>
      <c r="O52" s="4110" t="n"/>
      <c r="P52" s="4189" t="n"/>
      <c r="Q52" s="1617" t="inlineStr">
        <is>
          <t>専従</t>
        </is>
      </c>
      <c r="R52" s="4110" t="n"/>
      <c r="S52" s="4189" t="n"/>
      <c r="T52" s="1603" t="inlineStr">
        <is>
          <t>兼務</t>
        </is>
      </c>
      <c r="U52" s="4110" t="n"/>
      <c r="V52" s="4189" t="n"/>
      <c r="W52" s="1617" t="inlineStr">
        <is>
          <t>専従</t>
        </is>
      </c>
      <c r="X52" s="4110" t="n"/>
      <c r="Y52" s="4189" t="n"/>
      <c r="Z52" s="1603" t="inlineStr">
        <is>
          <t>兼務</t>
        </is>
      </c>
      <c r="AA52" s="4110" t="n"/>
      <c r="AB52" s="4189" t="n"/>
      <c r="AC52" s="1617" t="inlineStr">
        <is>
          <t>専従</t>
        </is>
      </c>
      <c r="AD52" s="4110" t="n"/>
      <c r="AE52" s="4189" t="n"/>
      <c r="AF52" s="1603" t="inlineStr">
        <is>
          <t>兼務</t>
        </is>
      </c>
      <c r="AG52" s="4110" t="n"/>
      <c r="AH52" s="4189" t="n"/>
    </row>
    <row r="53" ht="15" customHeight="1" s="4080">
      <c r="A53" s="4097" t="n"/>
      <c r="B53" s="4107" t="n"/>
      <c r="C53" s="1268" t="inlineStr">
        <is>
          <t>常　　　　　勤（人）</t>
        </is>
      </c>
      <c r="D53" s="4110" t="n"/>
      <c r="E53" s="4110" t="n"/>
      <c r="F53" s="4110" t="n"/>
      <c r="G53" s="4110" t="n"/>
      <c r="H53" s="4110" t="n"/>
      <c r="I53" s="4110" t="n"/>
      <c r="J53" s="4111" t="n"/>
      <c r="K53" s="4275">
        <f>+K48+Q48+W48+AC48</f>
        <v/>
      </c>
      <c r="L53" s="4110" t="n"/>
      <c r="M53" s="4189" t="n"/>
      <c r="N53" s="4276">
        <f>+N48+T48+Z48+AF48</f>
        <v/>
      </c>
      <c r="O53" s="4110" t="n"/>
      <c r="P53" s="4189" t="n"/>
      <c r="Q53" s="4275" t="n"/>
      <c r="R53" s="4110" t="n"/>
      <c r="S53" s="4189" t="n"/>
      <c r="T53" s="4276" t="n"/>
      <c r="U53" s="4110" t="n"/>
      <c r="V53" s="4189" t="n"/>
      <c r="W53" s="4275" t="n"/>
      <c r="X53" s="4110" t="n"/>
      <c r="Y53" s="4189" t="n"/>
      <c r="Z53" s="4276" t="n"/>
      <c r="AA53" s="4110" t="n"/>
      <c r="AB53" s="4189" t="n"/>
      <c r="AC53" s="4275" t="n"/>
      <c r="AD53" s="4110" t="n"/>
      <c r="AE53" s="4189" t="n"/>
      <c r="AF53" s="4276" t="n"/>
      <c r="AG53" s="4110" t="n"/>
      <c r="AH53" s="4189" t="n"/>
    </row>
    <row r="54" ht="15" customHeight="1" s="4080">
      <c r="A54" s="4097" t="n"/>
      <c r="B54" s="4107" t="n"/>
      <c r="C54" s="1286" t="inlineStr">
        <is>
          <t>非　　常　　勤（人）</t>
        </is>
      </c>
      <c r="D54" s="4103" t="n"/>
      <c r="E54" s="4103" t="n"/>
      <c r="F54" s="4103" t="n"/>
      <c r="G54" s="4103" t="n"/>
      <c r="H54" s="4103" t="n"/>
      <c r="I54" s="4103" t="n"/>
      <c r="J54" s="4104" t="n"/>
      <c r="K54" s="4275">
        <f>+K49+Q49+W49+AC49</f>
        <v/>
      </c>
      <c r="L54" s="4110" t="n"/>
      <c r="M54" s="4189" t="n"/>
      <c r="N54" s="4276">
        <f>+N49+T49+Z49+AF49</f>
        <v/>
      </c>
      <c r="O54" s="4110" t="n"/>
      <c r="P54" s="4189" t="n"/>
      <c r="Q54" s="4275" t="n"/>
      <c r="R54" s="4110" t="n"/>
      <c r="S54" s="4189" t="n"/>
      <c r="T54" s="4276" t="n"/>
      <c r="U54" s="4110" t="n"/>
      <c r="V54" s="4189" t="n"/>
      <c r="W54" s="4275" t="n"/>
      <c r="X54" s="4110" t="n"/>
      <c r="Y54" s="4189" t="n"/>
      <c r="Z54" s="4276" t="n"/>
      <c r="AA54" s="4110" t="n"/>
      <c r="AB54" s="4189" t="n"/>
      <c r="AC54" s="4275" t="n"/>
      <c r="AD54" s="4110" t="n"/>
      <c r="AE54" s="4189" t="n"/>
      <c r="AF54" s="4276" t="n"/>
      <c r="AG54" s="4110" t="n"/>
      <c r="AH54" s="4189" t="n"/>
    </row>
    <row r="55" ht="15" customHeight="1" s="4080" thickBot="1">
      <c r="A55" s="4086" t="n"/>
      <c r="B55" s="4410" t="n"/>
      <c r="C55" s="2203" t="inlineStr">
        <is>
          <t>常勤換算後の人数（人）</t>
        </is>
      </c>
      <c r="D55" s="4153" t="n"/>
      <c r="E55" s="4153" t="n"/>
      <c r="F55" s="4153" t="n"/>
      <c r="G55" s="4153" t="n"/>
      <c r="H55" s="4153" t="n"/>
      <c r="I55" s="4153" t="n"/>
      <c r="J55" s="4154" t="n"/>
      <c r="K55" s="4471" t="n"/>
      <c r="L55" s="4153" t="n"/>
      <c r="M55" s="4153" t="n"/>
      <c r="N55" s="4153" t="n"/>
      <c r="O55" s="4153" t="n"/>
      <c r="P55" s="4154" t="n"/>
      <c r="Q55" s="4471" t="n"/>
      <c r="R55" s="4153" t="n"/>
      <c r="S55" s="4153" t="n"/>
      <c r="T55" s="4153" t="n"/>
      <c r="U55" s="4153" t="n"/>
      <c r="V55" s="4154" t="n"/>
      <c r="W55" s="4471" t="n"/>
      <c r="X55" s="4153" t="n"/>
      <c r="Y55" s="4153" t="n"/>
      <c r="Z55" s="4153" t="n"/>
      <c r="AA55" s="4153" t="n"/>
      <c r="AB55" s="4154" t="n"/>
      <c r="AC55" s="4472" t="n"/>
      <c r="AD55" s="4153" t="n"/>
      <c r="AE55" s="4153" t="n"/>
      <c r="AF55" s="4153" t="n"/>
      <c r="AG55" s="4153" t="n"/>
      <c r="AH55" s="4155" t="n"/>
    </row>
    <row r="56" ht="3.95" customHeight="1" s="4080">
      <c r="A56" s="4473" t="inlineStr">
        <is>
          <t>訪問による自立訓練の実施の有無</t>
        </is>
      </c>
      <c r="B56" s="4082" t="n"/>
      <c r="C56" s="4082" t="n"/>
      <c r="D56" s="4082" t="n"/>
      <c r="E56" s="4082" t="n"/>
      <c r="F56" s="4082" t="n"/>
      <c r="G56" s="4082" t="n"/>
      <c r="H56" s="4082" t="n"/>
      <c r="I56" s="4082" t="n"/>
      <c r="J56" s="4356" t="n"/>
      <c r="K56" s="248" t="n"/>
      <c r="L56" s="3297" t="n"/>
      <c r="M56" s="3297" t="n"/>
      <c r="N56" s="3297" t="n"/>
      <c r="O56" s="3297" t="n"/>
      <c r="P56" s="3298" t="n"/>
      <c r="Q56" s="4474" t="n"/>
      <c r="R56" s="4082" t="n"/>
      <c r="S56" s="4082" t="n"/>
      <c r="T56" s="4082" t="n"/>
      <c r="U56" s="4082" t="n"/>
      <c r="V56" s="4082" t="n"/>
      <c r="W56" s="4082" t="n"/>
      <c r="X56" s="4082" t="n"/>
      <c r="Y56" s="4082" t="n"/>
      <c r="Z56" s="4082" t="n"/>
      <c r="AA56" s="4082" t="n"/>
      <c r="AB56" s="4082" t="n"/>
      <c r="AC56" s="4082" t="n"/>
      <c r="AD56" s="4082" t="n"/>
      <c r="AE56" s="4082" t="n"/>
      <c r="AF56" s="4082" t="n"/>
      <c r="AG56" s="4082" t="n"/>
      <c r="AH56" s="4083" t="n"/>
    </row>
    <row r="57" ht="15.95" customHeight="1" s="4080">
      <c r="A57" s="4097" t="n"/>
      <c r="J57" s="4107" t="n"/>
      <c r="K57" s="1354" t="n"/>
      <c r="L57" s="1325" t="inlineStr">
        <is>
          <t>無</t>
        </is>
      </c>
      <c r="M57" s="1325" t="inlineStr">
        <is>
          <t>・</t>
        </is>
      </c>
      <c r="O57" s="1325" t="inlineStr">
        <is>
          <t>有</t>
        </is>
      </c>
      <c r="P57" s="1332" t="n"/>
      <c r="Q57" s="4106" t="n"/>
      <c r="AH57" s="4109" t="n"/>
    </row>
    <row r="58" ht="3.95" customHeight="1" s="4080">
      <c r="A58" s="4114" t="n"/>
      <c r="B58" s="4103" t="n"/>
      <c r="C58" s="4103" t="n"/>
      <c r="D58" s="4103" t="n"/>
      <c r="E58" s="4103" t="n"/>
      <c r="F58" s="4103" t="n"/>
      <c r="G58" s="4103" t="n"/>
      <c r="H58" s="4103" t="n"/>
      <c r="I58" s="4103" t="n"/>
      <c r="J58" s="4104" t="n"/>
      <c r="K58" s="1295" t="n"/>
      <c r="L58" s="1327" t="n"/>
      <c r="M58" s="1327" t="n"/>
      <c r="N58" s="1327" t="n"/>
      <c r="O58" s="1327" t="n"/>
      <c r="P58" s="1333" t="n"/>
      <c r="Q58" s="4102" t="n"/>
      <c r="R58" s="4103" t="n"/>
      <c r="S58" s="4103" t="n"/>
      <c r="T58" s="4103" t="n"/>
      <c r="U58" s="4103" t="n"/>
      <c r="V58" s="4103" t="n"/>
      <c r="W58" s="4103" t="n"/>
      <c r="X58" s="4103" t="n"/>
      <c r="Y58" s="4103" t="n"/>
      <c r="Z58" s="4103" t="n"/>
      <c r="AA58" s="4103" t="n"/>
      <c r="AB58" s="4103" t="n"/>
      <c r="AC58" s="4103" t="n"/>
      <c r="AD58" s="4103" t="n"/>
      <c r="AE58" s="4103" t="n"/>
      <c r="AF58" s="4103" t="n"/>
      <c r="AG58" s="4103" t="n"/>
      <c r="AH58" s="4105" t="n"/>
    </row>
    <row r="59" ht="3.95" customHeight="1" s="4080">
      <c r="A59" s="4475" t="inlineStr">
        <is>
          <t>短期入所の実施の有無</t>
        </is>
      </c>
      <c r="B59" s="4098" t="n"/>
      <c r="C59" s="4098" t="n"/>
      <c r="D59" s="4098" t="n"/>
      <c r="E59" s="4098" t="n"/>
      <c r="F59" s="4098" t="n"/>
      <c r="G59" s="4098" t="n"/>
      <c r="H59" s="4098" t="n"/>
      <c r="I59" s="4098" t="n"/>
      <c r="J59" s="4099" t="n"/>
      <c r="K59" s="4332" t="n"/>
      <c r="L59" s="4333" t="n"/>
      <c r="M59" s="4333" t="n"/>
      <c r="N59" s="4333" t="n"/>
      <c r="O59" s="4333" t="n"/>
      <c r="P59" s="4392" t="n"/>
      <c r="Q59" s="4393" t="inlineStr">
        <is>
          <t>短期入所の利用定員</t>
        </is>
      </c>
      <c r="R59" s="4098" t="n"/>
      <c r="S59" s="4098" t="n"/>
      <c r="T59" s="4098" t="n"/>
      <c r="U59" s="4098" t="n"/>
      <c r="V59" s="4099" t="n"/>
      <c r="W59" s="2229" t="n"/>
      <c r="X59" s="4098" t="n"/>
      <c r="Y59" s="4098" t="n"/>
      <c r="Z59" s="4098" t="n"/>
      <c r="AA59" s="4476" t="inlineStr">
        <is>
          <t>名</t>
        </is>
      </c>
      <c r="AB59" s="4099" t="n"/>
      <c r="AC59" s="4477" t="n"/>
      <c r="AD59" s="4098" t="n"/>
      <c r="AE59" s="4098" t="n"/>
      <c r="AF59" s="4098" t="n"/>
      <c r="AG59" s="4098" t="n"/>
      <c r="AH59" s="4101" t="n"/>
    </row>
    <row r="60" ht="14.1" customHeight="1" s="4080">
      <c r="A60" s="4097" t="n"/>
      <c r="J60" s="4107" t="n"/>
      <c r="K60" s="4339" t="n"/>
      <c r="L60" s="4340" t="inlineStr">
        <is>
          <t>有</t>
        </is>
      </c>
      <c r="M60" s="4340" t="inlineStr">
        <is>
          <t>・</t>
        </is>
      </c>
      <c r="O60" s="4340" t="inlineStr">
        <is>
          <t>無</t>
        </is>
      </c>
      <c r="P60" s="4397" t="n"/>
      <c r="Q60" s="4106" t="n"/>
      <c r="V60" s="4107" t="n"/>
      <c r="W60" s="4106" t="n"/>
      <c r="AB60" s="4107" t="n"/>
      <c r="AC60" s="4106" t="n"/>
      <c r="AH60" s="4109" t="n"/>
    </row>
    <row r="61" ht="3.95" customHeight="1" s="4080">
      <c r="A61" s="4114" t="n"/>
      <c r="B61" s="4103" t="n"/>
      <c r="C61" s="4103" t="n"/>
      <c r="D61" s="4103" t="n"/>
      <c r="E61" s="4103" t="n"/>
      <c r="F61" s="4103" t="n"/>
      <c r="G61" s="4103" t="n"/>
      <c r="H61" s="4103" t="n"/>
      <c r="I61" s="4103" t="n"/>
      <c r="J61" s="4104" t="n"/>
      <c r="K61" s="4343" t="n"/>
      <c r="L61" s="4344" t="n"/>
      <c r="M61" s="4344" t="n"/>
      <c r="N61" s="4344" t="n"/>
      <c r="O61" s="4344" t="n"/>
      <c r="P61" s="4398" t="n"/>
      <c r="Q61" s="4102" t="n"/>
      <c r="R61" s="4103" t="n"/>
      <c r="S61" s="4103" t="n"/>
      <c r="T61" s="4103" t="n"/>
      <c r="U61" s="4103" t="n"/>
      <c r="V61" s="4104" t="n"/>
      <c r="W61" s="4102" t="n"/>
      <c r="X61" s="4103" t="n"/>
      <c r="Y61" s="4103" t="n"/>
      <c r="Z61" s="4103" t="n"/>
      <c r="AA61" s="4103" t="n"/>
      <c r="AB61" s="4104" t="n"/>
      <c r="AC61" s="4102" t="n"/>
      <c r="AD61" s="4103" t="n"/>
      <c r="AE61" s="4103" t="n"/>
      <c r="AF61" s="4103" t="n"/>
      <c r="AG61" s="4103" t="n"/>
      <c r="AH61" s="4105" t="n"/>
    </row>
    <row r="62" ht="27.75" customHeight="1" s="4080" thickBot="1">
      <c r="A62" s="4478" t="inlineStr">
        <is>
          <t>前年度利用者数
（新規・増員の場合、推定利用者数）</t>
        </is>
      </c>
      <c r="B62" s="4153" t="n"/>
      <c r="C62" s="4153" t="n"/>
      <c r="D62" s="4153" t="n"/>
      <c r="E62" s="4153" t="n"/>
      <c r="F62" s="4153" t="n"/>
      <c r="G62" s="4153" t="n"/>
      <c r="H62" s="4153" t="n"/>
      <c r="I62" s="4153" t="n"/>
      <c r="J62" s="4154" t="n"/>
      <c r="K62" s="1993" t="n"/>
      <c r="L62" s="4153" t="n"/>
      <c r="M62" s="4153" t="n"/>
      <c r="N62" s="4153" t="n"/>
      <c r="O62" s="4153" t="n"/>
      <c r="P62" s="210" t="inlineStr">
        <is>
          <t>人</t>
        </is>
      </c>
      <c r="Q62" s="252" t="inlineStr">
        <is>
          <t>＊小数第２位を切り上げ</t>
        </is>
      </c>
      <c r="R62" s="253" t="n"/>
      <c r="S62" s="254" t="n"/>
      <c r="T62" s="254" t="n"/>
      <c r="U62" s="254" t="n"/>
      <c r="V62" s="254" t="n"/>
      <c r="W62" s="254" t="n"/>
      <c r="X62" s="254" t="n"/>
      <c r="Y62" s="254" t="n"/>
      <c r="Z62" s="254" t="n"/>
      <c r="AA62" s="254" t="n"/>
      <c r="AB62" s="254" t="n"/>
      <c r="AC62" s="254" t="n"/>
      <c r="AD62" s="254" t="n"/>
      <c r="AE62" s="254" t="n"/>
      <c r="AF62" s="254" t="n"/>
      <c r="AG62" s="254" t="n"/>
      <c r="AH62" s="255" t="n"/>
    </row>
    <row r="63" ht="12" customHeight="1" s="4080" thickBot="1">
      <c r="A63" s="4355" t="inlineStr">
        <is>
          <t>主　　な　　掲　　示　　事　　項</t>
        </is>
      </c>
      <c r="B63" s="4356" t="n"/>
      <c r="C63" s="1999" t="n"/>
      <c r="D63" s="1886" t="inlineStr">
        <is>
          <t>営業日</t>
        </is>
      </c>
      <c r="E63" s="4082" t="n"/>
      <c r="F63" s="4082" t="n"/>
      <c r="G63" s="4082" t="n"/>
      <c r="H63" s="4082" t="n"/>
      <c r="I63" s="4082" t="n"/>
      <c r="J63" s="2002" t="n"/>
      <c r="K63" s="2352" t="inlineStr">
        <is>
          <t>月</t>
        </is>
      </c>
      <c r="L63" s="2354" t="inlineStr">
        <is>
          <t>火</t>
        </is>
      </c>
      <c r="M63" s="2354" t="inlineStr">
        <is>
          <t>水</t>
        </is>
      </c>
      <c r="N63" s="2354" t="inlineStr">
        <is>
          <t>木</t>
        </is>
      </c>
      <c r="O63" s="2354" t="inlineStr">
        <is>
          <t>金</t>
        </is>
      </c>
      <c r="P63" s="2354" t="inlineStr">
        <is>
          <t>土</t>
        </is>
      </c>
      <c r="Q63" s="2354" t="inlineStr">
        <is>
          <t>日</t>
        </is>
      </c>
      <c r="R63" s="2356" t="inlineStr">
        <is>
          <t>祝</t>
        </is>
      </c>
      <c r="S63" s="2004" t="inlineStr">
        <is>
          <t>休業日</t>
        </is>
      </c>
      <c r="T63" s="2007" t="inlineStr">
        <is>
          <t>年末年始</t>
        </is>
      </c>
      <c r="U63" s="4082" t="n"/>
      <c r="V63" s="2014" t="n"/>
      <c r="W63" s="4082" t="n"/>
      <c r="X63" s="4082" t="n"/>
      <c r="Y63" s="4082" t="n"/>
      <c r="Z63" s="4082" t="n"/>
      <c r="AA63" s="4082" t="n"/>
      <c r="AB63" s="4356" t="n"/>
      <c r="AC63" s="2236" t="inlineStr">
        <is>
          <t>備　考</t>
        </is>
      </c>
      <c r="AD63" s="4479" t="n"/>
      <c r="AE63" s="4082" t="n"/>
      <c r="AF63" s="4082" t="n"/>
      <c r="AG63" s="4082" t="n"/>
      <c r="AH63" s="4083" t="n"/>
    </row>
    <row r="64" ht="12" customHeight="1" s="4080" thickBot="1">
      <c r="A64" s="4097" t="n"/>
      <c r="B64" s="4107" t="n"/>
      <c r="C64" s="4106" t="n"/>
      <c r="J64" s="4107" t="n"/>
      <c r="K64" s="2244" t="inlineStr">
        <is>
          <t xml:space="preserve">　</t>
        </is>
      </c>
      <c r="L64" s="2245" t="n"/>
      <c r="M64" s="2245" t="n"/>
      <c r="N64" s="2245" t="n"/>
      <c r="O64" s="2245" t="n"/>
      <c r="P64" s="2245" t="n"/>
      <c r="Q64" s="2245" t="n"/>
      <c r="R64" s="2249" t="n"/>
      <c r="S64" s="4282" t="n"/>
      <c r="T64" s="2008" t="inlineStr">
        <is>
          <t>夏季</t>
        </is>
      </c>
      <c r="V64" s="937" t="n"/>
      <c r="AB64" s="4107" t="n"/>
      <c r="AC64" s="4282" t="n"/>
      <c r="AD64" s="4192" t="n"/>
      <c r="AH64" s="4109" t="n"/>
    </row>
    <row r="65" ht="12" customHeight="1" s="4080">
      <c r="A65" s="4097" t="n"/>
      <c r="B65" s="4107" t="n"/>
      <c r="C65" s="4420" t="n"/>
      <c r="D65" s="4087" t="n"/>
      <c r="E65" s="4087" t="n"/>
      <c r="F65" s="4087" t="n"/>
      <c r="G65" s="4087" t="n"/>
      <c r="H65" s="4087" t="n"/>
      <c r="I65" s="4087" t="n"/>
      <c r="J65" s="4410" t="n"/>
      <c r="K65" s="4283" t="n"/>
      <c r="L65" s="4284" t="n"/>
      <c r="M65" s="4284" t="n"/>
      <c r="N65" s="4284" t="n"/>
      <c r="O65" s="4284" t="n"/>
      <c r="P65" s="4284" t="n"/>
      <c r="Q65" s="4284" t="n"/>
      <c r="R65" s="4285" t="n"/>
      <c r="S65" s="4421" t="n"/>
      <c r="T65" s="1610" t="inlineStr">
        <is>
          <t>その他</t>
        </is>
      </c>
      <c r="U65" s="4103" t="n"/>
      <c r="V65" s="940" t="n"/>
      <c r="W65" s="4103" t="n"/>
      <c r="X65" s="4103" t="n"/>
      <c r="Y65" s="4103" t="n"/>
      <c r="Z65" s="4103" t="n"/>
      <c r="AA65" s="4103" t="n"/>
      <c r="AB65" s="4104" t="n"/>
      <c r="AC65" s="4421" t="n"/>
      <c r="AD65" s="4480" t="n"/>
      <c r="AE65" s="4087" t="n"/>
      <c r="AF65" s="4087" t="n"/>
      <c r="AG65" s="4087" t="n"/>
      <c r="AH65" s="4088" t="n"/>
    </row>
    <row r="66" ht="3.95" customHeight="1" s="4080">
      <c r="A66" s="4097" t="n"/>
      <c r="B66" s="4107" t="n"/>
      <c r="C66" s="1393" t="n"/>
      <c r="D66" s="1264" t="inlineStr">
        <is>
          <t>営業時間</t>
        </is>
      </c>
      <c r="E66" s="4098" t="n"/>
      <c r="F66" s="4098" t="n"/>
      <c r="G66" s="4098" t="n"/>
      <c r="H66" s="4098" t="n"/>
      <c r="I66" s="4098" t="n"/>
      <c r="J66" s="4223" t="n"/>
      <c r="K66" s="4287" t="inlineStr">
        <is>
          <t>平日</t>
        </is>
      </c>
      <c r="L66" s="4098" t="n"/>
      <c r="M66" s="4190" t="n"/>
      <c r="N66" s="1590" t="n"/>
      <c r="O66" s="4098" t="n"/>
      <c r="P66" s="2842" t="inlineStr">
        <is>
          <t>時</t>
        </is>
      </c>
      <c r="Q66" s="1323" t="n"/>
      <c r="R66" s="1323" t="n"/>
      <c r="S66" s="4288" t="inlineStr">
        <is>
          <t>分～</t>
        </is>
      </c>
      <c r="T66" s="4098" t="n"/>
      <c r="U66" s="108" t="inlineStr">
        <is>
          <t xml:space="preserve">　</t>
        </is>
      </c>
      <c r="V66" s="1591" t="n"/>
      <c r="W66" s="4098" t="n"/>
      <c r="X66" s="2842" t="inlineStr">
        <is>
          <t>時</t>
        </is>
      </c>
      <c r="Y66" s="2834" t="n"/>
      <c r="Z66" s="2834" t="n"/>
      <c r="AA66" s="2842" t="inlineStr">
        <is>
          <t>分</t>
        </is>
      </c>
      <c r="AB66" s="2844" t="n"/>
      <c r="AC66" s="4098" t="n"/>
      <c r="AD66" s="4098" t="n"/>
      <c r="AE66" s="4098" t="n"/>
      <c r="AF66" s="4098" t="n"/>
      <c r="AG66" s="4098" t="n"/>
      <c r="AH66" s="4101" t="n"/>
    </row>
    <row r="67" ht="12" customHeight="1" s="4080">
      <c r="A67" s="4097" t="n"/>
      <c r="B67" s="4107" t="n"/>
      <c r="C67" s="4106" t="n"/>
      <c r="J67" s="4107" t="n"/>
      <c r="K67" s="4106" t="n"/>
      <c r="M67" s="4191" t="n"/>
      <c r="N67" s="1589" t="n"/>
      <c r="Q67" s="1325" t="n"/>
      <c r="U67" s="1257" t="n"/>
      <c r="Y67" s="1580" t="n"/>
      <c r="AH67" s="4109" t="n"/>
    </row>
    <row r="68" ht="3.95" customHeight="1" s="4080">
      <c r="A68" s="4097" t="n"/>
      <c r="B68" s="4107" t="n"/>
      <c r="C68" s="4106" t="n"/>
      <c r="J68" s="4107" t="n"/>
      <c r="K68" s="4145" t="n"/>
      <c r="L68" s="4146" t="n"/>
      <c r="M68" s="4201" t="n"/>
      <c r="N68" s="1586" t="n"/>
      <c r="O68" s="1587" t="n"/>
      <c r="P68" s="4146" t="n"/>
      <c r="Q68" s="1585" t="n"/>
      <c r="R68" s="1585" t="n"/>
      <c r="S68" s="4146" t="n"/>
      <c r="T68" s="4146" t="n"/>
      <c r="U68" s="2253" t="n"/>
      <c r="V68" s="1587" t="n"/>
      <c r="W68" s="1587" t="n"/>
      <c r="X68" s="4146" t="n"/>
      <c r="Y68" s="101" t="n"/>
      <c r="Z68" s="101" t="n"/>
      <c r="AA68" s="4146" t="n"/>
      <c r="AB68" s="4146" t="n"/>
      <c r="AC68" s="4146" t="n"/>
      <c r="AD68" s="4146" t="n"/>
      <c r="AE68" s="4146" t="n"/>
      <c r="AF68" s="4146" t="n"/>
      <c r="AG68" s="4146" t="n"/>
      <c r="AH68" s="4305" t="n"/>
    </row>
    <row r="69" ht="3.95" customHeight="1" s="4080">
      <c r="A69" s="4097" t="n"/>
      <c r="B69" s="4107" t="n"/>
      <c r="C69" s="4106" t="n"/>
      <c r="J69" s="4107" t="n"/>
      <c r="K69" s="4289" t="inlineStr">
        <is>
          <t>土曜</t>
        </is>
      </c>
      <c r="L69" s="4290" t="n"/>
      <c r="M69" s="4291" t="n"/>
      <c r="N69" s="1581" t="n"/>
      <c r="O69" s="4290" t="n"/>
      <c r="P69" s="1514" t="inlineStr">
        <is>
          <t>時</t>
        </is>
      </c>
      <c r="Q69" s="1583" t="n"/>
      <c r="R69" s="1583" t="n"/>
      <c r="S69" s="4292" t="inlineStr">
        <is>
          <t>分～</t>
        </is>
      </c>
      <c r="T69" s="4290" t="n"/>
      <c r="U69" s="98" t="inlineStr">
        <is>
          <t xml:space="preserve">　</t>
        </is>
      </c>
      <c r="V69" s="1582" t="n"/>
      <c r="W69" s="1582" t="n"/>
      <c r="X69" s="1514" t="inlineStr">
        <is>
          <t>時</t>
        </is>
      </c>
      <c r="Y69" s="96" t="n"/>
      <c r="Z69" s="96" t="n"/>
      <c r="AA69" s="1514" t="inlineStr">
        <is>
          <t>分</t>
        </is>
      </c>
      <c r="AB69" s="4481" t="n"/>
      <c r="AC69" s="4290" t="n"/>
      <c r="AD69" s="4290" t="n"/>
      <c r="AE69" s="4290" t="n"/>
      <c r="AF69" s="4290" t="n"/>
      <c r="AG69" s="4290" t="n"/>
      <c r="AH69" s="4482" t="n"/>
    </row>
    <row r="70" ht="12" customHeight="1" s="4080">
      <c r="A70" s="4097" t="n"/>
      <c r="B70" s="4107" t="n"/>
      <c r="C70" s="4106" t="n"/>
      <c r="J70" s="4107" t="n"/>
      <c r="K70" s="4106" t="n"/>
      <c r="M70" s="4191" t="n"/>
      <c r="N70" s="1589" t="n"/>
      <c r="Q70" s="1325" t="n"/>
      <c r="U70" s="1257" t="n"/>
      <c r="Y70" s="1580" t="n"/>
      <c r="AH70" s="4109" t="n"/>
    </row>
    <row r="71" ht="3.95" customHeight="1" s="4080">
      <c r="A71" s="4097" t="n"/>
      <c r="B71" s="4107" t="n"/>
      <c r="C71" s="4106" t="n"/>
      <c r="J71" s="4107" t="n"/>
      <c r="K71" s="4145" t="n"/>
      <c r="L71" s="4146" t="n"/>
      <c r="M71" s="4201" t="n"/>
      <c r="N71" s="1586" t="n"/>
      <c r="O71" s="1587" t="n"/>
      <c r="P71" s="4146" t="n"/>
      <c r="Q71" s="1585" t="n"/>
      <c r="R71" s="1585" t="n"/>
      <c r="S71" s="4146" t="n"/>
      <c r="T71" s="4146" t="n"/>
      <c r="U71" s="103" t="n"/>
      <c r="V71" s="1587" t="n"/>
      <c r="W71" s="1587" t="n"/>
      <c r="X71" s="4146" t="n"/>
      <c r="Y71" s="101" t="n"/>
      <c r="Z71" s="101" t="n"/>
      <c r="AA71" s="4146" t="n"/>
      <c r="AB71" s="4146" t="n"/>
      <c r="AC71" s="4146" t="n"/>
      <c r="AD71" s="4146" t="n"/>
      <c r="AE71" s="4146" t="n"/>
      <c r="AF71" s="4146" t="n"/>
      <c r="AG71" s="4146" t="n"/>
      <c r="AH71" s="4305" t="n"/>
    </row>
    <row r="72" ht="3.95" customHeight="1" s="4080">
      <c r="A72" s="4097" t="n"/>
      <c r="B72" s="4107" t="n"/>
      <c r="C72" s="4106" t="n"/>
      <c r="J72" s="4107" t="n"/>
      <c r="K72" s="4293" t="inlineStr">
        <is>
          <t>日・祝日</t>
        </is>
      </c>
      <c r="L72" s="4290" t="n"/>
      <c r="M72" s="4291" t="n"/>
      <c r="N72" s="1581" t="n"/>
      <c r="O72" s="4290" t="n"/>
      <c r="P72" s="1521" t="inlineStr">
        <is>
          <t>時</t>
        </is>
      </c>
      <c r="Q72" s="1583" t="n"/>
      <c r="R72" s="1583" t="n"/>
      <c r="S72" s="4294" t="inlineStr">
        <is>
          <t>分～</t>
        </is>
      </c>
      <c r="T72" s="4290" t="n"/>
      <c r="U72" s="98" t="inlineStr">
        <is>
          <t xml:space="preserve">　</t>
        </is>
      </c>
      <c r="V72" s="1582" t="n"/>
      <c r="W72" s="1582" t="n"/>
      <c r="X72" s="1521" t="inlineStr">
        <is>
          <t>時</t>
        </is>
      </c>
      <c r="Y72" s="96" t="n"/>
      <c r="Z72" s="96" t="n"/>
      <c r="AA72" s="1521" t="inlineStr">
        <is>
          <t>分</t>
        </is>
      </c>
      <c r="AB72" s="4483" t="n"/>
      <c r="AC72" s="4290" t="n"/>
      <c r="AD72" s="4290" t="n"/>
      <c r="AE72" s="4290" t="n"/>
      <c r="AF72" s="4290" t="n"/>
      <c r="AG72" s="4290" t="n"/>
      <c r="AH72" s="4482" t="n"/>
    </row>
    <row r="73" ht="12" customHeight="1" s="4080">
      <c r="A73" s="4097" t="n"/>
      <c r="B73" s="4107" t="n"/>
      <c r="C73" s="4106" t="n"/>
      <c r="J73" s="4107" t="n"/>
      <c r="K73" s="4106" t="n"/>
      <c r="M73" s="4191" t="n"/>
      <c r="N73" s="1589" t="n"/>
      <c r="Q73" s="1325" t="n"/>
      <c r="U73" s="1257" t="n"/>
      <c r="Y73" s="1580" t="n"/>
      <c r="AH73" s="4109" t="n"/>
    </row>
    <row r="74" ht="3.95" customHeight="1" s="4080">
      <c r="A74" s="4097" t="n"/>
      <c r="B74" s="4107" t="n"/>
      <c r="C74" s="4102" t="n"/>
      <c r="D74" s="4103" t="n"/>
      <c r="E74" s="4103" t="n"/>
      <c r="F74" s="4103" t="n"/>
      <c r="G74" s="4103" t="n"/>
      <c r="H74" s="4103" t="n"/>
      <c r="I74" s="4103" t="n"/>
      <c r="J74" s="4104" t="n"/>
      <c r="K74" s="4102" t="n"/>
      <c r="L74" s="4103" t="n"/>
      <c r="M74" s="4193" t="n"/>
      <c r="N74" s="1588" t="n"/>
      <c r="O74" s="1258" t="n"/>
      <c r="P74" s="4103" t="n"/>
      <c r="Q74" s="1327" t="n"/>
      <c r="R74" s="1327" t="n"/>
      <c r="S74" s="4103" t="n"/>
      <c r="T74" s="4103" t="n"/>
      <c r="U74" s="92" t="n"/>
      <c r="V74" s="1258" t="n"/>
      <c r="W74" s="1258" t="n"/>
      <c r="X74" s="4103" t="n"/>
      <c r="Y74" s="2836" t="n"/>
      <c r="Z74" s="2836" t="n"/>
      <c r="AA74" s="4103" t="n"/>
      <c r="AB74" s="4103" t="n"/>
      <c r="AC74" s="4103" t="n"/>
      <c r="AD74" s="4103" t="n"/>
      <c r="AE74" s="4103" t="n"/>
      <c r="AF74" s="4103" t="n"/>
      <c r="AG74" s="4103" t="n"/>
      <c r="AH74" s="4105" t="n"/>
    </row>
    <row r="75" ht="12" customHeight="1" s="4080">
      <c r="A75" s="4097" t="n"/>
      <c r="B75" s="4107" t="n"/>
      <c r="C75" s="1322" t="n"/>
      <c r="D75" s="1264" t="inlineStr">
        <is>
          <t>サービス提供日</t>
        </is>
      </c>
      <c r="E75" s="4098" t="n"/>
      <c r="F75" s="4098" t="n"/>
      <c r="G75" s="4098" t="n"/>
      <c r="H75" s="4098" t="n"/>
      <c r="I75" s="4098" t="n"/>
      <c r="J75" s="2027" t="n"/>
      <c r="K75" s="2244" t="inlineStr">
        <is>
          <t>月</t>
        </is>
      </c>
      <c r="L75" s="2245" t="inlineStr">
        <is>
          <t>火</t>
        </is>
      </c>
      <c r="M75" s="2245" t="inlineStr">
        <is>
          <t>水</t>
        </is>
      </c>
      <c r="N75" s="2245" t="inlineStr">
        <is>
          <t>木</t>
        </is>
      </c>
      <c r="O75" s="2245" t="inlineStr">
        <is>
          <t>金</t>
        </is>
      </c>
      <c r="P75" s="2245" t="inlineStr">
        <is>
          <t>土</t>
        </is>
      </c>
      <c r="Q75" s="2245" t="inlineStr">
        <is>
          <t>日</t>
        </is>
      </c>
      <c r="R75" s="2249" t="inlineStr">
        <is>
          <t>祝</t>
        </is>
      </c>
      <c r="S75" s="4279" t="inlineStr">
        <is>
          <t>休業日</t>
        </is>
      </c>
      <c r="T75" s="1611" t="inlineStr">
        <is>
          <t>年末年始</t>
        </is>
      </c>
      <c r="U75" s="4098" t="n"/>
      <c r="V75" s="934" t="n"/>
      <c r="W75" s="4098" t="n"/>
      <c r="X75" s="4098" t="n"/>
      <c r="Y75" s="4098" t="n"/>
      <c r="Z75" s="4098" t="n"/>
      <c r="AA75" s="4098" t="n"/>
      <c r="AB75" s="4099" t="n"/>
      <c r="AC75" s="4280" t="inlineStr">
        <is>
          <t>備　考</t>
        </is>
      </c>
      <c r="AD75" s="4281" t="n"/>
      <c r="AE75" s="4098" t="n"/>
      <c r="AF75" s="4098" t="n"/>
      <c r="AG75" s="4098" t="n"/>
      <c r="AH75" s="4101" t="n"/>
    </row>
    <row r="76" ht="12" customHeight="1" s="4080">
      <c r="A76" s="4097" t="n"/>
      <c r="B76" s="4107" t="n"/>
      <c r="C76" s="4106" t="n"/>
      <c r="J76" s="4107" t="n"/>
      <c r="K76" s="2244" t="inlineStr">
        <is>
          <t xml:space="preserve">　</t>
        </is>
      </c>
      <c r="L76" s="2245" t="n"/>
      <c r="M76" s="2245" t="n"/>
      <c r="N76" s="2245" t="n"/>
      <c r="O76" s="2245" t="n"/>
      <c r="P76" s="2245" t="n"/>
      <c r="Q76" s="2245" t="n"/>
      <c r="R76" s="2249" t="n"/>
      <c r="S76" s="4282" t="n"/>
      <c r="T76" s="1609" t="inlineStr">
        <is>
          <t>夏季</t>
        </is>
      </c>
      <c r="V76" s="937" t="n"/>
      <c r="AB76" s="4107" t="n"/>
      <c r="AC76" s="4282" t="n"/>
      <c r="AD76" s="4192" t="n"/>
      <c r="AH76" s="4109" t="n"/>
    </row>
    <row r="77" ht="12" customHeight="1" s="4080">
      <c r="A77" s="4097" t="n"/>
      <c r="B77" s="4107" t="n"/>
      <c r="C77" s="4106" t="n"/>
      <c r="D77" s="4103" t="n"/>
      <c r="E77" s="4103" t="n"/>
      <c r="F77" s="4103" t="n"/>
      <c r="G77" s="4103" t="n"/>
      <c r="H77" s="4103" t="n"/>
      <c r="I77" s="4103" t="n"/>
      <c r="J77" s="4107" t="n"/>
      <c r="K77" s="4283" t="n"/>
      <c r="L77" s="4284" t="n"/>
      <c r="M77" s="4284" t="n"/>
      <c r="N77" s="4284" t="n"/>
      <c r="O77" s="4284" t="n"/>
      <c r="P77" s="4284" t="n"/>
      <c r="Q77" s="4284" t="n"/>
      <c r="R77" s="4285" t="n"/>
      <c r="S77" s="4286" t="n"/>
      <c r="T77" s="1610" t="inlineStr">
        <is>
          <t>その他</t>
        </is>
      </c>
      <c r="U77" s="4103" t="n"/>
      <c r="V77" s="940" t="n"/>
      <c r="W77" s="4103" t="n"/>
      <c r="X77" s="4103" t="n"/>
      <c r="Y77" s="4103" t="n"/>
      <c r="Z77" s="4103" t="n"/>
      <c r="AA77" s="4103" t="n"/>
      <c r="AB77" s="4104" t="n"/>
      <c r="AC77" s="4286" t="n"/>
      <c r="AD77" s="4194" t="n"/>
      <c r="AE77" s="4103" t="n"/>
      <c r="AF77" s="4103" t="n"/>
      <c r="AG77" s="4103" t="n"/>
      <c r="AH77" s="4105" t="n"/>
    </row>
    <row r="78" ht="3.95" customHeight="1" s="4080">
      <c r="A78" s="4097" t="n"/>
      <c r="B78" s="4107" t="n"/>
      <c r="C78" s="1393" t="n"/>
      <c r="D78" s="1264" t="inlineStr">
        <is>
          <t>サービス提供時間</t>
        </is>
      </c>
      <c r="E78" s="4098" t="n"/>
      <c r="F78" s="4098" t="n"/>
      <c r="G78" s="4098" t="n"/>
      <c r="H78" s="4098" t="n"/>
      <c r="I78" s="4098" t="n"/>
      <c r="J78" s="4223" t="n"/>
      <c r="K78" s="1660" t="n"/>
      <c r="L78" s="1661" t="n"/>
      <c r="M78" s="1661" t="n"/>
      <c r="N78" s="1661" t="n"/>
      <c r="O78" s="1661" t="n"/>
      <c r="P78" s="1661" t="n"/>
      <c r="Q78" s="1661" t="n"/>
      <c r="R78" s="1661" t="n"/>
      <c r="S78" s="1661" t="n"/>
      <c r="T78" s="1661" t="n"/>
      <c r="U78" s="1661" t="n"/>
      <c r="V78" s="1661" t="n"/>
      <c r="W78" s="1661" t="n"/>
      <c r="X78" s="1661" t="n"/>
      <c r="Y78" s="1661" t="n"/>
      <c r="Z78" s="1661" t="n"/>
      <c r="AA78" s="421" t="n"/>
      <c r="AB78" s="4484" t="n"/>
      <c r="AC78" s="4098" t="n"/>
      <c r="AD78" s="4098" t="n"/>
      <c r="AE78" s="4098" t="n"/>
      <c r="AF78" s="4098" t="n"/>
      <c r="AG78" s="4098" t="n"/>
      <c r="AH78" s="4101" t="n"/>
    </row>
    <row r="79" ht="12" customHeight="1" s="4080">
      <c r="A79" s="4097" t="n"/>
      <c r="B79" s="4107" t="n"/>
      <c r="C79" s="4106" t="n"/>
      <c r="J79" s="4107" t="n"/>
      <c r="K79" s="224" t="n"/>
      <c r="L79" s="1388" t="inlineStr">
        <is>
          <t xml:space="preserve">　</t>
        </is>
      </c>
      <c r="O79" s="1325" t="inlineStr">
        <is>
          <t>時</t>
        </is>
      </c>
      <c r="P79" s="1626" t="n"/>
      <c r="R79" s="1325" t="inlineStr">
        <is>
          <t>分～</t>
        </is>
      </c>
      <c r="T79" s="1388" t="inlineStr">
        <is>
          <t xml:space="preserve">　</t>
        </is>
      </c>
      <c r="W79" s="1325" t="inlineStr">
        <is>
          <t>時</t>
        </is>
      </c>
      <c r="X79" s="1626" t="n"/>
      <c r="Z79" s="1325" t="inlineStr">
        <is>
          <t>分</t>
        </is>
      </c>
      <c r="AH79" s="4109" t="n"/>
    </row>
    <row r="80" ht="3.95" customHeight="1" s="4080">
      <c r="A80" s="4097" t="n"/>
      <c r="B80" s="4107" t="n"/>
      <c r="C80" s="4102" t="n"/>
      <c r="D80" s="4103" t="n"/>
      <c r="E80" s="4103" t="n"/>
      <c r="F80" s="4103" t="n"/>
      <c r="G80" s="4103" t="n"/>
      <c r="H80" s="4103" t="n"/>
      <c r="I80" s="4103" t="n"/>
      <c r="J80" s="4104" t="n"/>
      <c r="K80" s="1657" t="n"/>
      <c r="L80" s="1658" t="n"/>
      <c r="M80" s="1658" t="n"/>
      <c r="N80" s="1658" t="n"/>
      <c r="O80" s="1658" t="n"/>
      <c r="P80" s="1658" t="n"/>
      <c r="Q80" s="1658" t="n"/>
      <c r="R80" s="1658" t="n"/>
      <c r="S80" s="1658" t="n"/>
      <c r="T80" s="1658" t="n"/>
      <c r="U80" s="1658" t="n"/>
      <c r="V80" s="1658" t="n"/>
      <c r="W80" s="1658" t="n"/>
      <c r="X80" s="1658" t="n"/>
      <c r="Y80" s="1658" t="n"/>
      <c r="Z80" s="1658" t="n"/>
      <c r="AA80" s="4103" t="n"/>
      <c r="AB80" s="4103" t="n"/>
      <c r="AC80" s="4103" t="n"/>
      <c r="AD80" s="4103" t="n"/>
      <c r="AE80" s="4103" t="n"/>
      <c r="AF80" s="4103" t="n"/>
      <c r="AG80" s="4103" t="n"/>
      <c r="AH80" s="4105" t="n"/>
    </row>
    <row r="81" ht="12" customHeight="1" s="4080">
      <c r="A81" s="4097" t="n"/>
      <c r="B81" s="4107" t="n"/>
      <c r="C81" s="1393" t="n"/>
      <c r="D81" s="4222" t="inlineStr">
        <is>
          <t>サービスを提供
する主たる対象者</t>
        </is>
      </c>
      <c r="E81" s="4098" t="n"/>
      <c r="F81" s="4098" t="n"/>
      <c r="G81" s="4098" t="n"/>
      <c r="H81" s="4098" t="n"/>
      <c r="I81" s="4098" t="n"/>
      <c r="J81" s="4223" t="n"/>
      <c r="K81" s="4425" t="inlineStr">
        <is>
          <t>身体障害者</t>
        </is>
      </c>
      <c r="L81" s="4098" t="n"/>
      <c r="M81" s="4098" t="n"/>
      <c r="N81" s="4099" t="n"/>
      <c r="O81" s="4425" t="inlineStr">
        <is>
          <t>知的障害者</t>
        </is>
      </c>
      <c r="P81" s="4098" t="n"/>
      <c r="Q81" s="4098" t="n"/>
      <c r="R81" s="4099" t="n"/>
      <c r="S81" s="4425" t="inlineStr">
        <is>
          <t>精神障害者</t>
        </is>
      </c>
      <c r="T81" s="4098" t="n"/>
      <c r="U81" s="4098" t="n"/>
      <c r="V81" s="4099" t="n"/>
      <c r="W81" s="4426" t="inlineStr">
        <is>
          <t>難病等対象者</t>
        </is>
      </c>
      <c r="X81" s="4098" t="n"/>
      <c r="Y81" s="4098" t="n"/>
      <c r="Z81" s="4099" t="n"/>
      <c r="AA81" s="2037" t="n"/>
      <c r="AB81" s="4098" t="n"/>
      <c r="AC81" s="4098" t="n"/>
      <c r="AD81" s="4098" t="n"/>
      <c r="AE81" s="2039" t="n"/>
      <c r="AF81" s="4098" t="n"/>
      <c r="AG81" s="4098" t="n"/>
      <c r="AH81" s="4101" t="n"/>
    </row>
    <row r="82" ht="12" customHeight="1" s="4080">
      <c r="A82" s="4097" t="n"/>
      <c r="B82" s="4107" t="n"/>
      <c r="C82" s="4106" t="n"/>
      <c r="J82" s="4107" t="n"/>
      <c r="K82" s="4102" t="n"/>
      <c r="L82" s="4103" t="n"/>
      <c r="M82" s="4103" t="n"/>
      <c r="N82" s="4104" t="n"/>
      <c r="O82" s="4102" t="n"/>
      <c r="P82" s="4103" t="n"/>
      <c r="Q82" s="4103" t="n"/>
      <c r="R82" s="4104" t="n"/>
      <c r="S82" s="4102" t="n"/>
      <c r="T82" s="4103" t="n"/>
      <c r="U82" s="4103" t="n"/>
      <c r="V82" s="4104" t="n"/>
      <c r="W82" s="4102" t="n"/>
      <c r="X82" s="4103" t="n"/>
      <c r="Y82" s="4103" t="n"/>
      <c r="Z82" s="4104" t="n"/>
      <c r="AH82" s="4109" t="n"/>
    </row>
    <row r="83" ht="12" customHeight="1" s="4080">
      <c r="A83" s="4097" t="n"/>
      <c r="B83" s="4107" t="n"/>
      <c r="C83" s="4102" t="n"/>
      <c r="D83" s="4103" t="n"/>
      <c r="E83" s="4103" t="n"/>
      <c r="F83" s="4103" t="n"/>
      <c r="G83" s="4103" t="n"/>
      <c r="H83" s="4103" t="n"/>
      <c r="I83" s="4103" t="n"/>
      <c r="J83" s="4104" t="n"/>
      <c r="K83" s="988" t="n"/>
      <c r="L83" s="4110" t="n"/>
      <c r="M83" s="4110" t="n"/>
      <c r="N83" s="4111" t="n"/>
      <c r="O83" s="988" t="n"/>
      <c r="P83" s="4110" t="n"/>
      <c r="Q83" s="4110" t="n"/>
      <c r="R83" s="4111" t="n"/>
      <c r="S83" s="988" t="n"/>
      <c r="T83" s="4110" t="n"/>
      <c r="U83" s="4110" t="n"/>
      <c r="V83" s="4111" t="n"/>
      <c r="W83" s="988" t="n"/>
      <c r="X83" s="4110" t="n"/>
      <c r="Y83" s="4110" t="n"/>
      <c r="Z83" s="4111" t="n"/>
      <c r="AA83" s="2031" t="n"/>
      <c r="AB83" s="4103" t="n"/>
      <c r="AC83" s="4103" t="n"/>
      <c r="AD83" s="4104" t="n"/>
      <c r="AE83" s="2031" t="n"/>
      <c r="AF83" s="4103" t="n"/>
      <c r="AG83" s="4103" t="n"/>
      <c r="AH83" s="4104" t="n"/>
    </row>
    <row r="84" ht="15" customHeight="1" s="4080">
      <c r="A84" s="4097" t="n"/>
      <c r="B84" s="4107" t="n"/>
      <c r="C84" s="1370" t="n"/>
      <c r="D84" s="1245" t="inlineStr">
        <is>
          <t>利用定員</t>
        </is>
      </c>
      <c r="E84" s="4098" t="n"/>
      <c r="F84" s="4098" t="n"/>
      <c r="G84" s="4098" t="n"/>
      <c r="H84" s="4098" t="n"/>
      <c r="I84" s="4098" t="n"/>
      <c r="J84" s="1371" t="n"/>
      <c r="K84" s="2263" t="n"/>
      <c r="L84" s="4098" t="n"/>
      <c r="M84" s="4098" t="n"/>
      <c r="N84" s="4098" t="n"/>
      <c r="O84" s="258" t="inlineStr">
        <is>
          <t>人</t>
        </is>
      </c>
      <c r="P84" s="4485" t="inlineStr">
        <is>
          <t>単位ごとの定員</t>
        </is>
      </c>
      <c r="Q84" s="4098" t="n"/>
      <c r="R84" s="4098" t="n"/>
      <c r="S84" s="4210" t="n"/>
      <c r="T84" s="2268" t="n"/>
      <c r="U84" s="4486" t="n"/>
      <c r="V84" s="4486" t="n"/>
      <c r="W84" s="4486" t="n"/>
      <c r="X84" s="4486" t="n"/>
      <c r="Y84" s="227" t="inlineStr">
        <is>
          <t>人</t>
        </is>
      </c>
      <c r="Z84" s="4487" t="n"/>
      <c r="AA84" s="4098" t="n"/>
      <c r="AB84" s="4098" t="n"/>
      <c r="AC84" s="4098" t="n"/>
      <c r="AD84" s="4098" t="n"/>
      <c r="AE84" s="4098" t="n"/>
      <c r="AF84" s="4098" t="n"/>
      <c r="AG84" s="4098" t="n"/>
      <c r="AH84" s="4101" t="n"/>
    </row>
    <row r="85" ht="3.95" customHeight="1" s="4080">
      <c r="A85" s="4097" t="n"/>
      <c r="B85" s="4107" t="n"/>
      <c r="C85" s="1322" t="n"/>
      <c r="D85" s="4429" t="inlineStr">
        <is>
          <t>従たる事業所の有無</t>
        </is>
      </c>
      <c r="E85" s="4098" t="n"/>
      <c r="F85" s="4098" t="n"/>
      <c r="G85" s="4098" t="n"/>
      <c r="H85" s="4098" t="n"/>
      <c r="I85" s="4098" t="n"/>
      <c r="J85" s="1394" t="n"/>
      <c r="K85" s="4430" t="n"/>
      <c r="L85" s="2056" t="n"/>
      <c r="M85" s="4098" t="n"/>
      <c r="N85" s="4098" t="n"/>
      <c r="O85" s="2070" t="n"/>
      <c r="P85" s="4431" t="inlineStr">
        <is>
          <t>従たる事業所に
おいて実施する
サービス種別</t>
        </is>
      </c>
      <c r="Q85" s="4098" t="n"/>
      <c r="R85" s="4098" t="n"/>
      <c r="S85" s="4098" t="n"/>
      <c r="T85" s="4190" t="n"/>
      <c r="U85" s="2056" t="n"/>
      <c r="V85" s="2056" t="n"/>
      <c r="W85" s="2056" t="n"/>
      <c r="X85" s="2056" t="n"/>
      <c r="Y85" s="2056" t="n"/>
      <c r="Z85" s="2056" t="n"/>
      <c r="AA85" s="2056" t="n"/>
      <c r="AB85" s="1334" t="inlineStr">
        <is>
          <t xml:space="preserve">　</t>
        </is>
      </c>
      <c r="AC85" s="1334" t="n"/>
      <c r="AD85" s="1334" t="n"/>
      <c r="AE85" s="1334" t="n"/>
      <c r="AF85" s="1334" t="n"/>
      <c r="AG85" s="1334" t="n"/>
      <c r="AH85" s="1335" t="n"/>
    </row>
    <row r="86" ht="12" customHeight="1" s="4080">
      <c r="A86" s="4097" t="n"/>
      <c r="B86" s="4107" t="n"/>
      <c r="C86" s="4106" t="n"/>
      <c r="J86" s="4107" t="n"/>
      <c r="K86" s="4106" t="n"/>
      <c r="L86" s="2069" t="inlineStr">
        <is>
          <t>有</t>
        </is>
      </c>
      <c r="M86" s="2069" t="inlineStr">
        <is>
          <t>・</t>
        </is>
      </c>
      <c r="N86" s="2069" t="inlineStr">
        <is>
          <t>無</t>
        </is>
      </c>
      <c r="O86" s="4107" t="n"/>
      <c r="P86" s="4106" t="n"/>
      <c r="T86" s="4191" t="n"/>
      <c r="U86" s="230" t="inlineStr">
        <is>
          <t>1)</t>
        </is>
      </c>
      <c r="V86" s="2057" t="n"/>
      <c r="AB86" s="231" t="inlineStr">
        <is>
          <t>3)</t>
        </is>
      </c>
      <c r="AC86" s="2058" t="n"/>
      <c r="AH86" s="4109" t="n"/>
    </row>
    <row r="87" ht="12" customHeight="1" s="4080">
      <c r="A87" s="4097" t="n"/>
      <c r="B87" s="4107" t="n"/>
      <c r="C87" s="1326" t="n"/>
      <c r="J87" s="4107" t="n"/>
      <c r="K87" s="4106" t="n"/>
      <c r="O87" s="4107" t="n"/>
      <c r="P87" s="4106" t="n"/>
      <c r="T87" s="4191" t="n"/>
      <c r="U87" s="232" t="inlineStr">
        <is>
          <t>2)</t>
        </is>
      </c>
      <c r="V87" s="2057" t="n"/>
      <c r="AB87" s="233" t="inlineStr">
        <is>
          <t>4)</t>
        </is>
      </c>
      <c r="AC87" s="2058" t="n"/>
      <c r="AH87" s="4109" t="n"/>
    </row>
    <row r="88" ht="3.95" customHeight="1" s="4080">
      <c r="A88" s="4097" t="n"/>
      <c r="B88" s="4107" t="n"/>
      <c r="C88" s="4102" t="n"/>
      <c r="D88" s="4103" t="n"/>
      <c r="E88" s="4103" t="n"/>
      <c r="F88" s="4103" t="n"/>
      <c r="G88" s="4103" t="n"/>
      <c r="H88" s="4103" t="n"/>
      <c r="I88" s="4103" t="n"/>
      <c r="J88" s="4104" t="n"/>
      <c r="K88" s="4102" t="n"/>
      <c r="L88" s="2059" t="n"/>
      <c r="M88" s="4103" t="n"/>
      <c r="N88" s="4103" t="n"/>
      <c r="O88" s="4104" t="n"/>
      <c r="P88" s="4102" t="n"/>
      <c r="Q88" s="4103" t="n"/>
      <c r="R88" s="4103" t="n"/>
      <c r="S88" s="4103" t="n"/>
      <c r="T88" s="4193" t="n"/>
      <c r="U88" s="2059" t="n"/>
      <c r="V88" s="2059" t="n"/>
      <c r="W88" s="2059" t="n"/>
      <c r="X88" s="2059" t="n"/>
      <c r="Y88" s="2059" t="n"/>
      <c r="Z88" s="2059" t="n"/>
      <c r="AA88" s="2059" t="n"/>
      <c r="AB88" s="1298" t="n"/>
      <c r="AC88" s="1298" t="n"/>
      <c r="AD88" s="1298" t="n"/>
      <c r="AE88" s="1298" t="n"/>
      <c r="AF88" s="1298" t="n"/>
      <c r="AG88" s="1298" t="n"/>
      <c r="AH88" s="1299" t="n"/>
    </row>
    <row r="89" ht="3.95" customHeight="1" s="4080">
      <c r="A89" s="4097" t="n"/>
      <c r="B89" s="4107" t="n"/>
      <c r="C89" s="2163" t="inlineStr">
        <is>
          <t>多機能型の実施</t>
        </is>
      </c>
      <c r="D89" s="4098" t="n"/>
      <c r="E89" s="4098" t="n"/>
      <c r="F89" s="4098" t="n"/>
      <c r="G89" s="4098" t="n"/>
      <c r="H89" s="4098" t="n"/>
      <c r="I89" s="4098" t="n"/>
      <c r="J89" s="4099" t="n"/>
      <c r="K89" s="2053" t="n"/>
      <c r="L89" s="2056" t="n"/>
      <c r="M89" s="2056" t="n"/>
      <c r="N89" s="2056" t="n"/>
      <c r="O89" s="1371" t="n"/>
      <c r="P89" s="3316" t="n"/>
      <c r="Q89" s="3316" t="n"/>
      <c r="R89" s="3316" t="n"/>
      <c r="S89" s="3316" t="n"/>
      <c r="T89" s="3316" t="n"/>
      <c r="U89" s="238" t="n"/>
      <c r="V89" s="238" t="n"/>
      <c r="W89" s="238" t="n"/>
      <c r="X89" s="238" t="n"/>
      <c r="Y89" s="238" t="n"/>
      <c r="Z89" s="238" t="n"/>
      <c r="AA89" s="238" t="n"/>
      <c r="AB89" s="2960" t="n"/>
      <c r="AC89" s="2960" t="n"/>
      <c r="AD89" s="2960" t="n"/>
      <c r="AE89" s="2960" t="n"/>
      <c r="AF89" s="2960" t="n"/>
      <c r="AG89" s="2960" t="n"/>
      <c r="AH89" s="2961" t="n"/>
    </row>
    <row r="90" ht="18.75" customHeight="1" s="4080">
      <c r="A90" s="4097" t="n"/>
      <c r="B90" s="4107" t="n"/>
      <c r="C90" s="4106" t="n"/>
      <c r="J90" s="4107" t="n"/>
      <c r="K90" s="1657" t="n"/>
      <c r="L90" s="1658" t="inlineStr">
        <is>
          <t>有</t>
        </is>
      </c>
      <c r="M90" s="2069" t="inlineStr">
        <is>
          <t>・</t>
        </is>
      </c>
      <c r="N90" s="1658" t="inlineStr">
        <is>
          <t>無</t>
        </is>
      </c>
      <c r="O90" s="241" t="n"/>
      <c r="P90" s="3315" t="n"/>
      <c r="Q90" s="3316" t="n"/>
      <c r="R90" s="3316" t="n"/>
      <c r="S90" s="3316" t="n"/>
      <c r="T90" s="3316" t="n"/>
      <c r="U90" s="238" t="n"/>
      <c r="V90" s="238" t="n"/>
      <c r="W90" s="238" t="n"/>
      <c r="X90" s="238" t="n"/>
      <c r="Y90" s="238" t="n"/>
      <c r="Z90" s="238" t="n"/>
      <c r="AA90" s="238" t="n"/>
      <c r="AB90" s="2960" t="n"/>
      <c r="AC90" s="2960" t="n"/>
      <c r="AD90" s="2960" t="n"/>
      <c r="AE90" s="2960" t="n"/>
      <c r="AF90" s="2960" t="n"/>
      <c r="AG90" s="2960" t="n"/>
      <c r="AH90" s="2961" t="n"/>
    </row>
    <row r="91" ht="3.75" customHeight="1" s="4080">
      <c r="A91" s="4097" t="n"/>
      <c r="B91" s="4107" t="n"/>
      <c r="C91" s="4102" t="n"/>
      <c r="D91" s="4103" t="n"/>
      <c r="E91" s="4103" t="n"/>
      <c r="F91" s="4103" t="n"/>
      <c r="G91" s="4103" t="n"/>
      <c r="H91" s="4103" t="n"/>
      <c r="I91" s="4103" t="n"/>
      <c r="J91" s="4104" t="n"/>
      <c r="K91" s="1374" t="n"/>
      <c r="L91" s="2059" t="n"/>
      <c r="M91" s="2059" t="n"/>
      <c r="N91" s="2059" t="n"/>
      <c r="O91" s="1375" t="n"/>
      <c r="P91" s="3318" t="n"/>
      <c r="Q91" s="3318" t="n"/>
      <c r="R91" s="3318" t="n"/>
      <c r="S91" s="3318" t="n"/>
      <c r="T91" s="3318" t="n"/>
      <c r="U91" s="244" t="n"/>
      <c r="V91" s="244" t="n"/>
      <c r="W91" s="244" t="n"/>
      <c r="X91" s="244" t="n"/>
      <c r="Y91" s="244" t="n"/>
      <c r="Z91" s="244" t="n"/>
      <c r="AA91" s="244" t="n"/>
      <c r="AB91" s="2963" t="n"/>
      <c r="AC91" s="2963" t="n"/>
      <c r="AD91" s="2963" t="n"/>
      <c r="AE91" s="2963" t="n"/>
      <c r="AF91" s="2963" t="n"/>
      <c r="AG91" s="2963" t="n"/>
      <c r="AH91" s="2964" t="n"/>
    </row>
    <row r="92" ht="15" customHeight="1" s="4080">
      <c r="A92" s="4097" t="n"/>
      <c r="B92" s="4107" t="n"/>
      <c r="C92" s="1393" t="n"/>
      <c r="D92" s="1264" t="inlineStr">
        <is>
          <t>利用料</t>
        </is>
      </c>
      <c r="E92" s="4110" t="n"/>
      <c r="F92" s="4110" t="n"/>
      <c r="G92" s="4110" t="n"/>
      <c r="H92" s="4110" t="n"/>
      <c r="I92" s="4110" t="n"/>
      <c r="J92" s="1394" t="n"/>
      <c r="K92" s="4227" t="n"/>
      <c r="L92" s="4110" t="n"/>
      <c r="M92" s="4110" t="n"/>
      <c r="N92" s="4110" t="n"/>
      <c r="O92" s="4110" t="n"/>
      <c r="P92" s="4110" t="n"/>
      <c r="Q92" s="4110" t="n"/>
      <c r="R92" s="4110" t="n"/>
      <c r="S92" s="4110" t="n"/>
      <c r="T92" s="4110" t="n"/>
      <c r="U92" s="4110" t="n"/>
      <c r="V92" s="4110" t="n"/>
      <c r="W92" s="4110" t="n"/>
      <c r="X92" s="4110" t="n"/>
      <c r="Y92" s="4110" t="n"/>
      <c r="Z92" s="4110" t="n"/>
      <c r="AA92" s="4110" t="n"/>
      <c r="AB92" s="4110" t="n"/>
      <c r="AC92" s="4110" t="n"/>
      <c r="AD92" s="4110" t="n"/>
      <c r="AE92" s="4110" t="n"/>
      <c r="AF92" s="4110" t="n"/>
      <c r="AG92" s="4110" t="n"/>
      <c r="AH92" s="4113" t="n"/>
    </row>
    <row r="93" ht="15" customHeight="1" s="4080">
      <c r="A93" s="4097" t="n"/>
      <c r="B93" s="4107" t="n"/>
      <c r="C93" s="1322" t="n"/>
      <c r="D93" s="1264" t="inlineStr">
        <is>
          <t>その他の費用</t>
        </is>
      </c>
      <c r="E93" s="4110" t="n"/>
      <c r="F93" s="4110" t="n"/>
      <c r="G93" s="4110" t="n"/>
      <c r="H93" s="4110" t="n"/>
      <c r="I93" s="4110" t="n"/>
      <c r="J93" s="1331" t="n"/>
      <c r="K93" s="4121" t="n"/>
      <c r="L93" s="4110" t="n"/>
      <c r="M93" s="4110" t="n"/>
      <c r="N93" s="4110" t="n"/>
      <c r="O93" s="4110" t="n"/>
      <c r="P93" s="4110" t="n"/>
      <c r="Q93" s="4110" t="n"/>
      <c r="R93" s="4110" t="n"/>
      <c r="S93" s="4110" t="n"/>
      <c r="T93" s="4110" t="n"/>
      <c r="U93" s="4110" t="n"/>
      <c r="V93" s="4110" t="n"/>
      <c r="W93" s="4110" t="n"/>
      <c r="X93" s="4110" t="n"/>
      <c r="Y93" s="4110" t="n"/>
      <c r="Z93" s="4110" t="n"/>
      <c r="AA93" s="4110" t="n"/>
      <c r="AB93" s="4110" t="n"/>
      <c r="AC93" s="4110" t="n"/>
      <c r="AD93" s="4110" t="n"/>
      <c r="AE93" s="4110" t="n"/>
      <c r="AF93" s="4110" t="n"/>
      <c r="AG93" s="4110" t="n"/>
      <c r="AH93" s="4113" t="n"/>
    </row>
    <row r="94" ht="24" customHeight="1" s="4080">
      <c r="A94" s="4097" t="n"/>
      <c r="B94" s="4107" t="n"/>
      <c r="C94" s="1300" t="n"/>
      <c r="D94" s="4222" t="inlineStr">
        <is>
          <t>通常の事業の
実施地域</t>
        </is>
      </c>
      <c r="E94" s="4098" t="n"/>
      <c r="F94" s="4098" t="n"/>
      <c r="G94" s="4098" t="n"/>
      <c r="H94" s="4098" t="n"/>
      <c r="I94" s="4098" t="n"/>
      <c r="J94" s="1963" t="n"/>
      <c r="K94" s="3272" t="inlineStr">
        <is>
          <t>1)</t>
        </is>
      </c>
      <c r="L94" s="1406" t="n"/>
      <c r="M94" s="4110" t="n"/>
      <c r="N94" s="4110" t="n"/>
      <c r="O94" s="2325" t="inlineStr">
        <is>
          <t>2)</t>
        </is>
      </c>
      <c r="P94" s="1406" t="n"/>
      <c r="Q94" s="4110" t="n"/>
      <c r="R94" s="4110" t="n"/>
      <c r="S94" s="2325" t="inlineStr">
        <is>
          <t>3)</t>
        </is>
      </c>
      <c r="T94" s="1406" t="n"/>
      <c r="U94" s="4110" t="n"/>
      <c r="V94" s="4110" t="n"/>
      <c r="W94" s="2325" t="inlineStr">
        <is>
          <t>4)</t>
        </is>
      </c>
      <c r="X94" s="1406" t="n"/>
      <c r="Y94" s="4110" t="n"/>
      <c r="Z94" s="4110" t="n"/>
      <c r="AA94" s="2325" t="inlineStr">
        <is>
          <t>5)</t>
        </is>
      </c>
      <c r="AB94" s="1406" t="n"/>
      <c r="AC94" s="4110" t="n"/>
      <c r="AD94" s="4110" t="n"/>
      <c r="AE94" s="4229" t="inlineStr">
        <is>
          <t>備考</t>
        </is>
      </c>
      <c r="AF94" s="4230" t="n"/>
      <c r="AG94" s="4098" t="n"/>
      <c r="AH94" s="4101" t="n"/>
    </row>
    <row r="95" ht="24" customHeight="1" s="4080">
      <c r="A95" s="4097" t="n"/>
      <c r="B95" s="4107" t="n"/>
      <c r="C95" s="4102" t="n"/>
      <c r="D95" s="4103" t="n"/>
      <c r="E95" s="4103" t="n"/>
      <c r="F95" s="4103" t="n"/>
      <c r="G95" s="4103" t="n"/>
      <c r="H95" s="4103" t="n"/>
      <c r="I95" s="4103" t="n"/>
      <c r="J95" s="4104" t="n"/>
      <c r="K95" s="3272" t="inlineStr">
        <is>
          <t>6)</t>
        </is>
      </c>
      <c r="L95" s="1406" t="n"/>
      <c r="M95" s="4110" t="n"/>
      <c r="N95" s="4110" t="n"/>
      <c r="O95" s="2325" t="inlineStr">
        <is>
          <t>7)</t>
        </is>
      </c>
      <c r="P95" s="1406" t="n"/>
      <c r="Q95" s="4110" t="n"/>
      <c r="R95" s="4110" t="n"/>
      <c r="S95" s="2325" t="inlineStr">
        <is>
          <t>8)</t>
        </is>
      </c>
      <c r="T95" s="1406" t="n"/>
      <c r="U95" s="4110" t="n"/>
      <c r="V95" s="4110" t="n"/>
      <c r="W95" s="2325" t="inlineStr">
        <is>
          <t>9)</t>
        </is>
      </c>
      <c r="X95" s="1406" t="n"/>
      <c r="Y95" s="4110" t="n"/>
      <c r="Z95" s="4110" t="n"/>
      <c r="AA95" s="71" t="inlineStr">
        <is>
          <t>10)</t>
        </is>
      </c>
      <c r="AB95" s="1406" t="n"/>
      <c r="AC95" s="4110" t="n"/>
      <c r="AD95" s="4110" t="n"/>
      <c r="AE95" s="4124" t="n"/>
      <c r="AF95" s="4102" t="n"/>
      <c r="AG95" s="4103" t="n"/>
      <c r="AH95" s="4105" t="n"/>
    </row>
    <row r="96" ht="3.95" customHeight="1" s="4080">
      <c r="A96" s="4097" t="n"/>
      <c r="B96" s="4107" t="n"/>
      <c r="C96" s="1795" t="n"/>
      <c r="D96" s="1402" t="n"/>
      <c r="E96" s="3328" t="n"/>
      <c r="F96" s="3328" t="n"/>
      <c r="G96" s="3328" t="n"/>
      <c r="H96" s="3328" t="n"/>
      <c r="I96" s="3328" t="n"/>
      <c r="J96" s="3329" t="n"/>
      <c r="K96" s="541" t="n"/>
      <c r="L96" s="1852" t="n"/>
      <c r="M96" s="4098" t="n"/>
      <c r="N96" s="4098" t="n"/>
      <c r="O96" s="3371" t="n"/>
      <c r="P96" s="4488" t="n"/>
      <c r="Q96" s="4098" t="n"/>
      <c r="R96" s="4098" t="n"/>
      <c r="S96" s="4098" t="n"/>
      <c r="T96" s="4098" t="n"/>
      <c r="U96" s="4098" t="n"/>
      <c r="V96" s="4098" t="n"/>
      <c r="W96" s="4098" t="n"/>
      <c r="X96" s="4098" t="n"/>
      <c r="Y96" s="4098" t="n"/>
      <c r="Z96" s="4098" t="n"/>
      <c r="AA96" s="4098" t="n"/>
      <c r="AB96" s="4098" t="n"/>
      <c r="AC96" s="4098" t="n"/>
      <c r="AD96" s="4098" t="n"/>
      <c r="AE96" s="4098" t="n"/>
      <c r="AF96" s="4098" t="n"/>
      <c r="AG96" s="4098" t="n"/>
      <c r="AH96" s="4101" t="n"/>
    </row>
    <row r="97" ht="12" customHeight="1" s="4080">
      <c r="A97" s="4097" t="n"/>
      <c r="B97" s="4107" t="n"/>
      <c r="C97" s="1241" t="n"/>
      <c r="D97" s="2284" t="inlineStr">
        <is>
          <t>食事提供の有無</t>
        </is>
      </c>
      <c r="J97" s="1243" t="n"/>
      <c r="K97" s="4106" t="n"/>
      <c r="L97" s="1829" t="inlineStr">
        <is>
          <t>有</t>
        </is>
      </c>
      <c r="M97" s="1829" t="inlineStr">
        <is>
          <t>・</t>
        </is>
      </c>
      <c r="N97" s="1829" t="inlineStr">
        <is>
          <t>無</t>
        </is>
      </c>
      <c r="O97" s="4107" t="n"/>
      <c r="P97" s="4106" t="n"/>
      <c r="AH97" s="4109" t="n"/>
    </row>
    <row r="98" ht="3.95" customHeight="1" s="4080">
      <c r="A98" s="4097" t="n"/>
      <c r="B98" s="4107" t="n"/>
      <c r="C98" s="1795" t="n"/>
      <c r="D98" s="1413" t="n"/>
      <c r="E98" s="3334" t="n"/>
      <c r="F98" s="3334" t="n"/>
      <c r="G98" s="3334" t="n"/>
      <c r="H98" s="3334" t="n"/>
      <c r="I98" s="3334" t="n"/>
      <c r="J98" s="3335" t="n"/>
      <c r="K98" s="4102" t="n"/>
      <c r="L98" s="2285" t="n"/>
      <c r="M98" s="4103" t="n"/>
      <c r="N98" s="4103" t="n"/>
      <c r="O98" s="4104" t="n"/>
      <c r="P98" s="4102" t="n"/>
      <c r="Q98" s="4103" t="n"/>
      <c r="R98" s="4103" t="n"/>
      <c r="S98" s="4103" t="n"/>
      <c r="T98" s="4103" t="n"/>
      <c r="U98" s="4103" t="n"/>
      <c r="V98" s="4103" t="n"/>
      <c r="W98" s="4103" t="n"/>
      <c r="X98" s="4103" t="n"/>
      <c r="Y98" s="4103" t="n"/>
      <c r="Z98" s="4103" t="n"/>
      <c r="AA98" s="4103" t="n"/>
      <c r="AB98" s="4103" t="n"/>
      <c r="AC98" s="4103" t="n"/>
      <c r="AD98" s="4103" t="n"/>
      <c r="AE98" s="4103" t="n"/>
      <c r="AF98" s="4103" t="n"/>
      <c r="AG98" s="4103" t="n"/>
      <c r="AH98" s="4105" t="n"/>
      <c r="AJ98" s="266" t="n"/>
    </row>
    <row r="99" ht="3.95" customHeight="1" s="4080">
      <c r="A99" s="4097" t="n"/>
      <c r="B99" s="4107" t="n"/>
      <c r="C99" s="4231" t="inlineStr">
        <is>
          <t>その他参考
となる事項</t>
        </is>
      </c>
      <c r="D99" s="4099" t="n"/>
      <c r="E99" s="2753" t="inlineStr">
        <is>
          <t>第三者評価の実施状況</t>
        </is>
      </c>
      <c r="F99" s="4098" t="n"/>
      <c r="G99" s="4098" t="n"/>
      <c r="H99" s="4098" t="n"/>
      <c r="I99" s="4098" t="n"/>
      <c r="J99" s="4099" t="n"/>
      <c r="K99" s="1657" t="n"/>
      <c r="L99" s="1658" t="n"/>
      <c r="M99" s="1658" t="n"/>
      <c r="N99" s="1658" t="n"/>
      <c r="O99" s="1658" t="n"/>
      <c r="P99" s="1658" t="n"/>
      <c r="Q99" s="1658" t="n"/>
      <c r="R99" s="930" t="n"/>
      <c r="AB99" s="1658" t="n"/>
      <c r="AC99" s="1658" t="n"/>
      <c r="AD99" s="1658" t="n"/>
      <c r="AE99" s="1658" t="n"/>
      <c r="AF99" s="1658" t="n"/>
      <c r="AG99" s="1658" t="n"/>
      <c r="AH99" s="1659" t="n"/>
    </row>
    <row r="100" ht="15" customHeight="1" s="4080">
      <c r="A100" s="4097" t="n"/>
      <c r="B100" s="4107" t="n"/>
      <c r="C100" s="4106" t="n"/>
      <c r="D100" s="4107" t="n"/>
      <c r="J100" s="4107" t="n"/>
      <c r="K100" s="1372" t="n"/>
      <c r="L100" s="1432" t="inlineStr">
        <is>
          <t>している</t>
        </is>
      </c>
      <c r="O100" s="1458" t="inlineStr">
        <is>
          <t>(実施先：</t>
        </is>
      </c>
      <c r="AB100" s="1325" t="inlineStr">
        <is>
          <t>)・</t>
        </is>
      </c>
      <c r="AD100" s="1432" t="inlineStr">
        <is>
          <t>していない</t>
        </is>
      </c>
      <c r="AH100" s="1668" t="n"/>
    </row>
    <row r="101" ht="3.95" customHeight="1" s="4080">
      <c r="A101" s="4097" t="n"/>
      <c r="B101" s="4107" t="n"/>
      <c r="C101" s="4106" t="n"/>
      <c r="D101" s="4107" t="n"/>
      <c r="E101" s="4103" t="n"/>
      <c r="F101" s="4103" t="n"/>
      <c r="G101" s="4103" t="n"/>
      <c r="H101" s="4103" t="n"/>
      <c r="I101" s="4103" t="n"/>
      <c r="J101" s="4104" t="n"/>
      <c r="K101" s="1657" t="n"/>
      <c r="L101" s="1658" t="n"/>
      <c r="M101" s="1658" t="n"/>
      <c r="N101" s="1658" t="n"/>
      <c r="O101" s="1658" t="n"/>
      <c r="P101" s="1658" t="n"/>
      <c r="Q101" s="1658" t="n"/>
      <c r="R101" s="4103" t="n"/>
      <c r="S101" s="4103" t="n"/>
      <c r="T101" s="4103" t="n"/>
      <c r="U101" s="4103" t="n"/>
      <c r="V101" s="4103" t="n"/>
      <c r="W101" s="4103" t="n"/>
      <c r="X101" s="4103" t="n"/>
      <c r="Y101" s="4103" t="n"/>
      <c r="Z101" s="4103" t="n"/>
      <c r="AA101" s="4103" t="n"/>
      <c r="AB101" s="1658" t="n"/>
      <c r="AC101" s="1658" t="n"/>
      <c r="AD101" s="1658" t="n"/>
      <c r="AE101" s="1658" t="n"/>
      <c r="AF101" s="1658" t="n"/>
      <c r="AG101" s="1658" t="n"/>
      <c r="AH101" s="1659" t="n"/>
    </row>
    <row r="102" ht="15" customHeight="1" s="4080">
      <c r="A102" s="4097" t="n"/>
      <c r="B102" s="4107" t="n"/>
      <c r="C102" s="4106" t="n"/>
      <c r="D102" s="4107" t="n"/>
      <c r="E102" s="1439" t="inlineStr">
        <is>
          <t>苦情解決の措置概要</t>
        </is>
      </c>
      <c r="F102" s="4098" t="n"/>
      <c r="G102" s="4098" t="n"/>
      <c r="H102" s="4098" t="n"/>
      <c r="I102" s="4098" t="n"/>
      <c r="J102" s="4099" t="n"/>
      <c r="K102" s="2542" t="inlineStr">
        <is>
          <t>窓　口</t>
        </is>
      </c>
      <c r="L102" s="4110" t="n"/>
      <c r="M102" s="4111" t="n"/>
      <c r="N102" s="4121" t="inlineStr">
        <is>
          <t xml:space="preserve">　</t>
        </is>
      </c>
      <c r="O102" s="4110" t="n"/>
      <c r="P102" s="4110" t="n"/>
      <c r="Q102" s="4110" t="n"/>
      <c r="R102" s="4110" t="n"/>
      <c r="S102" s="4110" t="n"/>
      <c r="T102" s="4110" t="n"/>
      <c r="U102" s="4110" t="n"/>
      <c r="V102" s="4110" t="n"/>
      <c r="W102" s="4110" t="n"/>
      <c r="X102" s="4110" t="n"/>
      <c r="Y102" s="4110" t="n"/>
      <c r="Z102" s="4110" t="n"/>
      <c r="AA102" s="4110" t="n"/>
      <c r="AB102" s="4110" t="n"/>
      <c r="AC102" s="4110" t="n"/>
      <c r="AD102" s="4110" t="n"/>
      <c r="AE102" s="4110" t="n"/>
      <c r="AF102" s="4110" t="n"/>
      <c r="AG102" s="4110" t="n"/>
      <c r="AH102" s="4113" t="n"/>
    </row>
    <row r="103" ht="15" customHeight="1" s="4080">
      <c r="A103" s="4097" t="n"/>
      <c r="B103" s="4107" t="n"/>
      <c r="C103" s="4106" t="n"/>
      <c r="D103" s="4107" t="n"/>
      <c r="E103" s="4103" t="n"/>
      <c r="F103" s="4103" t="n"/>
      <c r="G103" s="4103" t="n"/>
      <c r="H103" s="4103" t="n"/>
      <c r="I103" s="4103" t="n"/>
      <c r="J103" s="4104" t="n"/>
      <c r="K103" s="2542" t="inlineStr">
        <is>
          <t>担当者</t>
        </is>
      </c>
      <c r="L103" s="4110" t="n"/>
      <c r="M103" s="4111" t="n"/>
      <c r="N103" s="4233" t="n"/>
      <c r="O103" s="4110" t="n"/>
      <c r="P103" s="4110" t="n"/>
      <c r="Q103" s="4110" t="n"/>
      <c r="R103" s="4110" t="n"/>
      <c r="S103" s="4110" t="n"/>
      <c r="T103" s="4110" t="n"/>
      <c r="U103" s="4111" t="n"/>
      <c r="V103" s="2163" t="inlineStr">
        <is>
          <t>電話</t>
        </is>
      </c>
      <c r="W103" s="4111" t="n"/>
      <c r="X103" s="882" t="n"/>
      <c r="Y103" s="4110" t="n"/>
      <c r="Z103" s="4110" t="n"/>
      <c r="AA103" s="1492" t="inlineStr">
        <is>
          <t>－</t>
        </is>
      </c>
      <c r="AB103" s="920" t="n"/>
      <c r="AC103" s="4110" t="n"/>
      <c r="AD103" s="4110" t="n"/>
      <c r="AE103" s="1492" t="inlineStr">
        <is>
          <t>－</t>
        </is>
      </c>
      <c r="AF103" s="955" t="n"/>
      <c r="AG103" s="4110" t="n"/>
      <c r="AH103" s="4113" t="n"/>
    </row>
    <row r="104" ht="15" customHeight="1" s="4080">
      <c r="A104" s="4114" t="n"/>
      <c r="B104" s="4104" t="n"/>
      <c r="C104" s="4102" t="n"/>
      <c r="D104" s="4104" t="n"/>
      <c r="E104" s="1394" t="inlineStr">
        <is>
          <t>そ　　 の 　　他</t>
        </is>
      </c>
      <c r="F104" s="4110" t="n"/>
      <c r="G104" s="4110" t="n"/>
      <c r="H104" s="4110" t="n"/>
      <c r="I104" s="4110" t="n"/>
      <c r="J104" s="4111" t="n"/>
      <c r="K104" s="4121" t="n"/>
      <c r="L104" s="4110" t="n"/>
      <c r="M104" s="4110" t="n"/>
      <c r="N104" s="4110" t="n"/>
      <c r="O104" s="4110" t="n"/>
      <c r="P104" s="4110" t="n"/>
      <c r="Q104" s="4110" t="n"/>
      <c r="R104" s="4110" t="n"/>
      <c r="S104" s="4110" t="n"/>
      <c r="T104" s="4110" t="n"/>
      <c r="U104" s="4110" t="n"/>
      <c r="V104" s="4110" t="n"/>
      <c r="W104" s="4110" t="n"/>
      <c r="X104" s="4110" t="n"/>
      <c r="Y104" s="4110" t="n"/>
      <c r="Z104" s="4110" t="n"/>
      <c r="AA104" s="4110" t="n"/>
      <c r="AB104" s="4110" t="n"/>
      <c r="AC104" s="4110" t="n"/>
      <c r="AD104" s="4110" t="n"/>
      <c r="AE104" s="4110" t="n"/>
      <c r="AF104" s="4110" t="n"/>
      <c r="AG104" s="4110" t="n"/>
      <c r="AH104" s="4113" t="n"/>
    </row>
    <row r="105" ht="15" customHeight="1" s="4080">
      <c r="A105" s="2915" t="n"/>
      <c r="B105" s="1264" t="inlineStr">
        <is>
          <t>協力医療機関</t>
        </is>
      </c>
      <c r="C105" s="4098" t="n"/>
      <c r="D105" s="4098" t="n"/>
      <c r="E105" s="4098" t="n"/>
      <c r="F105" s="4098" t="n"/>
      <c r="G105" s="4098" t="n"/>
      <c r="H105" s="4098" t="n"/>
      <c r="I105" s="4098" t="n"/>
      <c r="J105" s="2077" t="n"/>
      <c r="K105" s="1865" t="inlineStr">
        <is>
          <t>ﾌﾘｶﾞﾅ</t>
        </is>
      </c>
      <c r="L105" s="4110" t="n"/>
      <c r="M105" s="4110" t="n"/>
      <c r="N105" s="4432" t="n"/>
      <c r="O105" s="4110" t="n"/>
      <c r="P105" s="4110" t="n"/>
      <c r="Q105" s="4110" t="n"/>
      <c r="R105" s="4110" t="n"/>
      <c r="S105" s="4110" t="n"/>
      <c r="T105" s="4110" t="n"/>
      <c r="U105" s="4110" t="n"/>
      <c r="V105" s="4110" t="n"/>
      <c r="W105" s="4110" t="n"/>
      <c r="X105" s="4110" t="n"/>
      <c r="Y105" s="4110" t="n"/>
      <c r="Z105" s="4110" t="n"/>
      <c r="AA105" s="4110" t="n"/>
      <c r="AB105" s="4111" t="n"/>
      <c r="AC105" s="1439" t="inlineStr">
        <is>
          <t>主な診療科名</t>
        </is>
      </c>
      <c r="AD105" s="4099" t="n"/>
      <c r="AE105" s="4489" t="n"/>
      <c r="AF105" s="4098" t="n"/>
      <c r="AG105" s="4098" t="n"/>
      <c r="AH105" s="4101" t="n"/>
    </row>
    <row r="106" ht="24" customHeight="1" s="4080">
      <c r="A106" s="4114" t="n"/>
      <c r="B106" s="4103" t="n"/>
      <c r="C106" s="4103" t="n"/>
      <c r="D106" s="4103" t="n"/>
      <c r="E106" s="4103" t="n"/>
      <c r="F106" s="4103" t="n"/>
      <c r="G106" s="4103" t="n"/>
      <c r="H106" s="4103" t="n"/>
      <c r="I106" s="4103" t="n"/>
      <c r="J106" s="4104" t="n"/>
      <c r="K106" s="2164" t="inlineStr">
        <is>
          <t>名　称</t>
        </is>
      </c>
      <c r="L106" s="4110" t="n"/>
      <c r="M106" s="4111" t="n"/>
      <c r="N106" s="4123" t="n"/>
      <c r="O106" s="4110" t="n"/>
      <c r="P106" s="4110" t="n"/>
      <c r="Q106" s="4110" t="n"/>
      <c r="R106" s="4110" t="n"/>
      <c r="S106" s="4110" t="n"/>
      <c r="T106" s="4110" t="n"/>
      <c r="U106" s="4110" t="n"/>
      <c r="V106" s="4110" t="n"/>
      <c r="W106" s="4110" t="n"/>
      <c r="X106" s="4110" t="n"/>
      <c r="Y106" s="4110" t="n"/>
      <c r="Z106" s="4110" t="n"/>
      <c r="AA106" s="4110" t="n"/>
      <c r="AB106" s="4111" t="n"/>
      <c r="AC106" s="4103" t="n"/>
      <c r="AD106" s="4104" t="n"/>
      <c r="AE106" s="4102" t="n"/>
      <c r="AF106" s="4103" t="n"/>
      <c r="AG106" s="4103" t="n"/>
      <c r="AH106" s="4105" t="n"/>
    </row>
    <row r="107" ht="17.1" customHeight="1" s="4080" thickBot="1">
      <c r="A107" s="4234" t="inlineStr">
        <is>
          <t>添　　付　　書　　類</t>
        </is>
      </c>
      <c r="B107" s="4153" t="n"/>
      <c r="C107" s="4153" t="n"/>
      <c r="D107" s="4153" t="n"/>
      <c r="E107" s="4153" t="n"/>
      <c r="F107" s="4153" t="n"/>
      <c r="G107" s="4153" t="n"/>
      <c r="H107" s="4153" t="n"/>
      <c r="I107" s="4153" t="n"/>
      <c r="J107" s="4154" t="n"/>
      <c r="K107" s="4235" t="inlineStr">
        <is>
          <t xml:space="preserve">　別紙「添付書類一覧表」のとおり</t>
        </is>
      </c>
      <c r="L107" s="4153" t="n"/>
      <c r="M107" s="4153" t="n"/>
      <c r="N107" s="4153" t="n"/>
      <c r="O107" s="4153" t="n"/>
      <c r="P107" s="4153" t="n"/>
      <c r="Q107" s="4153" t="n"/>
      <c r="R107" s="4153" t="n"/>
      <c r="S107" s="4153" t="n"/>
      <c r="T107" s="4153" t="n"/>
      <c r="U107" s="4153" t="n"/>
      <c r="V107" s="4153" t="n"/>
      <c r="W107" s="4153" t="n"/>
      <c r="X107" s="4153" t="n"/>
      <c r="Y107" s="4153" t="n"/>
      <c r="Z107" s="4153" t="n"/>
      <c r="AA107" s="4153" t="n"/>
      <c r="AB107" s="4153" t="n"/>
      <c r="AC107" s="4153" t="n"/>
      <c r="AD107" s="4153" t="n"/>
      <c r="AE107" s="4153" t="n"/>
      <c r="AF107" s="4153" t="n"/>
      <c r="AG107" s="4153" t="n"/>
      <c r="AH107" s="4155" t="n"/>
    </row>
  </sheetData>
  <mergeCells count="446">
    <mergeCell ref="Z43:AB43"/>
    <mergeCell ref="W47:Y47"/>
    <mergeCell ref="P66:P68"/>
    <mergeCell ref="N42:P42"/>
    <mergeCell ref="K11:AH11"/>
    <mergeCell ref="K106:M106"/>
    <mergeCell ref="K22:Y22"/>
    <mergeCell ref="N102:AH102"/>
    <mergeCell ref="C81:C83"/>
    <mergeCell ref="X27:AH29"/>
    <mergeCell ref="AC34:AH34"/>
    <mergeCell ref="M60:N60"/>
    <mergeCell ref="Q59:V61"/>
    <mergeCell ref="Q44:V44"/>
    <mergeCell ref="V18:AH18"/>
    <mergeCell ref="O96:O98"/>
    <mergeCell ref="L100:N100"/>
    <mergeCell ref="U73:W73"/>
    <mergeCell ref="K38:P38"/>
    <mergeCell ref="C10:E11"/>
    <mergeCell ref="T64:U64"/>
    <mergeCell ref="P84:S84"/>
    <mergeCell ref="T31:V33"/>
    <mergeCell ref="AA2:AA3"/>
    <mergeCell ref="L95:N95"/>
    <mergeCell ref="C63:C65"/>
    <mergeCell ref="W53:Y53"/>
    <mergeCell ref="N30:O33"/>
    <mergeCell ref="AC2:AC3"/>
    <mergeCell ref="P85:T88"/>
    <mergeCell ref="K36:M36"/>
    <mergeCell ref="AD75:AH77"/>
    <mergeCell ref="T54:V54"/>
    <mergeCell ref="F13:I13"/>
    <mergeCell ref="AA66:AA68"/>
    <mergeCell ref="W50:AB50"/>
    <mergeCell ref="C24:J24"/>
    <mergeCell ref="K102:M102"/>
    <mergeCell ref="Q50:V50"/>
    <mergeCell ref="V65:AB65"/>
    <mergeCell ref="C20:AH20"/>
    <mergeCell ref="AA72:AA74"/>
    <mergeCell ref="C55:J55"/>
    <mergeCell ref="W48:Y48"/>
    <mergeCell ref="W81:Z82"/>
    <mergeCell ref="Q48:S48"/>
    <mergeCell ref="C34:J35"/>
    <mergeCell ref="T27:V29"/>
    <mergeCell ref="A1:Y1"/>
    <mergeCell ref="V103:W103"/>
    <mergeCell ref="AE1:AF1"/>
    <mergeCell ref="K49:M49"/>
    <mergeCell ref="T49:V49"/>
    <mergeCell ref="N47:P47"/>
    <mergeCell ref="T42:V42"/>
    <mergeCell ref="AA69:AA71"/>
    <mergeCell ref="C26:E26"/>
    <mergeCell ref="J27:M29"/>
    <mergeCell ref="B105:I106"/>
    <mergeCell ref="C37:J37"/>
    <mergeCell ref="W55:AB55"/>
    <mergeCell ref="AC87:AH87"/>
    <mergeCell ref="Q55:V55"/>
    <mergeCell ref="N70:O70"/>
    <mergeCell ref="Q38:V38"/>
    <mergeCell ref="Z25:AH25"/>
    <mergeCell ref="A62:J62"/>
    <mergeCell ref="Q35:S35"/>
    <mergeCell ref="P30:S30"/>
    <mergeCell ref="AE81:AH82"/>
    <mergeCell ref="T79:V79"/>
    <mergeCell ref="K85:K88"/>
    <mergeCell ref="Q40:V40"/>
    <mergeCell ref="Q49:S49"/>
    <mergeCell ref="Q36:S36"/>
    <mergeCell ref="Z2:Z3"/>
    <mergeCell ref="AB2:AB3"/>
    <mergeCell ref="K107:AH107"/>
    <mergeCell ref="AD2:AD3"/>
    <mergeCell ref="L76:L77"/>
    <mergeCell ref="S75:S77"/>
    <mergeCell ref="K103:M103"/>
    <mergeCell ref="T26:X26"/>
    <mergeCell ref="Z84:AH84"/>
    <mergeCell ref="D63:I65"/>
    <mergeCell ref="N35:P35"/>
    <mergeCell ref="K25:Y25"/>
    <mergeCell ref="X66:X68"/>
    <mergeCell ref="Q54:S54"/>
    <mergeCell ref="N53:P53"/>
    <mergeCell ref="K62:O62"/>
    <mergeCell ref="K76:K77"/>
    <mergeCell ref="AF103:AH103"/>
    <mergeCell ref="Z37:AB37"/>
    <mergeCell ref="P14:Q16"/>
    <mergeCell ref="N48:P48"/>
    <mergeCell ref="K52:M52"/>
    <mergeCell ref="I8:M9"/>
    <mergeCell ref="E102:J103"/>
    <mergeCell ref="T65:U65"/>
    <mergeCell ref="Q46:V46"/>
    <mergeCell ref="L64:L65"/>
    <mergeCell ref="Y67:Z67"/>
    <mergeCell ref="N64:N65"/>
    <mergeCell ref="W42:Y42"/>
    <mergeCell ref="C22:J22"/>
    <mergeCell ref="D92:I92"/>
    <mergeCell ref="K53:M53"/>
    <mergeCell ref="W17:AH17"/>
    <mergeCell ref="N73:O73"/>
    <mergeCell ref="W83:Z83"/>
    <mergeCell ref="S66:T68"/>
    <mergeCell ref="P72:P74"/>
    <mergeCell ref="W19:AH19"/>
    <mergeCell ref="N26:O29"/>
    <mergeCell ref="N54:P54"/>
    <mergeCell ref="AF37:AH37"/>
    <mergeCell ref="M57:N57"/>
    <mergeCell ref="N41:P41"/>
    <mergeCell ref="W34:AB34"/>
    <mergeCell ref="C17:M19"/>
    <mergeCell ref="T14:V16"/>
    <mergeCell ref="Q52:S52"/>
    <mergeCell ref="K64:K65"/>
    <mergeCell ref="N43:P43"/>
    <mergeCell ref="M64:M65"/>
    <mergeCell ref="J63:J65"/>
    <mergeCell ref="C14:E16"/>
    <mergeCell ref="N66:O66"/>
    <mergeCell ref="Z21:AH21"/>
    <mergeCell ref="J75:J77"/>
    <mergeCell ref="F27:I29"/>
    <mergeCell ref="K81:N82"/>
    <mergeCell ref="T94:V94"/>
    <mergeCell ref="X69:X71"/>
    <mergeCell ref="AF42:AH42"/>
    <mergeCell ref="Z23:AH23"/>
    <mergeCell ref="V76:AB76"/>
    <mergeCell ref="AF47:AH47"/>
    <mergeCell ref="I10:K10"/>
    <mergeCell ref="T95:V95"/>
    <mergeCell ref="AC51:AH51"/>
    <mergeCell ref="J81:J83"/>
    <mergeCell ref="Z24:AH24"/>
    <mergeCell ref="C7:E9"/>
    <mergeCell ref="J85:J88"/>
    <mergeCell ref="T84:X84"/>
    <mergeCell ref="V77:AB77"/>
    <mergeCell ref="V86:AA86"/>
    <mergeCell ref="X14:AH16"/>
    <mergeCell ref="AF48:AH48"/>
    <mergeCell ref="C48:J48"/>
    <mergeCell ref="Q76:Q77"/>
    <mergeCell ref="P96:AH98"/>
    <mergeCell ref="A12:S12"/>
    <mergeCell ref="N8:O9"/>
    <mergeCell ref="Q51:V51"/>
    <mergeCell ref="AF10:AH10"/>
    <mergeCell ref="S17:U19"/>
    <mergeCell ref="AE83:AH83"/>
    <mergeCell ref="D97:I97"/>
    <mergeCell ref="C85:C86"/>
    <mergeCell ref="L88:N88"/>
    <mergeCell ref="AC42:AE42"/>
    <mergeCell ref="AB78:AH80"/>
    <mergeCell ref="Z35:AB35"/>
    <mergeCell ref="N67:O67"/>
    <mergeCell ref="F30:I30"/>
    <mergeCell ref="C36:J36"/>
    <mergeCell ref="Z36:AB36"/>
    <mergeCell ref="L86:L87"/>
    <mergeCell ref="N86:N87"/>
    <mergeCell ref="N69:O69"/>
    <mergeCell ref="V66:W66"/>
    <mergeCell ref="AB94:AD94"/>
    <mergeCell ref="N37:P37"/>
    <mergeCell ref="K104:AH104"/>
    <mergeCell ref="T47:V47"/>
    <mergeCell ref="W35:Y35"/>
    <mergeCell ref="AF94:AH95"/>
    <mergeCell ref="P13:S13"/>
    <mergeCell ref="Q10:S10"/>
    <mergeCell ref="F4:AH4"/>
    <mergeCell ref="U2:X3"/>
    <mergeCell ref="E104:J104"/>
    <mergeCell ref="AB66:AH68"/>
    <mergeCell ref="D75:I77"/>
    <mergeCell ref="X72:X74"/>
    <mergeCell ref="C5:E6"/>
    <mergeCell ref="K83:N83"/>
    <mergeCell ref="A13:B25"/>
    <mergeCell ref="L96:N96"/>
    <mergeCell ref="J14:M16"/>
    <mergeCell ref="D66:I74"/>
    <mergeCell ref="A107:J107"/>
    <mergeCell ref="C66:C74"/>
    <mergeCell ref="T52:V52"/>
    <mergeCell ref="F7:I7"/>
    <mergeCell ref="AC52:AE52"/>
    <mergeCell ref="J105:J106"/>
    <mergeCell ref="R99:AA101"/>
    <mergeCell ref="T13:X13"/>
    <mergeCell ref="Z49:AB49"/>
    <mergeCell ref="K92:AH92"/>
    <mergeCell ref="AC37:AE37"/>
    <mergeCell ref="C4:E4"/>
    <mergeCell ref="AC47:AE47"/>
    <mergeCell ref="AA81:AD82"/>
    <mergeCell ref="Q56:AH58"/>
    <mergeCell ref="S81:V82"/>
    <mergeCell ref="W54:Y54"/>
    <mergeCell ref="AG1:AH1"/>
    <mergeCell ref="W41:Y41"/>
    <mergeCell ref="C31:E33"/>
    <mergeCell ref="Z52:AB52"/>
    <mergeCell ref="W43:Y43"/>
    <mergeCell ref="AB95:AD95"/>
    <mergeCell ref="N72:O72"/>
    <mergeCell ref="K42:M42"/>
    <mergeCell ref="D93:I93"/>
    <mergeCell ref="P31:Q33"/>
    <mergeCell ref="M86:M87"/>
    <mergeCell ref="R76:R77"/>
    <mergeCell ref="U67:W67"/>
    <mergeCell ref="K69:M71"/>
    <mergeCell ref="K37:M37"/>
    <mergeCell ref="K34:P34"/>
    <mergeCell ref="L98:N98"/>
    <mergeCell ref="K84:N84"/>
    <mergeCell ref="C39:J41"/>
    <mergeCell ref="F26:I26"/>
    <mergeCell ref="Y12:Z12"/>
    <mergeCell ref="AA12:AB12"/>
    <mergeCell ref="AA78:AA80"/>
    <mergeCell ref="T53:V53"/>
    <mergeCell ref="AC86:AH86"/>
    <mergeCell ref="V87:AA87"/>
    <mergeCell ref="AF54:AH54"/>
    <mergeCell ref="AC53:AE53"/>
    <mergeCell ref="K44:P44"/>
    <mergeCell ref="C94:C95"/>
    <mergeCell ref="K72:M74"/>
    <mergeCell ref="C99:D104"/>
    <mergeCell ref="E99:J101"/>
    <mergeCell ref="AB100:AC100"/>
    <mergeCell ref="W46:AB46"/>
    <mergeCell ref="C25:J25"/>
    <mergeCell ref="S63:S65"/>
    <mergeCell ref="O76:O77"/>
    <mergeCell ref="AB103:AD103"/>
    <mergeCell ref="T37:V37"/>
    <mergeCell ref="AC41:AE41"/>
    <mergeCell ref="T48:V48"/>
    <mergeCell ref="Q42:S42"/>
    <mergeCell ref="C38:J38"/>
    <mergeCell ref="Z1:AA1"/>
    <mergeCell ref="P79:Q79"/>
    <mergeCell ref="X31:AH33"/>
    <mergeCell ref="K47:M47"/>
    <mergeCell ref="T30:X30"/>
    <mergeCell ref="F5:AH6"/>
    <mergeCell ref="AC43:AE43"/>
    <mergeCell ref="S83:V83"/>
    <mergeCell ref="Q34:V34"/>
    <mergeCell ref="C51:J52"/>
    <mergeCell ref="D94:I95"/>
    <mergeCell ref="Z48:AB48"/>
    <mergeCell ref="P26:S26"/>
    <mergeCell ref="AF2:AF3"/>
    <mergeCell ref="AH2:AH3"/>
    <mergeCell ref="K39:AH39"/>
    <mergeCell ref="N49:P49"/>
    <mergeCell ref="C13:E13"/>
    <mergeCell ref="J7:N7"/>
    <mergeCell ref="N36:P36"/>
    <mergeCell ref="T10:W10"/>
    <mergeCell ref="AC48:AE48"/>
    <mergeCell ref="Q47:S47"/>
    <mergeCell ref="O81:R82"/>
    <mergeCell ref="V63:AB63"/>
    <mergeCell ref="P94:R94"/>
    <mergeCell ref="K35:M35"/>
    <mergeCell ref="K21:Y21"/>
    <mergeCell ref="AC63:AC65"/>
    <mergeCell ref="W51:AB51"/>
    <mergeCell ref="P95:R95"/>
    <mergeCell ref="K50:P50"/>
    <mergeCell ref="P7:AH9"/>
    <mergeCell ref="N13:O16"/>
    <mergeCell ref="J31:M33"/>
    <mergeCell ref="T63:U63"/>
    <mergeCell ref="C54:J54"/>
    <mergeCell ref="AF41:AH41"/>
    <mergeCell ref="K48:M48"/>
    <mergeCell ref="AF35:AH35"/>
    <mergeCell ref="X10:Z10"/>
    <mergeCell ref="U12:V12"/>
    <mergeCell ref="AB10:AD10"/>
    <mergeCell ref="W12:X12"/>
    <mergeCell ref="C43:J43"/>
    <mergeCell ref="T76:U76"/>
    <mergeCell ref="N103:U103"/>
    <mergeCell ref="AF36:AH36"/>
    <mergeCell ref="S69:T71"/>
    <mergeCell ref="C30:E30"/>
    <mergeCell ref="Y70:Z70"/>
    <mergeCell ref="Q70:R70"/>
    <mergeCell ref="AA59:AB61"/>
    <mergeCell ref="T35:V35"/>
    <mergeCell ref="K55:P55"/>
    <mergeCell ref="N105:AB105"/>
    <mergeCell ref="K41:M41"/>
    <mergeCell ref="K46:P46"/>
    <mergeCell ref="AD100:AG100"/>
    <mergeCell ref="N52:P52"/>
    <mergeCell ref="K40:P40"/>
    <mergeCell ref="A63:B104"/>
    <mergeCell ref="K105:M105"/>
    <mergeCell ref="K43:M43"/>
    <mergeCell ref="AE2:AE3"/>
    <mergeCell ref="AG2:AG3"/>
    <mergeCell ref="Y2:Y3"/>
    <mergeCell ref="X94:Z94"/>
    <mergeCell ref="C44:J44"/>
    <mergeCell ref="AC105:AD106"/>
    <mergeCell ref="Q2:S2"/>
    <mergeCell ref="O100:Q100"/>
    <mergeCell ref="AC59:AH61"/>
    <mergeCell ref="J13:M13"/>
    <mergeCell ref="X79:Y79"/>
    <mergeCell ref="Q53:S53"/>
    <mergeCell ref="AF43:AH43"/>
    <mergeCell ref="W44:AB44"/>
    <mergeCell ref="F10:H10"/>
    <mergeCell ref="W59:Z61"/>
    <mergeCell ref="K54:M54"/>
    <mergeCell ref="AE94:AE95"/>
    <mergeCell ref="C49:J49"/>
    <mergeCell ref="T77:U77"/>
    <mergeCell ref="K96:K98"/>
    <mergeCell ref="C42:J42"/>
    <mergeCell ref="Q64:Q65"/>
    <mergeCell ref="A105:A106"/>
    <mergeCell ref="C89:J91"/>
    <mergeCell ref="S72:T74"/>
    <mergeCell ref="L85:N85"/>
    <mergeCell ref="C78:C80"/>
    <mergeCell ref="Y73:Z73"/>
    <mergeCell ref="Q73:R73"/>
    <mergeCell ref="AC44:AH44"/>
    <mergeCell ref="K23:Y23"/>
    <mergeCell ref="P69:P71"/>
    <mergeCell ref="Q41:S41"/>
    <mergeCell ref="J94:J95"/>
    <mergeCell ref="W38:AB38"/>
    <mergeCell ref="J30:M30"/>
    <mergeCell ref="A4:B11"/>
    <mergeCell ref="O85:O88"/>
    <mergeCell ref="Q43:S43"/>
    <mergeCell ref="W40:AB40"/>
    <mergeCell ref="X95:Z95"/>
    <mergeCell ref="D84:I84"/>
    <mergeCell ref="W36:Y36"/>
    <mergeCell ref="N76:N77"/>
    <mergeCell ref="P76:P77"/>
    <mergeCell ref="AB1:AD1"/>
    <mergeCell ref="F31:I33"/>
    <mergeCell ref="V75:AB75"/>
    <mergeCell ref="Z22:AH22"/>
    <mergeCell ref="AC12:AD12"/>
    <mergeCell ref="AE12:AF12"/>
    <mergeCell ref="AD63:AH65"/>
    <mergeCell ref="Z42:AB42"/>
    <mergeCell ref="N2:O2"/>
    <mergeCell ref="AB69:AH71"/>
    <mergeCell ref="C50:J50"/>
    <mergeCell ref="D78:I80"/>
    <mergeCell ref="P27:Q29"/>
    <mergeCell ref="A34:B55"/>
    <mergeCell ref="M76:M77"/>
    <mergeCell ref="AF52:AH52"/>
    <mergeCell ref="N17:R17"/>
    <mergeCell ref="V64:AB64"/>
    <mergeCell ref="N19:R19"/>
    <mergeCell ref="T75:U75"/>
    <mergeCell ref="W49:Y49"/>
    <mergeCell ref="C87:C88"/>
    <mergeCell ref="AF49:AH49"/>
    <mergeCell ref="K24:Y24"/>
    <mergeCell ref="P64:P65"/>
    <mergeCell ref="R64:R65"/>
    <mergeCell ref="K51:P51"/>
    <mergeCell ref="X103:Z103"/>
    <mergeCell ref="F11:J11"/>
    <mergeCell ref="AA83:AD83"/>
    <mergeCell ref="Z47:AB47"/>
    <mergeCell ref="AC35:AE35"/>
    <mergeCell ref="C45:J47"/>
    <mergeCell ref="AE105:AH106"/>
    <mergeCell ref="D85:I88"/>
    <mergeCell ref="L79:N79"/>
    <mergeCell ref="A59:J61"/>
    <mergeCell ref="F14:I16"/>
    <mergeCell ref="Q67:R67"/>
    <mergeCell ref="T41:V41"/>
    <mergeCell ref="C27:E29"/>
    <mergeCell ref="AC50:AH50"/>
    <mergeCell ref="W52:Y52"/>
    <mergeCell ref="O64:O65"/>
    <mergeCell ref="T43:V43"/>
    <mergeCell ref="AC75:AC77"/>
    <mergeCell ref="O83:R83"/>
    <mergeCell ref="W37:Y37"/>
    <mergeCell ref="T36:V36"/>
    <mergeCell ref="F8:H9"/>
    <mergeCell ref="J26:M26"/>
    <mergeCell ref="AB72:AH74"/>
    <mergeCell ref="U70:W70"/>
    <mergeCell ref="AF53:AH53"/>
    <mergeCell ref="C53:J53"/>
    <mergeCell ref="D81:I83"/>
    <mergeCell ref="Z53:AB53"/>
    <mergeCell ref="A56:J58"/>
    <mergeCell ref="M10:O10"/>
    <mergeCell ref="R79:S79"/>
    <mergeCell ref="AC55:AH55"/>
    <mergeCell ref="AC38:AH38"/>
    <mergeCell ref="AC54:AE54"/>
    <mergeCell ref="L94:N94"/>
    <mergeCell ref="J66:J74"/>
    <mergeCell ref="AC46:AH46"/>
    <mergeCell ref="AC40:AH40"/>
    <mergeCell ref="A26:B33"/>
    <mergeCell ref="AC49:AE49"/>
    <mergeCell ref="C21:J21"/>
    <mergeCell ref="J78:J80"/>
    <mergeCell ref="AC36:AE36"/>
    <mergeCell ref="K66:M68"/>
    <mergeCell ref="C23:J23"/>
    <mergeCell ref="K93:AH93"/>
    <mergeCell ref="C75:C77"/>
    <mergeCell ref="Q37:S37"/>
    <mergeCell ref="Z54:AB54"/>
    <mergeCell ref="Z41:AB41"/>
    <mergeCell ref="N106:AB106"/>
    <mergeCell ref="K45:AH45"/>
  </mergeCells>
  <conditionalFormatting sqref="K53:P54 AC42:AH43">
    <cfRule type="cellIs" priority="1" operator="lessThanOrEqual" dxfId="0" stopIfTrue="1">
      <formula>0</formula>
    </cfRule>
  </conditionalFormatting>
  <dataValidations count="11">
    <dataValidation sqref="M10:O10 Q10:S10 X10:Z10 AB10:AD10 AF10:AH10" showDropDown="0" showInputMessage="1" showErrorMessage="1" allowBlank="1" error="全角数字で入力してください" imeMode="fullAlpha"/>
    <dataValidation sqref="Q51:AH51" showDropDown="0" showInputMessage="1" showErrorMessage="1" allowBlank="1" type="list" errorStyle="information">
      <formula1>"　,職業指導員,あん摩マッサージ指圧師,介護職員,保育士,事務職員,調理員,栄養士,運転手"</formula1>
    </dataValidation>
    <dataValidation sqref="K36:AH38 K42:AH44 K48:AH50 K53:AH55 K59:P61 Q59 AA59 AC59" showDropDown="0" showInputMessage="1" showErrorMessage="1" allowBlank="1" imeMode="halfAlpha"/>
    <dataValidation sqref="L79 N67 N70 N73 T79 U67:V67 U70:V70 U73:V73" showDropDown="0" showInputMessage="1" showErrorMessage="1" allowBlank="1" type="list">
      <formula1>"　,１,２,３,４,５,６,７,８,９,１０,１１,１２,１３,１４,１５,１６,１７,１８,１９,２０,２１,２２,２３,２４"</formula1>
    </dataValidation>
    <dataValidation sqref="K64:R65 K76:R77 K83 O83 S83 W83 AA83 AE83" showDropDown="0" showInputMessage="1" showErrorMessage="1" allowBlank="1" type="list">
      <formula1>"　,○"</formula1>
    </dataValidation>
    <dataValidation sqref="AB85:AH85 AB88:AH91" showDropDown="0" showInputMessage="1" showErrorMessage="1" allowBlank="1" type="list">
      <formula1>"　,サービス提供責任者,事務職員,サービス提供責任者、事務職員"</formula1>
    </dataValidation>
    <dataValidation sqref="V86:AA87 AC86:AH87" showDropDown="0" showInputMessage="1" showErrorMessage="1" allowBlank="1" error="このサービスの組み合わせは、多機能型では選択できません" type="list">
      <formula1>"　,児童デイサービス,自立訓練(生活訓練),自立訓練(機能訓練),就労移行支援,就労継続支援(A型),就労継続支援(B型)"</formula1>
    </dataValidation>
    <dataValidation sqref="I10:K10 J7:N7 K84:N84 T13:X13 T26:X26 T30:X30 T84:X84 U12:V12 W59 X103 Y2:AH3 Y12:Z12 AB103:AD103 AC12:AD12 AF103" showDropDown="0" showInputMessage="1" showErrorMessage="1" allowBlank="1" imeMode="fullAlpha"/>
    <dataValidation sqref="F4:AH4 F13:M13 F26:M26 F30:M30 J105 N105 AE105" showDropDown="0" showInputMessage="1" showErrorMessage="1" allowBlank="1" imeMode="halfKatakana"/>
    <dataValidation sqref="K92:AH92" showDropDown="0" showInputMessage="1" showErrorMessage="1" allowBlank="1" type="list" errorStyle="warning">
      <formula1>"　,法定代理受領分：厚生労働大臣が定める基準の10/100、法定代理受領分以外：厚生労働大臣が定める基準"</formula1>
    </dataValidation>
    <dataValidation sqref="K93:AH93" showDropDown="0" showInputMessage="1" showErrorMessage="1" allowBlank="1" type="list">
      <formula1>"　,運営規程に定めるとおり"</formula1>
    </dataValidation>
  </dataValidations>
  <printOptions horizontalCentered="1"/>
  <pageMargins left="0.7086614173228347" right="0.5905511811023623" top="0.63" bottom="0.3937007874015748" header="0.5118110236220472" footer="0.5118110236220472"/>
  <pageSetup orientation="portrait" paperSize="9"/>
  <rowBreaks count="1" manualBreakCount="1">
    <brk id="62" min="0" max="33" man="1"/>
  </rowBreaks>
  <legacyDrawing xmlns:r="http://schemas.openxmlformats.org/officeDocument/2006/relationships" r:id="anysvml"/>
</worksheet>
</file>

<file path=xl/worksheets/sheet12.xml><?xml version="1.0" encoding="utf-8"?>
<worksheet xmlns="http://schemas.openxmlformats.org/spreadsheetml/2006/main">
  <sheetPr codeName="Sheet11">
    <outlinePr summaryBelow="1" summaryRight="1"/>
    <pageSetUpPr/>
  </sheetPr>
  <dimension ref="A1:AN101"/>
  <sheetViews>
    <sheetView showGridLines="0" view="pageBreakPreview" zoomScaleNormal="100" workbookViewId="0">
      <selection activeCell="AN1" sqref="AN1"/>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33.75" customHeight="1" s="4080" thickBot="1">
      <c r="A1" s="1213" t="inlineStr">
        <is>
          <t>付表７　自立訓練（生活訓練）事業所の指定に係る記載事項</t>
        </is>
      </c>
      <c r="Z1" s="1753" t="n"/>
      <c r="AA1" s="4087" t="n"/>
      <c r="AB1" s="1754" t="n"/>
      <c r="AC1" s="4087" t="n"/>
      <c r="AD1" s="4087" t="n"/>
      <c r="AE1" s="1753" t="n"/>
      <c r="AF1" s="4087" t="n"/>
      <c r="AG1" s="1755" t="n"/>
      <c r="AH1" s="4087" t="n"/>
      <c r="AN1" s="719">
        <f>HYPERLINK("#目次!A1","目次へ戻る")</f>
        <v/>
      </c>
    </row>
    <row r="2" ht="15" customHeight="1" s="4080">
      <c r="B2" s="45" t="n"/>
      <c r="C2" s="45" t="n"/>
      <c r="D2" s="45" t="n"/>
      <c r="E2" s="1889" t="n"/>
      <c r="F2" s="1889" t="n"/>
      <c r="G2" s="1889" t="n"/>
      <c r="H2" s="2069" t="n"/>
      <c r="I2" s="1889" t="n"/>
      <c r="J2" s="1889" t="n"/>
      <c r="K2" s="1889" t="n"/>
      <c r="L2" s="1889" t="n"/>
      <c r="M2" s="45" t="inlineStr">
        <is>
          <t>（</t>
        </is>
      </c>
      <c r="N2" s="1889" t="inlineStr">
        <is>
          <t>単独</t>
        </is>
      </c>
      <c r="P2" s="2069" t="inlineStr">
        <is>
          <t>・</t>
        </is>
      </c>
      <c r="Q2" s="1889" t="inlineStr">
        <is>
          <t>多機能</t>
        </is>
      </c>
      <c r="T2" s="1667" t="inlineStr">
        <is>
          <t>）</t>
        </is>
      </c>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4179" t="inlineStr">
        <is>
          <t>事業所</t>
        </is>
      </c>
      <c r="B4" s="4082"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2" customHeight="1" s="4080">
      <c r="A5" s="4097" t="n"/>
      <c r="C5" s="4181" t="inlineStr">
        <is>
          <t>名　称</t>
        </is>
      </c>
      <c r="D5" s="4098" t="n"/>
      <c r="E5" s="4099" t="n"/>
      <c r="F5" s="4182"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2"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C7" s="4181" t="inlineStr">
        <is>
          <t>所在地</t>
        </is>
      </c>
      <c r="D7" s="4098" t="n"/>
      <c r="E7" s="4099" t="n"/>
      <c r="F7" s="1244" t="inlineStr">
        <is>
          <t>郵便番号（</t>
        </is>
      </c>
      <c r="G7" s="4098" t="n"/>
      <c r="H7" s="4098" t="n"/>
      <c r="I7" s="4098" t="n"/>
      <c r="J7" s="1287" t="n"/>
      <c r="K7" s="4098" t="n"/>
      <c r="L7" s="4098" t="n"/>
      <c r="M7" s="4098" t="n"/>
      <c r="N7" s="4098" t="n"/>
      <c r="O7" s="1329" t="inlineStr">
        <is>
          <t>）</t>
        </is>
      </c>
      <c r="P7" s="4311"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986" t="n"/>
      <c r="N8" s="1260" t="inlineStr">
        <is>
          <t>区</t>
        </is>
      </c>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882" t="n"/>
      <c r="J10" s="4110" t="n"/>
      <c r="K10" s="4110" t="n"/>
      <c r="L10" s="53" t="inlineStr">
        <is>
          <t>－</t>
        </is>
      </c>
      <c r="M10" s="920" t="n"/>
      <c r="N10" s="4110" t="n"/>
      <c r="O10" s="4110" t="n"/>
      <c r="P10" s="53" t="inlineStr">
        <is>
          <t>－</t>
        </is>
      </c>
      <c r="Q10" s="878" t="n"/>
      <c r="R10" s="4110" t="n"/>
      <c r="S10" s="4111" t="n"/>
      <c r="T10" s="4184" t="inlineStr">
        <is>
          <t>ＦＡＸ番号</t>
        </is>
      </c>
      <c r="U10" s="4110" t="n"/>
      <c r="V10" s="4110" t="n"/>
      <c r="W10" s="4111" t="n"/>
      <c r="X10" s="882" t="n"/>
      <c r="Y10" s="4110" t="n"/>
      <c r="Z10" s="4110" t="n"/>
      <c r="AA10" s="53" t="inlineStr">
        <is>
          <t>－</t>
        </is>
      </c>
      <c r="AB10" s="920" t="n"/>
      <c r="AC10" s="4110" t="n"/>
      <c r="AD10" s="4110" t="n"/>
      <c r="AE10" s="53" t="inlineStr">
        <is>
          <t>－</t>
        </is>
      </c>
      <c r="AF10" s="955" t="n"/>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18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54" t="n"/>
      <c r="V12" s="4110" t="n"/>
      <c r="W12" s="1264" t="inlineStr">
        <is>
          <t>条第</t>
        </is>
      </c>
      <c r="X12" s="4110" t="n"/>
      <c r="Y12" s="954" t="n"/>
      <c r="Z12" s="4110" t="n"/>
      <c r="AA12" s="1264" t="inlineStr">
        <is>
          <t>項第</t>
        </is>
      </c>
      <c r="AB12" s="4110" t="n"/>
      <c r="AC12" s="954" t="n"/>
      <c r="AD12" s="4110" t="n"/>
      <c r="AE12" s="1264" t="inlineStr">
        <is>
          <t>号（</t>
        </is>
      </c>
      <c r="AF12" s="4110" t="n"/>
      <c r="AG12" s="954" t="n"/>
      <c r="AH12" s="2827" t="inlineStr">
        <is>
          <t>）</t>
        </is>
      </c>
    </row>
    <row r="13" ht="12" customHeight="1" s="4080">
      <c r="A13" s="4188" t="inlineStr">
        <is>
          <t>管　　理　　者</t>
        </is>
      </c>
      <c r="B13" s="4099" t="n"/>
      <c r="C13" s="4184" t="inlineStr">
        <is>
          <t>ﾌﾘｶﾞﾅ</t>
        </is>
      </c>
      <c r="D13" s="4110" t="n"/>
      <c r="E13" s="4111" t="n"/>
      <c r="F13" s="1278" t="n"/>
      <c r="G13" s="4110" t="n"/>
      <c r="H13" s="4110" t="n"/>
      <c r="I13" s="4189" t="n"/>
      <c r="J13" s="1279" t="n"/>
      <c r="K13" s="4110" t="n"/>
      <c r="L13" s="4110" t="n"/>
      <c r="M13" s="4189" t="n"/>
      <c r="N13" s="4185" t="inlineStr">
        <is>
          <t>住所</t>
        </is>
      </c>
      <c r="O13" s="4099" t="n"/>
      <c r="P13" s="1244" t="inlineStr">
        <is>
          <t>郵便番号（</t>
        </is>
      </c>
      <c r="Q13" s="4098" t="n"/>
      <c r="R13" s="4098" t="n"/>
      <c r="S13" s="4098" t="n"/>
      <c r="T13" s="1287" t="n"/>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278" t="n"/>
      <c r="G14" s="4098" t="n"/>
      <c r="H14" s="4098" t="n"/>
      <c r="I14" s="4190" t="n"/>
      <c r="J14" s="1279" t="n"/>
      <c r="K14" s="4098" t="n"/>
      <c r="L14" s="4098" t="n"/>
      <c r="M14" s="4190" t="n"/>
      <c r="N14" s="4106" t="n"/>
      <c r="O14" s="4107" t="n"/>
      <c r="P14" s="1318" t="n"/>
      <c r="R14" s="2378" t="inlineStr">
        <is>
          <t>都</t>
        </is>
      </c>
      <c r="S14" s="2378" t="inlineStr">
        <is>
          <t>道</t>
        </is>
      </c>
      <c r="T14" s="1319" t="n"/>
      <c r="W14" s="2378" t="inlineStr">
        <is>
          <t>郡</t>
        </is>
      </c>
      <c r="X14" s="1321" t="n"/>
      <c r="AH14" s="4109" t="n"/>
    </row>
    <row r="15" ht="12" customHeight="1" s="4080">
      <c r="A15" s="4097" t="n"/>
      <c r="B15" s="4107" t="n"/>
      <c r="C15" s="4106" t="n"/>
      <c r="E15" s="4107" t="n"/>
      <c r="F15" s="4106" t="n"/>
      <c r="I15" s="4191" t="n"/>
      <c r="J15" s="4192" t="n"/>
      <c r="M15" s="4191" t="n"/>
      <c r="N15" s="4106" t="n"/>
      <c r="O15" s="4107" t="n"/>
      <c r="P15" s="4106" t="n"/>
      <c r="R15" s="2378" t="inlineStr">
        <is>
          <t>府</t>
        </is>
      </c>
      <c r="S15" s="2378" t="inlineStr">
        <is>
          <t>県</t>
        </is>
      </c>
      <c r="W15" s="2378"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1325" t="inlineStr">
        <is>
          <t>無</t>
        </is>
      </c>
      <c r="R18" s="1332" t="n"/>
      <c r="S18" s="4106" t="n"/>
      <c r="U18" s="4107" t="n"/>
      <c r="V18" s="4196"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5" customHeight="1" s="4080">
      <c r="A20" s="4097" t="n"/>
      <c r="B20" s="4107" t="n"/>
      <c r="C20" s="4220" t="inlineStr">
        <is>
          <t xml:space="preserve">　　他の事業所又は施設を兼務する場合、当該兼務する事業所等の名称等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5" customHeight="1" s="4080">
      <c r="A21" s="4097" t="n"/>
      <c r="B21" s="4107" t="n"/>
      <c r="C21" s="2163" t="inlineStr">
        <is>
          <t>事業所名</t>
        </is>
      </c>
      <c r="D21" s="4110" t="n"/>
      <c r="E21" s="4110" t="n"/>
      <c r="F21" s="4110" t="n"/>
      <c r="G21" s="4110" t="n"/>
      <c r="H21" s="4110" t="n"/>
      <c r="I21" s="4110" t="n"/>
      <c r="J21" s="4111" t="n"/>
      <c r="K21" s="2164" t="inlineStr">
        <is>
          <t>サービス種別</t>
        </is>
      </c>
      <c r="L21" s="4110" t="n"/>
      <c r="M21" s="4110" t="n"/>
      <c r="N21" s="4110" t="n"/>
      <c r="O21" s="4110" t="n"/>
      <c r="P21" s="4110" t="n"/>
      <c r="Q21" s="4110" t="n"/>
      <c r="R21" s="4110" t="n"/>
      <c r="S21" s="4110" t="n"/>
      <c r="T21" s="4110" t="n"/>
      <c r="U21" s="4110" t="n"/>
      <c r="V21" s="4110" t="n"/>
      <c r="W21" s="4110" t="n"/>
      <c r="X21" s="4110" t="n"/>
      <c r="Y21" s="4111" t="n"/>
      <c r="Z21" s="2165" t="inlineStr">
        <is>
          <t>職種</t>
        </is>
      </c>
      <c r="AA21" s="4110" t="n"/>
      <c r="AB21" s="4110" t="n"/>
      <c r="AC21" s="4110" t="n"/>
      <c r="AD21" s="4110" t="n"/>
      <c r="AE21" s="4110" t="n"/>
      <c r="AF21" s="4110" t="n"/>
      <c r="AG21" s="4110" t="n"/>
      <c r="AH21" s="4111" t="n"/>
    </row>
    <row r="22" ht="15" customHeight="1" s="4080">
      <c r="A22" s="4097" t="n"/>
      <c r="B22" s="4107" t="n"/>
      <c r="C22" s="2178" t="n"/>
      <c r="D22" s="4098" t="n"/>
      <c r="E22" s="4098" t="n"/>
      <c r="F22" s="4098" t="n"/>
      <c r="G22" s="4098" t="n"/>
      <c r="H22" s="4098" t="n"/>
      <c r="I22" s="4098" t="n"/>
      <c r="J22" s="4099" t="n"/>
      <c r="K22" s="2179" t="n"/>
      <c r="L22" s="4098" t="n"/>
      <c r="M22" s="4098" t="n"/>
      <c r="N22" s="4098" t="n"/>
      <c r="O22" s="4098" t="n"/>
      <c r="P22" s="4098" t="n"/>
      <c r="Q22" s="4098" t="n"/>
      <c r="R22" s="4098" t="n"/>
      <c r="S22" s="4098" t="n"/>
      <c r="T22" s="4098" t="n"/>
      <c r="U22" s="4098" t="n"/>
      <c r="V22" s="4098" t="n"/>
      <c r="W22" s="4098" t="n"/>
      <c r="X22" s="4098" t="n"/>
      <c r="Y22" s="4099" t="n"/>
      <c r="Z22" s="2180" t="n"/>
      <c r="AA22" s="4098" t="n"/>
      <c r="AB22" s="4098" t="n"/>
      <c r="AC22" s="4098" t="n"/>
      <c r="AD22" s="4098" t="n"/>
      <c r="AE22" s="4098" t="n"/>
      <c r="AF22" s="4098" t="n"/>
      <c r="AG22" s="4098" t="n"/>
      <c r="AH22" s="4099" t="n"/>
    </row>
    <row r="23" ht="15" customHeight="1" s="4080">
      <c r="A23" s="4097" t="n"/>
      <c r="B23" s="4107" t="n"/>
      <c r="C23" s="2167" t="n"/>
      <c r="D23" s="4457" t="n"/>
      <c r="E23" s="4457" t="n"/>
      <c r="F23" s="4457" t="n"/>
      <c r="G23" s="4457" t="n"/>
      <c r="H23" s="4457" t="n"/>
      <c r="I23" s="4457" t="n"/>
      <c r="J23" s="4458" t="n"/>
      <c r="K23" s="2168" t="n"/>
      <c r="L23" s="4457" t="n"/>
      <c r="M23" s="4457" t="n"/>
      <c r="N23" s="4457" t="n"/>
      <c r="O23" s="4457" t="n"/>
      <c r="P23" s="4457" t="n"/>
      <c r="Q23" s="4457" t="n"/>
      <c r="R23" s="4457" t="n"/>
      <c r="S23" s="4457" t="n"/>
      <c r="T23" s="4457" t="n"/>
      <c r="U23" s="4457" t="n"/>
      <c r="V23" s="4457" t="n"/>
      <c r="W23" s="4457" t="n"/>
      <c r="X23" s="4457" t="n"/>
      <c r="Y23" s="4458" t="n"/>
      <c r="Z23" s="2169" t="n"/>
      <c r="AA23" s="4457" t="n"/>
      <c r="AB23" s="4457" t="n"/>
      <c r="AC23" s="4457" t="n"/>
      <c r="AD23" s="4457" t="n"/>
      <c r="AE23" s="4457" t="n"/>
      <c r="AF23" s="4457" t="n"/>
      <c r="AG23" s="4457" t="n"/>
      <c r="AH23" s="4458" t="n"/>
    </row>
    <row r="24" ht="15" customHeight="1" s="4080">
      <c r="A24" s="4097" t="n"/>
      <c r="B24" s="4107" t="n"/>
      <c r="C24" s="2167" t="n"/>
      <c r="D24" s="4457" t="n"/>
      <c r="E24" s="4457" t="n"/>
      <c r="F24" s="4457" t="n"/>
      <c r="G24" s="4457" t="n"/>
      <c r="H24" s="4457" t="n"/>
      <c r="I24" s="4457" t="n"/>
      <c r="J24" s="4458" t="n"/>
      <c r="K24" s="2168" t="n"/>
      <c r="L24" s="4457" t="n"/>
      <c r="M24" s="4457" t="n"/>
      <c r="N24" s="4457" t="n"/>
      <c r="O24" s="4457" t="n"/>
      <c r="P24" s="4457" t="n"/>
      <c r="Q24" s="4457" t="n"/>
      <c r="R24" s="4457" t="n"/>
      <c r="S24" s="4457" t="n"/>
      <c r="T24" s="4457" t="n"/>
      <c r="U24" s="4457" t="n"/>
      <c r="V24" s="4457" t="n"/>
      <c r="W24" s="4457" t="n"/>
      <c r="X24" s="4457" t="n"/>
      <c r="Y24" s="4458" t="n"/>
      <c r="Z24" s="2169" t="n"/>
      <c r="AA24" s="4457" t="n"/>
      <c r="AB24" s="4457" t="n"/>
      <c r="AC24" s="4457" t="n"/>
      <c r="AD24" s="4457" t="n"/>
      <c r="AE24" s="4457" t="n"/>
      <c r="AF24" s="4457" t="n"/>
      <c r="AG24" s="4457" t="n"/>
      <c r="AH24" s="4458" t="n"/>
    </row>
    <row r="25" ht="15" customHeight="1" s="4080">
      <c r="A25" s="4097" t="n"/>
      <c r="B25" s="4107" t="n"/>
      <c r="C25" s="2171" t="n"/>
      <c r="D25" s="4459" t="n"/>
      <c r="E25" s="4459" t="n"/>
      <c r="F25" s="4459" t="n"/>
      <c r="G25" s="4459" t="n"/>
      <c r="H25" s="4459" t="n"/>
      <c r="I25" s="4459" t="n"/>
      <c r="J25" s="4459" t="n"/>
      <c r="K25" s="4460" t="n"/>
      <c r="L25" s="4459" t="n"/>
      <c r="M25" s="4459" t="n"/>
      <c r="N25" s="4459" t="n"/>
      <c r="O25" s="4459" t="n"/>
      <c r="P25" s="4459" t="n"/>
      <c r="Q25" s="4459" t="n"/>
      <c r="R25" s="4459" t="n"/>
      <c r="S25" s="4459" t="n"/>
      <c r="T25" s="4459" t="n"/>
      <c r="U25" s="4459" t="n"/>
      <c r="V25" s="4459" t="n"/>
      <c r="W25" s="4459" t="n"/>
      <c r="X25" s="4459" t="n"/>
      <c r="Y25" s="4461" t="n"/>
      <c r="Z25" s="2177" t="n"/>
      <c r="AA25" s="4459" t="n"/>
      <c r="AB25" s="4459" t="n"/>
      <c r="AC25" s="4459" t="n"/>
      <c r="AD25" s="4459" t="n"/>
      <c r="AE25" s="4459" t="n"/>
      <c r="AF25" s="4459" t="n"/>
      <c r="AG25" s="4459" t="n"/>
      <c r="AH25" s="4462" t="n"/>
    </row>
    <row r="26" ht="12" customHeight="1" s="4080">
      <c r="A26" s="4361" t="inlineStr">
        <is>
          <t>サービス管理
責任者</t>
        </is>
      </c>
      <c r="B26" s="4099" t="n"/>
      <c r="C26" s="4184" t="inlineStr">
        <is>
          <t>ﾌﾘｶﾞﾅ</t>
        </is>
      </c>
      <c r="D26" s="4110" t="n"/>
      <c r="E26" s="4111" t="n"/>
      <c r="F26" s="4203" t="n"/>
      <c r="G26" s="4110" t="n"/>
      <c r="H26" s="4110" t="n"/>
      <c r="I26" s="4204" t="n"/>
      <c r="J26" s="4205" t="n"/>
      <c r="K26" s="4110" t="n"/>
      <c r="L26" s="4110" t="n"/>
      <c r="M26" s="4111" t="n"/>
      <c r="N26" s="2164" t="inlineStr">
        <is>
          <t>住所</t>
        </is>
      </c>
      <c r="O26" s="4099" t="n"/>
      <c r="P26" s="1244" t="inlineStr">
        <is>
          <t>郵便番号（</t>
        </is>
      </c>
      <c r="Q26" s="4098" t="n"/>
      <c r="R26" s="4098" t="n"/>
      <c r="S26" s="4098" t="n"/>
      <c r="T26" s="1287" t="n"/>
      <c r="U26" s="4098" t="n"/>
      <c r="V26" s="4098" t="n"/>
      <c r="W26" s="4098" t="n"/>
      <c r="X26" s="4098" t="n"/>
      <c r="Y26" s="1329" t="inlineStr">
        <is>
          <t>）</t>
        </is>
      </c>
      <c r="Z26" s="1017" t="n"/>
      <c r="AA26" s="1017" t="n"/>
      <c r="AB26" s="1017" t="n"/>
      <c r="AC26" s="1017" t="n"/>
      <c r="AD26" s="1017" t="n"/>
      <c r="AE26" s="120" t="n"/>
      <c r="AF26" s="119" t="n"/>
      <c r="AG26" s="119" t="n"/>
      <c r="AH26" s="118" t="n"/>
    </row>
    <row r="27" ht="12" customHeight="1" s="4080">
      <c r="A27" s="4097" t="n"/>
      <c r="B27" s="4107" t="n"/>
      <c r="C27" s="4209" t="inlineStr">
        <is>
          <t>氏　　名</t>
        </is>
      </c>
      <c r="D27" s="4098" t="n"/>
      <c r="E27" s="4099" t="n"/>
      <c r="F27" s="4203" t="n"/>
      <c r="G27" s="4098" t="n"/>
      <c r="H27" s="4098" t="n"/>
      <c r="I27" s="4210" t="n"/>
      <c r="J27" s="4205" t="n"/>
      <c r="K27" s="4098" t="n"/>
      <c r="L27" s="4098" t="n"/>
      <c r="M27" s="4099" t="n"/>
      <c r="N27" s="4106" t="n"/>
      <c r="O27" s="4107" t="n"/>
      <c r="P27" s="1318" t="n"/>
      <c r="R27" s="2378" t="inlineStr">
        <is>
          <t>都</t>
        </is>
      </c>
      <c r="S27" s="2378" t="inlineStr">
        <is>
          <t>道</t>
        </is>
      </c>
      <c r="T27" s="1389" t="n"/>
      <c r="W27" s="2378" t="inlineStr">
        <is>
          <t>郡</t>
        </is>
      </c>
      <c r="X27" s="1686" t="n"/>
      <c r="AH27" s="4109" t="n"/>
    </row>
    <row r="28" ht="12" customHeight="1" s="4080">
      <c r="A28" s="4097" t="n"/>
      <c r="B28" s="4107" t="n"/>
      <c r="C28" s="4106" t="n"/>
      <c r="E28" s="4107" t="n"/>
      <c r="F28" s="4106" t="n"/>
      <c r="I28" s="4212" t="n"/>
      <c r="J28" s="4213" t="n"/>
      <c r="M28" s="4107" t="n"/>
      <c r="N28" s="4106" t="n"/>
      <c r="O28" s="4107" t="n"/>
      <c r="P28" s="4106" t="n"/>
      <c r="R28" s="2378" t="inlineStr">
        <is>
          <t>府</t>
        </is>
      </c>
      <c r="S28" s="2378" t="inlineStr">
        <is>
          <t>県</t>
        </is>
      </c>
      <c r="W28" s="2378" t="inlineStr">
        <is>
          <t>市</t>
        </is>
      </c>
      <c r="AH28" s="4109" t="n"/>
    </row>
    <row r="29" ht="3" customHeight="1" s="4080">
      <c r="A29" s="4097" t="n"/>
      <c r="B29" s="4107" t="n"/>
      <c r="C29" s="4102" t="n"/>
      <c r="D29" s="4103" t="n"/>
      <c r="E29" s="4104" t="n"/>
      <c r="F29" s="4102" t="n"/>
      <c r="G29" s="4103" t="n"/>
      <c r="H29" s="4103" t="n"/>
      <c r="I29" s="4215" t="n"/>
      <c r="J29" s="4216" t="n"/>
      <c r="K29" s="4103" t="n"/>
      <c r="L29" s="4103" t="n"/>
      <c r="M29" s="4104" t="n"/>
      <c r="N29" s="4102" t="n"/>
      <c r="O29" s="4104" t="n"/>
      <c r="P29" s="4102" t="n"/>
      <c r="Q29" s="4103" t="n"/>
      <c r="R29" s="2378" t="n"/>
      <c r="S29" s="2378" t="n"/>
      <c r="T29" s="4103" t="n"/>
      <c r="U29" s="4103" t="n"/>
      <c r="V29" s="4103" t="n"/>
      <c r="W29" s="63" t="n"/>
      <c r="X29" s="4103" t="n"/>
      <c r="Y29" s="4103" t="n"/>
      <c r="Z29" s="4103" t="n"/>
      <c r="AA29" s="4103" t="n"/>
      <c r="AB29" s="4103" t="n"/>
      <c r="AC29" s="4103" t="n"/>
      <c r="AD29" s="4103" t="n"/>
      <c r="AE29" s="4103" t="n"/>
      <c r="AF29" s="4103" t="n"/>
      <c r="AG29" s="4103" t="n"/>
      <c r="AH29" s="4105" t="n"/>
    </row>
    <row r="30" ht="12" customHeight="1" s="4080">
      <c r="A30" s="4097" t="n"/>
      <c r="B30" s="4107" t="n"/>
      <c r="C30" s="4184" t="inlineStr">
        <is>
          <t>ﾌﾘｶﾞﾅ</t>
        </is>
      </c>
      <c r="D30" s="4110" t="n"/>
      <c r="E30" s="4111" t="n"/>
      <c r="F30" s="4203" t="n"/>
      <c r="G30" s="4110" t="n"/>
      <c r="H30" s="4110" t="n"/>
      <c r="I30" s="4204" t="n"/>
      <c r="J30" s="4205" t="n"/>
      <c r="K30" s="4110" t="n"/>
      <c r="L30" s="4110" t="n"/>
      <c r="M30" s="4111" t="n"/>
      <c r="N30" s="2164" t="inlineStr">
        <is>
          <t>住所</t>
        </is>
      </c>
      <c r="O30" s="4099" t="n"/>
      <c r="P30" s="1244" t="inlineStr">
        <is>
          <t>郵便番号（</t>
        </is>
      </c>
      <c r="Q30" s="4098" t="n"/>
      <c r="R30" s="4098" t="n"/>
      <c r="S30" s="4098" t="n"/>
      <c r="T30" s="1287" t="n"/>
      <c r="U30" s="4098" t="n"/>
      <c r="V30" s="4098" t="n"/>
      <c r="W30" s="4098" t="n"/>
      <c r="X30" s="4098" t="n"/>
      <c r="Y30" s="1329" t="inlineStr">
        <is>
          <t>）</t>
        </is>
      </c>
      <c r="Z30" s="1017" t="n"/>
      <c r="AA30" s="1017" t="n"/>
      <c r="AB30" s="1017" t="n"/>
      <c r="AC30" s="1017" t="n"/>
      <c r="AD30" s="1017" t="n"/>
      <c r="AE30" s="120" t="n"/>
      <c r="AF30" s="119" t="n"/>
      <c r="AG30" s="119" t="n"/>
      <c r="AH30" s="118" t="n"/>
    </row>
    <row r="31" ht="12" customHeight="1" s="4080">
      <c r="A31" s="4097" t="n"/>
      <c r="B31" s="4107" t="n"/>
      <c r="C31" s="4209" t="inlineStr">
        <is>
          <t>氏　　名</t>
        </is>
      </c>
      <c r="D31" s="4098" t="n"/>
      <c r="E31" s="4099" t="n"/>
      <c r="F31" s="4203" t="n"/>
      <c r="G31" s="4098" t="n"/>
      <c r="H31" s="4098" t="n"/>
      <c r="I31" s="4210" t="n"/>
      <c r="J31" s="4205" t="n"/>
      <c r="K31" s="4098" t="n"/>
      <c r="L31" s="4098" t="n"/>
      <c r="M31" s="4099" t="n"/>
      <c r="N31" s="4106" t="n"/>
      <c r="O31" s="4107" t="n"/>
      <c r="P31" s="1318" t="n"/>
      <c r="R31" s="2378" t="inlineStr">
        <is>
          <t>都</t>
        </is>
      </c>
      <c r="S31" s="2378" t="inlineStr">
        <is>
          <t>道</t>
        </is>
      </c>
      <c r="T31" s="1389" t="n"/>
      <c r="W31" s="1325" t="inlineStr">
        <is>
          <t>郡</t>
        </is>
      </c>
      <c r="X31" s="1686" t="n"/>
      <c r="AH31" s="4109" t="n"/>
    </row>
    <row r="32" ht="12" customHeight="1" s="4080">
      <c r="A32" s="4097" t="n"/>
      <c r="B32" s="4107" t="n"/>
      <c r="C32" s="4106" t="n"/>
      <c r="E32" s="4107" t="n"/>
      <c r="F32" s="4106" t="n"/>
      <c r="I32" s="4212" t="n"/>
      <c r="J32" s="4213" t="n"/>
      <c r="M32" s="4107" t="n"/>
      <c r="N32" s="4106" t="n"/>
      <c r="O32" s="4107" t="n"/>
      <c r="P32" s="4106" t="n"/>
      <c r="R32" s="2378" t="inlineStr">
        <is>
          <t>府</t>
        </is>
      </c>
      <c r="S32" s="2378" t="inlineStr">
        <is>
          <t>県</t>
        </is>
      </c>
      <c r="W32" s="2378" t="inlineStr">
        <is>
          <t>市</t>
        </is>
      </c>
      <c r="AH32" s="4109" t="n"/>
    </row>
    <row r="33" ht="3.75" customHeight="1" s="4080">
      <c r="A33" s="4114" t="n"/>
      <c r="B33" s="4104" t="n"/>
      <c r="C33" s="4102" t="n"/>
      <c r="D33" s="4103" t="n"/>
      <c r="E33" s="4104" t="n"/>
      <c r="F33" s="4102" t="n"/>
      <c r="G33" s="4103" t="n"/>
      <c r="H33" s="4103" t="n"/>
      <c r="I33" s="4215" t="n"/>
      <c r="J33" s="4216" t="n"/>
      <c r="K33" s="4103" t="n"/>
      <c r="L33" s="4103" t="n"/>
      <c r="M33" s="4104" t="n"/>
      <c r="N33" s="4102" t="n"/>
      <c r="O33" s="4104" t="n"/>
      <c r="P33" s="4102" t="n"/>
      <c r="Q33" s="4103" t="n"/>
      <c r="R33" s="2378" t="n"/>
      <c r="S33" s="2378" t="n"/>
      <c r="T33" s="4103" t="n"/>
      <c r="U33" s="4103" t="n"/>
      <c r="V33" s="4103" t="n"/>
      <c r="W33" s="63" t="n"/>
      <c r="X33" s="4103" t="n"/>
      <c r="Y33" s="4103" t="n"/>
      <c r="Z33" s="4103" t="n"/>
      <c r="AA33" s="4103" t="n"/>
      <c r="AB33" s="4103" t="n"/>
      <c r="AC33" s="4103" t="n"/>
      <c r="AD33" s="4103" t="n"/>
      <c r="AE33" s="4103" t="n"/>
      <c r="AF33" s="4103" t="n"/>
      <c r="AG33" s="4103" t="n"/>
      <c r="AH33" s="4105" t="n"/>
    </row>
    <row r="34" ht="15.95" customHeight="1" s="4080">
      <c r="A34" s="4490" t="inlineStr">
        <is>
          <t>職　員　の　職　種　・　員　数</t>
        </is>
      </c>
      <c r="B34" s="4099" t="n"/>
      <c r="C34" s="4272" t="inlineStr">
        <is>
          <t xml:space="preserve">　　　　　　職種・勤務形態
常勤・非常勤の別</t>
        </is>
      </c>
      <c r="D34" s="4098" t="n"/>
      <c r="E34" s="4098" t="n"/>
      <c r="F34" s="4098" t="n"/>
      <c r="G34" s="4098" t="n"/>
      <c r="H34" s="4098" t="n"/>
      <c r="I34" s="4098" t="n"/>
      <c r="J34" s="4099" t="n"/>
      <c r="K34" s="4185" t="inlineStr">
        <is>
          <t>サービス管理責任者</t>
        </is>
      </c>
      <c r="L34" s="4110" t="n"/>
      <c r="M34" s="4110" t="n"/>
      <c r="N34" s="4110" t="n"/>
      <c r="O34" s="4110" t="n"/>
      <c r="P34" s="4111" t="n"/>
      <c r="Q34" s="4325" t="inlineStr">
        <is>
          <t>生活支援員</t>
        </is>
      </c>
      <c r="R34" s="4098" t="n"/>
      <c r="S34" s="4098" t="n"/>
      <c r="T34" s="4098" t="n"/>
      <c r="U34" s="4098" t="n"/>
      <c r="V34" s="4099" t="n"/>
      <c r="W34" s="4325" t="inlineStr">
        <is>
          <t>生活支援員（訪問）</t>
        </is>
      </c>
      <c r="X34" s="4098" t="n"/>
      <c r="Y34" s="4098" t="n"/>
      <c r="Z34" s="4098" t="n"/>
      <c r="AA34" s="4098" t="n"/>
      <c r="AB34" s="4099" t="n"/>
      <c r="AC34" s="4326" t="inlineStr">
        <is>
          <t>地域移行支援員</t>
        </is>
      </c>
      <c r="AD34" s="4098" t="n"/>
      <c r="AE34" s="4098" t="n"/>
      <c r="AF34" s="4098" t="n"/>
      <c r="AG34" s="4098" t="n"/>
      <c r="AH34" s="4101" t="n"/>
    </row>
    <row r="35" ht="15.95" customHeight="1" s="4080">
      <c r="A35" s="4097" t="n"/>
      <c r="B35" s="4107" t="n"/>
      <c r="C35" s="4102" t="n"/>
      <c r="D35" s="4103" t="n"/>
      <c r="E35" s="4103" t="n"/>
      <c r="F35" s="4103" t="n"/>
      <c r="G35" s="4103" t="n"/>
      <c r="H35" s="4103" t="n"/>
      <c r="I35" s="4103" t="n"/>
      <c r="J35" s="4104" t="n"/>
      <c r="K35" s="1617" t="inlineStr">
        <is>
          <t>専従</t>
        </is>
      </c>
      <c r="L35" s="4110" t="n"/>
      <c r="M35" s="4189" t="n"/>
      <c r="N35" s="1603" t="inlineStr">
        <is>
          <t>兼務</t>
        </is>
      </c>
      <c r="O35" s="4110" t="n"/>
      <c r="P35" s="4189" t="n"/>
      <c r="Q35" s="1617" t="inlineStr">
        <is>
          <t>専従</t>
        </is>
      </c>
      <c r="R35" s="4110" t="n"/>
      <c r="S35" s="4189" t="n"/>
      <c r="T35" s="1603" t="inlineStr">
        <is>
          <t>兼務</t>
        </is>
      </c>
      <c r="U35" s="4110" t="n"/>
      <c r="V35" s="4189" t="n"/>
      <c r="W35" s="1617" t="inlineStr">
        <is>
          <t>専従</t>
        </is>
      </c>
      <c r="X35" s="4110" t="n"/>
      <c r="Y35" s="4189" t="n"/>
      <c r="Z35" s="1603" t="inlineStr">
        <is>
          <t>兼務</t>
        </is>
      </c>
      <c r="AA35" s="4110" t="n"/>
      <c r="AB35" s="4189" t="n"/>
      <c r="AC35" s="1617" t="inlineStr">
        <is>
          <t>専従</t>
        </is>
      </c>
      <c r="AD35" s="4110" t="n"/>
      <c r="AE35" s="4189" t="n"/>
      <c r="AF35" s="1603" t="inlineStr">
        <is>
          <t>兼務</t>
        </is>
      </c>
      <c r="AG35" s="4110" t="n"/>
      <c r="AH35" s="4189" t="n"/>
    </row>
    <row r="36" ht="15.95" customHeight="1" s="4080">
      <c r="A36" s="4097" t="n"/>
      <c r="B36" s="4107" t="n"/>
      <c r="C36" s="1268" t="inlineStr">
        <is>
          <t>常　　　　　勤（人）</t>
        </is>
      </c>
      <c r="D36" s="4110" t="n"/>
      <c r="E36" s="4110" t="n"/>
      <c r="F36" s="4110" t="n"/>
      <c r="G36" s="4110" t="n"/>
      <c r="H36" s="4110" t="n"/>
      <c r="I36" s="4110" t="n"/>
      <c r="J36" s="4111" t="n"/>
      <c r="K36" s="4275" t="n"/>
      <c r="L36" s="4110" t="n"/>
      <c r="M36" s="4189" t="n"/>
      <c r="N36" s="4276" t="n"/>
      <c r="O36" s="4110" t="n"/>
      <c r="P36" s="4189" t="n"/>
      <c r="Q36" s="4275" t="n"/>
      <c r="R36" s="4110" t="n"/>
      <c r="S36" s="4189" t="n"/>
      <c r="T36" s="4276" t="n"/>
      <c r="U36" s="4110" t="n"/>
      <c r="V36" s="4189" t="n"/>
      <c r="W36" s="4275" t="n"/>
      <c r="X36" s="4110" t="n"/>
      <c r="Y36" s="4189" t="n"/>
      <c r="Z36" s="4276" t="n"/>
      <c r="AA36" s="4110" t="n"/>
      <c r="AB36" s="4189" t="n"/>
      <c r="AC36" s="4275" t="n"/>
      <c r="AD36" s="4110" t="n"/>
      <c r="AE36" s="4189" t="n"/>
      <c r="AF36" s="4276" t="n"/>
      <c r="AG36" s="4110" t="n"/>
      <c r="AH36" s="4189" t="n"/>
    </row>
    <row r="37" ht="15.95" customHeight="1" s="4080">
      <c r="A37" s="4097" t="n"/>
      <c r="B37" s="4107" t="n"/>
      <c r="C37" s="1286" t="inlineStr">
        <is>
          <t>非　　常　　勤（人）</t>
        </is>
      </c>
      <c r="D37" s="4103" t="n"/>
      <c r="E37" s="4103" t="n"/>
      <c r="F37" s="4103" t="n"/>
      <c r="G37" s="4103" t="n"/>
      <c r="H37" s="4103" t="n"/>
      <c r="I37" s="4103" t="n"/>
      <c r="J37" s="4104" t="n"/>
      <c r="K37" s="4275" t="n"/>
      <c r="L37" s="4110" t="n"/>
      <c r="M37" s="4189" t="n"/>
      <c r="N37" s="4276" t="n"/>
      <c r="O37" s="4110" t="n"/>
      <c r="P37" s="4189" t="n"/>
      <c r="Q37" s="4275" t="n"/>
      <c r="R37" s="4110" t="n"/>
      <c r="S37" s="4189" t="n"/>
      <c r="T37" s="4276" t="n"/>
      <c r="U37" s="4110" t="n"/>
      <c r="V37" s="4189" t="n"/>
      <c r="W37" s="4275" t="n"/>
      <c r="X37" s="4110" t="n"/>
      <c r="Y37" s="4189" t="n"/>
      <c r="Z37" s="4276" t="n"/>
      <c r="AA37" s="4110" t="n"/>
      <c r="AB37" s="4189" t="n"/>
      <c r="AC37" s="4275" t="n"/>
      <c r="AD37" s="4110" t="n"/>
      <c r="AE37" s="4189" t="n"/>
      <c r="AF37" s="4276" t="n"/>
      <c r="AG37" s="4110" t="n"/>
      <c r="AH37" s="4189" t="n"/>
    </row>
    <row r="38" ht="15.95" customHeight="1" s="4080">
      <c r="A38" s="4097" t="n"/>
      <c r="B38" s="4107" t="n"/>
      <c r="C38" s="1268" t="inlineStr">
        <is>
          <t>常勤換算後の人数（人）</t>
        </is>
      </c>
      <c r="D38" s="4110" t="n"/>
      <c r="E38" s="4110" t="n"/>
      <c r="F38" s="4110" t="n"/>
      <c r="G38" s="4110" t="n"/>
      <c r="H38" s="4110" t="n"/>
      <c r="I38" s="4110" t="n"/>
      <c r="J38" s="4111" t="n"/>
      <c r="K38" s="4464" t="n"/>
      <c r="L38" s="4110" t="n"/>
      <c r="M38" s="4110" t="n"/>
      <c r="N38" s="4110" t="n"/>
      <c r="O38" s="4110" t="n"/>
      <c r="P38" s="4111" t="n"/>
      <c r="Q38" s="4464" t="n"/>
      <c r="R38" s="4110" t="n"/>
      <c r="S38" s="4110" t="n"/>
      <c r="T38" s="4110" t="n"/>
      <c r="U38" s="4110" t="n"/>
      <c r="V38" s="4111" t="n"/>
      <c r="W38" s="4464" t="n"/>
      <c r="X38" s="4110" t="n"/>
      <c r="Y38" s="4110" t="n"/>
      <c r="Z38" s="4110" t="n"/>
      <c r="AA38" s="4110" t="n"/>
      <c r="AB38" s="4111" t="n"/>
      <c r="AC38" s="4465" t="n"/>
      <c r="AD38" s="4110" t="n"/>
      <c r="AE38" s="4110" t="n"/>
      <c r="AF38" s="4110" t="n"/>
      <c r="AG38" s="4110" t="n"/>
      <c r="AH38" s="4113" t="n"/>
    </row>
    <row r="39" ht="15.95" customHeight="1" s="4080">
      <c r="A39" s="4097" t="n"/>
      <c r="B39" s="4107" t="n"/>
      <c r="C39" s="4362" t="inlineStr">
        <is>
          <t xml:space="preserve">　　　　　　　　　職種・勤務形態
常勤・非常勤の別</t>
        </is>
      </c>
      <c r="D39" s="4098" t="n"/>
      <c r="E39" s="4098" t="n"/>
      <c r="F39" s="4098" t="n"/>
      <c r="G39" s="4098" t="n"/>
      <c r="H39" s="4098" t="n"/>
      <c r="I39" s="4098" t="n"/>
      <c r="J39" s="4099" t="n"/>
      <c r="K39" s="4441" t="inlineStr">
        <is>
          <t>看　　　　　護　　　　　職　　　　　員</t>
        </is>
      </c>
      <c r="L39" s="4110" t="n"/>
      <c r="M39" s="4110" t="n"/>
      <c r="N39" s="4110" t="n"/>
      <c r="O39" s="4110" t="n"/>
      <c r="P39" s="4110" t="n"/>
      <c r="Q39" s="4110" t="n"/>
      <c r="R39" s="4110" t="n"/>
      <c r="S39" s="4110" t="n"/>
      <c r="T39" s="4110" t="n"/>
      <c r="U39" s="4110" t="n"/>
      <c r="V39" s="4110" t="n"/>
      <c r="W39" s="4110" t="n"/>
      <c r="X39" s="4110" t="n"/>
      <c r="Y39" s="4110" t="n"/>
      <c r="Z39" s="4110" t="n"/>
      <c r="AA39" s="4110" t="n"/>
      <c r="AB39" s="4110" t="n"/>
      <c r="AC39" s="4110" t="n"/>
      <c r="AD39" s="4110" t="n"/>
      <c r="AE39" s="4110" t="n"/>
      <c r="AF39" s="4110" t="n"/>
      <c r="AG39" s="4110" t="n"/>
      <c r="AH39" s="4113" t="n"/>
    </row>
    <row r="40" ht="15.95" customHeight="1" s="4080">
      <c r="A40" s="4097" t="n"/>
      <c r="B40" s="4107" t="n"/>
      <c r="C40" s="4106" t="n"/>
      <c r="J40" s="4107" t="n"/>
      <c r="K40" s="4440" t="inlineStr">
        <is>
          <t>保　健　師</t>
        </is>
      </c>
      <c r="L40" s="4110" t="n"/>
      <c r="M40" s="4110" t="n"/>
      <c r="N40" s="4110" t="n"/>
      <c r="O40" s="4110" t="n"/>
      <c r="P40" s="4111" t="n"/>
      <c r="Q40" s="4440" t="inlineStr">
        <is>
          <t>看　護　師</t>
        </is>
      </c>
      <c r="R40" s="4110" t="n"/>
      <c r="S40" s="4110" t="n"/>
      <c r="T40" s="4110" t="n"/>
      <c r="U40" s="4110" t="n"/>
      <c r="V40" s="4111" t="n"/>
      <c r="W40" s="4440" t="inlineStr">
        <is>
          <t>准看護師</t>
        </is>
      </c>
      <c r="X40" s="4110" t="n"/>
      <c r="Y40" s="4110" t="n"/>
      <c r="Z40" s="4110" t="n"/>
      <c r="AA40" s="4110" t="n"/>
      <c r="AB40" s="4111" t="n"/>
      <c r="AC40" s="4441" t="inlineStr">
        <is>
          <t>看護職員計</t>
        </is>
      </c>
      <c r="AD40" s="4110" t="n"/>
      <c r="AE40" s="4110" t="n"/>
      <c r="AF40" s="4110" t="n"/>
      <c r="AG40" s="4110" t="n"/>
      <c r="AH40" s="4113" t="n"/>
    </row>
    <row r="41" ht="15.95" customHeight="1" s="4080">
      <c r="A41" s="4097" t="n"/>
      <c r="B41" s="4107" t="n"/>
      <c r="C41" s="4102" t="n"/>
      <c r="D41" s="4103" t="n"/>
      <c r="E41" s="4103" t="n"/>
      <c r="F41" s="4103" t="n"/>
      <c r="G41" s="4103" t="n"/>
      <c r="H41" s="4103" t="n"/>
      <c r="I41" s="4103" t="n"/>
      <c r="J41" s="4104" t="n"/>
      <c r="K41" s="1617" t="inlineStr">
        <is>
          <t>専従</t>
        </is>
      </c>
      <c r="L41" s="4110" t="n"/>
      <c r="M41" s="4189" t="n"/>
      <c r="N41" s="1603" t="inlineStr">
        <is>
          <t>兼務</t>
        </is>
      </c>
      <c r="O41" s="4110" t="n"/>
      <c r="P41" s="4189" t="n"/>
      <c r="Q41" s="1617" t="inlineStr">
        <is>
          <t>専従</t>
        </is>
      </c>
      <c r="R41" s="4110" t="n"/>
      <c r="S41" s="4189" t="n"/>
      <c r="T41" s="1603" t="inlineStr">
        <is>
          <t>兼務</t>
        </is>
      </c>
      <c r="U41" s="4110" t="n"/>
      <c r="V41" s="4189" t="n"/>
      <c r="W41" s="1617" t="inlineStr">
        <is>
          <t>専従</t>
        </is>
      </c>
      <c r="X41" s="4110" t="n"/>
      <c r="Y41" s="4189" t="n"/>
      <c r="Z41" s="1603" t="inlineStr">
        <is>
          <t>兼務</t>
        </is>
      </c>
      <c r="AA41" s="4110" t="n"/>
      <c r="AB41" s="4189" t="n"/>
      <c r="AC41" s="1617" t="inlineStr">
        <is>
          <t>専従</t>
        </is>
      </c>
      <c r="AD41" s="4110" t="n"/>
      <c r="AE41" s="4189" t="n"/>
      <c r="AF41" s="1603" t="inlineStr">
        <is>
          <t>兼務</t>
        </is>
      </c>
      <c r="AG41" s="4110" t="n"/>
      <c r="AH41" s="4189" t="n"/>
    </row>
    <row r="42" ht="15.95" customHeight="1" s="4080">
      <c r="A42" s="4097" t="n"/>
      <c r="B42" s="4107" t="n"/>
      <c r="C42" s="1268" t="inlineStr">
        <is>
          <t>常　　　　　勤（人）</t>
        </is>
      </c>
      <c r="D42" s="4110" t="n"/>
      <c r="E42" s="4110" t="n"/>
      <c r="F42" s="4110" t="n"/>
      <c r="G42" s="4110" t="n"/>
      <c r="H42" s="4110" t="n"/>
      <c r="I42" s="4110" t="n"/>
      <c r="J42" s="4111" t="n"/>
      <c r="K42" s="4275" t="n"/>
      <c r="L42" s="4110" t="n"/>
      <c r="M42" s="4189" t="n"/>
      <c r="N42" s="4276" t="n"/>
      <c r="O42" s="4110" t="n"/>
      <c r="P42" s="4189" t="n"/>
      <c r="Q42" s="4275" t="n"/>
      <c r="R42" s="4110" t="n"/>
      <c r="S42" s="4189" t="n"/>
      <c r="T42" s="4276" t="n"/>
      <c r="U42" s="4110" t="n"/>
      <c r="V42" s="4189" t="n"/>
      <c r="W42" s="4275" t="n"/>
      <c r="X42" s="4110" t="n"/>
      <c r="Y42" s="4189" t="n"/>
      <c r="Z42" s="4276" t="n"/>
      <c r="AA42" s="4110" t="n"/>
      <c r="AB42" s="4189" t="n"/>
      <c r="AC42" s="4275">
        <f>+K42+Q42+W42</f>
        <v/>
      </c>
      <c r="AD42" s="4110" t="n"/>
      <c r="AE42" s="4189" t="n"/>
      <c r="AF42" s="4276">
        <f>+N42+T42+Z42</f>
        <v/>
      </c>
      <c r="AG42" s="4110" t="n"/>
      <c r="AH42" s="4189" t="n"/>
    </row>
    <row r="43" ht="15.95" customHeight="1" s="4080">
      <c r="A43" s="4097" t="n"/>
      <c r="B43" s="4107" t="n"/>
      <c r="C43" s="1286" t="inlineStr">
        <is>
          <t>非　　常　　勤（人）</t>
        </is>
      </c>
      <c r="D43" s="4103" t="n"/>
      <c r="E43" s="4103" t="n"/>
      <c r="F43" s="4103" t="n"/>
      <c r="G43" s="4103" t="n"/>
      <c r="H43" s="4103" t="n"/>
      <c r="I43" s="4103" t="n"/>
      <c r="J43" s="4104" t="n"/>
      <c r="K43" s="4275" t="n"/>
      <c r="L43" s="4110" t="n"/>
      <c r="M43" s="4189" t="n"/>
      <c r="N43" s="4276" t="n"/>
      <c r="O43" s="4110" t="n"/>
      <c r="P43" s="4189" t="n"/>
      <c r="Q43" s="4275" t="n"/>
      <c r="R43" s="4110" t="n"/>
      <c r="S43" s="4189" t="n"/>
      <c r="T43" s="4276" t="n"/>
      <c r="U43" s="4110" t="n"/>
      <c r="V43" s="4189" t="n"/>
      <c r="W43" s="4275" t="n"/>
      <c r="X43" s="4110" t="n"/>
      <c r="Y43" s="4189" t="n"/>
      <c r="Z43" s="4276" t="n"/>
      <c r="AA43" s="4110" t="n"/>
      <c r="AB43" s="4189" t="n"/>
      <c r="AC43" s="4275">
        <f>+K43+Q43+W43</f>
        <v/>
      </c>
      <c r="AD43" s="4110" t="n"/>
      <c r="AE43" s="4189" t="n"/>
      <c r="AF43" s="4276">
        <f>+N43+T43+Z43</f>
        <v/>
      </c>
      <c r="AG43" s="4110" t="n"/>
      <c r="AH43" s="4189" t="n"/>
    </row>
    <row r="44" ht="15.95" customHeight="1" s="4080">
      <c r="A44" s="4097" t="n"/>
      <c r="B44" s="4107" t="n"/>
      <c r="C44" s="1268" t="inlineStr">
        <is>
          <t>常勤換算後の人数（人）</t>
        </is>
      </c>
      <c r="D44" s="4110" t="n"/>
      <c r="E44" s="4110" t="n"/>
      <c r="F44" s="4110" t="n"/>
      <c r="G44" s="4110" t="n"/>
      <c r="H44" s="4110" t="n"/>
      <c r="I44" s="4110" t="n"/>
      <c r="J44" s="4111" t="n"/>
      <c r="K44" s="4464" t="n"/>
      <c r="L44" s="4110" t="n"/>
      <c r="M44" s="4110" t="n"/>
      <c r="N44" s="4110" t="n"/>
      <c r="O44" s="4110" t="n"/>
      <c r="P44" s="4111" t="n"/>
      <c r="Q44" s="4464" t="n"/>
      <c r="R44" s="4110" t="n"/>
      <c r="S44" s="4110" t="n"/>
      <c r="T44" s="4110" t="n"/>
      <c r="U44" s="4110" t="n"/>
      <c r="V44" s="4111" t="n"/>
      <c r="W44" s="4464" t="n"/>
      <c r="X44" s="4110" t="n"/>
      <c r="Y44" s="4110" t="n"/>
      <c r="Z44" s="4110" t="n"/>
      <c r="AA44" s="4110" t="n"/>
      <c r="AB44" s="4111" t="n"/>
      <c r="AC44" s="4465" t="n"/>
      <c r="AD44" s="4110" t="n"/>
      <c r="AE44" s="4110" t="n"/>
      <c r="AF44" s="4110" t="n"/>
      <c r="AG44" s="4110" t="n"/>
      <c r="AH44" s="4113" t="n"/>
    </row>
    <row r="45" ht="15.95" customHeight="1" s="4080">
      <c r="A45" s="4097" t="n"/>
      <c r="B45" s="4107" t="n"/>
      <c r="C45" s="4272" t="inlineStr">
        <is>
          <t xml:space="preserve">　　　　　　職種・勤務形態
常勤・非常勤の別</t>
        </is>
      </c>
      <c r="D45" s="4098" t="n"/>
      <c r="E45" s="4098" t="n"/>
      <c r="F45" s="4098" t="n"/>
      <c r="G45" s="4098" t="n"/>
      <c r="H45" s="4098" t="n"/>
      <c r="I45" s="4098" t="n"/>
      <c r="J45" s="4099" t="n"/>
      <c r="K45" s="4185" t="n"/>
      <c r="L45" s="4110" t="n"/>
      <c r="M45" s="4110" t="n"/>
      <c r="N45" s="4110" t="n"/>
      <c r="O45" s="4110" t="n"/>
      <c r="P45" s="4111" t="n"/>
      <c r="Q45" s="4325" t="n"/>
      <c r="R45" s="4098" t="n"/>
      <c r="S45" s="4098" t="n"/>
      <c r="T45" s="4098" t="n"/>
      <c r="U45" s="4098" t="n"/>
      <c r="V45" s="4099" t="n"/>
      <c r="W45" s="4325" t="n"/>
      <c r="X45" s="4098" t="n"/>
      <c r="Y45" s="4098" t="n"/>
      <c r="Z45" s="4098" t="n"/>
      <c r="AA45" s="4098" t="n"/>
      <c r="AB45" s="4099" t="n"/>
      <c r="AC45" s="4326" t="n"/>
      <c r="AD45" s="4098" t="n"/>
      <c r="AE45" s="4098" t="n"/>
      <c r="AF45" s="4098" t="n"/>
      <c r="AG45" s="4098" t="n"/>
      <c r="AH45" s="4101" t="n"/>
    </row>
    <row r="46" ht="15.95" customHeight="1" s="4080">
      <c r="A46" s="4097" t="n"/>
      <c r="B46" s="4107" t="n"/>
      <c r="C46" s="4102" t="n"/>
      <c r="D46" s="4103" t="n"/>
      <c r="E46" s="4103" t="n"/>
      <c r="F46" s="4103" t="n"/>
      <c r="G46" s="4103" t="n"/>
      <c r="H46" s="4103" t="n"/>
      <c r="I46" s="4103" t="n"/>
      <c r="J46" s="4104" t="n"/>
      <c r="K46" s="1617" t="inlineStr">
        <is>
          <t>専従</t>
        </is>
      </c>
      <c r="L46" s="4110" t="n"/>
      <c r="M46" s="4189" t="n"/>
      <c r="N46" s="1603" t="inlineStr">
        <is>
          <t>兼務</t>
        </is>
      </c>
      <c r="O46" s="4110" t="n"/>
      <c r="P46" s="4189" t="n"/>
      <c r="Q46" s="1617" t="inlineStr">
        <is>
          <t>専従</t>
        </is>
      </c>
      <c r="R46" s="4110" t="n"/>
      <c r="S46" s="4189" t="n"/>
      <c r="T46" s="1603" t="inlineStr">
        <is>
          <t>兼務</t>
        </is>
      </c>
      <c r="U46" s="4110" t="n"/>
      <c r="V46" s="4189" t="n"/>
      <c r="W46" s="1617" t="inlineStr">
        <is>
          <t>専従</t>
        </is>
      </c>
      <c r="X46" s="4110" t="n"/>
      <c r="Y46" s="4189" t="n"/>
      <c r="Z46" s="1603" t="inlineStr">
        <is>
          <t>兼務</t>
        </is>
      </c>
      <c r="AA46" s="4110" t="n"/>
      <c r="AB46" s="4189" t="n"/>
      <c r="AC46" s="1617" t="inlineStr">
        <is>
          <t>専従</t>
        </is>
      </c>
      <c r="AD46" s="4110" t="n"/>
      <c r="AE46" s="4189" t="n"/>
      <c r="AF46" s="1603" t="inlineStr">
        <is>
          <t>兼務</t>
        </is>
      </c>
      <c r="AG46" s="4110" t="n"/>
      <c r="AH46" s="4189" t="n"/>
    </row>
    <row r="47" ht="15.95" customHeight="1" s="4080">
      <c r="A47" s="4097" t="n"/>
      <c r="B47" s="4107" t="n"/>
      <c r="C47" s="1268" t="inlineStr">
        <is>
          <t>常　　　　　勤（人）</t>
        </is>
      </c>
      <c r="D47" s="4110" t="n"/>
      <c r="E47" s="4110" t="n"/>
      <c r="F47" s="4110" t="n"/>
      <c r="G47" s="4110" t="n"/>
      <c r="H47" s="4110" t="n"/>
      <c r="I47" s="4110" t="n"/>
      <c r="J47" s="4111" t="n"/>
      <c r="K47" s="4275" t="n"/>
      <c r="L47" s="4110" t="n"/>
      <c r="M47" s="4189" t="n"/>
      <c r="N47" s="4276" t="n"/>
      <c r="O47" s="4110" t="n"/>
      <c r="P47" s="4189" t="n"/>
      <c r="Q47" s="4275" t="n"/>
      <c r="R47" s="4110" t="n"/>
      <c r="S47" s="4189" t="n"/>
      <c r="T47" s="4276" t="n"/>
      <c r="U47" s="4110" t="n"/>
      <c r="V47" s="4189" t="n"/>
      <c r="W47" s="4275" t="n"/>
      <c r="X47" s="4110" t="n"/>
      <c r="Y47" s="4189" t="n"/>
      <c r="Z47" s="4276" t="n"/>
      <c r="AA47" s="4110" t="n"/>
      <c r="AB47" s="4189" t="n"/>
      <c r="AC47" s="4275" t="n"/>
      <c r="AD47" s="4110" t="n"/>
      <c r="AE47" s="4189" t="n"/>
      <c r="AF47" s="4276" t="n"/>
      <c r="AG47" s="4110" t="n"/>
      <c r="AH47" s="4189" t="n"/>
    </row>
    <row r="48" ht="15.95" customHeight="1" s="4080">
      <c r="A48" s="4097" t="n"/>
      <c r="B48" s="4107" t="n"/>
      <c r="C48" s="1286" t="inlineStr">
        <is>
          <t>非　　常　　勤（人）</t>
        </is>
      </c>
      <c r="D48" s="4103" t="n"/>
      <c r="E48" s="4103" t="n"/>
      <c r="F48" s="4103" t="n"/>
      <c r="G48" s="4103" t="n"/>
      <c r="H48" s="4103" t="n"/>
      <c r="I48" s="4103" t="n"/>
      <c r="J48" s="4104" t="n"/>
      <c r="K48" s="4275" t="n"/>
      <c r="L48" s="4110" t="n"/>
      <c r="M48" s="4189" t="n"/>
      <c r="N48" s="4276" t="n"/>
      <c r="O48" s="4110" t="n"/>
      <c r="P48" s="4189" t="n"/>
      <c r="Q48" s="4275" t="n"/>
      <c r="R48" s="4110" t="n"/>
      <c r="S48" s="4189" t="n"/>
      <c r="T48" s="4276" t="n"/>
      <c r="U48" s="4110" t="n"/>
      <c r="V48" s="4189" t="n"/>
      <c r="W48" s="4275" t="n"/>
      <c r="X48" s="4110" t="n"/>
      <c r="Y48" s="4189" t="n"/>
      <c r="Z48" s="4276" t="n"/>
      <c r="AA48" s="4110" t="n"/>
      <c r="AB48" s="4189" t="n"/>
      <c r="AC48" s="4275" t="n"/>
      <c r="AD48" s="4110" t="n"/>
      <c r="AE48" s="4189" t="n"/>
      <c r="AF48" s="4276" t="n"/>
      <c r="AG48" s="4110" t="n"/>
      <c r="AH48" s="4189" t="n"/>
    </row>
    <row r="49" ht="15.95" customHeight="1" s="4080">
      <c r="A49" s="4114" t="n"/>
      <c r="B49" s="4104" t="n"/>
      <c r="C49" s="1268" t="inlineStr">
        <is>
          <t>常勤換算後の人数（人）</t>
        </is>
      </c>
      <c r="D49" s="4110" t="n"/>
      <c r="E49" s="4110" t="n"/>
      <c r="F49" s="4110" t="n"/>
      <c r="G49" s="4110" t="n"/>
      <c r="H49" s="4110" t="n"/>
      <c r="I49" s="4110" t="n"/>
      <c r="J49" s="4111" t="n"/>
      <c r="K49" s="4464" t="n"/>
      <c r="L49" s="4110" t="n"/>
      <c r="M49" s="4110" t="n"/>
      <c r="N49" s="4110" t="n"/>
      <c r="O49" s="4110" t="n"/>
      <c r="P49" s="4111" t="n"/>
      <c r="Q49" s="4464" t="n"/>
      <c r="R49" s="4110" t="n"/>
      <c r="S49" s="4110" t="n"/>
      <c r="T49" s="4110" t="n"/>
      <c r="U49" s="4110" t="n"/>
      <c r="V49" s="4111" t="n"/>
      <c r="W49" s="4464" t="n"/>
      <c r="X49" s="4110" t="n"/>
      <c r="Y49" s="4110" t="n"/>
      <c r="Z49" s="4110" t="n"/>
      <c r="AA49" s="4110" t="n"/>
      <c r="AB49" s="4111" t="n"/>
      <c r="AC49" s="4465" t="n"/>
      <c r="AD49" s="4110" t="n"/>
      <c r="AE49" s="4110" t="n"/>
      <c r="AF49" s="4110" t="n"/>
      <c r="AG49" s="4110" t="n"/>
      <c r="AH49" s="4113" t="n"/>
    </row>
    <row r="50" ht="3.95" customHeight="1" s="4080">
      <c r="A50" s="4491" t="inlineStr">
        <is>
          <t>宿泊型自立訓練事業の実施の有無</t>
        </is>
      </c>
      <c r="B50" s="4098" t="n"/>
      <c r="C50" s="4098" t="n"/>
      <c r="D50" s="4098" t="n"/>
      <c r="E50" s="4098" t="n"/>
      <c r="F50" s="4098" t="n"/>
      <c r="G50" s="4098" t="n"/>
      <c r="H50" s="4098" t="n"/>
      <c r="I50" s="4098" t="n"/>
      <c r="J50" s="4098" t="n"/>
      <c r="K50" s="1328" t="n"/>
      <c r="L50" s="1323" t="n"/>
      <c r="M50" s="1323" t="n"/>
      <c r="N50" s="1323" t="n"/>
      <c r="O50" s="1323" t="n"/>
      <c r="P50" s="1331" t="n"/>
      <c r="Q50" s="4273" t="inlineStr">
        <is>
          <t>訪問による自立訓練の実施の有無</t>
        </is>
      </c>
      <c r="R50" s="4098" t="n"/>
      <c r="S50" s="4098" t="n"/>
      <c r="T50" s="4098" t="n"/>
      <c r="U50" s="4098" t="n"/>
      <c r="V50" s="4098" t="n"/>
      <c r="W50" s="4098" t="n"/>
      <c r="X50" s="4098" t="n"/>
      <c r="Y50" s="4098" t="n"/>
      <c r="Z50" s="4099" t="n"/>
      <c r="AA50" s="1328" t="n"/>
      <c r="AB50" s="1323" t="n"/>
      <c r="AC50" s="1323" t="n"/>
      <c r="AD50" s="1323" t="n"/>
      <c r="AE50" s="1323" t="n"/>
      <c r="AF50" s="1331" t="n"/>
      <c r="AG50" s="268" t="n"/>
      <c r="AH50" s="269" t="n"/>
    </row>
    <row r="51" ht="15.95" customHeight="1" s="4080">
      <c r="A51" s="4097" t="n"/>
      <c r="K51" s="1354" t="n"/>
      <c r="L51" s="1325" t="inlineStr">
        <is>
          <t>無</t>
        </is>
      </c>
      <c r="M51" s="1325" t="inlineStr">
        <is>
          <t>・</t>
        </is>
      </c>
      <c r="O51" s="1325" t="inlineStr">
        <is>
          <t>有</t>
        </is>
      </c>
      <c r="P51" s="1332" t="n"/>
      <c r="Q51" s="4106" t="n"/>
      <c r="Z51" s="4107" t="n"/>
      <c r="AA51" s="1354" t="n"/>
      <c r="AB51" s="1325" t="inlineStr">
        <is>
          <t>無</t>
        </is>
      </c>
      <c r="AC51" s="1325" t="inlineStr">
        <is>
          <t>・</t>
        </is>
      </c>
      <c r="AE51" s="1325" t="inlineStr">
        <is>
          <t>有</t>
        </is>
      </c>
      <c r="AF51" s="1332" t="n"/>
      <c r="AG51" s="270" t="n"/>
      <c r="AH51" s="271" t="n"/>
    </row>
    <row r="52" ht="3.95" customHeight="1" s="4080">
      <c r="A52" s="4114" t="n"/>
      <c r="B52" s="4103" t="n"/>
      <c r="C52" s="4103" t="n"/>
      <c r="D52" s="4103" t="n"/>
      <c r="E52" s="4103" t="n"/>
      <c r="F52" s="4103" t="n"/>
      <c r="G52" s="4103" t="n"/>
      <c r="H52" s="4103" t="n"/>
      <c r="I52" s="4103" t="n"/>
      <c r="J52" s="4103" t="n"/>
      <c r="K52" s="1354" t="n"/>
      <c r="L52" s="1325" t="n"/>
      <c r="M52" s="1325" t="n"/>
      <c r="N52" s="1325" t="n"/>
      <c r="O52" s="1325" t="n"/>
      <c r="P52" s="1333" t="n"/>
      <c r="Q52" s="4102" t="n"/>
      <c r="R52" s="4103" t="n"/>
      <c r="S52" s="4103" t="n"/>
      <c r="T52" s="4103" t="n"/>
      <c r="U52" s="4103" t="n"/>
      <c r="V52" s="4103" t="n"/>
      <c r="W52" s="4103" t="n"/>
      <c r="X52" s="4103" t="n"/>
      <c r="Y52" s="4103" t="n"/>
      <c r="Z52" s="4104" t="n"/>
      <c r="AA52" s="1354" t="n"/>
      <c r="AB52" s="1325" t="n"/>
      <c r="AC52" s="1325" t="n"/>
      <c r="AD52" s="1325" t="n"/>
      <c r="AE52" s="1325" t="n"/>
      <c r="AF52" s="1333" t="n"/>
      <c r="AG52" s="270" t="n"/>
      <c r="AH52" s="271" t="n"/>
    </row>
    <row r="53" ht="3.95" customHeight="1" s="4080">
      <c r="A53" s="2291" t="inlineStr">
        <is>
          <t>併設する障害者就業・生活支援
センターの有無及びその名称</t>
        </is>
      </c>
      <c r="B53" s="4098" t="n"/>
      <c r="C53" s="4098" t="n"/>
      <c r="D53" s="4098" t="n"/>
      <c r="E53" s="4098" t="n"/>
      <c r="F53" s="4098" t="n"/>
      <c r="G53" s="4098" t="n"/>
      <c r="H53" s="4098" t="n"/>
      <c r="I53" s="4098" t="n"/>
      <c r="J53" s="4098" t="n"/>
      <c r="K53" s="1328" t="n"/>
      <c r="L53" s="1323" t="n"/>
      <c r="M53" s="1323" t="n"/>
      <c r="N53" s="1323" t="n"/>
      <c r="O53" s="1323" t="n"/>
      <c r="P53" s="1329" t="inlineStr">
        <is>
          <t>（名称：</t>
        </is>
      </c>
      <c r="Q53" s="4098" t="n"/>
      <c r="R53" s="4098" t="n"/>
      <c r="S53" s="1334" t="n"/>
      <c r="T53" s="4098" t="n"/>
      <c r="U53" s="4098" t="n"/>
      <c r="V53" s="4098" t="n"/>
      <c r="W53" s="4098" t="n"/>
      <c r="X53" s="4098" t="n"/>
      <c r="Y53" s="4098" t="n"/>
      <c r="Z53" s="4098" t="n"/>
      <c r="AA53" s="4098" t="n"/>
      <c r="AB53" s="4098" t="n"/>
      <c r="AC53" s="4098" t="n"/>
      <c r="AD53" s="4098" t="n"/>
      <c r="AE53" s="4098" t="n"/>
      <c r="AF53" s="4098" t="n"/>
      <c r="AG53" s="4098" t="n"/>
      <c r="AH53" s="2297" t="inlineStr">
        <is>
          <t>）</t>
        </is>
      </c>
    </row>
    <row r="54" ht="15.95" customHeight="1" s="4080">
      <c r="A54" s="4097" t="n"/>
      <c r="K54" s="1354" t="n"/>
      <c r="L54" s="1325" t="inlineStr">
        <is>
          <t>無</t>
        </is>
      </c>
      <c r="M54" s="1325" t="inlineStr">
        <is>
          <t>・</t>
        </is>
      </c>
      <c r="O54" s="1355" t="inlineStr">
        <is>
          <t>有（名称：</t>
        </is>
      </c>
      <c r="AH54" s="4109" t="n"/>
    </row>
    <row r="55" ht="3.95" customHeight="1" s="4080">
      <c r="A55" s="4097" t="n"/>
      <c r="K55" s="1354" t="n"/>
      <c r="L55" s="1325" t="n"/>
      <c r="M55" s="1325" t="n"/>
      <c r="N55" s="1325" t="n"/>
      <c r="O55" s="1325" t="n"/>
      <c r="AH55" s="4109" t="n"/>
    </row>
    <row r="56" ht="3.95" customHeight="1" s="4080">
      <c r="A56" s="3061" t="n"/>
      <c r="B56" s="4098" t="n"/>
      <c r="C56" s="4098" t="n"/>
      <c r="D56" s="4098" t="n"/>
      <c r="E56" s="4098" t="n"/>
      <c r="F56" s="4098" t="n"/>
      <c r="G56" s="4098" t="n"/>
      <c r="H56" s="4098" t="n"/>
      <c r="I56" s="4098" t="n"/>
      <c r="J56" s="4099" t="n"/>
      <c r="K56" s="4332" t="n"/>
      <c r="L56" s="4333" t="n"/>
      <c r="M56" s="4333" t="n"/>
      <c r="N56" s="4333" t="n"/>
      <c r="O56" s="4333" t="n"/>
      <c r="P56" s="4392" t="n"/>
      <c r="Q56" s="4393" t="inlineStr">
        <is>
          <t>短期入所の利用定員</t>
        </is>
      </c>
      <c r="R56" s="4098" t="n"/>
      <c r="S56" s="4098" t="n"/>
      <c r="T56" s="4098" t="n"/>
      <c r="U56" s="4098" t="n"/>
      <c r="V56" s="4099" t="n"/>
      <c r="W56" s="2229" t="n"/>
      <c r="X56" s="4098" t="n"/>
      <c r="Y56" s="4098" t="n"/>
      <c r="Z56" s="4098" t="n"/>
      <c r="AA56" s="4476" t="inlineStr">
        <is>
          <t>名</t>
        </is>
      </c>
      <c r="AB56" s="4099" t="n"/>
      <c r="AC56" s="4477" t="n"/>
      <c r="AD56" s="4098" t="n"/>
      <c r="AE56" s="4098" t="n"/>
      <c r="AF56" s="4098" t="n"/>
      <c r="AG56" s="4098" t="n"/>
      <c r="AH56" s="4101" t="n"/>
    </row>
    <row r="57" ht="14.1" customHeight="1" s="4080">
      <c r="A57" s="4338" t="inlineStr">
        <is>
          <t>短期入所の実施の有無</t>
        </is>
      </c>
      <c r="J57" s="4107" t="n"/>
      <c r="K57" s="4339" t="n"/>
      <c r="L57" s="4340" t="inlineStr">
        <is>
          <t>有</t>
        </is>
      </c>
      <c r="M57" s="4340" t="inlineStr">
        <is>
          <t>・</t>
        </is>
      </c>
      <c r="O57" s="4340" t="inlineStr">
        <is>
          <t>無</t>
        </is>
      </c>
      <c r="P57" s="4397" t="n"/>
      <c r="Q57" s="4106" t="n"/>
      <c r="V57" s="4107" t="n"/>
      <c r="W57" s="4106" t="n"/>
      <c r="AB57" s="4107" t="n"/>
      <c r="AC57" s="4106" t="n"/>
      <c r="AH57" s="4109" t="n"/>
    </row>
    <row r="58" ht="3.95" customHeight="1" s="4080">
      <c r="A58" s="3063" t="n"/>
      <c r="B58" s="4103" t="n"/>
      <c r="C58" s="4103" t="n"/>
      <c r="D58" s="4103" t="n"/>
      <c r="E58" s="4103" t="n"/>
      <c r="F58" s="4103" t="n"/>
      <c r="G58" s="4103" t="n"/>
      <c r="H58" s="4103" t="n"/>
      <c r="I58" s="4103" t="n"/>
      <c r="J58" s="4104" t="n"/>
      <c r="K58" s="4343" t="n"/>
      <c r="L58" s="4344" t="n"/>
      <c r="M58" s="4344" t="n"/>
      <c r="N58" s="4344" t="n"/>
      <c r="O58" s="4344" t="n"/>
      <c r="P58" s="4398" t="n"/>
      <c r="Q58" s="4102" t="n"/>
      <c r="R58" s="4103" t="n"/>
      <c r="S58" s="4103" t="n"/>
      <c r="T58" s="4103" t="n"/>
      <c r="U58" s="4103" t="n"/>
      <c r="V58" s="4104" t="n"/>
      <c r="W58" s="4102" t="n"/>
      <c r="X58" s="4103" t="n"/>
      <c r="Y58" s="4103" t="n"/>
      <c r="Z58" s="4103" t="n"/>
      <c r="AA58" s="4103" t="n"/>
      <c r="AB58" s="4104" t="n"/>
      <c r="AC58" s="4102" t="n"/>
      <c r="AD58" s="4103" t="n"/>
      <c r="AE58" s="4103" t="n"/>
      <c r="AF58" s="4103" t="n"/>
      <c r="AG58" s="4103" t="n"/>
      <c r="AH58" s="4105" t="n"/>
    </row>
    <row r="59" ht="27.75" customHeight="1" s="4080" thickBot="1">
      <c r="A59" s="4478" t="inlineStr">
        <is>
          <t>前年度利用者数
（新規・増員の場合、推定利用者数）</t>
        </is>
      </c>
      <c r="B59" s="4153" t="n"/>
      <c r="C59" s="4153" t="n"/>
      <c r="D59" s="4153" t="n"/>
      <c r="E59" s="4153" t="n"/>
      <c r="F59" s="4153" t="n"/>
      <c r="G59" s="4153" t="n"/>
      <c r="H59" s="4153" t="n"/>
      <c r="I59" s="4153" t="n"/>
      <c r="J59" s="4154" t="n"/>
      <c r="K59" s="1993" t="n"/>
      <c r="L59" s="4153" t="n"/>
      <c r="M59" s="4153" t="n"/>
      <c r="N59" s="4153" t="n"/>
      <c r="O59" s="4153" t="n"/>
      <c r="P59" s="210" t="inlineStr">
        <is>
          <t>人</t>
        </is>
      </c>
      <c r="Q59" s="252" t="inlineStr">
        <is>
          <t>＊小数第２位を切り上げ</t>
        </is>
      </c>
      <c r="R59" s="253" t="n"/>
      <c r="S59" s="254" t="n"/>
      <c r="T59" s="254" t="n"/>
      <c r="U59" s="254" t="n"/>
      <c r="V59" s="254" t="n"/>
      <c r="W59" s="254" t="n"/>
      <c r="X59" s="254" t="n"/>
      <c r="Y59" s="254" t="n"/>
      <c r="Z59" s="254" t="n"/>
      <c r="AA59" s="254" t="n"/>
      <c r="AB59" s="254" t="n"/>
      <c r="AC59" s="254" t="n"/>
      <c r="AD59" s="254" t="n"/>
      <c r="AE59" s="254" t="n"/>
      <c r="AF59" s="254" t="n"/>
      <c r="AG59" s="254" t="n"/>
      <c r="AH59" s="255" t="n"/>
    </row>
    <row r="60" ht="12" customHeight="1" s="4080" thickBot="1">
      <c r="A60" s="4355" t="inlineStr">
        <is>
          <t>主　　な　　掲　　示　　事　　項</t>
        </is>
      </c>
      <c r="B60" s="4356" t="n"/>
      <c r="C60" s="1999" t="n"/>
      <c r="D60" s="1886" t="inlineStr">
        <is>
          <t>営業日</t>
        </is>
      </c>
      <c r="E60" s="4082" t="n"/>
      <c r="F60" s="4082" t="n"/>
      <c r="G60" s="4082" t="n"/>
      <c r="H60" s="4082" t="n"/>
      <c r="I60" s="4082" t="n"/>
      <c r="J60" s="2002" t="n"/>
      <c r="K60" s="2352" t="inlineStr">
        <is>
          <t>月</t>
        </is>
      </c>
      <c r="L60" s="2354" t="inlineStr">
        <is>
          <t>火</t>
        </is>
      </c>
      <c r="M60" s="2354" t="inlineStr">
        <is>
          <t>水</t>
        </is>
      </c>
      <c r="N60" s="2354" t="inlineStr">
        <is>
          <t>木</t>
        </is>
      </c>
      <c r="O60" s="2354" t="inlineStr">
        <is>
          <t>金</t>
        </is>
      </c>
      <c r="P60" s="2354" t="inlineStr">
        <is>
          <t>土</t>
        </is>
      </c>
      <c r="Q60" s="2354" t="inlineStr">
        <is>
          <t>日</t>
        </is>
      </c>
      <c r="R60" s="2356" t="inlineStr">
        <is>
          <t>祝</t>
        </is>
      </c>
      <c r="S60" s="2004" t="inlineStr">
        <is>
          <t>休業日</t>
        </is>
      </c>
      <c r="T60" s="2007" t="inlineStr">
        <is>
          <t>年末年始</t>
        </is>
      </c>
      <c r="U60" s="4082" t="n"/>
      <c r="V60" s="2014" t="n"/>
      <c r="W60" s="4082" t="n"/>
      <c r="X60" s="4082" t="n"/>
      <c r="Y60" s="4082" t="n"/>
      <c r="Z60" s="4082" t="n"/>
      <c r="AA60" s="4082" t="n"/>
      <c r="AB60" s="4356" t="n"/>
      <c r="AC60" s="2236" t="inlineStr">
        <is>
          <t>備　考</t>
        </is>
      </c>
      <c r="AD60" s="4479" t="n"/>
      <c r="AE60" s="4082" t="n"/>
      <c r="AF60" s="4082" t="n"/>
      <c r="AG60" s="4082" t="n"/>
      <c r="AH60" s="4083" t="n"/>
    </row>
    <row r="61" ht="12" customHeight="1" s="4080" thickBot="1">
      <c r="A61" s="4097" t="n"/>
      <c r="B61" s="4107" t="n"/>
      <c r="C61" s="4106" t="n"/>
      <c r="J61" s="4107" t="n"/>
      <c r="K61" s="2244" t="inlineStr">
        <is>
          <t xml:space="preserve">　</t>
        </is>
      </c>
      <c r="L61" s="2245" t="n"/>
      <c r="M61" s="2245" t="n"/>
      <c r="N61" s="2245" t="n"/>
      <c r="O61" s="2245" t="n"/>
      <c r="P61" s="2245" t="n"/>
      <c r="Q61" s="2245" t="n"/>
      <c r="R61" s="2249" t="n"/>
      <c r="S61" s="4282" t="n"/>
      <c r="T61" s="2008" t="inlineStr">
        <is>
          <t>夏季</t>
        </is>
      </c>
      <c r="V61" s="937" t="n"/>
      <c r="AB61" s="4107" t="n"/>
      <c r="AC61" s="4282" t="n"/>
      <c r="AD61" s="4192" t="n"/>
      <c r="AH61" s="4109" t="n"/>
    </row>
    <row r="62" ht="12" customHeight="1" s="4080">
      <c r="A62" s="4097" t="n"/>
      <c r="B62" s="4107" t="n"/>
      <c r="C62" s="4420" t="n"/>
      <c r="D62" s="4087" t="n"/>
      <c r="E62" s="4087" t="n"/>
      <c r="F62" s="4087" t="n"/>
      <c r="G62" s="4087" t="n"/>
      <c r="H62" s="4087" t="n"/>
      <c r="I62" s="4087" t="n"/>
      <c r="J62" s="4410" t="n"/>
      <c r="K62" s="4283" t="n"/>
      <c r="L62" s="4284" t="n"/>
      <c r="M62" s="4284" t="n"/>
      <c r="N62" s="4284" t="n"/>
      <c r="O62" s="4284" t="n"/>
      <c r="P62" s="4284" t="n"/>
      <c r="Q62" s="4284" t="n"/>
      <c r="R62" s="4285" t="n"/>
      <c r="S62" s="4421" t="n"/>
      <c r="T62" s="1610" t="inlineStr">
        <is>
          <t>その他</t>
        </is>
      </c>
      <c r="U62" s="4103" t="n"/>
      <c r="V62" s="940" t="n"/>
      <c r="W62" s="4103" t="n"/>
      <c r="X62" s="4103" t="n"/>
      <c r="Y62" s="4103" t="n"/>
      <c r="Z62" s="4103" t="n"/>
      <c r="AA62" s="4103" t="n"/>
      <c r="AB62" s="4104" t="n"/>
      <c r="AC62" s="4421" t="n"/>
      <c r="AD62" s="4480" t="n"/>
      <c r="AE62" s="4087" t="n"/>
      <c r="AF62" s="4087" t="n"/>
      <c r="AG62" s="4087" t="n"/>
      <c r="AH62" s="4088" t="n"/>
    </row>
    <row r="63" ht="3.95" customHeight="1" s="4080">
      <c r="A63" s="4097" t="n"/>
      <c r="B63" s="4107" t="n"/>
      <c r="C63" s="1393" t="n"/>
      <c r="D63" s="1264" t="inlineStr">
        <is>
          <t>営業時間</t>
        </is>
      </c>
      <c r="E63" s="4098" t="n"/>
      <c r="F63" s="4098" t="n"/>
      <c r="G63" s="4098" t="n"/>
      <c r="H63" s="4098" t="n"/>
      <c r="I63" s="4098" t="n"/>
      <c r="J63" s="4223" t="n"/>
      <c r="K63" s="4287" t="inlineStr">
        <is>
          <t>平日</t>
        </is>
      </c>
      <c r="L63" s="4098" t="n"/>
      <c r="M63" s="4190" t="n"/>
      <c r="N63" s="1590" t="n"/>
      <c r="O63" s="4098" t="n"/>
      <c r="P63" s="2842" t="inlineStr">
        <is>
          <t>時</t>
        </is>
      </c>
      <c r="Q63" s="1323" t="n"/>
      <c r="R63" s="1323" t="n"/>
      <c r="S63" s="4288" t="inlineStr">
        <is>
          <t>分～</t>
        </is>
      </c>
      <c r="T63" s="4098" t="n"/>
      <c r="U63" s="108" t="inlineStr">
        <is>
          <t xml:space="preserve">　</t>
        </is>
      </c>
      <c r="V63" s="1591" t="n"/>
      <c r="W63" s="4098" t="n"/>
      <c r="X63" s="2842" t="inlineStr">
        <is>
          <t>時</t>
        </is>
      </c>
      <c r="Y63" s="2834" t="n"/>
      <c r="Z63" s="2834" t="n"/>
      <c r="AA63" s="2842" t="inlineStr">
        <is>
          <t>分</t>
        </is>
      </c>
      <c r="AB63" s="2844" t="n"/>
      <c r="AC63" s="4098" t="n"/>
      <c r="AD63" s="4098" t="n"/>
      <c r="AE63" s="4098" t="n"/>
      <c r="AF63" s="4098" t="n"/>
      <c r="AG63" s="4098" t="n"/>
      <c r="AH63" s="4101" t="n"/>
    </row>
    <row r="64" ht="12" customHeight="1" s="4080">
      <c r="A64" s="4097" t="n"/>
      <c r="B64" s="4107" t="n"/>
      <c r="C64" s="4106" t="n"/>
      <c r="J64" s="4107" t="n"/>
      <c r="K64" s="4106" t="n"/>
      <c r="M64" s="4191" t="n"/>
      <c r="N64" s="1589" t="n"/>
      <c r="Q64" s="1325" t="n"/>
      <c r="U64" s="1257" t="n"/>
      <c r="Y64" s="1580" t="n"/>
      <c r="AH64" s="4109" t="n"/>
    </row>
    <row r="65" ht="3.95" customHeight="1" s="4080">
      <c r="A65" s="4097" t="n"/>
      <c r="B65" s="4107" t="n"/>
      <c r="C65" s="4106" t="n"/>
      <c r="J65" s="4107" t="n"/>
      <c r="K65" s="4145" t="n"/>
      <c r="L65" s="4146" t="n"/>
      <c r="M65" s="4201" t="n"/>
      <c r="N65" s="1586" t="n"/>
      <c r="O65" s="1587" t="n"/>
      <c r="P65" s="4146" t="n"/>
      <c r="Q65" s="1585" t="n"/>
      <c r="R65" s="1585" t="n"/>
      <c r="S65" s="4146" t="n"/>
      <c r="T65" s="4146" t="n"/>
      <c r="U65" s="2253" t="n"/>
      <c r="V65" s="1587" t="n"/>
      <c r="W65" s="1587" t="n"/>
      <c r="X65" s="4146" t="n"/>
      <c r="Y65" s="101" t="n"/>
      <c r="Z65" s="101" t="n"/>
      <c r="AA65" s="4146" t="n"/>
      <c r="AB65" s="4146" t="n"/>
      <c r="AC65" s="4146" t="n"/>
      <c r="AD65" s="4146" t="n"/>
      <c r="AE65" s="4146" t="n"/>
      <c r="AF65" s="4146" t="n"/>
      <c r="AG65" s="4146" t="n"/>
      <c r="AH65" s="4305" t="n"/>
    </row>
    <row r="66" ht="3.95" customHeight="1" s="4080">
      <c r="A66" s="4097" t="n"/>
      <c r="B66" s="4107" t="n"/>
      <c r="C66" s="4106" t="n"/>
      <c r="J66" s="4107" t="n"/>
      <c r="K66" s="4289" t="inlineStr">
        <is>
          <t>土曜</t>
        </is>
      </c>
      <c r="L66" s="4290" t="n"/>
      <c r="M66" s="4291" t="n"/>
      <c r="N66" s="1581" t="n"/>
      <c r="O66" s="4290" t="n"/>
      <c r="P66" s="1514" t="inlineStr">
        <is>
          <t>時</t>
        </is>
      </c>
      <c r="Q66" s="1583" t="n"/>
      <c r="R66" s="1583" t="n"/>
      <c r="S66" s="4292" t="inlineStr">
        <is>
          <t>分～</t>
        </is>
      </c>
      <c r="T66" s="4290" t="n"/>
      <c r="U66" s="98" t="inlineStr">
        <is>
          <t xml:space="preserve">　</t>
        </is>
      </c>
      <c r="V66" s="1582" t="n"/>
      <c r="W66" s="1582" t="n"/>
      <c r="X66" s="1514" t="inlineStr">
        <is>
          <t>時</t>
        </is>
      </c>
      <c r="Y66" s="96" t="n"/>
      <c r="Z66" s="96" t="n"/>
      <c r="AA66" s="1514" t="inlineStr">
        <is>
          <t>分</t>
        </is>
      </c>
      <c r="AB66" s="4481" t="n"/>
      <c r="AC66" s="4290" t="n"/>
      <c r="AD66" s="4290" t="n"/>
      <c r="AE66" s="4290" t="n"/>
      <c r="AF66" s="4290" t="n"/>
      <c r="AG66" s="4290" t="n"/>
      <c r="AH66" s="4482" t="n"/>
    </row>
    <row r="67" ht="12" customHeight="1" s="4080">
      <c r="A67" s="4097" t="n"/>
      <c r="B67" s="4107" t="n"/>
      <c r="C67" s="4106" t="n"/>
      <c r="J67" s="4107" t="n"/>
      <c r="K67" s="4106" t="n"/>
      <c r="M67" s="4191" t="n"/>
      <c r="N67" s="1589" t="n"/>
      <c r="Q67" s="1325" t="n"/>
      <c r="U67" s="1257" t="n"/>
      <c r="Y67" s="1580" t="n"/>
      <c r="AH67" s="4109" t="n"/>
    </row>
    <row r="68" ht="3.95" customHeight="1" s="4080">
      <c r="A68" s="4097" t="n"/>
      <c r="B68" s="4107" t="n"/>
      <c r="C68" s="4106" t="n"/>
      <c r="J68" s="4107" t="n"/>
      <c r="K68" s="4145" t="n"/>
      <c r="L68" s="4146" t="n"/>
      <c r="M68" s="4201" t="n"/>
      <c r="N68" s="1586" t="n"/>
      <c r="O68" s="1587" t="n"/>
      <c r="P68" s="4146" t="n"/>
      <c r="Q68" s="1585" t="n"/>
      <c r="R68" s="1585" t="n"/>
      <c r="S68" s="4146" t="n"/>
      <c r="T68" s="4146" t="n"/>
      <c r="U68" s="103" t="n"/>
      <c r="V68" s="1587" t="n"/>
      <c r="W68" s="1587" t="n"/>
      <c r="X68" s="4146" t="n"/>
      <c r="Y68" s="101" t="n"/>
      <c r="Z68" s="101" t="n"/>
      <c r="AA68" s="4146" t="n"/>
      <c r="AB68" s="4146" t="n"/>
      <c r="AC68" s="4146" t="n"/>
      <c r="AD68" s="4146" t="n"/>
      <c r="AE68" s="4146" t="n"/>
      <c r="AF68" s="4146" t="n"/>
      <c r="AG68" s="4146" t="n"/>
      <c r="AH68" s="4305" t="n"/>
    </row>
    <row r="69" ht="3.95" customHeight="1" s="4080">
      <c r="A69" s="4097" t="n"/>
      <c r="B69" s="4107" t="n"/>
      <c r="C69" s="4106" t="n"/>
      <c r="J69" s="4107" t="n"/>
      <c r="K69" s="4293" t="inlineStr">
        <is>
          <t>日・祝日</t>
        </is>
      </c>
      <c r="L69" s="4290" t="n"/>
      <c r="M69" s="4291" t="n"/>
      <c r="N69" s="1581" t="n"/>
      <c r="O69" s="4290" t="n"/>
      <c r="P69" s="1521" t="inlineStr">
        <is>
          <t>時</t>
        </is>
      </c>
      <c r="Q69" s="1583" t="n"/>
      <c r="R69" s="1583" t="n"/>
      <c r="S69" s="4294" t="inlineStr">
        <is>
          <t>分～</t>
        </is>
      </c>
      <c r="T69" s="4290" t="n"/>
      <c r="U69" s="98" t="inlineStr">
        <is>
          <t xml:space="preserve">　</t>
        </is>
      </c>
      <c r="V69" s="1582" t="n"/>
      <c r="W69" s="1582" t="n"/>
      <c r="X69" s="1521" t="inlineStr">
        <is>
          <t>時</t>
        </is>
      </c>
      <c r="Y69" s="96" t="n"/>
      <c r="Z69" s="96" t="n"/>
      <c r="AA69" s="1521" t="inlineStr">
        <is>
          <t>分</t>
        </is>
      </c>
      <c r="AB69" s="4483" t="n"/>
      <c r="AC69" s="4290" t="n"/>
      <c r="AD69" s="4290" t="n"/>
      <c r="AE69" s="4290" t="n"/>
      <c r="AF69" s="4290" t="n"/>
      <c r="AG69" s="4290" t="n"/>
      <c r="AH69" s="4482" t="n"/>
    </row>
    <row r="70" ht="12" customHeight="1" s="4080">
      <c r="A70" s="4097" t="n"/>
      <c r="B70" s="4107" t="n"/>
      <c r="C70" s="4106" t="n"/>
      <c r="J70" s="4107" t="n"/>
      <c r="K70" s="4106" t="n"/>
      <c r="M70" s="4191" t="n"/>
      <c r="N70" s="1589" t="n"/>
      <c r="Q70" s="1325" t="n"/>
      <c r="U70" s="1257" t="n"/>
      <c r="Y70" s="1580" t="n"/>
      <c r="AH70" s="4109" t="n"/>
    </row>
    <row r="71" ht="3.95" customHeight="1" s="4080">
      <c r="A71" s="4097" t="n"/>
      <c r="B71" s="4107" t="n"/>
      <c r="C71" s="4102" t="n"/>
      <c r="D71" s="4103" t="n"/>
      <c r="E71" s="4103" t="n"/>
      <c r="F71" s="4103" t="n"/>
      <c r="G71" s="4103" t="n"/>
      <c r="H71" s="4103" t="n"/>
      <c r="I71" s="4103" t="n"/>
      <c r="J71" s="4104" t="n"/>
      <c r="K71" s="4102" t="n"/>
      <c r="L71" s="4103" t="n"/>
      <c r="M71" s="4193" t="n"/>
      <c r="N71" s="1588" t="n"/>
      <c r="O71" s="1258" t="n"/>
      <c r="P71" s="4103" t="n"/>
      <c r="Q71" s="1327" t="n"/>
      <c r="R71" s="1327" t="n"/>
      <c r="S71" s="4103" t="n"/>
      <c r="T71" s="4103" t="n"/>
      <c r="U71" s="92" t="n"/>
      <c r="V71" s="1258" t="n"/>
      <c r="W71" s="1258" t="n"/>
      <c r="X71" s="4103" t="n"/>
      <c r="Y71" s="2836" t="n"/>
      <c r="Z71" s="2836" t="n"/>
      <c r="AA71" s="4103" t="n"/>
      <c r="AB71" s="4103" t="n"/>
      <c r="AC71" s="4103" t="n"/>
      <c r="AD71" s="4103" t="n"/>
      <c r="AE71" s="4103" t="n"/>
      <c r="AF71" s="4103" t="n"/>
      <c r="AG71" s="4103" t="n"/>
      <c r="AH71" s="4105" t="n"/>
    </row>
    <row r="72" ht="12" customHeight="1" s="4080">
      <c r="A72" s="4097" t="n"/>
      <c r="B72" s="4107" t="n"/>
      <c r="C72" s="1322" t="n"/>
      <c r="D72" s="1264" t="inlineStr">
        <is>
          <t>サービス提供日</t>
        </is>
      </c>
      <c r="E72" s="4098" t="n"/>
      <c r="F72" s="4098" t="n"/>
      <c r="G72" s="4098" t="n"/>
      <c r="H72" s="4098" t="n"/>
      <c r="I72" s="4098" t="n"/>
      <c r="J72" s="2027" t="n"/>
      <c r="K72" s="2244" t="inlineStr">
        <is>
          <t>月</t>
        </is>
      </c>
      <c r="L72" s="2245" t="inlineStr">
        <is>
          <t>火</t>
        </is>
      </c>
      <c r="M72" s="2245" t="inlineStr">
        <is>
          <t>水</t>
        </is>
      </c>
      <c r="N72" s="2245" t="inlineStr">
        <is>
          <t>木</t>
        </is>
      </c>
      <c r="O72" s="2245" t="inlineStr">
        <is>
          <t>金</t>
        </is>
      </c>
      <c r="P72" s="2245" t="inlineStr">
        <is>
          <t>土</t>
        </is>
      </c>
      <c r="Q72" s="2245" t="inlineStr">
        <is>
          <t>日</t>
        </is>
      </c>
      <c r="R72" s="2249" t="inlineStr">
        <is>
          <t>祝</t>
        </is>
      </c>
      <c r="S72" s="4279" t="inlineStr">
        <is>
          <t>休業日</t>
        </is>
      </c>
      <c r="T72" s="1611" t="inlineStr">
        <is>
          <t>年末年始</t>
        </is>
      </c>
      <c r="U72" s="4098" t="n"/>
      <c r="V72" s="934" t="n"/>
      <c r="W72" s="4098" t="n"/>
      <c r="X72" s="4098" t="n"/>
      <c r="Y72" s="4098" t="n"/>
      <c r="Z72" s="4098" t="n"/>
      <c r="AA72" s="4098" t="n"/>
      <c r="AB72" s="4099" t="n"/>
      <c r="AC72" s="4280" t="inlineStr">
        <is>
          <t>備　考</t>
        </is>
      </c>
      <c r="AD72" s="4281" t="n"/>
      <c r="AE72" s="4098" t="n"/>
      <c r="AF72" s="4098" t="n"/>
      <c r="AG72" s="4098" t="n"/>
      <c r="AH72" s="4101" t="n"/>
    </row>
    <row r="73" ht="12" customHeight="1" s="4080">
      <c r="A73" s="4097" t="n"/>
      <c r="B73" s="4107" t="n"/>
      <c r="C73" s="4106" t="n"/>
      <c r="J73" s="4107" t="n"/>
      <c r="K73" s="2244" t="inlineStr">
        <is>
          <t xml:space="preserve">　</t>
        </is>
      </c>
      <c r="L73" s="2245" t="n"/>
      <c r="M73" s="2245" t="n"/>
      <c r="N73" s="2245" t="n"/>
      <c r="O73" s="2245" t="n"/>
      <c r="P73" s="2245" t="n"/>
      <c r="Q73" s="2245" t="n"/>
      <c r="R73" s="2249" t="n"/>
      <c r="S73" s="4282" t="n"/>
      <c r="T73" s="1609" t="inlineStr">
        <is>
          <t>夏季</t>
        </is>
      </c>
      <c r="V73" s="937" t="n"/>
      <c r="AB73" s="4107" t="n"/>
      <c r="AC73" s="4282" t="n"/>
      <c r="AD73" s="4192" t="n"/>
      <c r="AH73" s="4109" t="n"/>
    </row>
    <row r="74" ht="12" customHeight="1" s="4080">
      <c r="A74" s="4097" t="n"/>
      <c r="B74" s="4107" t="n"/>
      <c r="C74" s="4106" t="n"/>
      <c r="D74" s="4103" t="n"/>
      <c r="E74" s="4103" t="n"/>
      <c r="F74" s="4103" t="n"/>
      <c r="G74" s="4103" t="n"/>
      <c r="H74" s="4103" t="n"/>
      <c r="I74" s="4103" t="n"/>
      <c r="J74" s="4107" t="n"/>
      <c r="K74" s="4283" t="n"/>
      <c r="L74" s="4284" t="n"/>
      <c r="M74" s="4284" t="n"/>
      <c r="N74" s="4284" t="n"/>
      <c r="O74" s="4284" t="n"/>
      <c r="P74" s="4284" t="n"/>
      <c r="Q74" s="4284" t="n"/>
      <c r="R74" s="4285" t="n"/>
      <c r="S74" s="4286" t="n"/>
      <c r="T74" s="1610" t="inlineStr">
        <is>
          <t>その他</t>
        </is>
      </c>
      <c r="U74" s="4103" t="n"/>
      <c r="V74" s="940" t="n"/>
      <c r="W74" s="4103" t="n"/>
      <c r="X74" s="4103" t="n"/>
      <c r="Y74" s="4103" t="n"/>
      <c r="Z74" s="4103" t="n"/>
      <c r="AA74" s="4103" t="n"/>
      <c r="AB74" s="4104" t="n"/>
      <c r="AC74" s="4286" t="n"/>
      <c r="AD74" s="4194" t="n"/>
      <c r="AE74" s="4103" t="n"/>
      <c r="AF74" s="4103" t="n"/>
      <c r="AG74" s="4103" t="n"/>
      <c r="AH74" s="4105" t="n"/>
    </row>
    <row r="75" ht="15.95" customHeight="1" s="4080">
      <c r="A75" s="4097" t="n"/>
      <c r="B75" s="4107" t="n"/>
      <c r="C75" s="1322" t="n"/>
      <c r="D75" s="1402" t="inlineStr">
        <is>
          <t>サービス提供時間</t>
        </is>
      </c>
      <c r="E75" s="4098" t="n"/>
      <c r="F75" s="4098" t="n"/>
      <c r="G75" s="4098" t="n"/>
      <c r="H75" s="4098" t="n"/>
      <c r="I75" s="4098" t="n"/>
      <c r="J75" s="1288" t="n"/>
      <c r="K75" s="2322" t="n"/>
      <c r="L75" s="4110" t="n"/>
      <c r="M75" s="4110" t="n"/>
      <c r="N75" s="1355" t="inlineStr">
        <is>
          <t>時</t>
        </is>
      </c>
      <c r="O75" s="2324" t="n"/>
      <c r="P75" s="4110" t="n"/>
      <c r="Q75" s="2325" t="inlineStr">
        <is>
          <t>分～</t>
        </is>
      </c>
      <c r="R75" s="4110" t="n"/>
      <c r="S75" s="2323" t="n"/>
      <c r="T75" s="4110" t="n"/>
      <c r="U75" s="4110" t="n"/>
      <c r="V75" s="1325" t="inlineStr">
        <is>
          <t>時</t>
        </is>
      </c>
      <c r="W75" s="1645" t="n"/>
      <c r="X75" s="4110" t="n"/>
      <c r="Y75" s="1325" t="inlineStr">
        <is>
          <t>分</t>
        </is>
      </c>
      <c r="Z75" s="2834" t="n"/>
      <c r="AA75" s="4278" t="n"/>
      <c r="AB75" s="4110" t="n"/>
      <c r="AC75" s="4110" t="n"/>
      <c r="AD75" s="4110" t="n"/>
      <c r="AE75" s="4110" t="n"/>
      <c r="AF75" s="4110" t="n"/>
      <c r="AG75" s="4110" t="n"/>
      <c r="AH75" s="4113" t="n"/>
    </row>
    <row r="76" ht="15.95" customHeight="1" s="4080">
      <c r="A76" s="4097" t="n"/>
      <c r="B76" s="4107" t="n"/>
      <c r="C76" s="1393" t="n"/>
      <c r="D76" s="4222" t="inlineStr">
        <is>
          <t>サービスを提供
する主たる対象者</t>
        </is>
      </c>
      <c r="E76" s="4098" t="n"/>
      <c r="F76" s="4098" t="n"/>
      <c r="G76" s="4098" t="n"/>
      <c r="H76" s="4098" t="n"/>
      <c r="I76" s="4098" t="n"/>
      <c r="J76" s="4223" t="n"/>
      <c r="K76" s="2331" t="inlineStr">
        <is>
          <t>知的障害者</t>
        </is>
      </c>
      <c r="L76" s="4138" t="n"/>
      <c r="M76" s="4138" t="n"/>
      <c r="N76" s="4138" t="n"/>
      <c r="O76" s="4138" t="n"/>
      <c r="P76" s="4138" t="n"/>
      <c r="Q76" s="2333" t="inlineStr">
        <is>
          <t>精神障害者</t>
        </is>
      </c>
      <c r="R76" s="4138" t="n"/>
      <c r="S76" s="4138" t="n"/>
      <c r="T76" s="4138" t="n"/>
      <c r="U76" s="4138" t="n"/>
      <c r="V76" s="4138" t="n"/>
      <c r="W76" s="4492" t="inlineStr">
        <is>
          <t>難病等対象者</t>
        </is>
      </c>
      <c r="X76" s="4138" t="n"/>
      <c r="Y76" s="4138" t="n"/>
      <c r="Z76" s="4138" t="n"/>
      <c r="AA76" s="4138" t="n"/>
      <c r="AB76" s="4139" t="n"/>
      <c r="AC76" s="273" t="n"/>
      <c r="AD76" s="273" t="n"/>
      <c r="AE76" s="273" t="n"/>
      <c r="AF76" s="273" t="n"/>
      <c r="AG76" s="273" t="n"/>
      <c r="AH76" s="274" t="n"/>
    </row>
    <row r="77" ht="15.95" customHeight="1" s="4080">
      <c r="A77" s="4097" t="n"/>
      <c r="B77" s="4107" t="n"/>
      <c r="C77" s="4102" t="n"/>
      <c r="D77" s="4103" t="n"/>
      <c r="E77" s="4103" t="n"/>
      <c r="F77" s="4103" t="n"/>
      <c r="G77" s="4103" t="n"/>
      <c r="H77" s="4103" t="n"/>
      <c r="I77" s="4103" t="n"/>
      <c r="J77" s="4104" t="n"/>
      <c r="K77" s="1664" t="n"/>
      <c r="L77" s="4140" t="n"/>
      <c r="M77" s="4140" t="n"/>
      <c r="N77" s="4140" t="n"/>
      <c r="O77" s="4140" t="n"/>
      <c r="P77" s="4140" t="n"/>
      <c r="Q77" s="2326" t="n"/>
      <c r="R77" s="4140" t="n"/>
      <c r="S77" s="4140" t="n"/>
      <c r="T77" s="4140" t="n"/>
      <c r="U77" s="4140" t="n"/>
      <c r="V77" s="4140" t="n"/>
      <c r="W77" s="4493" t="n"/>
      <c r="X77" s="4140" t="n"/>
      <c r="Y77" s="4140" t="n"/>
      <c r="Z77" s="4140" t="n"/>
      <c r="AA77" s="4140" t="n"/>
      <c r="AB77" s="4141" t="n"/>
      <c r="AC77" s="275" t="n"/>
      <c r="AD77" s="275" t="n"/>
      <c r="AE77" s="275" t="n"/>
      <c r="AF77" s="275" t="n"/>
      <c r="AG77" s="275" t="n"/>
      <c r="AH77" s="276" t="n"/>
    </row>
    <row r="78" ht="15.95" customHeight="1" s="4080">
      <c r="A78" s="4097" t="n"/>
      <c r="B78" s="4107" t="n"/>
      <c r="C78" s="1370" t="n"/>
      <c r="D78" s="1245" t="inlineStr">
        <is>
          <t>利用定員</t>
        </is>
      </c>
      <c r="E78" s="4098" t="n"/>
      <c r="F78" s="4098" t="n"/>
      <c r="G78" s="4098" t="n"/>
      <c r="H78" s="4098" t="n"/>
      <c r="I78" s="4098" t="n"/>
      <c r="J78" s="1371" t="n"/>
      <c r="K78" s="2263" t="n"/>
      <c r="L78" s="4098" t="n"/>
      <c r="M78" s="4098" t="n"/>
      <c r="N78" s="4098" t="n"/>
      <c r="O78" s="2328" t="inlineStr">
        <is>
          <t>人（うち宿泊型自立訓練事業利用定員</t>
        </is>
      </c>
      <c r="P78" s="4486" t="n"/>
      <c r="Q78" s="4486" t="n"/>
      <c r="R78" s="4486" t="n"/>
      <c r="S78" s="4486" t="n"/>
      <c r="T78" s="4486" t="n"/>
      <c r="U78" s="4486" t="n"/>
      <c r="V78" s="4486" t="n"/>
      <c r="W78" s="4486" t="n"/>
      <c r="X78" s="4486" t="n"/>
      <c r="Y78" s="4486" t="n"/>
      <c r="Z78" s="2269" t="n"/>
      <c r="AA78" s="4486" t="n"/>
      <c r="AB78" s="4486" t="n"/>
      <c r="AC78" s="2330" t="inlineStr">
        <is>
          <t>人）</t>
        </is>
      </c>
      <c r="AD78" s="4494" t="n"/>
      <c r="AE78" s="4487" t="n"/>
      <c r="AF78" s="4098" t="n"/>
      <c r="AG78" s="4098" t="n"/>
      <c r="AH78" s="4101" t="n"/>
    </row>
    <row r="79" ht="3.95" customHeight="1" s="4080">
      <c r="A79" s="4097" t="n"/>
      <c r="B79" s="4107" t="n"/>
      <c r="C79" s="1322" t="n"/>
      <c r="D79" s="4429" t="inlineStr">
        <is>
          <t>従たる事業所の有無</t>
        </is>
      </c>
      <c r="E79" s="4098" t="n"/>
      <c r="F79" s="4098" t="n"/>
      <c r="G79" s="4098" t="n"/>
      <c r="H79" s="4098" t="n"/>
      <c r="I79" s="4098" t="n"/>
      <c r="J79" s="1394" t="n"/>
      <c r="K79" s="4430" t="n"/>
      <c r="L79" s="2056" t="n"/>
      <c r="M79" s="4098" t="n"/>
      <c r="N79" s="4098" t="n"/>
      <c r="O79" s="2070" t="n"/>
      <c r="P79" s="4431" t="inlineStr">
        <is>
          <t>従たる事業所に
おいて実施する
サービス種別</t>
        </is>
      </c>
      <c r="Q79" s="4098" t="n"/>
      <c r="R79" s="4098" t="n"/>
      <c r="S79" s="4098" t="n"/>
      <c r="T79" s="4190" t="n"/>
      <c r="U79" s="2056" t="n"/>
      <c r="V79" s="2056" t="n"/>
      <c r="W79" s="2056" t="n"/>
      <c r="X79" s="2056" t="n"/>
      <c r="Y79" s="2056" t="n"/>
      <c r="Z79" s="2056" t="n"/>
      <c r="AA79" s="2056" t="n"/>
      <c r="AB79" s="1334" t="inlineStr">
        <is>
          <t xml:space="preserve">　</t>
        </is>
      </c>
      <c r="AC79" s="1334" t="n"/>
      <c r="AD79" s="1334" t="n"/>
      <c r="AE79" s="1334" t="n"/>
      <c r="AF79" s="1334" t="n"/>
      <c r="AG79" s="1334" t="n"/>
      <c r="AH79" s="1335" t="n"/>
    </row>
    <row r="80" ht="12" customHeight="1" s="4080">
      <c r="A80" s="4097" t="n"/>
      <c r="B80" s="4107" t="n"/>
      <c r="C80" s="4106" t="n"/>
      <c r="J80" s="4107" t="n"/>
      <c r="K80" s="4106" t="n"/>
      <c r="L80" s="2069" t="inlineStr">
        <is>
          <t>有</t>
        </is>
      </c>
      <c r="M80" s="2069" t="inlineStr">
        <is>
          <t>・</t>
        </is>
      </c>
      <c r="N80" s="2069" t="inlineStr">
        <is>
          <t>無</t>
        </is>
      </c>
      <c r="O80" s="4107" t="n"/>
      <c r="P80" s="4106" t="n"/>
      <c r="T80" s="4191" t="n"/>
      <c r="U80" s="230" t="inlineStr">
        <is>
          <t>1)</t>
        </is>
      </c>
      <c r="V80" s="2057" t="n"/>
      <c r="AB80" s="231" t="inlineStr">
        <is>
          <t>3)</t>
        </is>
      </c>
      <c r="AC80" s="2058" t="n"/>
      <c r="AH80" s="4109" t="n"/>
    </row>
    <row r="81" ht="12" customHeight="1" s="4080">
      <c r="A81" s="4097" t="n"/>
      <c r="B81" s="4107" t="n"/>
      <c r="C81" s="1326" t="n"/>
      <c r="J81" s="4107" t="n"/>
      <c r="K81" s="4106" t="n"/>
      <c r="O81" s="4107" t="n"/>
      <c r="P81" s="4106" t="n"/>
      <c r="T81" s="4191" t="n"/>
      <c r="U81" s="232" t="inlineStr">
        <is>
          <t>2)</t>
        </is>
      </c>
      <c r="V81" s="2057" t="n"/>
      <c r="AB81" s="233" t="inlineStr">
        <is>
          <t>4)</t>
        </is>
      </c>
      <c r="AC81" s="2058" t="n"/>
      <c r="AH81" s="4109" t="n"/>
    </row>
    <row r="82" ht="3.95" customHeight="1" s="4080">
      <c r="A82" s="4097" t="n"/>
      <c r="B82" s="4107" t="n"/>
      <c r="C82" s="4102" t="n"/>
      <c r="D82" s="4103" t="n"/>
      <c r="E82" s="4103" t="n"/>
      <c r="F82" s="4103" t="n"/>
      <c r="G82" s="4103" t="n"/>
      <c r="H82" s="4103" t="n"/>
      <c r="I82" s="4103" t="n"/>
      <c r="J82" s="4104" t="n"/>
      <c r="K82" s="4102" t="n"/>
      <c r="L82" s="2059" t="n"/>
      <c r="M82" s="4103" t="n"/>
      <c r="N82" s="4103" t="n"/>
      <c r="O82" s="4104" t="n"/>
      <c r="P82" s="4102" t="n"/>
      <c r="Q82" s="4103" t="n"/>
      <c r="R82" s="4103" t="n"/>
      <c r="S82" s="4103" t="n"/>
      <c r="T82" s="4193" t="n"/>
      <c r="U82" s="2059" t="n"/>
      <c r="V82" s="2059" t="n"/>
      <c r="W82" s="2059" t="n"/>
      <c r="X82" s="2059" t="n"/>
      <c r="Y82" s="2059" t="n"/>
      <c r="Z82" s="2059" t="n"/>
      <c r="AA82" s="2059" t="n"/>
      <c r="AB82" s="1298" t="n"/>
      <c r="AC82" s="1298" t="n"/>
      <c r="AD82" s="1298" t="n"/>
      <c r="AE82" s="1298" t="n"/>
      <c r="AF82" s="1298" t="n"/>
      <c r="AG82" s="1298" t="n"/>
      <c r="AH82" s="1299" t="n"/>
    </row>
    <row r="83" ht="3.95" customHeight="1" s="4080">
      <c r="A83" s="4097" t="n"/>
      <c r="B83" s="4107" t="n"/>
      <c r="C83" s="2163" t="inlineStr">
        <is>
          <t>多機能型の実施</t>
        </is>
      </c>
      <c r="D83" s="4098" t="n"/>
      <c r="E83" s="4098" t="n"/>
      <c r="F83" s="4098" t="n"/>
      <c r="G83" s="4098" t="n"/>
      <c r="H83" s="4098" t="n"/>
      <c r="I83" s="4098" t="n"/>
      <c r="J83" s="4099" t="n"/>
      <c r="K83" s="2053" t="n"/>
      <c r="L83" s="2056" t="n"/>
      <c r="M83" s="2056" t="n"/>
      <c r="N83" s="2056" t="n"/>
      <c r="O83" s="1371" t="n"/>
      <c r="P83" s="3316" t="n"/>
      <c r="Q83" s="3316" t="n"/>
      <c r="R83" s="3316" t="n"/>
      <c r="S83" s="3316" t="n"/>
      <c r="T83" s="3316" t="n"/>
      <c r="U83" s="238" t="n"/>
      <c r="V83" s="238" t="n"/>
      <c r="W83" s="238" t="n"/>
      <c r="X83" s="238" t="n"/>
      <c r="Y83" s="238" t="n"/>
      <c r="Z83" s="238" t="n"/>
      <c r="AA83" s="238" t="n"/>
      <c r="AB83" s="2960" t="n"/>
      <c r="AC83" s="2960" t="n"/>
      <c r="AD83" s="2960" t="n"/>
      <c r="AE83" s="2960" t="n"/>
      <c r="AF83" s="2960" t="n"/>
      <c r="AG83" s="2960" t="n"/>
      <c r="AH83" s="2961" t="n"/>
    </row>
    <row r="84" ht="18.75" customHeight="1" s="4080">
      <c r="A84" s="4097" t="n"/>
      <c r="B84" s="4107" t="n"/>
      <c r="C84" s="4106" t="n"/>
      <c r="J84" s="4107" t="n"/>
      <c r="K84" s="1657" t="n"/>
      <c r="L84" s="1658" t="inlineStr">
        <is>
          <t>有</t>
        </is>
      </c>
      <c r="M84" s="2069" t="inlineStr">
        <is>
          <t>・</t>
        </is>
      </c>
      <c r="N84" s="1658" t="inlineStr">
        <is>
          <t>無</t>
        </is>
      </c>
      <c r="O84" s="241" t="n"/>
      <c r="P84" s="3315" t="n"/>
      <c r="Q84" s="3316" t="n"/>
      <c r="R84" s="3316" t="n"/>
      <c r="S84" s="3316" t="n"/>
      <c r="T84" s="3316" t="n"/>
      <c r="U84" s="238" t="n"/>
      <c r="V84" s="238" t="n"/>
      <c r="W84" s="238" t="n"/>
      <c r="X84" s="238" t="n"/>
      <c r="Y84" s="238" t="n"/>
      <c r="Z84" s="238" t="n"/>
      <c r="AA84" s="238" t="n"/>
      <c r="AB84" s="2960" t="n"/>
      <c r="AC84" s="2960" t="n"/>
      <c r="AD84" s="2960" t="n"/>
      <c r="AE84" s="2960" t="n"/>
      <c r="AF84" s="2960" t="n"/>
      <c r="AG84" s="2960" t="n"/>
      <c r="AH84" s="2961" t="n"/>
    </row>
    <row r="85" ht="3.75" customHeight="1" s="4080">
      <c r="A85" s="4097" t="n"/>
      <c r="B85" s="4107" t="n"/>
      <c r="C85" s="4102" t="n"/>
      <c r="D85" s="4103" t="n"/>
      <c r="E85" s="4103" t="n"/>
      <c r="F85" s="4103" t="n"/>
      <c r="G85" s="4103" t="n"/>
      <c r="H85" s="4103" t="n"/>
      <c r="I85" s="4103" t="n"/>
      <c r="J85" s="4104" t="n"/>
      <c r="K85" s="1374" t="n"/>
      <c r="L85" s="2059" t="n"/>
      <c r="M85" s="2059" t="n"/>
      <c r="N85" s="2059" t="n"/>
      <c r="O85" s="1375" t="n"/>
      <c r="P85" s="3318" t="n"/>
      <c r="Q85" s="3318" t="n"/>
      <c r="R85" s="3318" t="n"/>
      <c r="S85" s="3318" t="n"/>
      <c r="T85" s="3318" t="n"/>
      <c r="U85" s="244" t="n"/>
      <c r="V85" s="244" t="n"/>
      <c r="W85" s="244" t="n"/>
      <c r="X85" s="244" t="n"/>
      <c r="Y85" s="244" t="n"/>
      <c r="Z85" s="244" t="n"/>
      <c r="AA85" s="244" t="n"/>
      <c r="AB85" s="2963" t="n"/>
      <c r="AC85" s="2963" t="n"/>
      <c r="AD85" s="2963" t="n"/>
      <c r="AE85" s="2963" t="n"/>
      <c r="AF85" s="2963" t="n"/>
      <c r="AG85" s="2963" t="n"/>
      <c r="AH85" s="2964" t="n"/>
    </row>
    <row r="86" ht="15" customHeight="1" s="4080">
      <c r="A86" s="4097" t="n"/>
      <c r="B86" s="4107" t="n"/>
      <c r="C86" s="1393" t="n"/>
      <c r="D86" s="1264" t="inlineStr">
        <is>
          <t>利用料</t>
        </is>
      </c>
      <c r="E86" s="4110" t="n"/>
      <c r="F86" s="4110" t="n"/>
      <c r="G86" s="4110" t="n"/>
      <c r="H86" s="4110" t="n"/>
      <c r="I86" s="4110" t="n"/>
      <c r="J86" s="1394" t="n"/>
      <c r="K86" s="4227" t="n"/>
      <c r="L86" s="4110" t="n"/>
      <c r="M86" s="4110" t="n"/>
      <c r="N86" s="4110" t="n"/>
      <c r="O86" s="4110" t="n"/>
      <c r="P86" s="4110" t="n"/>
      <c r="Q86" s="4110" t="n"/>
      <c r="R86" s="4110" t="n"/>
      <c r="S86" s="4110" t="n"/>
      <c r="T86" s="4110" t="n"/>
      <c r="U86" s="4110" t="n"/>
      <c r="V86" s="4110" t="n"/>
      <c r="W86" s="4110" t="n"/>
      <c r="X86" s="4110" t="n"/>
      <c r="Y86" s="4110" t="n"/>
      <c r="Z86" s="4110" t="n"/>
      <c r="AA86" s="4110" t="n"/>
      <c r="AB86" s="4110" t="n"/>
      <c r="AC86" s="4110" t="n"/>
      <c r="AD86" s="4110" t="n"/>
      <c r="AE86" s="4110" t="n"/>
      <c r="AF86" s="4110" t="n"/>
      <c r="AG86" s="4110" t="n"/>
      <c r="AH86" s="4113" t="n"/>
    </row>
    <row r="87" ht="15" customHeight="1" s="4080">
      <c r="A87" s="4097" t="n"/>
      <c r="B87" s="4107" t="n"/>
      <c r="C87" s="1322" t="n"/>
      <c r="D87" s="1264" t="inlineStr">
        <is>
          <t>その他の費用</t>
        </is>
      </c>
      <c r="E87" s="4110" t="n"/>
      <c r="F87" s="4110" t="n"/>
      <c r="G87" s="4110" t="n"/>
      <c r="H87" s="4110" t="n"/>
      <c r="I87" s="4110" t="n"/>
      <c r="J87" s="1331" t="n"/>
      <c r="K87" s="4121" t="n"/>
      <c r="L87" s="4110" t="n"/>
      <c r="M87" s="4110" t="n"/>
      <c r="N87" s="4110" t="n"/>
      <c r="O87" s="4110" t="n"/>
      <c r="P87" s="4110" t="n"/>
      <c r="Q87" s="4110" t="n"/>
      <c r="R87" s="4110" t="n"/>
      <c r="S87" s="4110" t="n"/>
      <c r="T87" s="4110" t="n"/>
      <c r="U87" s="4110" t="n"/>
      <c r="V87" s="4110" t="n"/>
      <c r="W87" s="4110" t="n"/>
      <c r="X87" s="4110" t="n"/>
      <c r="Y87" s="4110" t="n"/>
      <c r="Z87" s="4110" t="n"/>
      <c r="AA87" s="4110" t="n"/>
      <c r="AB87" s="4110" t="n"/>
      <c r="AC87" s="4110" t="n"/>
      <c r="AD87" s="4110" t="n"/>
      <c r="AE87" s="4110" t="n"/>
      <c r="AF87" s="4110" t="n"/>
      <c r="AG87" s="4110" t="n"/>
      <c r="AH87" s="4113" t="n"/>
    </row>
    <row r="88" ht="24" customHeight="1" s="4080">
      <c r="A88" s="4097" t="n"/>
      <c r="B88" s="4107" t="n"/>
      <c r="C88" s="1300" t="n"/>
      <c r="D88" s="4222" t="inlineStr">
        <is>
          <t>通常の事業の
実施地域</t>
        </is>
      </c>
      <c r="E88" s="4098" t="n"/>
      <c r="F88" s="4098" t="n"/>
      <c r="G88" s="4098" t="n"/>
      <c r="H88" s="4098" t="n"/>
      <c r="I88" s="4098" t="n"/>
      <c r="J88" s="1963" t="n"/>
      <c r="K88" s="3272" t="inlineStr">
        <is>
          <t>1)</t>
        </is>
      </c>
      <c r="L88" s="1406" t="n"/>
      <c r="M88" s="4110" t="n"/>
      <c r="N88" s="4110" t="n"/>
      <c r="O88" s="2325" t="inlineStr">
        <is>
          <t>2)</t>
        </is>
      </c>
      <c r="P88" s="1406" t="n"/>
      <c r="Q88" s="4110" t="n"/>
      <c r="R88" s="4110" t="n"/>
      <c r="S88" s="2325" t="inlineStr">
        <is>
          <t>3)</t>
        </is>
      </c>
      <c r="T88" s="1406" t="n"/>
      <c r="U88" s="4110" t="n"/>
      <c r="V88" s="4110" t="n"/>
      <c r="W88" s="2325" t="inlineStr">
        <is>
          <t>4)</t>
        </is>
      </c>
      <c r="X88" s="1406" t="n"/>
      <c r="Y88" s="4110" t="n"/>
      <c r="Z88" s="4110" t="n"/>
      <c r="AA88" s="2325" t="inlineStr">
        <is>
          <t>5)</t>
        </is>
      </c>
      <c r="AB88" s="2335" t="n"/>
      <c r="AC88" s="4110" t="n"/>
      <c r="AD88" s="4111" t="n"/>
      <c r="AE88" s="4229" t="inlineStr">
        <is>
          <t>備考</t>
        </is>
      </c>
      <c r="AF88" s="4230" t="n"/>
      <c r="AG88" s="4098" t="n"/>
      <c r="AH88" s="4101" t="n"/>
    </row>
    <row r="89" ht="24" customHeight="1" s="4080">
      <c r="A89" s="4097" t="n"/>
      <c r="B89" s="4107" t="n"/>
      <c r="C89" s="4102" t="n"/>
      <c r="D89" s="4103" t="n"/>
      <c r="E89" s="4103" t="n"/>
      <c r="F89" s="4103" t="n"/>
      <c r="G89" s="4103" t="n"/>
      <c r="H89" s="4103" t="n"/>
      <c r="I89" s="4103" t="n"/>
      <c r="J89" s="4104" t="n"/>
      <c r="K89" s="3272" t="inlineStr">
        <is>
          <t>6)</t>
        </is>
      </c>
      <c r="L89" s="1406" t="n"/>
      <c r="M89" s="4110" t="n"/>
      <c r="N89" s="4110" t="n"/>
      <c r="O89" s="2325" t="inlineStr">
        <is>
          <t>7)</t>
        </is>
      </c>
      <c r="P89" s="1406" t="n"/>
      <c r="Q89" s="4110" t="n"/>
      <c r="R89" s="4110" t="n"/>
      <c r="S89" s="2325" t="inlineStr">
        <is>
          <t>8)</t>
        </is>
      </c>
      <c r="T89" s="1406" t="n"/>
      <c r="U89" s="4110" t="n"/>
      <c r="V89" s="4110" t="n"/>
      <c r="W89" s="2325" t="inlineStr">
        <is>
          <t>9)</t>
        </is>
      </c>
      <c r="X89" s="1406" t="n"/>
      <c r="Y89" s="4110" t="n"/>
      <c r="Z89" s="4110" t="n"/>
      <c r="AA89" s="71" t="inlineStr">
        <is>
          <t>10)</t>
        </is>
      </c>
      <c r="AB89" s="1406" t="n"/>
      <c r="AC89" s="4110" t="n"/>
      <c r="AD89" s="4110" t="n"/>
      <c r="AE89" s="4124" t="n"/>
      <c r="AF89" s="4102" t="n"/>
      <c r="AG89" s="4103" t="n"/>
      <c r="AH89" s="4105" t="n"/>
    </row>
    <row r="90" ht="3.95" customHeight="1" s="4080">
      <c r="A90" s="4097" t="n"/>
      <c r="B90" s="4107" t="n"/>
      <c r="C90" s="1795" t="n"/>
      <c r="D90" s="1402" t="n"/>
      <c r="E90" s="3328" t="n"/>
      <c r="F90" s="3328" t="n"/>
      <c r="G90" s="3328" t="n"/>
      <c r="H90" s="3328" t="n"/>
      <c r="I90" s="3328" t="n"/>
      <c r="J90" s="3329" t="n"/>
      <c r="K90" s="541" t="n"/>
      <c r="L90" s="1852" t="n"/>
      <c r="M90" s="4098" t="n"/>
      <c r="N90" s="4098" t="n"/>
      <c r="O90" s="3371" t="n"/>
      <c r="P90" s="4488" t="n"/>
      <c r="Q90" s="4098" t="n"/>
      <c r="R90" s="4098" t="n"/>
      <c r="S90" s="4098" t="n"/>
      <c r="T90" s="4098" t="n"/>
      <c r="U90" s="4098" t="n"/>
      <c r="V90" s="4098" t="n"/>
      <c r="W90" s="4098" t="n"/>
      <c r="X90" s="4098" t="n"/>
      <c r="Y90" s="4098" t="n"/>
      <c r="Z90" s="4098" t="n"/>
      <c r="AA90" s="4098" t="n"/>
      <c r="AB90" s="4098" t="n"/>
      <c r="AC90" s="4098" t="n"/>
      <c r="AD90" s="4098" t="n"/>
      <c r="AE90" s="4098" t="n"/>
      <c r="AF90" s="4098" t="n"/>
      <c r="AG90" s="4098" t="n"/>
      <c r="AH90" s="4101" t="n"/>
    </row>
    <row r="91" ht="12" customHeight="1" s="4080">
      <c r="A91" s="4097" t="n"/>
      <c r="B91" s="4107" t="n"/>
      <c r="C91" s="1241" t="n"/>
      <c r="D91" s="2284" t="inlineStr">
        <is>
          <t>食事提供の有無</t>
        </is>
      </c>
      <c r="J91" s="1243" t="n"/>
      <c r="K91" s="4106" t="n"/>
      <c r="L91" s="1829" t="inlineStr">
        <is>
          <t>有</t>
        </is>
      </c>
      <c r="M91" s="1829" t="inlineStr">
        <is>
          <t>・</t>
        </is>
      </c>
      <c r="N91" s="1829" t="inlineStr">
        <is>
          <t>無</t>
        </is>
      </c>
      <c r="O91" s="4107" t="n"/>
      <c r="P91" s="4106" t="n"/>
      <c r="AH91" s="4109" t="n"/>
    </row>
    <row r="92" ht="3.95" customHeight="1" s="4080">
      <c r="A92" s="4097" t="n"/>
      <c r="B92" s="4107" t="n"/>
      <c r="C92" s="1795" t="n"/>
      <c r="D92" s="1413" t="n"/>
      <c r="E92" s="3334" t="n"/>
      <c r="F92" s="3334" t="n"/>
      <c r="G92" s="3334" t="n"/>
      <c r="H92" s="3334" t="n"/>
      <c r="I92" s="3334" t="n"/>
      <c r="J92" s="3335" t="n"/>
      <c r="K92" s="4102" t="n"/>
      <c r="L92" s="2285" t="n"/>
      <c r="M92" s="4103" t="n"/>
      <c r="N92" s="4103" t="n"/>
      <c r="O92" s="4104" t="n"/>
      <c r="P92" s="4102" t="n"/>
      <c r="Q92" s="4103" t="n"/>
      <c r="R92" s="4103" t="n"/>
      <c r="S92" s="4103" t="n"/>
      <c r="T92" s="4103" t="n"/>
      <c r="U92" s="4103" t="n"/>
      <c r="V92" s="4103" t="n"/>
      <c r="W92" s="4103" t="n"/>
      <c r="X92" s="4103" t="n"/>
      <c r="Y92" s="4103" t="n"/>
      <c r="Z92" s="4103" t="n"/>
      <c r="AA92" s="4103" t="n"/>
      <c r="AB92" s="4103" t="n"/>
      <c r="AC92" s="4103" t="n"/>
      <c r="AD92" s="4103" t="n"/>
      <c r="AE92" s="4103" t="n"/>
      <c r="AF92" s="4103" t="n"/>
      <c r="AG92" s="4103" t="n"/>
      <c r="AH92" s="4105" t="n"/>
      <c r="AJ92" s="266" t="n"/>
    </row>
    <row r="93" ht="3.95" customHeight="1" s="4080">
      <c r="A93" s="4097" t="n"/>
      <c r="B93" s="4107" t="n"/>
      <c r="C93" s="4231" t="inlineStr">
        <is>
          <t>その他参考
となる事項</t>
        </is>
      </c>
      <c r="D93" s="4099" t="n"/>
      <c r="E93" s="2753" t="inlineStr">
        <is>
          <t>第三者評価の実施状況</t>
        </is>
      </c>
      <c r="F93" s="4098" t="n"/>
      <c r="G93" s="4098" t="n"/>
      <c r="H93" s="4098" t="n"/>
      <c r="I93" s="4098" t="n"/>
      <c r="J93" s="4099" t="n"/>
      <c r="K93" s="1657" t="n"/>
      <c r="L93" s="1658" t="n"/>
      <c r="M93" s="1658" t="n"/>
      <c r="N93" s="1658" t="n"/>
      <c r="O93" s="1658" t="n"/>
      <c r="P93" s="1658" t="n"/>
      <c r="Q93" s="1658" t="n"/>
      <c r="R93" s="930" t="n"/>
      <c r="AB93" s="1658" t="n"/>
      <c r="AC93" s="1658" t="n"/>
      <c r="AD93" s="1658" t="n"/>
      <c r="AE93" s="1658" t="n"/>
      <c r="AF93" s="1658" t="n"/>
      <c r="AG93" s="1658" t="n"/>
      <c r="AH93" s="1659" t="n"/>
    </row>
    <row r="94" ht="15" customHeight="1" s="4080">
      <c r="A94" s="4097" t="n"/>
      <c r="B94" s="4107" t="n"/>
      <c r="C94" s="4106" t="n"/>
      <c r="D94" s="4107" t="n"/>
      <c r="J94" s="4107" t="n"/>
      <c r="K94" s="1372" t="n"/>
      <c r="L94" s="1432" t="inlineStr">
        <is>
          <t>している</t>
        </is>
      </c>
      <c r="O94" s="1458" t="inlineStr">
        <is>
          <t>(実施先：</t>
        </is>
      </c>
      <c r="AB94" s="1325" t="inlineStr">
        <is>
          <t>)・</t>
        </is>
      </c>
      <c r="AD94" s="1432" t="inlineStr">
        <is>
          <t>していない</t>
        </is>
      </c>
      <c r="AH94" s="1668" t="n"/>
    </row>
    <row r="95" ht="3.95" customHeight="1" s="4080">
      <c r="A95" s="4097" t="n"/>
      <c r="B95" s="4107" t="n"/>
      <c r="C95" s="4106" t="n"/>
      <c r="D95" s="4107" t="n"/>
      <c r="E95" s="4103" t="n"/>
      <c r="F95" s="4103" t="n"/>
      <c r="G95" s="4103" t="n"/>
      <c r="H95" s="4103" t="n"/>
      <c r="I95" s="4103" t="n"/>
      <c r="J95" s="4104" t="n"/>
      <c r="K95" s="1657" t="n"/>
      <c r="L95" s="1658" t="n"/>
      <c r="M95" s="1658" t="n"/>
      <c r="N95" s="1658" t="n"/>
      <c r="O95" s="1658" t="n"/>
      <c r="P95" s="1658" t="n"/>
      <c r="Q95" s="1658" t="n"/>
      <c r="R95" s="4103" t="n"/>
      <c r="S95" s="4103" t="n"/>
      <c r="T95" s="4103" t="n"/>
      <c r="U95" s="4103" t="n"/>
      <c r="V95" s="4103" t="n"/>
      <c r="W95" s="4103" t="n"/>
      <c r="X95" s="4103" t="n"/>
      <c r="Y95" s="4103" t="n"/>
      <c r="Z95" s="4103" t="n"/>
      <c r="AA95" s="4103" t="n"/>
      <c r="AB95" s="1658" t="n"/>
      <c r="AC95" s="1658" t="n"/>
      <c r="AD95" s="1658" t="n"/>
      <c r="AE95" s="1658" t="n"/>
      <c r="AF95" s="1658" t="n"/>
      <c r="AG95" s="1658" t="n"/>
      <c r="AH95" s="1659" t="n"/>
    </row>
    <row r="96" ht="15" customHeight="1" s="4080">
      <c r="A96" s="4097" t="n"/>
      <c r="B96" s="4107" t="n"/>
      <c r="C96" s="4106" t="n"/>
      <c r="D96" s="4107" t="n"/>
      <c r="E96" s="1439" t="inlineStr">
        <is>
          <t>苦情解決の措置概要</t>
        </is>
      </c>
      <c r="F96" s="4098" t="n"/>
      <c r="G96" s="4098" t="n"/>
      <c r="H96" s="4098" t="n"/>
      <c r="I96" s="4098" t="n"/>
      <c r="J96" s="4099" t="n"/>
      <c r="K96" s="2542" t="inlineStr">
        <is>
          <t>窓　口</t>
        </is>
      </c>
      <c r="L96" s="4110" t="n"/>
      <c r="M96" s="4111" t="n"/>
      <c r="N96" s="4121" t="inlineStr">
        <is>
          <t xml:space="preserve">　</t>
        </is>
      </c>
      <c r="O96" s="4110" t="n"/>
      <c r="P96" s="4110" t="n"/>
      <c r="Q96" s="4110" t="n"/>
      <c r="R96" s="4110" t="n"/>
      <c r="S96" s="4110" t="n"/>
      <c r="T96" s="4110" t="n"/>
      <c r="U96" s="4110" t="n"/>
      <c r="V96" s="4110" t="n"/>
      <c r="W96" s="4110" t="n"/>
      <c r="X96" s="4110" t="n"/>
      <c r="Y96" s="4110" t="n"/>
      <c r="Z96" s="4110" t="n"/>
      <c r="AA96" s="4110" t="n"/>
      <c r="AB96" s="4110" t="n"/>
      <c r="AC96" s="4110" t="n"/>
      <c r="AD96" s="4110" t="n"/>
      <c r="AE96" s="4110" t="n"/>
      <c r="AF96" s="4110" t="n"/>
      <c r="AG96" s="4110" t="n"/>
      <c r="AH96" s="4113" t="n"/>
    </row>
    <row r="97" ht="15" customHeight="1" s="4080">
      <c r="A97" s="4097" t="n"/>
      <c r="B97" s="4107" t="n"/>
      <c r="C97" s="4106" t="n"/>
      <c r="D97" s="4107" t="n"/>
      <c r="E97" s="4103" t="n"/>
      <c r="F97" s="4103" t="n"/>
      <c r="G97" s="4103" t="n"/>
      <c r="H97" s="4103" t="n"/>
      <c r="I97" s="4103" t="n"/>
      <c r="J97" s="4104" t="n"/>
      <c r="K97" s="2542" t="inlineStr">
        <is>
          <t>担当者</t>
        </is>
      </c>
      <c r="L97" s="4110" t="n"/>
      <c r="M97" s="4111" t="n"/>
      <c r="N97" s="4233" t="n"/>
      <c r="O97" s="4110" t="n"/>
      <c r="P97" s="4110" t="n"/>
      <c r="Q97" s="4110" t="n"/>
      <c r="R97" s="4110" t="n"/>
      <c r="S97" s="4110" t="n"/>
      <c r="T97" s="4110" t="n"/>
      <c r="U97" s="4111" t="n"/>
      <c r="V97" s="2163" t="inlineStr">
        <is>
          <t>電話</t>
        </is>
      </c>
      <c r="W97" s="4111" t="n"/>
      <c r="X97" s="882" t="n"/>
      <c r="Y97" s="4110" t="n"/>
      <c r="Z97" s="4110" t="n"/>
      <c r="AA97" s="1492" t="inlineStr">
        <is>
          <t>－</t>
        </is>
      </c>
      <c r="AB97" s="920" t="n"/>
      <c r="AC97" s="4110" t="n"/>
      <c r="AD97" s="4110" t="n"/>
      <c r="AE97" s="1492" t="inlineStr">
        <is>
          <t>－</t>
        </is>
      </c>
      <c r="AF97" s="955" t="n"/>
      <c r="AG97" s="4110" t="n"/>
      <c r="AH97" s="4113" t="n"/>
    </row>
    <row r="98" ht="15" customHeight="1" s="4080">
      <c r="A98" s="4114" t="n"/>
      <c r="B98" s="4104" t="n"/>
      <c r="C98" s="4102" t="n"/>
      <c r="D98" s="4104" t="n"/>
      <c r="E98" s="1394" t="inlineStr">
        <is>
          <t>そ　　 の 　　他</t>
        </is>
      </c>
      <c r="F98" s="4110" t="n"/>
      <c r="G98" s="4110" t="n"/>
      <c r="H98" s="4110" t="n"/>
      <c r="I98" s="4110" t="n"/>
      <c r="J98" s="4111" t="n"/>
      <c r="K98" s="4121" t="n"/>
      <c r="L98" s="4110" t="n"/>
      <c r="M98" s="4110" t="n"/>
      <c r="N98" s="4110" t="n"/>
      <c r="O98" s="4110" t="n"/>
      <c r="P98" s="4110" t="n"/>
      <c r="Q98" s="4110" t="n"/>
      <c r="R98" s="4110" t="n"/>
      <c r="S98" s="4110" t="n"/>
      <c r="T98" s="4110" t="n"/>
      <c r="U98" s="4110" t="n"/>
      <c r="V98" s="4110" t="n"/>
      <c r="W98" s="4110" t="n"/>
      <c r="X98" s="4110" t="n"/>
      <c r="Y98" s="4110" t="n"/>
      <c r="Z98" s="4110" t="n"/>
      <c r="AA98" s="4110" t="n"/>
      <c r="AB98" s="4110" t="n"/>
      <c r="AC98" s="4110" t="n"/>
      <c r="AD98" s="4110" t="n"/>
      <c r="AE98" s="4110" t="n"/>
      <c r="AF98" s="4110" t="n"/>
      <c r="AG98" s="4110" t="n"/>
      <c r="AH98" s="4113" t="n"/>
    </row>
    <row r="99" ht="15" customHeight="1" s="4080">
      <c r="A99" s="2915" t="n"/>
      <c r="B99" s="1264" t="inlineStr">
        <is>
          <t>協力医療機関</t>
        </is>
      </c>
      <c r="C99" s="4098" t="n"/>
      <c r="D99" s="4098" t="n"/>
      <c r="E99" s="4098" t="n"/>
      <c r="F99" s="4098" t="n"/>
      <c r="G99" s="4098" t="n"/>
      <c r="H99" s="4098" t="n"/>
      <c r="I99" s="4098" t="n"/>
      <c r="J99" s="2077" t="n"/>
      <c r="K99" s="1865" t="inlineStr">
        <is>
          <t>ﾌﾘｶﾞﾅ</t>
        </is>
      </c>
      <c r="L99" s="4110" t="n"/>
      <c r="M99" s="4110" t="n"/>
      <c r="N99" s="4432" t="n"/>
      <c r="O99" s="4110" t="n"/>
      <c r="P99" s="4110" t="n"/>
      <c r="Q99" s="4110" t="n"/>
      <c r="R99" s="4110" t="n"/>
      <c r="S99" s="4110" t="n"/>
      <c r="T99" s="4110" t="n"/>
      <c r="U99" s="4110" t="n"/>
      <c r="V99" s="4110" t="n"/>
      <c r="W99" s="4110" t="n"/>
      <c r="X99" s="4110" t="n"/>
      <c r="Y99" s="4110" t="n"/>
      <c r="Z99" s="4110" t="n"/>
      <c r="AA99" s="4110" t="n"/>
      <c r="AB99" s="4111" t="n"/>
      <c r="AC99" s="1439" t="inlineStr">
        <is>
          <t>主な診療科名</t>
        </is>
      </c>
      <c r="AD99" s="4099" t="n"/>
      <c r="AE99" s="4489" t="n"/>
      <c r="AF99" s="4098" t="n"/>
      <c r="AG99" s="4098" t="n"/>
      <c r="AH99" s="4101" t="n"/>
    </row>
    <row r="100" ht="24" customHeight="1" s="4080">
      <c r="A100" s="4114" t="n"/>
      <c r="B100" s="4103" t="n"/>
      <c r="C100" s="4103" t="n"/>
      <c r="D100" s="4103" t="n"/>
      <c r="E100" s="4103" t="n"/>
      <c r="F100" s="4103" t="n"/>
      <c r="G100" s="4103" t="n"/>
      <c r="H100" s="4103" t="n"/>
      <c r="I100" s="4103" t="n"/>
      <c r="J100" s="4104" t="n"/>
      <c r="K100" s="2164" t="inlineStr">
        <is>
          <t>名　称</t>
        </is>
      </c>
      <c r="L100" s="4110" t="n"/>
      <c r="M100" s="4111" t="n"/>
      <c r="N100" s="4123" t="n"/>
      <c r="O100" s="4110" t="n"/>
      <c r="P100" s="4110" t="n"/>
      <c r="Q100" s="4110" t="n"/>
      <c r="R100" s="4110" t="n"/>
      <c r="S100" s="4110" t="n"/>
      <c r="T100" s="4110" t="n"/>
      <c r="U100" s="4110" t="n"/>
      <c r="V100" s="4110" t="n"/>
      <c r="W100" s="4110" t="n"/>
      <c r="X100" s="4110" t="n"/>
      <c r="Y100" s="4110" t="n"/>
      <c r="Z100" s="4110" t="n"/>
      <c r="AA100" s="4110" t="n"/>
      <c r="AB100" s="4111" t="n"/>
      <c r="AC100" s="4103" t="n"/>
      <c r="AD100" s="4104" t="n"/>
      <c r="AE100" s="4102" t="n"/>
      <c r="AF100" s="4103" t="n"/>
      <c r="AG100" s="4103" t="n"/>
      <c r="AH100" s="4105" t="n"/>
    </row>
    <row r="101" ht="17.1" customHeight="1" s="4080" thickBot="1">
      <c r="A101" s="4234" t="inlineStr">
        <is>
          <t>添　　付　　書　　類</t>
        </is>
      </c>
      <c r="B101" s="4153" t="n"/>
      <c r="C101" s="4153" t="n"/>
      <c r="D101" s="4153" t="n"/>
      <c r="E101" s="4153" t="n"/>
      <c r="F101" s="4153" t="n"/>
      <c r="G101" s="4153" t="n"/>
      <c r="H101" s="4153" t="n"/>
      <c r="I101" s="4153" t="n"/>
      <c r="J101" s="4154" t="n"/>
      <c r="K101" s="4235" t="inlineStr">
        <is>
          <t xml:space="preserve">　別紙「添付書類一覧表」のとおり</t>
        </is>
      </c>
      <c r="L101" s="4153" t="n"/>
      <c r="M101" s="4153" t="n"/>
      <c r="N101" s="4153" t="n"/>
      <c r="O101" s="4153" t="n"/>
      <c r="P101" s="4153" t="n"/>
      <c r="Q101" s="4153" t="n"/>
      <c r="R101" s="4153" t="n"/>
      <c r="S101" s="4153" t="n"/>
      <c r="T101" s="4153" t="n"/>
      <c r="U101" s="4153" t="n"/>
      <c r="V101" s="4153" t="n"/>
      <c r="W101" s="4153" t="n"/>
      <c r="X101" s="4153" t="n"/>
      <c r="Y101" s="4153" t="n"/>
      <c r="Z101" s="4153" t="n"/>
      <c r="AA101" s="4153" t="n"/>
      <c r="AB101" s="4153" t="n"/>
      <c r="AC101" s="4153" t="n"/>
      <c r="AD101" s="4153" t="n"/>
      <c r="AE101" s="4153" t="n"/>
      <c r="AF101" s="4153" t="n"/>
      <c r="AG101" s="4153" t="n"/>
      <c r="AH101" s="4155" t="n"/>
    </row>
  </sheetData>
  <mergeCells count="409">
    <mergeCell ref="Z43:AB43"/>
    <mergeCell ref="W47:Y47"/>
    <mergeCell ref="P66:P68"/>
    <mergeCell ref="N42:P42"/>
    <mergeCell ref="K11:AH11"/>
    <mergeCell ref="K22:Y22"/>
    <mergeCell ref="X27:AH29"/>
    <mergeCell ref="N97:U97"/>
    <mergeCell ref="AC34:AH34"/>
    <mergeCell ref="Q44:V44"/>
    <mergeCell ref="V18:AH18"/>
    <mergeCell ref="K86:AH86"/>
    <mergeCell ref="A99:A100"/>
    <mergeCell ref="O90:O92"/>
    <mergeCell ref="T62:U62"/>
    <mergeCell ref="K38:P38"/>
    <mergeCell ref="C10:E11"/>
    <mergeCell ref="N99:AB99"/>
    <mergeCell ref="Q45:V45"/>
    <mergeCell ref="T31:V33"/>
    <mergeCell ref="AA2:AA3"/>
    <mergeCell ref="N30:O33"/>
    <mergeCell ref="AA75:AH75"/>
    <mergeCell ref="AC2:AC3"/>
    <mergeCell ref="A50:J52"/>
    <mergeCell ref="AA56:AB58"/>
    <mergeCell ref="N100:AB100"/>
    <mergeCell ref="V74:AB74"/>
    <mergeCell ref="K36:M36"/>
    <mergeCell ref="K100:M100"/>
    <mergeCell ref="F13:I13"/>
    <mergeCell ref="N96:AH96"/>
    <mergeCell ref="AA66:AA68"/>
    <mergeCell ref="AD72:AH74"/>
    <mergeCell ref="C24:J24"/>
    <mergeCell ref="D88:I89"/>
    <mergeCell ref="X63:X65"/>
    <mergeCell ref="D78:I78"/>
    <mergeCell ref="W46:Y46"/>
    <mergeCell ref="Q46:S46"/>
    <mergeCell ref="J99:J100"/>
    <mergeCell ref="D72:I74"/>
    <mergeCell ref="K97:M97"/>
    <mergeCell ref="C20:AH20"/>
    <mergeCell ref="W48:Y48"/>
    <mergeCell ref="C76:C77"/>
    <mergeCell ref="Q48:S48"/>
    <mergeCell ref="C34:J35"/>
    <mergeCell ref="T27:V29"/>
    <mergeCell ref="A1:Y1"/>
    <mergeCell ref="AE1:AF1"/>
    <mergeCell ref="N47:P47"/>
    <mergeCell ref="T72:U72"/>
    <mergeCell ref="T42:V42"/>
    <mergeCell ref="AA69:AA71"/>
    <mergeCell ref="C26:E26"/>
    <mergeCell ref="C37:J37"/>
    <mergeCell ref="J27:M29"/>
    <mergeCell ref="AF97:AH97"/>
    <mergeCell ref="N70:O70"/>
    <mergeCell ref="Q38:V38"/>
    <mergeCell ref="Z25:AH25"/>
    <mergeCell ref="W56:Z58"/>
    <mergeCell ref="Q35:S35"/>
    <mergeCell ref="K75:M75"/>
    <mergeCell ref="P30:S30"/>
    <mergeCell ref="Q40:V40"/>
    <mergeCell ref="X89:Z89"/>
    <mergeCell ref="S60:S62"/>
    <mergeCell ref="Q36:S36"/>
    <mergeCell ref="Z2:Z3"/>
    <mergeCell ref="X88:Z88"/>
    <mergeCell ref="A59:J59"/>
    <mergeCell ref="AB2:AB3"/>
    <mergeCell ref="AD2:AD3"/>
    <mergeCell ref="K59:O59"/>
    <mergeCell ref="T26:X26"/>
    <mergeCell ref="S72:S74"/>
    <mergeCell ref="AC56:AH58"/>
    <mergeCell ref="O79:O82"/>
    <mergeCell ref="K73:K74"/>
    <mergeCell ref="N35:P35"/>
    <mergeCell ref="AE99:AH100"/>
    <mergeCell ref="T60:U60"/>
    <mergeCell ref="P79:T82"/>
    <mergeCell ref="K25:Y25"/>
    <mergeCell ref="X66:X68"/>
    <mergeCell ref="Q77:V77"/>
    <mergeCell ref="AH53:AH55"/>
    <mergeCell ref="A60:B98"/>
    <mergeCell ref="A56:J56"/>
    <mergeCell ref="V60:AB60"/>
    <mergeCell ref="N46:P46"/>
    <mergeCell ref="Z37:AB37"/>
    <mergeCell ref="P14:Q16"/>
    <mergeCell ref="N48:P48"/>
    <mergeCell ref="S53:AG55"/>
    <mergeCell ref="I8:M9"/>
    <mergeCell ref="C83:J85"/>
    <mergeCell ref="Y67:Z67"/>
    <mergeCell ref="C47:J47"/>
    <mergeCell ref="W42:Y42"/>
    <mergeCell ref="C22:J22"/>
    <mergeCell ref="Z78:AB78"/>
    <mergeCell ref="W17:AH17"/>
    <mergeCell ref="T73:U73"/>
    <mergeCell ref="S66:T68"/>
    <mergeCell ref="V80:AA80"/>
    <mergeCell ref="W19:AH19"/>
    <mergeCell ref="N26:O29"/>
    <mergeCell ref="AF37:AH37"/>
    <mergeCell ref="P90:AH92"/>
    <mergeCell ref="M57:N57"/>
    <mergeCell ref="N41:P41"/>
    <mergeCell ref="W34:AB34"/>
    <mergeCell ref="C17:M19"/>
    <mergeCell ref="T14:V16"/>
    <mergeCell ref="N43:P43"/>
    <mergeCell ref="C14:E16"/>
    <mergeCell ref="K46:M46"/>
    <mergeCell ref="Q73:Q74"/>
    <mergeCell ref="N66:O66"/>
    <mergeCell ref="D79:I82"/>
    <mergeCell ref="Z21:AH21"/>
    <mergeCell ref="F27:I29"/>
    <mergeCell ref="Q64:R64"/>
    <mergeCell ref="X69:X71"/>
    <mergeCell ref="AE88:AE89"/>
    <mergeCell ref="AF42:AH42"/>
    <mergeCell ref="Z23:AH23"/>
    <mergeCell ref="AF47:AH47"/>
    <mergeCell ref="I10:K10"/>
    <mergeCell ref="AC80:AH80"/>
    <mergeCell ref="AF46:AH46"/>
    <mergeCell ref="Z24:AH24"/>
    <mergeCell ref="C7:E9"/>
    <mergeCell ref="AB63:AH65"/>
    <mergeCell ref="X14:AH16"/>
    <mergeCell ref="AF48:AH48"/>
    <mergeCell ref="W49:AB49"/>
    <mergeCell ref="J76:J77"/>
    <mergeCell ref="C48:J48"/>
    <mergeCell ref="E98:J98"/>
    <mergeCell ref="L80:L81"/>
    <mergeCell ref="N80:N81"/>
    <mergeCell ref="A12:S12"/>
    <mergeCell ref="C63:C71"/>
    <mergeCell ref="Q75:R75"/>
    <mergeCell ref="N8:O9"/>
    <mergeCell ref="V81:AA81"/>
    <mergeCell ref="AC60:AC62"/>
    <mergeCell ref="AF10:AH10"/>
    <mergeCell ref="L89:N89"/>
    <mergeCell ref="S17:U19"/>
    <mergeCell ref="T88:V88"/>
    <mergeCell ref="L88:N88"/>
    <mergeCell ref="AC42:AE42"/>
    <mergeCell ref="R93:AA95"/>
    <mergeCell ref="V61:AB61"/>
    <mergeCell ref="Z35:AB35"/>
    <mergeCell ref="W77:AB77"/>
    <mergeCell ref="J60:J62"/>
    <mergeCell ref="N67:O67"/>
    <mergeCell ref="F30:I30"/>
    <mergeCell ref="C36:J36"/>
    <mergeCell ref="Z36:AB36"/>
    <mergeCell ref="N69:O69"/>
    <mergeCell ref="P73:P74"/>
    <mergeCell ref="N37:P37"/>
    <mergeCell ref="R73:R74"/>
    <mergeCell ref="T47:V47"/>
    <mergeCell ref="W35:Y35"/>
    <mergeCell ref="D63:I71"/>
    <mergeCell ref="P13:S13"/>
    <mergeCell ref="Q10:S10"/>
    <mergeCell ref="C93:D98"/>
    <mergeCell ref="F4:AH4"/>
    <mergeCell ref="U2:X3"/>
    <mergeCell ref="AB66:AH68"/>
    <mergeCell ref="M80:M81"/>
    <mergeCell ref="C5:E6"/>
    <mergeCell ref="B99:I100"/>
    <mergeCell ref="A13:B25"/>
    <mergeCell ref="J14:M16"/>
    <mergeCell ref="L90:N90"/>
    <mergeCell ref="AC49:AH49"/>
    <mergeCell ref="F7:I7"/>
    <mergeCell ref="K101:AH101"/>
    <mergeCell ref="T13:X13"/>
    <mergeCell ref="R61:R62"/>
    <mergeCell ref="AC37:AE37"/>
    <mergeCell ref="E93:J95"/>
    <mergeCell ref="L61:L62"/>
    <mergeCell ref="C4:E4"/>
    <mergeCell ref="AC47:AE47"/>
    <mergeCell ref="W45:AB45"/>
    <mergeCell ref="AG1:AH1"/>
    <mergeCell ref="W41:Y41"/>
    <mergeCell ref="S63:T65"/>
    <mergeCell ref="C31:E33"/>
    <mergeCell ref="AB94:AC94"/>
    <mergeCell ref="D91:I91"/>
    <mergeCell ref="V97:W97"/>
    <mergeCell ref="W43:Y43"/>
    <mergeCell ref="K42:M42"/>
    <mergeCell ref="P31:Q33"/>
    <mergeCell ref="AB97:AD97"/>
    <mergeCell ref="J79:J82"/>
    <mergeCell ref="U67:W67"/>
    <mergeCell ref="K69:M71"/>
    <mergeCell ref="K37:M37"/>
    <mergeCell ref="K34:P34"/>
    <mergeCell ref="C39:J41"/>
    <mergeCell ref="Y12:Z12"/>
    <mergeCell ref="F26:I26"/>
    <mergeCell ref="AA12:AB12"/>
    <mergeCell ref="A57:J57"/>
    <mergeCell ref="C79:C80"/>
    <mergeCell ref="K44:P44"/>
    <mergeCell ref="K79:K82"/>
    <mergeCell ref="K96:M96"/>
    <mergeCell ref="K77:P77"/>
    <mergeCell ref="J63:J71"/>
    <mergeCell ref="AC46:AE46"/>
    <mergeCell ref="AD60:AH62"/>
    <mergeCell ref="M54:N54"/>
    <mergeCell ref="C25:J25"/>
    <mergeCell ref="P53:R55"/>
    <mergeCell ref="U64:W64"/>
    <mergeCell ref="T46:V46"/>
    <mergeCell ref="K61:K62"/>
    <mergeCell ref="T37:V37"/>
    <mergeCell ref="M61:M62"/>
    <mergeCell ref="AC41:AE41"/>
    <mergeCell ref="T48:V48"/>
    <mergeCell ref="K49:P49"/>
    <mergeCell ref="Q42:S42"/>
    <mergeCell ref="C45:J46"/>
    <mergeCell ref="C38:J38"/>
    <mergeCell ref="Z1:AA1"/>
    <mergeCell ref="J88:J89"/>
    <mergeCell ref="AF88:AH89"/>
    <mergeCell ref="X31:AH33"/>
    <mergeCell ref="K47:M47"/>
    <mergeCell ref="T30:X30"/>
    <mergeCell ref="F5:AH6"/>
    <mergeCell ref="AC43:AE43"/>
    <mergeCell ref="W76:AB76"/>
    <mergeCell ref="Q34:V34"/>
    <mergeCell ref="AC78:AD78"/>
    <mergeCell ref="D87:I87"/>
    <mergeCell ref="A58:J58"/>
    <mergeCell ref="Y64:Z64"/>
    <mergeCell ref="Z48:AB48"/>
    <mergeCell ref="Q49:V49"/>
    <mergeCell ref="P26:S26"/>
    <mergeCell ref="AF2:AF3"/>
    <mergeCell ref="AH2:AH3"/>
    <mergeCell ref="K39:AH39"/>
    <mergeCell ref="C13:E13"/>
    <mergeCell ref="J7:N7"/>
    <mergeCell ref="D76:I77"/>
    <mergeCell ref="N36:P36"/>
    <mergeCell ref="T10:W10"/>
    <mergeCell ref="AC48:AE48"/>
    <mergeCell ref="O73:O74"/>
    <mergeCell ref="Q47:S47"/>
    <mergeCell ref="K35:M35"/>
    <mergeCell ref="K21:Y21"/>
    <mergeCell ref="AA63:AA65"/>
    <mergeCell ref="K99:M99"/>
    <mergeCell ref="A34:B49"/>
    <mergeCell ref="T89:V89"/>
    <mergeCell ref="D75:I75"/>
    <mergeCell ref="C72:C74"/>
    <mergeCell ref="P7:AH9"/>
    <mergeCell ref="N13:O16"/>
    <mergeCell ref="J31:M33"/>
    <mergeCell ref="AC99:AD100"/>
    <mergeCell ref="E96:J97"/>
    <mergeCell ref="V63:W63"/>
    <mergeCell ref="O94:Q94"/>
    <mergeCell ref="AF41:AH41"/>
    <mergeCell ref="K48:M48"/>
    <mergeCell ref="AF35:AH35"/>
    <mergeCell ref="T74:U74"/>
    <mergeCell ref="O75:P75"/>
    <mergeCell ref="X10:Z10"/>
    <mergeCell ref="U12:V12"/>
    <mergeCell ref="AB10:AD10"/>
    <mergeCell ref="W12:X12"/>
    <mergeCell ref="C43:J43"/>
    <mergeCell ref="Q61:Q62"/>
    <mergeCell ref="AF36:AH36"/>
    <mergeCell ref="S69:T71"/>
    <mergeCell ref="C30:E30"/>
    <mergeCell ref="L82:N82"/>
    <mergeCell ref="Y70:Z70"/>
    <mergeCell ref="Q70:R70"/>
    <mergeCell ref="K45:P45"/>
    <mergeCell ref="T35:V35"/>
    <mergeCell ref="A101:J101"/>
    <mergeCell ref="K90:K92"/>
    <mergeCell ref="AE78:AH78"/>
    <mergeCell ref="K41:M41"/>
    <mergeCell ref="K40:P40"/>
    <mergeCell ref="K43:M43"/>
    <mergeCell ref="AE2:AE3"/>
    <mergeCell ref="AG2:AG3"/>
    <mergeCell ref="Y2:Y3"/>
    <mergeCell ref="A53:J55"/>
    <mergeCell ref="L73:L74"/>
    <mergeCell ref="N73:N74"/>
    <mergeCell ref="C44:J44"/>
    <mergeCell ref="Q2:S2"/>
    <mergeCell ref="N64:O64"/>
    <mergeCell ref="J13:M13"/>
    <mergeCell ref="AB89:AD89"/>
    <mergeCell ref="C81:C82"/>
    <mergeCell ref="V72:AB72"/>
    <mergeCell ref="AF43:AH43"/>
    <mergeCell ref="W44:AB44"/>
    <mergeCell ref="F10:H10"/>
    <mergeCell ref="AC72:AC74"/>
    <mergeCell ref="M73:M74"/>
    <mergeCell ref="C49:J49"/>
    <mergeCell ref="O78:Y78"/>
    <mergeCell ref="C42:J42"/>
    <mergeCell ref="N61:N62"/>
    <mergeCell ref="P61:P62"/>
    <mergeCell ref="V62:AB62"/>
    <mergeCell ref="AC44:AH44"/>
    <mergeCell ref="K23:Y23"/>
    <mergeCell ref="P69:P71"/>
    <mergeCell ref="Q41:S41"/>
    <mergeCell ref="W38:AB38"/>
    <mergeCell ref="T61:U61"/>
    <mergeCell ref="J30:M30"/>
    <mergeCell ref="A4:B11"/>
    <mergeCell ref="Q43:S43"/>
    <mergeCell ref="W40:AB40"/>
    <mergeCell ref="X97:Z97"/>
    <mergeCell ref="W36:Y36"/>
    <mergeCell ref="AB88:AD88"/>
    <mergeCell ref="D86:I86"/>
    <mergeCell ref="AB1:AD1"/>
    <mergeCell ref="F31:I33"/>
    <mergeCell ref="K76:P76"/>
    <mergeCell ref="N63:O63"/>
    <mergeCell ref="Z22:AH22"/>
    <mergeCell ref="AC12:AD12"/>
    <mergeCell ref="AE12:AF12"/>
    <mergeCell ref="Z42:AB42"/>
    <mergeCell ref="M51:N51"/>
    <mergeCell ref="K78:N78"/>
    <mergeCell ref="N2:O2"/>
    <mergeCell ref="AB69:AH71"/>
    <mergeCell ref="J72:J74"/>
    <mergeCell ref="P27:Q29"/>
    <mergeCell ref="N17:R17"/>
    <mergeCell ref="N19:R19"/>
    <mergeCell ref="D60:I62"/>
    <mergeCell ref="K87:AH87"/>
    <mergeCell ref="AC45:AH45"/>
    <mergeCell ref="AC81:AH81"/>
    <mergeCell ref="K24:Y24"/>
    <mergeCell ref="Q50:Z52"/>
    <mergeCell ref="K63:M65"/>
    <mergeCell ref="F11:J11"/>
    <mergeCell ref="Z47:AB47"/>
    <mergeCell ref="AC35:AE35"/>
    <mergeCell ref="F14:I16"/>
    <mergeCell ref="L79:N79"/>
    <mergeCell ref="Q67:R67"/>
    <mergeCell ref="T41:V41"/>
    <mergeCell ref="C27:E29"/>
    <mergeCell ref="T43:V43"/>
    <mergeCell ref="P63:P65"/>
    <mergeCell ref="Q76:V76"/>
    <mergeCell ref="W37:Y37"/>
    <mergeCell ref="T36:V36"/>
    <mergeCell ref="S75:U75"/>
    <mergeCell ref="F8:H9"/>
    <mergeCell ref="J26:M26"/>
    <mergeCell ref="AC51:AD51"/>
    <mergeCell ref="U70:W70"/>
    <mergeCell ref="C60:C62"/>
    <mergeCell ref="M10:O10"/>
    <mergeCell ref="L92:N92"/>
    <mergeCell ref="C88:C89"/>
    <mergeCell ref="AC38:AH38"/>
    <mergeCell ref="L94:N94"/>
    <mergeCell ref="AC40:AH40"/>
    <mergeCell ref="V73:AB73"/>
    <mergeCell ref="A26:B33"/>
    <mergeCell ref="K98:AH98"/>
    <mergeCell ref="W75:X75"/>
    <mergeCell ref="AD94:AG94"/>
    <mergeCell ref="C21:J21"/>
    <mergeCell ref="Z46:AB46"/>
    <mergeCell ref="AC36:AE36"/>
    <mergeCell ref="P89:R89"/>
    <mergeCell ref="K66:M68"/>
    <mergeCell ref="O61:O62"/>
    <mergeCell ref="P88:R88"/>
    <mergeCell ref="C23:J23"/>
    <mergeCell ref="Q37:S37"/>
    <mergeCell ref="Z41:AB41"/>
    <mergeCell ref="Q56:V58"/>
  </mergeCells>
  <conditionalFormatting sqref="AC42:AH43">
    <cfRule type="cellIs" priority="1" operator="lessThanOrEqual" dxfId="0" stopIfTrue="1">
      <formula>0</formula>
    </cfRule>
  </conditionalFormatting>
  <dataValidations count="13">
    <dataValidation sqref="V18:AH18"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M10:O10 Q10:S10 X10:Z10 AB10:AD10 AF10:AH10" showDropDown="0" showInputMessage="1" showErrorMessage="1" allowBlank="1" error="全角数字で入力してください" imeMode="fullAlpha"/>
    <dataValidation sqref="K36:AH38 K42:AH44 K47:AH49 K56:P58 Q56 AA56 AC56" showDropDown="0" showInputMessage="1" showErrorMessage="1" allowBlank="1" imeMode="halfAlpha"/>
    <dataValidation sqref="K39" showDropDown="0" showInputMessage="1" showErrorMessage="1" allowBlank="1" error="栄養士、調理員、事務職員、運転手等の直接処遇職員以外の職員は、(14)以降に記入すること" type="list" errorStyle="warning">
      <formula1>"　,医師,看護師(保健師),職業指導員,生活支援員,心理判定員,職能判定員,作業療法士,あん摩マッサージ指圧師,介護職員,保育士"</formula1>
    </dataValidation>
    <dataValidation sqref="V80:AA81 AC80:AH81" showDropDown="0" showInputMessage="1" showErrorMessage="1" allowBlank="1" error="このサービスの組み合わせは、多機能型では選択できません" type="list">
      <formula1>"　,児童デイサービス,自立訓練(生活訓練),自立訓練(機能訓練),就労移行支援,就労継続支援(A型),就労継続支援(B型)"</formula1>
    </dataValidation>
    <dataValidation sqref="AB79:AH79 AB82:AH85" showDropDown="0" showInputMessage="1" showErrorMessage="1" allowBlank="1" type="list">
      <formula1>"　,サービス提供責任者,事務職員,サービス提供責任者、事務職員"</formula1>
    </dataValidation>
    <dataValidation sqref="N64 N67 N70 U64:V64 U67:V67 U70:V70" showDropDown="0" showInputMessage="1" showErrorMessage="1" allowBlank="1" type="list">
      <formula1>"　,１,２,３,４,５,６,７,８,９,１０,１１,１２,１３,１４,１５,１６,１７,１８,１９,２０,２１,２２,２３,２４"</formula1>
    </dataValidation>
    <dataValidation sqref="K75 S75" showDropDown="0" showInputMessage="1" showErrorMessage="1" allowBlank="1" type="list" imeMode="fullAlpha">
      <formula1>"　,１,２,３,４,５,６,７,８,９,１０,１１,１２,１３,１４,１５,１６,１７,１８,１９,２０,２１,２２,２３,２４"</formula1>
    </dataValidation>
    <dataValidation sqref="K61:R62 K73:R74 K77 Q77 W77" showDropDown="0" showInputMessage="1" showErrorMessage="1" allowBlank="1" type="list">
      <formula1>"　,○"</formula1>
    </dataValidation>
    <dataValidation sqref="I10:K10 J7:N7 K78:N78 O75:P75 T13:X13 T26:X26 T30:X30 U12:V12 W56 W75:X75 X97 Y2:AH3 Y12:Z12 Z75:AA75 Z78:AC78 AB97:AD97 AC12:AD12 AF97" showDropDown="0" showInputMessage="1" showErrorMessage="1" allowBlank="1" imeMode="fullAlpha"/>
    <dataValidation sqref="F4:AH4 F13:M13 F26:M26 F30:M30 J99 N99 AE99" showDropDown="0" showInputMessage="1" showErrorMessage="1" allowBlank="1" imeMode="halfKatakana"/>
    <dataValidation sqref="K86" showDropDown="0" showInputMessage="1" showErrorMessage="1" allowBlank="1" type="list" errorStyle="warning">
      <formula1>"　,法定代理受領分：厚生労働大臣が定める基準の10/100、法定代理受領分以外：厚生労働大臣が定める基準"</formula1>
    </dataValidation>
    <dataValidation sqref="K87" showDropDown="0" showInputMessage="1" showErrorMessage="1" allowBlank="1" type="list">
      <formula1>"　,運営規程に定めるとおり"</formula1>
    </dataValidation>
  </dataValidations>
  <printOptions horizontalCentered="1"/>
  <pageMargins left="0.7086614173228347" right="0.5905511811023623" top="0.3937007874015748" bottom="0.3937007874015748" header="0.72" footer="0.5118110236220472"/>
  <pageSetup orientation="portrait" paperSize="9"/>
  <rowBreaks count="1" manualBreakCount="1">
    <brk id="59" min="6" max="33" man="1"/>
  </rowBreaks>
  <legacyDrawing xmlns:r="http://schemas.openxmlformats.org/officeDocument/2006/relationships" r:id="anysvml"/>
</worksheet>
</file>

<file path=xl/worksheets/sheet13.xml><?xml version="1.0" encoding="utf-8"?>
<worksheet xmlns="http://schemas.openxmlformats.org/spreadsheetml/2006/main">
  <sheetPr codeName="Sheet12">
    <outlinePr summaryBelow="1" summaryRight="1"/>
    <pageSetUpPr/>
  </sheetPr>
  <dimension ref="A1:AO92"/>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8.75" customHeight="1" s="4080" thickBot="1">
      <c r="A1" s="1213" t="inlineStr">
        <is>
          <t>付表８　就労移行支援事業所の指定に係る記載事項</t>
        </is>
      </c>
      <c r="Z1" s="1753" t="n"/>
      <c r="AA1" s="4087" t="n"/>
      <c r="AB1" s="1754" t="n"/>
      <c r="AC1" s="4087" t="n"/>
      <c r="AD1" s="4087" t="n"/>
      <c r="AE1" s="1753" t="n"/>
      <c r="AF1" s="4087" t="n"/>
      <c r="AG1" s="1755" t="n"/>
      <c r="AH1" s="4087" t="n"/>
      <c r="AO1" s="719">
        <f>HYPERLINK("#目次!A1","目次へ戻る")</f>
        <v/>
      </c>
    </row>
    <row r="2" ht="15" customHeight="1" s="4080">
      <c r="A2" s="45" t="inlineStr">
        <is>
          <t>（</t>
        </is>
      </c>
      <c r="B2" s="1889" t="inlineStr">
        <is>
          <t>一般型</t>
        </is>
      </c>
      <c r="G2" s="2069" t="inlineStr">
        <is>
          <t>・</t>
        </is>
      </c>
      <c r="H2" s="1889" t="inlineStr">
        <is>
          <t>養成施設</t>
        </is>
      </c>
      <c r="M2" s="1667" t="inlineStr">
        <is>
          <t>）（</t>
        </is>
      </c>
      <c r="N2" s="1889" t="inlineStr">
        <is>
          <t>単独</t>
        </is>
      </c>
      <c r="P2" s="2069" t="inlineStr">
        <is>
          <t>・</t>
        </is>
      </c>
      <c r="Q2" s="1889" t="inlineStr">
        <is>
          <t>多機能</t>
        </is>
      </c>
      <c r="T2" s="1667" t="inlineStr">
        <is>
          <t>）</t>
        </is>
      </c>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4179" t="inlineStr">
        <is>
          <t>事業所</t>
        </is>
      </c>
      <c r="B4" s="4082"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C5" s="4181" t="inlineStr">
        <is>
          <t>名　称</t>
        </is>
      </c>
      <c r="D5" s="4098" t="n"/>
      <c r="E5" s="4099" t="n"/>
      <c r="F5" s="4182"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C7" s="4181" t="inlineStr">
        <is>
          <t>所在地</t>
        </is>
      </c>
      <c r="D7" s="4098" t="n"/>
      <c r="E7" s="4099" t="n"/>
      <c r="F7" s="1244" t="inlineStr">
        <is>
          <t>郵便番号（</t>
        </is>
      </c>
      <c r="G7" s="4098" t="n"/>
      <c r="H7" s="4098" t="n"/>
      <c r="I7" s="4098" t="n"/>
      <c r="J7" s="1287" t="n"/>
      <c r="K7" s="4098" t="n"/>
      <c r="L7" s="4098" t="n"/>
      <c r="M7" s="4098" t="n"/>
      <c r="N7" s="4098" t="n"/>
      <c r="O7" s="1329" t="inlineStr">
        <is>
          <t>）</t>
        </is>
      </c>
      <c r="P7" s="4311"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986" t="n"/>
      <c r="N8" s="1260" t="inlineStr">
        <is>
          <t>区</t>
        </is>
      </c>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882" t="n"/>
      <c r="J10" s="4110" t="n"/>
      <c r="K10" s="4110" t="n"/>
      <c r="L10" s="53" t="inlineStr">
        <is>
          <t>－</t>
        </is>
      </c>
      <c r="M10" s="920" t="n"/>
      <c r="N10" s="4110" t="n"/>
      <c r="O10" s="4110" t="n"/>
      <c r="P10" s="53" t="inlineStr">
        <is>
          <t>－</t>
        </is>
      </c>
      <c r="Q10" s="878" t="n"/>
      <c r="R10" s="4110" t="n"/>
      <c r="S10" s="4111" t="n"/>
      <c r="T10" s="4184" t="inlineStr">
        <is>
          <t>ＦＡＸ番号</t>
        </is>
      </c>
      <c r="U10" s="4110" t="n"/>
      <c r="V10" s="4110" t="n"/>
      <c r="W10" s="4111" t="n"/>
      <c r="X10" s="882" t="n"/>
      <c r="Y10" s="4110" t="n"/>
      <c r="Z10" s="4110" t="n"/>
      <c r="AA10" s="53" t="inlineStr">
        <is>
          <t>－</t>
        </is>
      </c>
      <c r="AB10" s="920" t="n"/>
      <c r="AC10" s="4110" t="n"/>
      <c r="AD10" s="4110" t="n"/>
      <c r="AE10" s="53" t="inlineStr">
        <is>
          <t>－</t>
        </is>
      </c>
      <c r="AF10" s="955" t="n"/>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18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54" t="n"/>
      <c r="V12" s="4110" t="n"/>
      <c r="W12" s="1264" t="inlineStr">
        <is>
          <t>条第</t>
        </is>
      </c>
      <c r="X12" s="4110" t="n"/>
      <c r="Y12" s="954" t="n"/>
      <c r="Z12" s="4110" t="n"/>
      <c r="AA12" s="1264" t="inlineStr">
        <is>
          <t>項第</t>
        </is>
      </c>
      <c r="AB12" s="4110" t="n"/>
      <c r="AC12" s="954" t="n"/>
      <c r="AD12" s="4110" t="n"/>
      <c r="AE12" s="1264" t="inlineStr">
        <is>
          <t>号（</t>
        </is>
      </c>
      <c r="AF12" s="4110" t="n"/>
      <c r="AG12" s="954" t="n"/>
      <c r="AH12" s="2827" t="inlineStr">
        <is>
          <t>）</t>
        </is>
      </c>
    </row>
    <row r="13" ht="12" customHeight="1" s="4080">
      <c r="A13" s="4188" t="inlineStr">
        <is>
          <t>管　　理　　者</t>
        </is>
      </c>
      <c r="B13" s="4099" t="n"/>
      <c r="C13" s="4184" t="inlineStr">
        <is>
          <t>ﾌﾘｶﾞﾅ</t>
        </is>
      </c>
      <c r="D13" s="4110" t="n"/>
      <c r="E13" s="4111" t="n"/>
      <c r="F13" s="1278" t="n"/>
      <c r="G13" s="4110" t="n"/>
      <c r="H13" s="4110" t="n"/>
      <c r="I13" s="4189" t="n"/>
      <c r="J13" s="1279" t="n"/>
      <c r="K13" s="4110" t="n"/>
      <c r="L13" s="4110" t="n"/>
      <c r="M13" s="4189" t="n"/>
      <c r="N13" s="4185" t="inlineStr">
        <is>
          <t>住所</t>
        </is>
      </c>
      <c r="O13" s="4099" t="n"/>
      <c r="P13" s="1244" t="inlineStr">
        <is>
          <t>郵便番号（</t>
        </is>
      </c>
      <c r="Q13" s="4098" t="n"/>
      <c r="R13" s="4098" t="n"/>
      <c r="S13" s="4098" t="n"/>
      <c r="T13" s="1287" t="n"/>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278" t="n"/>
      <c r="G14" s="4098" t="n"/>
      <c r="H14" s="4098" t="n"/>
      <c r="I14" s="4190" t="n"/>
      <c r="J14" s="1279" t="n"/>
      <c r="K14" s="4098" t="n"/>
      <c r="L14" s="4098" t="n"/>
      <c r="M14" s="4190" t="n"/>
      <c r="N14" s="4106" t="n"/>
      <c r="O14" s="4107" t="n"/>
      <c r="P14" s="1319" t="n"/>
      <c r="R14" s="2378" t="inlineStr">
        <is>
          <t>都</t>
        </is>
      </c>
      <c r="S14" s="2378" t="inlineStr">
        <is>
          <t>道</t>
        </is>
      </c>
      <c r="T14" s="1319" t="n"/>
      <c r="W14" s="2378" t="inlineStr">
        <is>
          <t>郡</t>
        </is>
      </c>
      <c r="X14" s="1321" t="n"/>
      <c r="AH14" s="4109" t="n"/>
    </row>
    <row r="15" ht="12" customHeight="1" s="4080">
      <c r="A15" s="4097" t="n"/>
      <c r="B15" s="4107" t="n"/>
      <c r="C15" s="4106" t="n"/>
      <c r="E15" s="4107" t="n"/>
      <c r="F15" s="4106" t="n"/>
      <c r="I15" s="4191" t="n"/>
      <c r="J15" s="4192" t="n"/>
      <c r="M15" s="4191" t="n"/>
      <c r="N15" s="4106" t="n"/>
      <c r="O15" s="4107" t="n"/>
      <c r="R15" s="2378" t="inlineStr">
        <is>
          <t>府</t>
        </is>
      </c>
      <c r="S15" s="2378" t="inlineStr">
        <is>
          <t>県</t>
        </is>
      </c>
      <c r="W15" s="2378"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3"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1325" t="inlineStr">
        <is>
          <t>無</t>
        </is>
      </c>
      <c r="R18" s="1332" t="n"/>
      <c r="S18" s="4106" t="n"/>
      <c r="U18" s="4107" t="n"/>
      <c r="V18" s="4196"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7.25" customHeight="1" s="4080">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Height="1" s="4080">
      <c r="A21" s="4097" t="n"/>
      <c r="B21" s="4107" t="n"/>
      <c r="C21" s="1303" t="inlineStr">
        <is>
          <t>事　業　所　名</t>
        </is>
      </c>
      <c r="D21" s="4138" t="n"/>
      <c r="E21" s="4138" t="n"/>
      <c r="F21" s="4138" t="n"/>
      <c r="G21" s="4138" t="n"/>
      <c r="H21" s="4138" t="n"/>
      <c r="I21" s="4138" t="n"/>
      <c r="J21" s="4138" t="n"/>
      <c r="K21" s="4138" t="n"/>
      <c r="L21" s="4198" t="n"/>
      <c r="M21" s="1304" t="inlineStr">
        <is>
          <t>サービス種別</t>
        </is>
      </c>
      <c r="N21" s="4138" t="n"/>
      <c r="O21" s="4138" t="n"/>
      <c r="P21" s="4138" t="n"/>
      <c r="Q21" s="4138" t="n"/>
      <c r="R21" s="4138" t="n"/>
      <c r="S21" s="4138" t="n"/>
      <c r="T21" s="4138" t="n"/>
      <c r="U21" s="4138" t="n"/>
      <c r="V21" s="4138" t="n"/>
      <c r="W21" s="4138" t="n"/>
      <c r="X21" s="4198" t="n"/>
      <c r="Y21" s="1641" t="inlineStr">
        <is>
          <t>職　　　種</t>
        </is>
      </c>
      <c r="Z21" s="4138" t="n"/>
      <c r="AA21" s="4138" t="n"/>
      <c r="AB21" s="4138" t="n"/>
      <c r="AC21" s="4138" t="n"/>
      <c r="AD21" s="4138" t="n"/>
      <c r="AE21" s="4138" t="n"/>
      <c r="AF21" s="4138" t="n"/>
      <c r="AG21" s="4138" t="n"/>
      <c r="AH21" s="4198" t="n"/>
    </row>
    <row r="22" ht="15" customHeight="1" s="4080">
      <c r="A22" s="4097" t="n"/>
      <c r="B22" s="4107" t="n"/>
      <c r="C22" s="1347" t="n"/>
      <c r="D22" s="4098" t="n"/>
      <c r="E22" s="4098" t="n"/>
      <c r="F22" s="4098" t="n"/>
      <c r="G22" s="4098" t="n"/>
      <c r="H22" s="4098" t="n"/>
      <c r="I22" s="4098" t="n"/>
      <c r="J22" s="4098" t="n"/>
      <c r="K22" s="4098" t="n"/>
      <c r="L22" s="4190" t="n"/>
      <c r="M22" s="1348" t="n"/>
      <c r="N22" s="4098" t="n"/>
      <c r="O22" s="4098" t="n"/>
      <c r="P22" s="4098" t="n"/>
      <c r="Q22" s="4098" t="n"/>
      <c r="R22" s="4098" t="n"/>
      <c r="S22" s="4098" t="n"/>
      <c r="T22" s="4098" t="n"/>
      <c r="U22" s="4098" t="n"/>
      <c r="V22" s="4098" t="n"/>
      <c r="W22" s="4098" t="n"/>
      <c r="X22" s="4190" t="n"/>
      <c r="Y22" s="1349" t="n"/>
      <c r="Z22" s="4098" t="n"/>
      <c r="AA22" s="4098" t="n"/>
      <c r="AB22" s="4098" t="n"/>
      <c r="AC22" s="4098" t="n"/>
      <c r="AD22" s="4098" t="n"/>
      <c r="AE22" s="4098" t="n"/>
      <c r="AF22" s="4098" t="n"/>
      <c r="AG22" s="4098" t="n"/>
      <c r="AH22" s="4190" t="n"/>
    </row>
    <row r="23" ht="15" customHeight="1" s="4080">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1" t="n"/>
      <c r="Z23" s="4199" t="n"/>
      <c r="AA23" s="4199" t="n"/>
      <c r="AB23" s="4199" t="n"/>
      <c r="AC23" s="4199" t="n"/>
      <c r="AD23" s="4199" t="n"/>
      <c r="AE23" s="4199" t="n"/>
      <c r="AF23" s="4199" t="n"/>
      <c r="AG23" s="4199" t="n"/>
      <c r="AH23" s="4200" t="n"/>
    </row>
    <row r="24" ht="15" customHeight="1" s="4080">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1" t="n"/>
      <c r="Z24" s="4199" t="n"/>
      <c r="AA24" s="4199" t="n"/>
      <c r="AB24" s="4199" t="n"/>
      <c r="AC24" s="4199" t="n"/>
      <c r="AD24" s="4199" t="n"/>
      <c r="AE24" s="4199" t="n"/>
      <c r="AF24" s="4199" t="n"/>
      <c r="AG24" s="4199" t="n"/>
      <c r="AH24" s="4200" t="n"/>
    </row>
    <row r="25" ht="15" customHeight="1" s="4080">
      <c r="A25" s="4097" t="n"/>
      <c r="B25" s="4107" t="n"/>
      <c r="C25" s="1343" t="n"/>
      <c r="D25" s="4146" t="n"/>
      <c r="E25" s="4146" t="n"/>
      <c r="F25" s="4146" t="n"/>
      <c r="G25" s="4146" t="n"/>
      <c r="H25" s="4146" t="n"/>
      <c r="I25" s="4146" t="n"/>
      <c r="J25" s="4146" t="n"/>
      <c r="K25" s="4146" t="n"/>
      <c r="L25" s="4201" t="n"/>
      <c r="M25" s="1344" t="n"/>
      <c r="N25" s="4146" t="n"/>
      <c r="O25" s="4146" t="n"/>
      <c r="P25" s="4146" t="n"/>
      <c r="Q25" s="4146" t="n"/>
      <c r="R25" s="4146" t="n"/>
      <c r="S25" s="4146" t="n"/>
      <c r="T25" s="4146" t="n"/>
      <c r="U25" s="4146" t="n"/>
      <c r="V25" s="4146" t="n"/>
      <c r="W25" s="4146" t="n"/>
      <c r="X25" s="4201" t="n"/>
      <c r="Y25" s="1345" t="n"/>
      <c r="Z25" s="4146" t="n"/>
      <c r="AA25" s="4146" t="n"/>
      <c r="AB25" s="4146" t="n"/>
      <c r="AC25" s="4146" t="n"/>
      <c r="AD25" s="4146" t="n"/>
      <c r="AE25" s="4146" t="n"/>
      <c r="AF25" s="4146" t="n"/>
      <c r="AG25" s="4146" t="n"/>
      <c r="AH25" s="4201" t="n"/>
    </row>
    <row r="26" ht="12" customHeight="1" s="4080">
      <c r="A26" s="4361" t="inlineStr">
        <is>
          <t>サービス管理
責任者</t>
        </is>
      </c>
      <c r="B26" s="4099" t="n"/>
      <c r="C26" s="4184" t="inlineStr">
        <is>
          <t>ﾌﾘｶﾞﾅ</t>
        </is>
      </c>
      <c r="D26" s="4110" t="n"/>
      <c r="E26" s="4111" t="n"/>
      <c r="F26" s="4203" t="n"/>
      <c r="G26" s="4110" t="n"/>
      <c r="H26" s="4110" t="n"/>
      <c r="I26" s="4204" t="n"/>
      <c r="J26" s="4205" t="n"/>
      <c r="K26" s="4110" t="n"/>
      <c r="L26" s="4110" t="n"/>
      <c r="M26" s="4111" t="n"/>
      <c r="N26" s="2164" t="inlineStr">
        <is>
          <t>住所</t>
        </is>
      </c>
      <c r="O26" s="4099" t="n"/>
      <c r="P26" s="1244" t="inlineStr">
        <is>
          <t>郵便番号（</t>
        </is>
      </c>
      <c r="Q26" s="4098" t="n"/>
      <c r="R26" s="4098" t="n"/>
      <c r="S26" s="4098" t="n"/>
      <c r="T26" s="1287" t="n"/>
      <c r="U26" s="4098" t="n"/>
      <c r="V26" s="4098" t="n"/>
      <c r="W26" s="4098" t="n"/>
      <c r="X26" s="4098" t="n"/>
      <c r="Y26" s="1329" t="inlineStr">
        <is>
          <t>）</t>
        </is>
      </c>
      <c r="Z26" s="1017" t="n"/>
      <c r="AA26" s="1017" t="n"/>
      <c r="AB26" s="1017" t="n"/>
      <c r="AC26" s="1017" t="n"/>
      <c r="AD26" s="1017" t="n"/>
      <c r="AE26" s="120" t="n"/>
      <c r="AF26" s="119" t="n"/>
      <c r="AG26" s="119" t="n"/>
      <c r="AH26" s="118" t="n"/>
    </row>
    <row r="27" ht="12" customHeight="1" s="4080">
      <c r="A27" s="4097" t="n"/>
      <c r="B27" s="4107" t="n"/>
      <c r="C27" s="4209" t="inlineStr">
        <is>
          <t>氏　　名</t>
        </is>
      </c>
      <c r="D27" s="4098" t="n"/>
      <c r="E27" s="4099" t="n"/>
      <c r="F27" s="4203" t="n"/>
      <c r="G27" s="4098" t="n"/>
      <c r="H27" s="4098" t="n"/>
      <c r="I27" s="4210" t="n"/>
      <c r="J27" s="4205" t="n"/>
      <c r="K27" s="4098" t="n"/>
      <c r="L27" s="4098" t="n"/>
      <c r="M27" s="4099" t="n"/>
      <c r="N27" s="4106" t="n"/>
      <c r="O27" s="4107" t="n"/>
      <c r="P27" s="1318" t="n"/>
      <c r="R27" s="2378" t="inlineStr">
        <is>
          <t>都</t>
        </is>
      </c>
      <c r="S27" s="2378" t="inlineStr">
        <is>
          <t>道</t>
        </is>
      </c>
      <c r="T27" s="1389" t="n"/>
      <c r="W27" s="2378" t="inlineStr">
        <is>
          <t>郡</t>
        </is>
      </c>
      <c r="X27" s="1686" t="n"/>
      <c r="AH27" s="4109" t="n"/>
    </row>
    <row r="28" ht="12" customHeight="1" s="4080">
      <c r="A28" s="4097" t="n"/>
      <c r="B28" s="4107" t="n"/>
      <c r="C28" s="4106" t="n"/>
      <c r="E28" s="4107" t="n"/>
      <c r="F28" s="4106" t="n"/>
      <c r="I28" s="4212" t="n"/>
      <c r="J28" s="4213" t="n"/>
      <c r="M28" s="4107" t="n"/>
      <c r="N28" s="4106" t="n"/>
      <c r="O28" s="4107" t="n"/>
      <c r="P28" s="4106" t="n"/>
      <c r="R28" s="2378" t="inlineStr">
        <is>
          <t>府</t>
        </is>
      </c>
      <c r="S28" s="2378" t="inlineStr">
        <is>
          <t>県</t>
        </is>
      </c>
      <c r="W28" s="2378" t="inlineStr">
        <is>
          <t>市</t>
        </is>
      </c>
      <c r="AH28" s="4109" t="n"/>
    </row>
    <row r="29" ht="3" customHeight="1" s="4080">
      <c r="A29" s="4097" t="n"/>
      <c r="B29" s="4107" t="n"/>
      <c r="C29" s="4102" t="n"/>
      <c r="D29" s="4103" t="n"/>
      <c r="E29" s="4104" t="n"/>
      <c r="F29" s="4102" t="n"/>
      <c r="G29" s="4103" t="n"/>
      <c r="H29" s="4103" t="n"/>
      <c r="I29" s="4215" t="n"/>
      <c r="J29" s="4216" t="n"/>
      <c r="K29" s="4103" t="n"/>
      <c r="L29" s="4103" t="n"/>
      <c r="M29" s="4104" t="n"/>
      <c r="N29" s="4102" t="n"/>
      <c r="O29" s="4104" t="n"/>
      <c r="P29" s="4102" t="n"/>
      <c r="Q29" s="4103" t="n"/>
      <c r="R29" s="2378" t="n"/>
      <c r="S29" s="2378" t="n"/>
      <c r="T29" s="4103" t="n"/>
      <c r="U29" s="4103" t="n"/>
      <c r="V29" s="4103" t="n"/>
      <c r="W29" s="63" t="n"/>
      <c r="X29" s="4103" t="n"/>
      <c r="Y29" s="4103" t="n"/>
      <c r="Z29" s="4103" t="n"/>
      <c r="AA29" s="4103" t="n"/>
      <c r="AB29" s="4103" t="n"/>
      <c r="AC29" s="4103" t="n"/>
      <c r="AD29" s="4103" t="n"/>
      <c r="AE29" s="4103" t="n"/>
      <c r="AF29" s="4103" t="n"/>
      <c r="AG29" s="4103" t="n"/>
      <c r="AH29" s="4105" t="n"/>
    </row>
    <row r="30" ht="12" customHeight="1" s="4080">
      <c r="A30" s="4097" t="n"/>
      <c r="B30" s="4107" t="n"/>
      <c r="C30" s="4184" t="inlineStr">
        <is>
          <t>ﾌﾘｶﾞﾅ</t>
        </is>
      </c>
      <c r="D30" s="4110" t="n"/>
      <c r="E30" s="4111" t="n"/>
      <c r="F30" s="4203" t="n"/>
      <c r="G30" s="4110" t="n"/>
      <c r="H30" s="4110" t="n"/>
      <c r="I30" s="4204" t="n"/>
      <c r="J30" s="4205" t="n"/>
      <c r="K30" s="4110" t="n"/>
      <c r="L30" s="4110" t="n"/>
      <c r="M30" s="4111" t="n"/>
      <c r="N30" s="2164" t="inlineStr">
        <is>
          <t>住所</t>
        </is>
      </c>
      <c r="O30" s="4099" t="n"/>
      <c r="P30" s="1244" t="inlineStr">
        <is>
          <t>郵便番号（</t>
        </is>
      </c>
      <c r="Q30" s="4098" t="n"/>
      <c r="R30" s="4098" t="n"/>
      <c r="S30" s="4098" t="n"/>
      <c r="T30" s="1287" t="n"/>
      <c r="U30" s="4098" t="n"/>
      <c r="V30" s="4098" t="n"/>
      <c r="W30" s="4098" t="n"/>
      <c r="X30" s="4098" t="n"/>
      <c r="Y30" s="1329" t="inlineStr">
        <is>
          <t>）</t>
        </is>
      </c>
      <c r="Z30" s="1017" t="n"/>
      <c r="AA30" s="1017" t="n"/>
      <c r="AB30" s="1017" t="n"/>
      <c r="AC30" s="1017" t="n"/>
      <c r="AD30" s="1017" t="n"/>
      <c r="AE30" s="120" t="n"/>
      <c r="AF30" s="119" t="n"/>
      <c r="AG30" s="119" t="n"/>
      <c r="AH30" s="118" t="n"/>
    </row>
    <row r="31" ht="12" customHeight="1" s="4080">
      <c r="A31" s="4097" t="n"/>
      <c r="B31" s="4107" t="n"/>
      <c r="C31" s="4209" t="inlineStr">
        <is>
          <t>氏　　名</t>
        </is>
      </c>
      <c r="D31" s="4098" t="n"/>
      <c r="E31" s="4099" t="n"/>
      <c r="F31" s="4203" t="n"/>
      <c r="G31" s="4098" t="n"/>
      <c r="H31" s="4098" t="n"/>
      <c r="I31" s="4210" t="n"/>
      <c r="J31" s="4205" t="n"/>
      <c r="K31" s="4098" t="n"/>
      <c r="L31" s="4098" t="n"/>
      <c r="M31" s="4099" t="n"/>
      <c r="N31" s="4106" t="n"/>
      <c r="O31" s="4107" t="n"/>
      <c r="P31" s="1318" t="n"/>
      <c r="R31" s="2378" t="inlineStr">
        <is>
          <t>都</t>
        </is>
      </c>
      <c r="S31" s="2378" t="inlineStr">
        <is>
          <t>道</t>
        </is>
      </c>
      <c r="T31" s="1389" t="n"/>
      <c r="W31" s="1325" t="inlineStr">
        <is>
          <t>郡</t>
        </is>
      </c>
      <c r="X31" s="1686" t="n"/>
      <c r="AH31" s="4109" t="n"/>
    </row>
    <row r="32" ht="12" customHeight="1" s="4080">
      <c r="A32" s="4097" t="n"/>
      <c r="B32" s="4107" t="n"/>
      <c r="C32" s="4106" t="n"/>
      <c r="E32" s="4107" t="n"/>
      <c r="F32" s="4106" t="n"/>
      <c r="I32" s="4212" t="n"/>
      <c r="J32" s="4213" t="n"/>
      <c r="M32" s="4107" t="n"/>
      <c r="N32" s="4106" t="n"/>
      <c r="O32" s="4107" t="n"/>
      <c r="P32" s="4106" t="n"/>
      <c r="R32" s="2378" t="inlineStr">
        <is>
          <t>府</t>
        </is>
      </c>
      <c r="S32" s="2378" t="inlineStr">
        <is>
          <t>県</t>
        </is>
      </c>
      <c r="W32" s="2378" t="inlineStr">
        <is>
          <t>市</t>
        </is>
      </c>
      <c r="AH32" s="4109" t="n"/>
    </row>
    <row r="33" ht="3.75" customHeight="1" s="4080">
      <c r="A33" s="4114" t="n"/>
      <c r="B33" s="4104" t="n"/>
      <c r="C33" s="4102" t="n"/>
      <c r="D33" s="4103" t="n"/>
      <c r="E33" s="4104" t="n"/>
      <c r="F33" s="4102" t="n"/>
      <c r="G33" s="4103" t="n"/>
      <c r="H33" s="4103" t="n"/>
      <c r="I33" s="4215" t="n"/>
      <c r="J33" s="4216" t="n"/>
      <c r="K33" s="4103" t="n"/>
      <c r="L33" s="4103" t="n"/>
      <c r="M33" s="4104" t="n"/>
      <c r="N33" s="4102" t="n"/>
      <c r="O33" s="4104" t="n"/>
      <c r="P33" s="4102" t="n"/>
      <c r="Q33" s="4103" t="n"/>
      <c r="R33" s="2378" t="n"/>
      <c r="S33" s="2378" t="n"/>
      <c r="T33" s="4103" t="n"/>
      <c r="U33" s="4103" t="n"/>
      <c r="V33" s="4103" t="n"/>
      <c r="W33" s="63" t="n"/>
      <c r="X33" s="4103" t="n"/>
      <c r="Y33" s="4103" t="n"/>
      <c r="Z33" s="4103" t="n"/>
      <c r="AA33" s="4103" t="n"/>
      <c r="AB33" s="4103" t="n"/>
      <c r="AC33" s="4103" t="n"/>
      <c r="AD33" s="4103" t="n"/>
      <c r="AE33" s="4103" t="n"/>
      <c r="AF33" s="4103" t="n"/>
      <c r="AG33" s="4103" t="n"/>
      <c r="AH33" s="4105" t="n"/>
    </row>
    <row r="34" ht="15.95" customHeight="1" s="4080">
      <c r="A34" s="4490" t="inlineStr">
        <is>
          <t>職員の職種・員数</t>
        </is>
      </c>
      <c r="B34" s="4099" t="n"/>
      <c r="C34" s="4272" t="inlineStr">
        <is>
          <t xml:space="preserve">　　　　　　職種・勤務形態
常勤・非常勤の別</t>
        </is>
      </c>
      <c r="D34" s="4098" t="n"/>
      <c r="E34" s="4098" t="n"/>
      <c r="F34" s="4098" t="n"/>
      <c r="G34" s="4098" t="n"/>
      <c r="H34" s="4098" t="n"/>
      <c r="I34" s="4098" t="n"/>
      <c r="J34" s="4099" t="n"/>
      <c r="K34" s="4185" t="inlineStr">
        <is>
          <t>サービス管理責任者</t>
        </is>
      </c>
      <c r="L34" s="4110" t="n"/>
      <c r="M34" s="4110" t="n"/>
      <c r="N34" s="4110" t="n"/>
      <c r="O34" s="4110" t="n"/>
      <c r="P34" s="4111" t="n"/>
      <c r="Q34" s="4325" t="inlineStr">
        <is>
          <t>職業指導員</t>
        </is>
      </c>
      <c r="R34" s="4098" t="n"/>
      <c r="S34" s="4098" t="n"/>
      <c r="T34" s="4098" t="n"/>
      <c r="U34" s="4098" t="n"/>
      <c r="V34" s="4099" t="n"/>
      <c r="W34" s="4325" t="inlineStr">
        <is>
          <t>生活支援員</t>
        </is>
      </c>
      <c r="X34" s="4098" t="n"/>
      <c r="Y34" s="4098" t="n"/>
      <c r="Z34" s="4098" t="n"/>
      <c r="AA34" s="4098" t="n"/>
      <c r="AB34" s="4099" t="n"/>
      <c r="AC34" s="4326" t="inlineStr">
        <is>
          <t>就労支援員</t>
        </is>
      </c>
      <c r="AD34" s="4098" t="n"/>
      <c r="AE34" s="4098" t="n"/>
      <c r="AF34" s="4098" t="n"/>
      <c r="AG34" s="4098" t="n"/>
      <c r="AH34" s="4101" t="n"/>
    </row>
    <row r="35" ht="15.95" customHeight="1" s="4080">
      <c r="A35" s="4097" t="n"/>
      <c r="B35" s="4107" t="n"/>
      <c r="C35" s="4102" t="n"/>
      <c r="D35" s="4103" t="n"/>
      <c r="E35" s="4103" t="n"/>
      <c r="F35" s="4103" t="n"/>
      <c r="G35" s="4103" t="n"/>
      <c r="H35" s="4103" t="n"/>
      <c r="I35" s="4103" t="n"/>
      <c r="J35" s="4104" t="n"/>
      <c r="K35" s="1617" t="inlineStr">
        <is>
          <t>専従</t>
        </is>
      </c>
      <c r="L35" s="4110" t="n"/>
      <c r="M35" s="4189" t="n"/>
      <c r="N35" s="1603" t="inlineStr">
        <is>
          <t>兼務</t>
        </is>
      </c>
      <c r="O35" s="4110" t="n"/>
      <c r="P35" s="4189" t="n"/>
      <c r="Q35" s="1617" t="inlineStr">
        <is>
          <t>専従</t>
        </is>
      </c>
      <c r="R35" s="4110" t="n"/>
      <c r="S35" s="4189" t="n"/>
      <c r="T35" s="1603" t="inlineStr">
        <is>
          <t>兼務</t>
        </is>
      </c>
      <c r="U35" s="4110" t="n"/>
      <c r="V35" s="4189" t="n"/>
      <c r="W35" s="1617" t="inlineStr">
        <is>
          <t>専従</t>
        </is>
      </c>
      <c r="X35" s="4110" t="n"/>
      <c r="Y35" s="4189" t="n"/>
      <c r="Z35" s="1603" t="inlineStr">
        <is>
          <t>兼務</t>
        </is>
      </c>
      <c r="AA35" s="4110" t="n"/>
      <c r="AB35" s="4189" t="n"/>
      <c r="AC35" s="1617" t="inlineStr">
        <is>
          <t>専従</t>
        </is>
      </c>
      <c r="AD35" s="4110" t="n"/>
      <c r="AE35" s="4189" t="n"/>
      <c r="AF35" s="1603" t="inlineStr">
        <is>
          <t>兼務</t>
        </is>
      </c>
      <c r="AG35" s="4110" t="n"/>
      <c r="AH35" s="4189" t="n"/>
    </row>
    <row r="36" ht="15.95" customHeight="1" s="4080">
      <c r="A36" s="4097" t="n"/>
      <c r="B36" s="4107" t="n"/>
      <c r="C36" s="1268" t="inlineStr">
        <is>
          <t>常　　　　　勤（人）</t>
        </is>
      </c>
      <c r="D36" s="4110" t="n"/>
      <c r="E36" s="4110" t="n"/>
      <c r="F36" s="4110" t="n"/>
      <c r="G36" s="4110" t="n"/>
      <c r="H36" s="4110" t="n"/>
      <c r="I36" s="4110" t="n"/>
      <c r="J36" s="4111" t="n"/>
      <c r="K36" s="4275" t="n"/>
      <c r="L36" s="4110" t="n"/>
      <c r="M36" s="4189" t="n"/>
      <c r="N36" s="4276" t="n"/>
      <c r="O36" s="4110" t="n"/>
      <c r="P36" s="4189" t="n"/>
      <c r="Q36" s="4275" t="n"/>
      <c r="R36" s="4110" t="n"/>
      <c r="S36" s="4189" t="n"/>
      <c r="T36" s="4276" t="n"/>
      <c r="U36" s="4110" t="n"/>
      <c r="V36" s="4189" t="n"/>
      <c r="W36" s="4275" t="n"/>
      <c r="X36" s="4110" t="n"/>
      <c r="Y36" s="4189" t="n"/>
      <c r="Z36" s="4276" t="n"/>
      <c r="AA36" s="4110" t="n"/>
      <c r="AB36" s="4189" t="n"/>
      <c r="AC36" s="4275" t="n"/>
      <c r="AD36" s="4110" t="n"/>
      <c r="AE36" s="4189" t="n"/>
      <c r="AF36" s="4276" t="n"/>
      <c r="AG36" s="4110" t="n"/>
      <c r="AH36" s="4189" t="n"/>
    </row>
    <row r="37" ht="15.95" customHeight="1" s="4080">
      <c r="A37" s="4097" t="n"/>
      <c r="B37" s="4107" t="n"/>
      <c r="C37" s="1286" t="inlineStr">
        <is>
          <t>非　　常　　勤（人）</t>
        </is>
      </c>
      <c r="D37" s="4103" t="n"/>
      <c r="E37" s="4103" t="n"/>
      <c r="F37" s="4103" t="n"/>
      <c r="G37" s="4103" t="n"/>
      <c r="H37" s="4103" t="n"/>
      <c r="I37" s="4103" t="n"/>
      <c r="J37" s="4104" t="n"/>
      <c r="K37" s="4275" t="n"/>
      <c r="L37" s="4110" t="n"/>
      <c r="M37" s="4189" t="n"/>
      <c r="N37" s="4276" t="n"/>
      <c r="O37" s="4110" t="n"/>
      <c r="P37" s="4189" t="n"/>
      <c r="Q37" s="4275" t="n"/>
      <c r="R37" s="4110" t="n"/>
      <c r="S37" s="4189" t="n"/>
      <c r="T37" s="4276" t="n"/>
      <c r="U37" s="4110" t="n"/>
      <c r="V37" s="4189" t="n"/>
      <c r="W37" s="4275" t="n"/>
      <c r="X37" s="4110" t="n"/>
      <c r="Y37" s="4189" t="n"/>
      <c r="Z37" s="4276" t="n"/>
      <c r="AA37" s="4110" t="n"/>
      <c r="AB37" s="4189" t="n"/>
      <c r="AC37" s="4275" t="n"/>
      <c r="AD37" s="4110" t="n"/>
      <c r="AE37" s="4189" t="n"/>
      <c r="AF37" s="4276" t="n"/>
      <c r="AG37" s="4110" t="n"/>
      <c r="AH37" s="4189" t="n"/>
    </row>
    <row r="38" ht="15.95" customHeight="1" s="4080">
      <c r="A38" s="4097" t="n"/>
      <c r="B38" s="4107" t="n"/>
      <c r="C38" s="1282" t="inlineStr">
        <is>
          <t>常勤換算後の人数（人）</t>
        </is>
      </c>
      <c r="D38" s="4098" t="n"/>
      <c r="E38" s="4098" t="n"/>
      <c r="F38" s="4098" t="n"/>
      <c r="G38" s="4098" t="n"/>
      <c r="H38" s="4098" t="n"/>
      <c r="I38" s="4098" t="n"/>
      <c r="J38" s="4099" t="n"/>
      <c r="K38" s="4495" t="n"/>
      <c r="L38" s="4098" t="n"/>
      <c r="M38" s="4098" t="n"/>
      <c r="N38" s="4098" t="n"/>
      <c r="O38" s="4098" t="n"/>
      <c r="P38" s="4099" t="n"/>
      <c r="Q38" s="4495" t="n"/>
      <c r="R38" s="4098" t="n"/>
      <c r="S38" s="4098" t="n"/>
      <c r="T38" s="4098" t="n"/>
      <c r="U38" s="4098" t="n"/>
      <c r="V38" s="4099" t="n"/>
      <c r="W38" s="4495" t="n"/>
      <c r="X38" s="4098" t="n"/>
      <c r="Y38" s="4098" t="n"/>
      <c r="Z38" s="4098" t="n"/>
      <c r="AA38" s="4098" t="n"/>
      <c r="AB38" s="4099" t="n"/>
      <c r="AC38" s="4496" t="n"/>
      <c r="AD38" s="4098" t="n"/>
      <c r="AE38" s="4098" t="n"/>
      <c r="AF38" s="4098" t="n"/>
      <c r="AG38" s="4098" t="n"/>
      <c r="AH38" s="4101" t="n"/>
    </row>
    <row r="39" ht="15.95" customHeight="1" s="4080">
      <c r="A39" s="4097" t="n"/>
      <c r="B39" s="4107" t="n"/>
      <c r="C39" s="4272" t="inlineStr">
        <is>
          <t xml:space="preserve">　　　　　　職種・勤務形態
常勤・非常勤の別</t>
        </is>
      </c>
      <c r="D39" s="4098" t="n"/>
      <c r="E39" s="4098" t="n"/>
      <c r="F39" s="4098" t="n"/>
      <c r="G39" s="4098" t="n"/>
      <c r="H39" s="4098" t="n"/>
      <c r="I39" s="4098" t="n"/>
      <c r="J39" s="4099" t="n"/>
      <c r="K39" s="4185" t="n"/>
      <c r="L39" s="4110" t="n"/>
      <c r="M39" s="4110" t="n"/>
      <c r="N39" s="4110" t="n"/>
      <c r="O39" s="4110" t="n"/>
      <c r="P39" s="4111" t="n"/>
      <c r="Q39" s="4325" t="n"/>
      <c r="R39" s="4098" t="n"/>
      <c r="S39" s="4098" t="n"/>
      <c r="T39" s="4098" t="n"/>
      <c r="U39" s="4098" t="n"/>
      <c r="V39" s="4099" t="n"/>
      <c r="W39" s="4325" t="n"/>
      <c r="X39" s="4098" t="n"/>
      <c r="Y39" s="4098" t="n"/>
      <c r="Z39" s="4098" t="n"/>
      <c r="AA39" s="4098" t="n"/>
      <c r="AB39" s="4099" t="n"/>
      <c r="AC39" s="4326" t="n"/>
      <c r="AD39" s="4098" t="n"/>
      <c r="AE39" s="4098" t="n"/>
      <c r="AF39" s="4098" t="n"/>
      <c r="AG39" s="4098" t="n"/>
      <c r="AH39" s="4101" t="n"/>
    </row>
    <row r="40" ht="15.95" customHeight="1" s="4080">
      <c r="A40" s="4097" t="n"/>
      <c r="B40" s="4107" t="n"/>
      <c r="C40" s="4102" t="n"/>
      <c r="D40" s="4103" t="n"/>
      <c r="E40" s="4103" t="n"/>
      <c r="F40" s="4103" t="n"/>
      <c r="G40" s="4103" t="n"/>
      <c r="H40" s="4103" t="n"/>
      <c r="I40" s="4103" t="n"/>
      <c r="J40" s="4104" t="n"/>
      <c r="K40" s="1617" t="inlineStr">
        <is>
          <t>専従</t>
        </is>
      </c>
      <c r="L40" s="4110" t="n"/>
      <c r="M40" s="4189" t="n"/>
      <c r="N40" s="1603" t="inlineStr">
        <is>
          <t>兼務</t>
        </is>
      </c>
      <c r="O40" s="4110" t="n"/>
      <c r="P40" s="4189" t="n"/>
      <c r="Q40" s="1617" t="inlineStr">
        <is>
          <t>専従</t>
        </is>
      </c>
      <c r="R40" s="4110" t="n"/>
      <c r="S40" s="4189" t="n"/>
      <c r="T40" s="1603" t="inlineStr">
        <is>
          <t>兼務</t>
        </is>
      </c>
      <c r="U40" s="4110" t="n"/>
      <c r="V40" s="4189" t="n"/>
      <c r="W40" s="1617" t="inlineStr">
        <is>
          <t>専従</t>
        </is>
      </c>
      <c r="X40" s="4110" t="n"/>
      <c r="Y40" s="4189" t="n"/>
      <c r="Z40" s="1603" t="inlineStr">
        <is>
          <t>兼務</t>
        </is>
      </c>
      <c r="AA40" s="4110" t="n"/>
      <c r="AB40" s="4189" t="n"/>
      <c r="AC40" s="1617" t="inlineStr">
        <is>
          <t>専従</t>
        </is>
      </c>
      <c r="AD40" s="4110" t="n"/>
      <c r="AE40" s="4189" t="n"/>
      <c r="AF40" s="1603" t="inlineStr">
        <is>
          <t>兼務</t>
        </is>
      </c>
      <c r="AG40" s="4110" t="n"/>
      <c r="AH40" s="4189" t="n"/>
    </row>
    <row r="41" ht="15.95" customHeight="1" s="4080">
      <c r="A41" s="4097" t="n"/>
      <c r="B41" s="4107" t="n"/>
      <c r="C41" s="1268" t="inlineStr">
        <is>
          <t>常　　　　　勤（人）</t>
        </is>
      </c>
      <c r="D41" s="4110" t="n"/>
      <c r="E41" s="4110" t="n"/>
      <c r="F41" s="4110" t="n"/>
      <c r="G41" s="4110" t="n"/>
      <c r="H41" s="4110" t="n"/>
      <c r="I41" s="4110" t="n"/>
      <c r="J41" s="4111" t="n"/>
      <c r="K41" s="4275" t="n"/>
      <c r="L41" s="4110" t="n"/>
      <c r="M41" s="4189" t="n"/>
      <c r="N41" s="4276" t="n"/>
      <c r="O41" s="4110" t="n"/>
      <c r="P41" s="4189" t="n"/>
      <c r="Q41" s="4275" t="n"/>
      <c r="R41" s="4110" t="n"/>
      <c r="S41" s="4189" t="n"/>
      <c r="T41" s="4276" t="n"/>
      <c r="U41" s="4110" t="n"/>
      <c r="V41" s="4189" t="n"/>
      <c r="W41" s="4275" t="n"/>
      <c r="X41" s="4110" t="n"/>
      <c r="Y41" s="4189" t="n"/>
      <c r="Z41" s="4276" t="n"/>
      <c r="AA41" s="4110" t="n"/>
      <c r="AB41" s="4189" t="n"/>
      <c r="AC41" s="4275" t="n"/>
      <c r="AD41" s="4110" t="n"/>
      <c r="AE41" s="4189" t="n"/>
      <c r="AF41" s="4276" t="n"/>
      <c r="AG41" s="4110" t="n"/>
      <c r="AH41" s="4189" t="n"/>
    </row>
    <row r="42" ht="15.95" customHeight="1" s="4080">
      <c r="A42" s="4097" t="n"/>
      <c r="B42" s="4107" t="n"/>
      <c r="C42" s="1286" t="inlineStr">
        <is>
          <t>非　　常　　勤（人）</t>
        </is>
      </c>
      <c r="D42" s="4103" t="n"/>
      <c r="E42" s="4103" t="n"/>
      <c r="F42" s="4103" t="n"/>
      <c r="G42" s="4103" t="n"/>
      <c r="H42" s="4103" t="n"/>
      <c r="I42" s="4103" t="n"/>
      <c r="J42" s="4104" t="n"/>
      <c r="K42" s="4275" t="n"/>
      <c r="L42" s="4110" t="n"/>
      <c r="M42" s="4189" t="n"/>
      <c r="N42" s="4276" t="n"/>
      <c r="O42" s="4110" t="n"/>
      <c r="P42" s="4189" t="n"/>
      <c r="Q42" s="4275" t="n"/>
      <c r="R42" s="4110" t="n"/>
      <c r="S42" s="4189" t="n"/>
      <c r="T42" s="4276" t="n"/>
      <c r="U42" s="4110" t="n"/>
      <c r="V42" s="4189" t="n"/>
      <c r="W42" s="4275" t="n"/>
      <c r="X42" s="4110" t="n"/>
      <c r="Y42" s="4189" t="n"/>
      <c r="Z42" s="4276" t="n"/>
      <c r="AA42" s="4110" t="n"/>
      <c r="AB42" s="4189" t="n"/>
      <c r="AC42" s="4275" t="n"/>
      <c r="AD42" s="4110" t="n"/>
      <c r="AE42" s="4189" t="n"/>
      <c r="AF42" s="4276" t="n"/>
      <c r="AG42" s="4110" t="n"/>
      <c r="AH42" s="4189" t="n"/>
    </row>
    <row r="43" ht="15.95" customHeight="1" s="4080">
      <c r="A43" s="4114" t="n"/>
      <c r="B43" s="4104" t="n"/>
      <c r="C43" s="1268" t="inlineStr">
        <is>
          <t>常勤換算後の人数（人）</t>
        </is>
      </c>
      <c r="D43" s="4110" t="n"/>
      <c r="E43" s="4110" t="n"/>
      <c r="F43" s="4110" t="n"/>
      <c r="G43" s="4110" t="n"/>
      <c r="H43" s="4110" t="n"/>
      <c r="I43" s="4110" t="n"/>
      <c r="J43" s="4111" t="n"/>
      <c r="K43" s="4464" t="n"/>
      <c r="L43" s="4110" t="n"/>
      <c r="M43" s="4110" t="n"/>
      <c r="N43" s="4110" t="n"/>
      <c r="O43" s="4110" t="n"/>
      <c r="P43" s="4111" t="n"/>
      <c r="Q43" s="4464" t="n"/>
      <c r="R43" s="4110" t="n"/>
      <c r="S43" s="4110" t="n"/>
      <c r="T43" s="4110" t="n"/>
      <c r="U43" s="4110" t="n"/>
      <c r="V43" s="4111" t="n"/>
      <c r="W43" s="4464" t="n"/>
      <c r="X43" s="4110" t="n"/>
      <c r="Y43" s="4110" t="n"/>
      <c r="Z43" s="4110" t="n"/>
      <c r="AA43" s="4110" t="n"/>
      <c r="AB43" s="4111" t="n"/>
      <c r="AC43" s="4465" t="n"/>
      <c r="AD43" s="4110" t="n"/>
      <c r="AE43" s="4110" t="n"/>
      <c r="AF43" s="4110" t="n"/>
      <c r="AG43" s="4110" t="n"/>
      <c r="AH43" s="4113" t="n"/>
    </row>
    <row r="44" ht="3.95" customHeight="1" s="4080">
      <c r="A44" s="3061" t="n"/>
      <c r="B44" s="4098" t="n"/>
      <c r="C44" s="4098" t="n"/>
      <c r="D44" s="4098" t="n"/>
      <c r="E44" s="4098" t="n"/>
      <c r="F44" s="4098" t="n"/>
      <c r="G44" s="4098" t="n"/>
      <c r="H44" s="4098" t="n"/>
      <c r="I44" s="4098" t="n"/>
      <c r="J44" s="4099" t="n"/>
      <c r="K44" s="4332" t="n"/>
      <c r="L44" s="4333" t="n"/>
      <c r="M44" s="4333" t="n"/>
      <c r="N44" s="4333" t="n"/>
      <c r="O44" s="4333" t="n"/>
      <c r="P44" s="4392" t="n"/>
      <c r="Q44" s="4393" t="inlineStr">
        <is>
          <t>短期入所の利用定員</t>
        </is>
      </c>
      <c r="R44" s="4098" t="n"/>
      <c r="S44" s="4098" t="n"/>
      <c r="T44" s="4098" t="n"/>
      <c r="U44" s="4098" t="n"/>
      <c r="V44" s="4099" t="n"/>
      <c r="W44" s="2229" t="n"/>
      <c r="X44" s="4098" t="n"/>
      <c r="Y44" s="4098" t="n"/>
      <c r="Z44" s="4098" t="n"/>
      <c r="AA44" s="4476" t="inlineStr">
        <is>
          <t>名</t>
        </is>
      </c>
      <c r="AB44" s="4099" t="n"/>
      <c r="AC44" s="4477" t="n"/>
      <c r="AD44" s="4098" t="n"/>
      <c r="AE44" s="4098" t="n"/>
      <c r="AF44" s="4098" t="n"/>
      <c r="AG44" s="4098" t="n"/>
      <c r="AH44" s="4101" t="n"/>
    </row>
    <row r="45" ht="14.1" customHeight="1" s="4080">
      <c r="A45" s="4338" t="inlineStr">
        <is>
          <t>短期入所の実施の有無</t>
        </is>
      </c>
      <c r="J45" s="4107" t="n"/>
      <c r="K45" s="4339" t="n"/>
      <c r="L45" s="4340" t="inlineStr">
        <is>
          <t>有</t>
        </is>
      </c>
      <c r="M45" s="4340" t="inlineStr">
        <is>
          <t>・</t>
        </is>
      </c>
      <c r="O45" s="4340" t="inlineStr">
        <is>
          <t>無</t>
        </is>
      </c>
      <c r="P45" s="4397" t="n"/>
      <c r="Q45" s="4106" t="n"/>
      <c r="V45" s="4107" t="n"/>
      <c r="W45" s="4106" t="n"/>
      <c r="AB45" s="4107" t="n"/>
      <c r="AC45" s="4106" t="n"/>
      <c r="AH45" s="4109" t="n"/>
    </row>
    <row r="46" ht="3.95" customHeight="1" s="4080">
      <c r="A46" s="3063" t="n"/>
      <c r="B46" s="4103" t="n"/>
      <c r="C46" s="4103" t="n"/>
      <c r="D46" s="4103" t="n"/>
      <c r="E46" s="4103" t="n"/>
      <c r="F46" s="4103" t="n"/>
      <c r="G46" s="4103" t="n"/>
      <c r="H46" s="4103" t="n"/>
      <c r="I46" s="4103" t="n"/>
      <c r="J46" s="4104" t="n"/>
      <c r="K46" s="4343" t="n"/>
      <c r="L46" s="4344" t="n"/>
      <c r="M46" s="4344" t="n"/>
      <c r="N46" s="4344" t="n"/>
      <c r="O46" s="4344" t="n"/>
      <c r="P46" s="4398" t="n"/>
      <c r="Q46" s="4102" t="n"/>
      <c r="R46" s="4103" t="n"/>
      <c r="S46" s="4103" t="n"/>
      <c r="T46" s="4103" t="n"/>
      <c r="U46" s="4103" t="n"/>
      <c r="V46" s="4104" t="n"/>
      <c r="W46" s="4102" t="n"/>
      <c r="X46" s="4103" t="n"/>
      <c r="Y46" s="4103" t="n"/>
      <c r="Z46" s="4103" t="n"/>
      <c r="AA46" s="4103" t="n"/>
      <c r="AB46" s="4104" t="n"/>
      <c r="AC46" s="4102" t="n"/>
      <c r="AD46" s="4103" t="n"/>
      <c r="AE46" s="4103" t="n"/>
      <c r="AF46" s="4103" t="n"/>
      <c r="AG46" s="4103" t="n"/>
      <c r="AH46" s="4105" t="n"/>
    </row>
    <row r="47" ht="27.75" customHeight="1" s="4080">
      <c r="A47" s="4497" t="inlineStr">
        <is>
          <t>前年度利用者数
（新規・増員の場合、推定利用者数）</t>
        </is>
      </c>
      <c r="B47" s="4098" t="n"/>
      <c r="C47" s="4098" t="n"/>
      <c r="D47" s="4098" t="n"/>
      <c r="E47" s="4098" t="n"/>
      <c r="F47" s="4098" t="n"/>
      <c r="G47" s="4098" t="n"/>
      <c r="H47" s="4098" t="n"/>
      <c r="I47" s="4098" t="n"/>
      <c r="J47" s="4099" t="n"/>
      <c r="K47" s="1411" t="n"/>
      <c r="L47" s="4098" t="n"/>
      <c r="M47" s="4098" t="n"/>
      <c r="N47" s="4098" t="n"/>
      <c r="O47" s="4098" t="n"/>
      <c r="P47" s="277" t="inlineStr">
        <is>
          <t>人</t>
        </is>
      </c>
      <c r="Q47" s="278" t="inlineStr">
        <is>
          <t>＊小数第２位を切り上げ</t>
        </is>
      </c>
      <c r="R47" s="279" t="n"/>
      <c r="S47" s="280" t="n"/>
      <c r="T47" s="280" t="n"/>
      <c r="U47" s="280" t="n"/>
      <c r="V47" s="280" t="n"/>
      <c r="W47" s="280" t="n"/>
      <c r="X47" s="280" t="n"/>
      <c r="Y47" s="280" t="n"/>
      <c r="Z47" s="280" t="n"/>
      <c r="AA47" s="280" t="n"/>
      <c r="AB47" s="280" t="n"/>
      <c r="AC47" s="280" t="n"/>
      <c r="AD47" s="280" t="n"/>
      <c r="AE47" s="280" t="n"/>
      <c r="AF47" s="280" t="n"/>
      <c r="AG47" s="280" t="n"/>
      <c r="AH47" s="281" t="n"/>
    </row>
    <row r="48" ht="12" customHeight="1" s="4080" thickBot="1">
      <c r="A48" s="4498" t="inlineStr">
        <is>
          <t>主　　な　　掲　　示　　事　　項</t>
        </is>
      </c>
      <c r="B48" s="4099" t="n"/>
      <c r="C48" s="2147" t="n"/>
      <c r="D48" s="1618" t="inlineStr">
        <is>
          <t>営業日</t>
        </is>
      </c>
      <c r="E48" s="4098" t="n"/>
      <c r="F48" s="4098" t="n"/>
      <c r="G48" s="4098" t="n"/>
      <c r="H48" s="4098" t="n"/>
      <c r="I48" s="4098" t="n"/>
      <c r="J48" s="2148" t="n"/>
      <c r="K48" s="1578" t="inlineStr">
        <is>
          <t>月</t>
        </is>
      </c>
      <c r="L48" s="1592" t="inlineStr">
        <is>
          <t>火</t>
        </is>
      </c>
      <c r="M48" s="1592" t="inlineStr">
        <is>
          <t>水</t>
        </is>
      </c>
      <c r="N48" s="1592" t="inlineStr">
        <is>
          <t>木</t>
        </is>
      </c>
      <c r="O48" s="1592" t="inlineStr">
        <is>
          <t>金</t>
        </is>
      </c>
      <c r="P48" s="1592" t="inlineStr">
        <is>
          <t>土</t>
        </is>
      </c>
      <c r="Q48" s="1592" t="inlineStr">
        <is>
          <t>日</t>
        </is>
      </c>
      <c r="R48" s="1612" t="inlineStr">
        <is>
          <t>祝</t>
        </is>
      </c>
      <c r="S48" s="2149" t="inlineStr">
        <is>
          <t>休業日</t>
        </is>
      </c>
      <c r="T48" s="1611" t="inlineStr">
        <is>
          <t>年末年始</t>
        </is>
      </c>
      <c r="U48" s="4098" t="n"/>
      <c r="V48" s="934" t="n"/>
      <c r="W48" s="4098" t="n"/>
      <c r="X48" s="4098" t="n"/>
      <c r="Y48" s="4098" t="n"/>
      <c r="Z48" s="4098" t="n"/>
      <c r="AA48" s="4098" t="n"/>
      <c r="AB48" s="4099" t="n"/>
      <c r="AC48" s="2347" t="inlineStr">
        <is>
          <t>備　考</t>
        </is>
      </c>
      <c r="AD48" s="4499" t="n"/>
      <c r="AE48" s="4098" t="n"/>
      <c r="AF48" s="4098" t="n"/>
      <c r="AG48" s="4098" t="n"/>
      <c r="AH48" s="4101" t="n"/>
    </row>
    <row r="49" ht="12" customHeight="1" s="4080" thickBot="1">
      <c r="A49" s="4097" t="n"/>
      <c r="B49" s="4107" t="n"/>
      <c r="C49" s="4106" t="n"/>
      <c r="J49" s="4107" t="n"/>
      <c r="K49" s="2351" t="inlineStr">
        <is>
          <t xml:space="preserve">　</t>
        </is>
      </c>
      <c r="L49" s="2353" t="n"/>
      <c r="M49" s="2353" t="n"/>
      <c r="N49" s="2353" t="n"/>
      <c r="O49" s="2353" t="n"/>
      <c r="P49" s="2353" t="n"/>
      <c r="Q49" s="2353" t="n"/>
      <c r="R49" s="2355" t="n"/>
      <c r="S49" s="4282" t="n"/>
      <c r="T49" s="2008" t="inlineStr">
        <is>
          <t>夏季</t>
        </is>
      </c>
      <c r="V49" s="937" t="n"/>
      <c r="AB49" s="4107" t="n"/>
      <c r="AC49" s="4282" t="n"/>
      <c r="AD49" s="4192" t="n"/>
      <c r="AH49" s="4109" t="n"/>
    </row>
    <row r="50" ht="12" customHeight="1" s="4080">
      <c r="A50" s="4097" t="n"/>
      <c r="B50" s="4107" t="n"/>
      <c r="C50" s="4420" t="n"/>
      <c r="D50" s="4087" t="n"/>
      <c r="E50" s="4087" t="n"/>
      <c r="F50" s="4087" t="n"/>
      <c r="G50" s="4087" t="n"/>
      <c r="H50" s="4087" t="n"/>
      <c r="I50" s="4087" t="n"/>
      <c r="J50" s="4410" t="n"/>
      <c r="K50" s="4500" t="n"/>
      <c r="L50" s="4501" t="n"/>
      <c r="M50" s="4501" t="n"/>
      <c r="N50" s="4501" t="n"/>
      <c r="O50" s="4501" t="n"/>
      <c r="P50" s="4501" t="n"/>
      <c r="Q50" s="4501" t="n"/>
      <c r="R50" s="4502" t="n"/>
      <c r="S50" s="4421" t="n"/>
      <c r="T50" s="1610" t="inlineStr">
        <is>
          <t>その他</t>
        </is>
      </c>
      <c r="U50" s="4103" t="n"/>
      <c r="V50" s="940" t="n"/>
      <c r="W50" s="4103" t="n"/>
      <c r="X50" s="4103" t="n"/>
      <c r="Y50" s="4103" t="n"/>
      <c r="Z50" s="4103" t="n"/>
      <c r="AA50" s="4103" t="n"/>
      <c r="AB50" s="4104" t="n"/>
      <c r="AC50" s="4421" t="n"/>
      <c r="AD50" s="4480" t="n"/>
      <c r="AE50" s="4087" t="n"/>
      <c r="AF50" s="4087" t="n"/>
      <c r="AG50" s="4087" t="n"/>
      <c r="AH50" s="4088" t="n"/>
    </row>
    <row r="51" ht="3.95" customHeight="1" s="4080">
      <c r="A51" s="4097" t="n"/>
      <c r="B51" s="4107" t="n"/>
      <c r="C51" s="1393" t="n"/>
      <c r="D51" s="1264" t="inlineStr">
        <is>
          <t>営業時間</t>
        </is>
      </c>
      <c r="E51" s="4098" t="n"/>
      <c r="F51" s="4098" t="n"/>
      <c r="G51" s="4098" t="n"/>
      <c r="H51" s="4098" t="n"/>
      <c r="I51" s="4098" t="n"/>
      <c r="J51" s="4223" t="n"/>
      <c r="K51" s="4287" t="inlineStr">
        <is>
          <t>平日</t>
        </is>
      </c>
      <c r="L51" s="4098" t="n"/>
      <c r="M51" s="4190" t="n"/>
      <c r="N51" s="1590" t="n"/>
      <c r="O51" s="4098" t="n"/>
      <c r="P51" s="2842" t="inlineStr">
        <is>
          <t>時</t>
        </is>
      </c>
      <c r="Q51" s="1323" t="n"/>
      <c r="R51" s="1323" t="n"/>
      <c r="S51" s="4288" t="inlineStr">
        <is>
          <t>分～</t>
        </is>
      </c>
      <c r="T51" s="4098" t="n"/>
      <c r="U51" s="108" t="inlineStr">
        <is>
          <t xml:space="preserve">　</t>
        </is>
      </c>
      <c r="V51" s="1591" t="n"/>
      <c r="W51" s="4098" t="n"/>
      <c r="X51" s="2842" t="inlineStr">
        <is>
          <t>時</t>
        </is>
      </c>
      <c r="Y51" s="2834" t="n"/>
      <c r="Z51" s="2834" t="n"/>
      <c r="AA51" s="2842" t="inlineStr">
        <is>
          <t>分</t>
        </is>
      </c>
      <c r="AB51" s="2844" t="n"/>
      <c r="AC51" s="4098" t="n"/>
      <c r="AD51" s="4098" t="n"/>
      <c r="AE51" s="4098" t="n"/>
      <c r="AF51" s="4098" t="n"/>
      <c r="AG51" s="4098" t="n"/>
      <c r="AH51" s="4101" t="n"/>
    </row>
    <row r="52" ht="12" customHeight="1" s="4080">
      <c r="A52" s="4097" t="n"/>
      <c r="B52" s="4107" t="n"/>
      <c r="C52" s="4106" t="n"/>
      <c r="J52" s="4107" t="n"/>
      <c r="K52" s="4106" t="n"/>
      <c r="M52" s="4191" t="n"/>
      <c r="N52" s="1589" t="n"/>
      <c r="Q52" s="1325" t="n"/>
      <c r="U52" s="1257" t="n"/>
      <c r="Y52" s="1580" t="n"/>
      <c r="AH52" s="4109" t="n"/>
    </row>
    <row r="53" ht="3.95" customHeight="1" s="4080">
      <c r="A53" s="4097" t="n"/>
      <c r="B53" s="4107" t="n"/>
      <c r="C53" s="4106" t="n"/>
      <c r="J53" s="4107" t="n"/>
      <c r="K53" s="4145" t="n"/>
      <c r="L53" s="4146" t="n"/>
      <c r="M53" s="4201" t="n"/>
      <c r="N53" s="1586" t="n"/>
      <c r="O53" s="1587" t="n"/>
      <c r="P53" s="4146" t="n"/>
      <c r="Q53" s="1585" t="n"/>
      <c r="R53" s="1585" t="n"/>
      <c r="S53" s="4146" t="n"/>
      <c r="T53" s="4146" t="n"/>
      <c r="U53" s="2253" t="n"/>
      <c r="V53" s="1587" t="n"/>
      <c r="W53" s="1587" t="n"/>
      <c r="X53" s="4146" t="n"/>
      <c r="Y53" s="101" t="n"/>
      <c r="Z53" s="101" t="n"/>
      <c r="AA53" s="4146" t="n"/>
      <c r="AB53" s="4146" t="n"/>
      <c r="AC53" s="4146" t="n"/>
      <c r="AD53" s="4146" t="n"/>
      <c r="AE53" s="4146" t="n"/>
      <c r="AF53" s="4146" t="n"/>
      <c r="AG53" s="4146" t="n"/>
      <c r="AH53" s="4305" t="n"/>
    </row>
    <row r="54" ht="3.95" customHeight="1" s="4080">
      <c r="A54" s="4097" t="n"/>
      <c r="B54" s="4107" t="n"/>
      <c r="C54" s="4106" t="n"/>
      <c r="J54" s="4107" t="n"/>
      <c r="K54" s="4289" t="inlineStr">
        <is>
          <t>土曜</t>
        </is>
      </c>
      <c r="L54" s="4290" t="n"/>
      <c r="M54" s="4291" t="n"/>
      <c r="N54" s="1581" t="n"/>
      <c r="O54" s="4290" t="n"/>
      <c r="P54" s="1514" t="inlineStr">
        <is>
          <t>時</t>
        </is>
      </c>
      <c r="Q54" s="1583" t="n"/>
      <c r="R54" s="1583" t="n"/>
      <c r="S54" s="4292" t="inlineStr">
        <is>
          <t>分～</t>
        </is>
      </c>
      <c r="T54" s="4290" t="n"/>
      <c r="U54" s="98" t="inlineStr">
        <is>
          <t xml:space="preserve">　</t>
        </is>
      </c>
      <c r="V54" s="1582" t="n"/>
      <c r="W54" s="1582" t="n"/>
      <c r="X54" s="1514" t="inlineStr">
        <is>
          <t>時</t>
        </is>
      </c>
      <c r="Y54" s="96" t="n"/>
      <c r="Z54" s="96" t="n"/>
      <c r="AA54" s="1514" t="inlineStr">
        <is>
          <t>分</t>
        </is>
      </c>
      <c r="AB54" s="4481" t="n"/>
      <c r="AC54" s="4290" t="n"/>
      <c r="AD54" s="4290" t="n"/>
      <c r="AE54" s="4290" t="n"/>
      <c r="AF54" s="4290" t="n"/>
      <c r="AG54" s="4290" t="n"/>
      <c r="AH54" s="4482" t="n"/>
    </row>
    <row r="55" ht="12" customHeight="1" s="4080">
      <c r="A55" s="4097" t="n"/>
      <c r="B55" s="4107" t="n"/>
      <c r="C55" s="4106" t="n"/>
      <c r="J55" s="4107" t="n"/>
      <c r="K55" s="4106" t="n"/>
      <c r="M55" s="4191" t="n"/>
      <c r="N55" s="1589" t="n"/>
      <c r="Q55" s="1325" t="n"/>
      <c r="U55" s="1257" t="n"/>
      <c r="Y55" s="1580" t="n"/>
      <c r="AH55" s="4109" t="n"/>
    </row>
    <row r="56" ht="3.95" customHeight="1" s="4080">
      <c r="A56" s="4097" t="n"/>
      <c r="B56" s="4107" t="n"/>
      <c r="C56" s="4106" t="n"/>
      <c r="J56" s="4107" t="n"/>
      <c r="K56" s="4145" t="n"/>
      <c r="L56" s="4146" t="n"/>
      <c r="M56" s="4201" t="n"/>
      <c r="N56" s="1586" t="n"/>
      <c r="O56" s="1587" t="n"/>
      <c r="P56" s="4146" t="n"/>
      <c r="Q56" s="1585" t="n"/>
      <c r="R56" s="1585" t="n"/>
      <c r="S56" s="4146" t="n"/>
      <c r="T56" s="4146" t="n"/>
      <c r="U56" s="103" t="n"/>
      <c r="V56" s="1587" t="n"/>
      <c r="W56" s="1587" t="n"/>
      <c r="X56" s="4146" t="n"/>
      <c r="Y56" s="101" t="n"/>
      <c r="Z56" s="101" t="n"/>
      <c r="AA56" s="4146" t="n"/>
      <c r="AB56" s="4146" t="n"/>
      <c r="AC56" s="4146" t="n"/>
      <c r="AD56" s="4146" t="n"/>
      <c r="AE56" s="4146" t="n"/>
      <c r="AF56" s="4146" t="n"/>
      <c r="AG56" s="4146" t="n"/>
      <c r="AH56" s="4305" t="n"/>
    </row>
    <row r="57" ht="3.95" customHeight="1" s="4080">
      <c r="A57" s="4097" t="n"/>
      <c r="B57" s="4107" t="n"/>
      <c r="C57" s="4106" t="n"/>
      <c r="J57" s="4107" t="n"/>
      <c r="K57" s="4293" t="inlineStr">
        <is>
          <t>日・祝日</t>
        </is>
      </c>
      <c r="L57" s="4290" t="n"/>
      <c r="M57" s="4291" t="n"/>
      <c r="N57" s="1581" t="n"/>
      <c r="O57" s="4290" t="n"/>
      <c r="P57" s="1521" t="inlineStr">
        <is>
          <t>時</t>
        </is>
      </c>
      <c r="Q57" s="1583" t="n"/>
      <c r="R57" s="1583" t="n"/>
      <c r="S57" s="4294" t="inlineStr">
        <is>
          <t>分～</t>
        </is>
      </c>
      <c r="T57" s="4290" t="n"/>
      <c r="U57" s="98" t="inlineStr">
        <is>
          <t xml:space="preserve">　</t>
        </is>
      </c>
      <c r="V57" s="1582" t="n"/>
      <c r="W57" s="1582" t="n"/>
      <c r="X57" s="1521" t="inlineStr">
        <is>
          <t>時</t>
        </is>
      </c>
      <c r="Y57" s="96" t="n"/>
      <c r="Z57" s="96" t="n"/>
      <c r="AA57" s="1521" t="inlineStr">
        <is>
          <t>分</t>
        </is>
      </c>
      <c r="AB57" s="4483" t="n"/>
      <c r="AC57" s="4290" t="n"/>
      <c r="AD57" s="4290" t="n"/>
      <c r="AE57" s="4290" t="n"/>
      <c r="AF57" s="4290" t="n"/>
      <c r="AG57" s="4290" t="n"/>
      <c r="AH57" s="4482" t="n"/>
    </row>
    <row r="58" ht="12" customHeight="1" s="4080">
      <c r="A58" s="4097" t="n"/>
      <c r="B58" s="4107" t="n"/>
      <c r="C58" s="4106" t="n"/>
      <c r="J58" s="4107" t="n"/>
      <c r="K58" s="4106" t="n"/>
      <c r="M58" s="4191" t="n"/>
      <c r="N58" s="1589" t="n"/>
      <c r="Q58" s="1325" t="n"/>
      <c r="U58" s="1257" t="n"/>
      <c r="Y58" s="1580" t="n"/>
      <c r="AH58" s="4109" t="n"/>
    </row>
    <row r="59" ht="3.95" customHeight="1" s="4080">
      <c r="A59" s="4097" t="n"/>
      <c r="B59" s="4107" t="n"/>
      <c r="C59" s="4102" t="n"/>
      <c r="D59" s="4103" t="n"/>
      <c r="E59" s="4103" t="n"/>
      <c r="F59" s="4103" t="n"/>
      <c r="G59" s="4103" t="n"/>
      <c r="H59" s="4103" t="n"/>
      <c r="I59" s="4103" t="n"/>
      <c r="J59" s="4104" t="n"/>
      <c r="K59" s="4102" t="n"/>
      <c r="L59" s="4103" t="n"/>
      <c r="M59" s="4193" t="n"/>
      <c r="N59" s="1588" t="n"/>
      <c r="O59" s="1258" t="n"/>
      <c r="P59" s="4103" t="n"/>
      <c r="Q59" s="1327" t="n"/>
      <c r="R59" s="1327" t="n"/>
      <c r="S59" s="4103" t="n"/>
      <c r="T59" s="4103" t="n"/>
      <c r="U59" s="92" t="n"/>
      <c r="V59" s="1258" t="n"/>
      <c r="W59" s="1258" t="n"/>
      <c r="X59" s="4103" t="n"/>
      <c r="Y59" s="2836" t="n"/>
      <c r="Z59" s="2836" t="n"/>
      <c r="AA59" s="4103" t="n"/>
      <c r="AB59" s="4103" t="n"/>
      <c r="AC59" s="4103" t="n"/>
      <c r="AD59" s="4103" t="n"/>
      <c r="AE59" s="4103" t="n"/>
      <c r="AF59" s="4103" t="n"/>
      <c r="AG59" s="4103" t="n"/>
      <c r="AH59" s="4105" t="n"/>
    </row>
    <row r="60" ht="12" customHeight="1" s="4080">
      <c r="A60" s="4097" t="n"/>
      <c r="B60" s="4107" t="n"/>
      <c r="C60" s="1322" t="n"/>
      <c r="D60" s="1264" t="inlineStr">
        <is>
          <t>サービス提供日</t>
        </is>
      </c>
      <c r="E60" s="4098" t="n"/>
      <c r="F60" s="4098" t="n"/>
      <c r="G60" s="4098" t="n"/>
      <c r="H60" s="4098" t="n"/>
      <c r="I60" s="4098" t="n"/>
      <c r="J60" s="2027" t="n"/>
      <c r="K60" s="2244" t="inlineStr">
        <is>
          <t>月</t>
        </is>
      </c>
      <c r="L60" s="2245" t="inlineStr">
        <is>
          <t>火</t>
        </is>
      </c>
      <c r="M60" s="2245" t="inlineStr">
        <is>
          <t>水</t>
        </is>
      </c>
      <c r="N60" s="2245" t="inlineStr">
        <is>
          <t>木</t>
        </is>
      </c>
      <c r="O60" s="2245" t="inlineStr">
        <is>
          <t>金</t>
        </is>
      </c>
      <c r="P60" s="2245" t="inlineStr">
        <is>
          <t>土</t>
        </is>
      </c>
      <c r="Q60" s="2245" t="inlineStr">
        <is>
          <t>日</t>
        </is>
      </c>
      <c r="R60" s="2249" t="inlineStr">
        <is>
          <t>祝</t>
        </is>
      </c>
      <c r="S60" s="4279" t="inlineStr">
        <is>
          <t>休業日</t>
        </is>
      </c>
      <c r="T60" s="1611" t="inlineStr">
        <is>
          <t>年末年始</t>
        </is>
      </c>
      <c r="U60" s="4098" t="n"/>
      <c r="V60" s="934" t="n"/>
      <c r="W60" s="4098" t="n"/>
      <c r="X60" s="4098" t="n"/>
      <c r="Y60" s="4098" t="n"/>
      <c r="Z60" s="4098" t="n"/>
      <c r="AA60" s="4098" t="n"/>
      <c r="AB60" s="4099" t="n"/>
      <c r="AC60" s="4280" t="inlineStr">
        <is>
          <t>備　考</t>
        </is>
      </c>
      <c r="AD60" s="4281" t="n"/>
      <c r="AE60" s="4098" t="n"/>
      <c r="AF60" s="4098" t="n"/>
      <c r="AG60" s="4098" t="n"/>
      <c r="AH60" s="4101" t="n"/>
    </row>
    <row r="61" ht="12" customHeight="1" s="4080">
      <c r="A61" s="4097" t="n"/>
      <c r="B61" s="4107" t="n"/>
      <c r="C61" s="4106" t="n"/>
      <c r="J61" s="4107" t="n"/>
      <c r="K61" s="2244" t="inlineStr">
        <is>
          <t xml:space="preserve">　</t>
        </is>
      </c>
      <c r="L61" s="2245" t="n"/>
      <c r="M61" s="2245" t="n"/>
      <c r="N61" s="2245" t="n"/>
      <c r="O61" s="2245" t="n"/>
      <c r="P61" s="2245" t="n"/>
      <c r="Q61" s="2245" t="n"/>
      <c r="R61" s="2249" t="n"/>
      <c r="S61" s="4282" t="n"/>
      <c r="T61" s="1609" t="inlineStr">
        <is>
          <t>夏季</t>
        </is>
      </c>
      <c r="V61" s="937" t="n"/>
      <c r="AB61" s="4107" t="n"/>
      <c r="AC61" s="4282" t="n"/>
      <c r="AD61" s="4192" t="n"/>
      <c r="AH61" s="4109" t="n"/>
    </row>
    <row r="62" ht="12" customHeight="1" s="4080">
      <c r="A62" s="4097" t="n"/>
      <c r="B62" s="4107" t="n"/>
      <c r="C62" s="4106" t="n"/>
      <c r="D62" s="4103" t="n"/>
      <c r="E62" s="4103" t="n"/>
      <c r="F62" s="4103" t="n"/>
      <c r="G62" s="4103" t="n"/>
      <c r="H62" s="4103" t="n"/>
      <c r="I62" s="4103" t="n"/>
      <c r="J62" s="4107" t="n"/>
      <c r="K62" s="4283" t="n"/>
      <c r="L62" s="4284" t="n"/>
      <c r="M62" s="4284" t="n"/>
      <c r="N62" s="4284" t="n"/>
      <c r="O62" s="4284" t="n"/>
      <c r="P62" s="4284" t="n"/>
      <c r="Q62" s="4284" t="n"/>
      <c r="R62" s="4285" t="n"/>
      <c r="S62" s="4286" t="n"/>
      <c r="T62" s="1610" t="inlineStr">
        <is>
          <t>その他</t>
        </is>
      </c>
      <c r="U62" s="4103" t="n"/>
      <c r="V62" s="940" t="n"/>
      <c r="W62" s="4103" t="n"/>
      <c r="X62" s="4103" t="n"/>
      <c r="Y62" s="4103" t="n"/>
      <c r="Z62" s="4103" t="n"/>
      <c r="AA62" s="4103" t="n"/>
      <c r="AB62" s="4104" t="n"/>
      <c r="AC62" s="4286" t="n"/>
      <c r="AD62" s="4194" t="n"/>
      <c r="AE62" s="4103" t="n"/>
      <c r="AF62" s="4103" t="n"/>
      <c r="AG62" s="4103" t="n"/>
      <c r="AH62" s="4105" t="n"/>
    </row>
    <row r="63" ht="15.95" customHeight="1" s="4080">
      <c r="A63" s="4097" t="n"/>
      <c r="B63" s="4107" t="n"/>
      <c r="C63" s="1322" t="n"/>
      <c r="D63" s="1402" t="inlineStr">
        <is>
          <t>サービス提供時間</t>
        </is>
      </c>
      <c r="E63" s="4098" t="n"/>
      <c r="F63" s="4098" t="n"/>
      <c r="G63" s="4098" t="n"/>
      <c r="H63" s="4098" t="n"/>
      <c r="I63" s="4098" t="n"/>
      <c r="J63" s="1288" t="n"/>
      <c r="K63" s="2322" t="n"/>
      <c r="L63" s="4110" t="n"/>
      <c r="M63" s="4110" t="n"/>
      <c r="N63" s="1355" t="inlineStr">
        <is>
          <t>時</t>
        </is>
      </c>
      <c r="O63" s="2324" t="n"/>
      <c r="P63" s="4110" t="n"/>
      <c r="Q63" s="2325" t="inlineStr">
        <is>
          <t>分～</t>
        </is>
      </c>
      <c r="R63" s="4110" t="n"/>
      <c r="S63" s="2323" t="n"/>
      <c r="T63" s="4110" t="n"/>
      <c r="U63" s="4110" t="n"/>
      <c r="V63" s="1325" t="inlineStr">
        <is>
          <t>時</t>
        </is>
      </c>
      <c r="W63" s="1645" t="n"/>
      <c r="X63" s="4110" t="n"/>
      <c r="Y63" s="1325" t="inlineStr">
        <is>
          <t>分</t>
        </is>
      </c>
      <c r="Z63" s="2834" t="n"/>
      <c r="AA63" s="4278" t="n"/>
      <c r="AB63" s="4110" t="n"/>
      <c r="AC63" s="4110" t="n"/>
      <c r="AD63" s="4110" t="n"/>
      <c r="AE63" s="4110" t="n"/>
      <c r="AF63" s="4110" t="n"/>
      <c r="AG63" s="4110" t="n"/>
      <c r="AH63" s="4113" t="n"/>
    </row>
    <row r="64" ht="12" customHeight="1" s="4080">
      <c r="A64" s="4097" t="n"/>
      <c r="B64" s="4107" t="n"/>
      <c r="C64" s="1393" t="n"/>
      <c r="D64" s="4222" t="inlineStr">
        <is>
          <t>サービスを提供
する主たる対象者</t>
        </is>
      </c>
      <c r="E64" s="4098" t="n"/>
      <c r="F64" s="4098" t="n"/>
      <c r="G64" s="4098" t="n"/>
      <c r="H64" s="4098" t="n"/>
      <c r="I64" s="4098" t="n"/>
      <c r="J64" s="4223" t="n"/>
      <c r="K64" s="4425" t="inlineStr">
        <is>
          <t>身体障害者</t>
        </is>
      </c>
      <c r="L64" s="4098" t="n"/>
      <c r="M64" s="4098" t="n"/>
      <c r="N64" s="4099" t="n"/>
      <c r="O64" s="4425" t="inlineStr">
        <is>
          <t>知的障害者</t>
        </is>
      </c>
      <c r="P64" s="4098" t="n"/>
      <c r="Q64" s="4098" t="n"/>
      <c r="R64" s="4099" t="n"/>
      <c r="S64" s="4425" t="inlineStr">
        <is>
          <t>精神障害者</t>
        </is>
      </c>
      <c r="T64" s="4098" t="n"/>
      <c r="U64" s="4098" t="n"/>
      <c r="V64" s="4099" t="n"/>
      <c r="W64" s="4426" t="inlineStr">
        <is>
          <t>難病等対象者</t>
        </is>
      </c>
      <c r="X64" s="4098" t="n"/>
      <c r="Y64" s="4098" t="n"/>
      <c r="Z64" s="4099" t="n"/>
      <c r="AA64" s="2037" t="n"/>
      <c r="AB64" s="4098" t="n"/>
      <c r="AC64" s="4098" t="n"/>
      <c r="AD64" s="4098" t="n"/>
      <c r="AE64" s="2039" t="n"/>
      <c r="AF64" s="4098" t="n"/>
      <c r="AG64" s="4098" t="n"/>
      <c r="AH64" s="4101" t="n"/>
    </row>
    <row r="65" ht="19.5" customHeight="1" s="4080">
      <c r="A65" s="4097" t="n"/>
      <c r="B65" s="4107" t="n"/>
      <c r="C65" s="4106" t="n"/>
      <c r="J65" s="4107" t="n"/>
      <c r="K65" s="4102" t="n"/>
      <c r="L65" s="4103" t="n"/>
      <c r="M65" s="4103" t="n"/>
      <c r="N65" s="4104" t="n"/>
      <c r="O65" s="4102" t="n"/>
      <c r="P65" s="4103" t="n"/>
      <c r="Q65" s="4103" t="n"/>
      <c r="R65" s="4104" t="n"/>
      <c r="S65" s="4102" t="n"/>
      <c r="T65" s="4103" t="n"/>
      <c r="U65" s="4103" t="n"/>
      <c r="V65" s="4104" t="n"/>
      <c r="W65" s="4102" t="n"/>
      <c r="X65" s="4103" t="n"/>
      <c r="Y65" s="4103" t="n"/>
      <c r="Z65" s="4104" t="n"/>
      <c r="AH65" s="4109" t="n"/>
    </row>
    <row r="66" ht="19.5" customHeight="1" s="4080">
      <c r="A66" s="4097" t="n"/>
      <c r="B66" s="4107" t="n"/>
      <c r="C66" s="4102" t="n"/>
      <c r="D66" s="4103" t="n"/>
      <c r="E66" s="4103" t="n"/>
      <c r="F66" s="4103" t="n"/>
      <c r="G66" s="4103" t="n"/>
      <c r="H66" s="4103" t="n"/>
      <c r="I66" s="4103" t="n"/>
      <c r="J66" s="4104" t="n"/>
      <c r="K66" s="1663" t="n"/>
      <c r="L66" s="4140" t="n"/>
      <c r="M66" s="4140" t="n"/>
      <c r="N66" s="4141" t="n"/>
      <c r="O66" s="1663" t="n"/>
      <c r="P66" s="4140" t="n"/>
      <c r="Q66" s="4140" t="n"/>
      <c r="R66" s="4141" t="n"/>
      <c r="S66" s="988" t="n"/>
      <c r="T66" s="4110" t="n"/>
      <c r="U66" s="4110" t="n"/>
      <c r="V66" s="4111" t="n"/>
      <c r="W66" s="988" t="n"/>
      <c r="X66" s="4110" t="n"/>
      <c r="Y66" s="4110" t="n"/>
      <c r="Z66" s="4111" t="n"/>
      <c r="AA66" s="2031" t="n"/>
      <c r="AB66" s="4103" t="n"/>
      <c r="AC66" s="4103" t="n"/>
      <c r="AD66" s="4104" t="n"/>
      <c r="AE66" s="2031" t="n"/>
      <c r="AF66" s="4103" t="n"/>
      <c r="AG66" s="4103" t="n"/>
      <c r="AH66" s="4104" t="n"/>
    </row>
    <row r="67" ht="15" customHeight="1" s="4080">
      <c r="A67" s="4097" t="n"/>
      <c r="B67" s="4107" t="n"/>
      <c r="C67" s="1370" t="n"/>
      <c r="D67" s="1245" t="inlineStr">
        <is>
          <t>利用定員</t>
        </is>
      </c>
      <c r="E67" s="4098" t="n"/>
      <c r="F67" s="4098" t="n"/>
      <c r="G67" s="4098" t="n"/>
      <c r="H67" s="4098" t="n"/>
      <c r="I67" s="4098" t="n"/>
      <c r="J67" s="1371" t="n"/>
      <c r="K67" s="2342" t="n"/>
      <c r="L67" s="4098" t="n"/>
      <c r="M67" s="4098" t="n"/>
      <c r="N67" s="4098" t="n"/>
      <c r="O67" s="258" t="inlineStr">
        <is>
          <t>人</t>
        </is>
      </c>
      <c r="P67" s="4485" t="inlineStr">
        <is>
          <t>単位ごとの定員</t>
        </is>
      </c>
      <c r="Q67" s="4098" t="n"/>
      <c r="R67" s="4098" t="n"/>
      <c r="S67" s="4210" t="n"/>
      <c r="T67" s="2357" t="n"/>
      <c r="U67" s="4486" t="n"/>
      <c r="V67" s="4486" t="n"/>
      <c r="W67" s="4486" t="n"/>
      <c r="X67" s="4486" t="n"/>
      <c r="Y67" s="227" t="inlineStr">
        <is>
          <t>人</t>
        </is>
      </c>
      <c r="Z67" s="4487" t="n"/>
      <c r="AA67" s="4098" t="n"/>
      <c r="AB67" s="4098" t="n"/>
      <c r="AC67" s="4098" t="n"/>
      <c r="AD67" s="4098" t="n"/>
      <c r="AE67" s="4098" t="n"/>
      <c r="AF67" s="4098" t="n"/>
      <c r="AG67" s="4098" t="n"/>
      <c r="AH67" s="4101" t="n"/>
    </row>
    <row r="68" ht="3.95" customHeight="1" s="4080">
      <c r="A68" s="4097" t="n"/>
      <c r="B68" s="4107" t="n"/>
      <c r="C68" s="1322" t="n"/>
      <c r="D68" s="4429" t="inlineStr">
        <is>
          <t>従たる事業所の有無</t>
        </is>
      </c>
      <c r="E68" s="4098" t="n"/>
      <c r="F68" s="4098" t="n"/>
      <c r="G68" s="4098" t="n"/>
      <c r="H68" s="4098" t="n"/>
      <c r="I68" s="4098" t="n"/>
      <c r="J68" s="1394" t="n"/>
      <c r="K68" s="4430" t="n"/>
      <c r="L68" s="2056" t="n"/>
      <c r="M68" s="4098" t="n"/>
      <c r="N68" s="4098" t="n"/>
      <c r="O68" s="2070" t="n"/>
      <c r="P68" s="4431" t="inlineStr">
        <is>
          <t>従たる事業所に
おいて実施する
サービス種別</t>
        </is>
      </c>
      <c r="Q68" s="4098" t="n"/>
      <c r="R68" s="4098" t="n"/>
      <c r="S68" s="4098" t="n"/>
      <c r="T68" s="4190" t="n"/>
      <c r="U68" s="2056" t="n"/>
      <c r="V68" s="2056" t="n"/>
      <c r="W68" s="2056" t="n"/>
      <c r="X68" s="2056" t="n"/>
      <c r="Y68" s="2056" t="n"/>
      <c r="Z68" s="2056" t="n"/>
      <c r="AA68" s="2056" t="n"/>
      <c r="AB68" s="1334" t="inlineStr">
        <is>
          <t xml:space="preserve">　</t>
        </is>
      </c>
      <c r="AC68" s="1334" t="n"/>
      <c r="AD68" s="1334" t="n"/>
      <c r="AE68" s="1334" t="n"/>
      <c r="AF68" s="1334" t="n"/>
      <c r="AG68" s="1334" t="n"/>
      <c r="AH68" s="1335" t="n"/>
    </row>
    <row r="69" ht="12" customHeight="1" s="4080">
      <c r="A69" s="4097" t="n"/>
      <c r="B69" s="4107" t="n"/>
      <c r="C69" s="4106" t="n"/>
      <c r="J69" s="4107" t="n"/>
      <c r="K69" s="4106" t="n"/>
      <c r="L69" s="2069" t="inlineStr">
        <is>
          <t>有</t>
        </is>
      </c>
      <c r="M69" s="2069" t="inlineStr">
        <is>
          <t>・</t>
        </is>
      </c>
      <c r="N69" s="2069" t="inlineStr">
        <is>
          <t>無</t>
        </is>
      </c>
      <c r="O69" s="4107" t="n"/>
      <c r="P69" s="4106" t="n"/>
      <c r="T69" s="4191" t="n"/>
      <c r="U69" s="230" t="inlineStr">
        <is>
          <t>1)</t>
        </is>
      </c>
      <c r="V69" s="2057" t="n"/>
      <c r="AB69" s="231" t="inlineStr">
        <is>
          <t>3)</t>
        </is>
      </c>
      <c r="AC69" s="2058" t="n"/>
      <c r="AH69" s="4109" t="n"/>
    </row>
    <row r="70" ht="12" customHeight="1" s="4080">
      <c r="A70" s="4097" t="n"/>
      <c r="B70" s="4107" t="n"/>
      <c r="C70" s="1326" t="n"/>
      <c r="J70" s="4107" t="n"/>
      <c r="K70" s="4106" t="n"/>
      <c r="O70" s="4107" t="n"/>
      <c r="P70" s="4106" t="n"/>
      <c r="T70" s="4191" t="n"/>
      <c r="U70" s="232" t="inlineStr">
        <is>
          <t>2)</t>
        </is>
      </c>
      <c r="V70" s="2057" t="n"/>
      <c r="AB70" s="233" t="inlineStr">
        <is>
          <t>4)</t>
        </is>
      </c>
      <c r="AC70" s="2058" t="n"/>
      <c r="AH70" s="4109" t="n"/>
    </row>
    <row r="71" ht="3.95" customHeight="1" s="4080">
      <c r="A71" s="4097" t="n"/>
      <c r="B71" s="4107" t="n"/>
      <c r="C71" s="4102" t="n"/>
      <c r="D71" s="4103" t="n"/>
      <c r="E71" s="4103" t="n"/>
      <c r="F71" s="4103" t="n"/>
      <c r="G71" s="4103" t="n"/>
      <c r="H71" s="4103" t="n"/>
      <c r="I71" s="4103" t="n"/>
      <c r="J71" s="4104" t="n"/>
      <c r="K71" s="4102" t="n"/>
      <c r="L71" s="2059" t="n"/>
      <c r="M71" s="4103" t="n"/>
      <c r="N71" s="4103" t="n"/>
      <c r="O71" s="4104" t="n"/>
      <c r="P71" s="4102" t="n"/>
      <c r="Q71" s="4103" t="n"/>
      <c r="R71" s="4103" t="n"/>
      <c r="S71" s="4103" t="n"/>
      <c r="T71" s="4193" t="n"/>
      <c r="U71" s="2059" t="n"/>
      <c r="V71" s="2059" t="n"/>
      <c r="W71" s="2059" t="n"/>
      <c r="X71" s="2059" t="n"/>
      <c r="Y71" s="2059" t="n"/>
      <c r="Z71" s="2059" t="n"/>
      <c r="AA71" s="2059" t="n"/>
      <c r="AB71" s="1298" t="n"/>
      <c r="AC71" s="1298" t="n"/>
      <c r="AD71" s="1298" t="n"/>
      <c r="AE71" s="1298" t="n"/>
      <c r="AF71" s="1298" t="n"/>
      <c r="AG71" s="1298" t="n"/>
      <c r="AH71" s="1299" t="n"/>
    </row>
    <row r="72" ht="3.95" customHeight="1" s="4080">
      <c r="A72" s="4097" t="n"/>
      <c r="B72" s="4107" t="n"/>
      <c r="C72" s="4503" t="inlineStr">
        <is>
          <t>多機能型の実施</t>
        </is>
      </c>
      <c r="D72" s="4098" t="n"/>
      <c r="E72" s="4098" t="n"/>
      <c r="F72" s="4098" t="n"/>
      <c r="G72" s="4098" t="n"/>
      <c r="H72" s="4098" t="n"/>
      <c r="I72" s="4098" t="n"/>
      <c r="J72" s="4099" t="n"/>
      <c r="K72" s="2053" t="n"/>
      <c r="L72" s="2056" t="n"/>
      <c r="M72" s="2056" t="n"/>
      <c r="N72" s="2056" t="n"/>
      <c r="O72" s="1371" t="n"/>
      <c r="P72" s="3316" t="n"/>
      <c r="Q72" s="3316" t="n"/>
      <c r="R72" s="3316" t="n"/>
      <c r="S72" s="3316" t="n"/>
      <c r="T72" s="3316" t="n"/>
      <c r="U72" s="238" t="n"/>
      <c r="V72" s="238" t="n"/>
      <c r="W72" s="238" t="n"/>
      <c r="X72" s="238" t="n"/>
      <c r="Y72" s="238" t="n"/>
      <c r="Z72" s="238" t="n"/>
      <c r="AA72" s="238" t="n"/>
      <c r="AB72" s="2960" t="n"/>
      <c r="AC72" s="2960" t="n"/>
      <c r="AD72" s="2960" t="n"/>
      <c r="AE72" s="2960" t="n"/>
      <c r="AF72" s="2960" t="n"/>
      <c r="AG72" s="2960" t="n"/>
      <c r="AH72" s="2961" t="n"/>
    </row>
    <row r="73" ht="18.75" customHeight="1" s="4080">
      <c r="A73" s="4097" t="n"/>
      <c r="B73" s="4107" t="n"/>
      <c r="C73" s="4106" t="n"/>
      <c r="J73" s="4107" t="n"/>
      <c r="K73" s="1657" t="n"/>
      <c r="L73" s="1658" t="inlineStr">
        <is>
          <t>有</t>
        </is>
      </c>
      <c r="M73" s="2069" t="inlineStr">
        <is>
          <t>・</t>
        </is>
      </c>
      <c r="N73" s="1658" t="inlineStr">
        <is>
          <t>無</t>
        </is>
      </c>
      <c r="O73" s="241" t="n"/>
      <c r="P73" s="3315" t="n"/>
      <c r="Q73" s="3316" t="n"/>
      <c r="R73" s="3316" t="n"/>
      <c r="S73" s="3316" t="n"/>
      <c r="T73" s="3316" t="n"/>
      <c r="U73" s="238" t="n"/>
      <c r="V73" s="238" t="n"/>
      <c r="W73" s="238" t="n"/>
      <c r="X73" s="238" t="n"/>
      <c r="Y73" s="238" t="n"/>
      <c r="Z73" s="238" t="n"/>
      <c r="AA73" s="238" t="n"/>
      <c r="AB73" s="2960" t="n"/>
      <c r="AC73" s="2960" t="n"/>
      <c r="AD73" s="2960" t="n"/>
      <c r="AE73" s="2960" t="n"/>
      <c r="AF73" s="2960" t="n"/>
      <c r="AG73" s="2960" t="n"/>
      <c r="AH73" s="2961" t="n"/>
    </row>
    <row r="74" ht="3.75" customHeight="1" s="4080" thickBot="1">
      <c r="A74" s="4086" t="n"/>
      <c r="B74" s="4410" t="n"/>
      <c r="C74" s="4420" t="n"/>
      <c r="D74" s="4087" t="n"/>
      <c r="E74" s="4087" t="n"/>
      <c r="F74" s="4087" t="n"/>
      <c r="G74" s="4087" t="n"/>
      <c r="H74" s="4087" t="n"/>
      <c r="I74" s="4087" t="n"/>
      <c r="J74" s="4410" t="n"/>
      <c r="K74" s="285" t="n"/>
      <c r="L74" s="49" t="n"/>
      <c r="M74" s="49" t="n"/>
      <c r="N74" s="49" t="n"/>
      <c r="O74" s="286" t="n"/>
      <c r="P74" s="287" t="n"/>
      <c r="Q74" s="287" t="n"/>
      <c r="R74" s="287" t="n"/>
      <c r="S74" s="287" t="n"/>
      <c r="T74" s="287" t="n"/>
      <c r="U74" s="288" t="n"/>
      <c r="V74" s="288" t="n"/>
      <c r="W74" s="288" t="n"/>
      <c r="X74" s="288" t="n"/>
      <c r="Y74" s="288" t="n"/>
      <c r="Z74" s="288" t="n"/>
      <c r="AA74" s="288" t="n"/>
      <c r="AB74" s="3028" t="n"/>
      <c r="AC74" s="3028" t="n"/>
      <c r="AD74" s="3028" t="n"/>
      <c r="AE74" s="3028" t="n"/>
      <c r="AF74" s="3028" t="n"/>
      <c r="AG74" s="3028" t="n"/>
      <c r="AH74" s="3029" t="n"/>
    </row>
    <row r="75" ht="20.25" customHeight="1" s="4080">
      <c r="A75" s="4355" t="inlineStr">
        <is>
          <t>主　な　掲　示　事　項</t>
        </is>
      </c>
      <c r="B75" s="4356" t="n"/>
      <c r="C75" s="2000" t="n"/>
      <c r="D75" s="2001" t="inlineStr">
        <is>
          <t>利用料</t>
        </is>
      </c>
      <c r="E75" s="4093" t="n"/>
      <c r="F75" s="4093" t="n"/>
      <c r="G75" s="4093" t="n"/>
      <c r="H75" s="4093" t="n"/>
      <c r="I75" s="4093" t="n"/>
      <c r="J75" s="292" t="n"/>
      <c r="K75" s="4504" t="n"/>
      <c r="L75" s="4093" t="n"/>
      <c r="M75" s="4093" t="n"/>
      <c r="N75" s="4093" t="n"/>
      <c r="O75" s="4093" t="n"/>
      <c r="P75" s="4093" t="n"/>
      <c r="Q75" s="4093" t="n"/>
      <c r="R75" s="4093" t="n"/>
      <c r="S75" s="4093" t="n"/>
      <c r="T75" s="4093" t="n"/>
      <c r="U75" s="4093" t="n"/>
      <c r="V75" s="4093" t="n"/>
      <c r="W75" s="4093" t="n"/>
      <c r="X75" s="4093" t="n"/>
      <c r="Y75" s="4093" t="n"/>
      <c r="Z75" s="4093" t="n"/>
      <c r="AA75" s="4093" t="n"/>
      <c r="AB75" s="4093" t="n"/>
      <c r="AC75" s="4093" t="n"/>
      <c r="AD75" s="4093" t="n"/>
      <c r="AE75" s="4093" t="n"/>
      <c r="AF75" s="4093" t="n"/>
      <c r="AG75" s="4093" t="n"/>
      <c r="AH75" s="4096" t="n"/>
    </row>
    <row r="76" ht="18.75" customHeight="1" s="4080">
      <c r="A76" s="4097" t="n"/>
      <c r="B76" s="4107" t="n"/>
      <c r="C76" s="1322" t="n"/>
      <c r="D76" s="1264" t="inlineStr">
        <is>
          <t>その他の費用</t>
        </is>
      </c>
      <c r="E76" s="4110" t="n"/>
      <c r="F76" s="4110" t="n"/>
      <c r="G76" s="4110" t="n"/>
      <c r="H76" s="4110" t="n"/>
      <c r="I76" s="4110" t="n"/>
      <c r="J76" s="1331" t="n"/>
      <c r="K76" s="4121" t="n"/>
      <c r="L76" s="4110" t="n"/>
      <c r="M76" s="4110" t="n"/>
      <c r="N76" s="4110" t="n"/>
      <c r="O76" s="4110" t="n"/>
      <c r="P76" s="4110" t="n"/>
      <c r="Q76" s="4110" t="n"/>
      <c r="R76" s="4110" t="n"/>
      <c r="S76" s="4110" t="n"/>
      <c r="T76" s="4110" t="n"/>
      <c r="U76" s="4110" t="n"/>
      <c r="V76" s="4110" t="n"/>
      <c r="W76" s="4110" t="n"/>
      <c r="X76" s="4110" t="n"/>
      <c r="Y76" s="4110" t="n"/>
      <c r="Z76" s="4110" t="n"/>
      <c r="AA76" s="4110" t="n"/>
      <c r="AB76" s="4110" t="n"/>
      <c r="AC76" s="4110" t="n"/>
      <c r="AD76" s="4110" t="n"/>
      <c r="AE76" s="4110" t="n"/>
      <c r="AF76" s="4110" t="n"/>
      <c r="AG76" s="4110" t="n"/>
      <c r="AH76" s="4113" t="n"/>
    </row>
    <row r="77" ht="24" customHeight="1" s="4080">
      <c r="A77" s="4097" t="n"/>
      <c r="B77" s="4107" t="n"/>
      <c r="C77" s="1300" t="n"/>
      <c r="D77" s="4222" t="inlineStr">
        <is>
          <t>通常の事業の
実施地域</t>
        </is>
      </c>
      <c r="E77" s="4098" t="n"/>
      <c r="F77" s="4098" t="n"/>
      <c r="G77" s="4098" t="n"/>
      <c r="H77" s="4098" t="n"/>
      <c r="I77" s="4098" t="n"/>
      <c r="J77" s="1963" t="n"/>
      <c r="K77" s="3272" t="inlineStr">
        <is>
          <t>1)</t>
        </is>
      </c>
      <c r="L77" s="1406" t="n"/>
      <c r="M77" s="4110" t="n"/>
      <c r="N77" s="4110" t="n"/>
      <c r="O77" s="2325" t="inlineStr">
        <is>
          <t>2)</t>
        </is>
      </c>
      <c r="P77" s="1406" t="n"/>
      <c r="Q77" s="4110" t="n"/>
      <c r="R77" s="4110" t="n"/>
      <c r="S77" s="2325" t="inlineStr">
        <is>
          <t>3)</t>
        </is>
      </c>
      <c r="T77" s="1406" t="n"/>
      <c r="U77" s="4110" t="n"/>
      <c r="V77" s="4110" t="n"/>
      <c r="W77" s="2325" t="inlineStr">
        <is>
          <t>4)</t>
        </is>
      </c>
      <c r="X77" s="1406" t="n"/>
      <c r="Y77" s="4110" t="n"/>
      <c r="Z77" s="4110" t="n"/>
      <c r="AA77" s="2325" t="inlineStr">
        <is>
          <t>5)</t>
        </is>
      </c>
      <c r="AB77" s="1406" t="n"/>
      <c r="AC77" s="4110" t="n"/>
      <c r="AD77" s="4110" t="n"/>
      <c r="AE77" s="4229" t="inlineStr">
        <is>
          <t>備考</t>
        </is>
      </c>
      <c r="AF77" s="4230" t="n"/>
      <c r="AG77" s="4098" t="n"/>
      <c r="AH77" s="4101" t="n"/>
    </row>
    <row r="78" ht="24" customHeight="1" s="4080">
      <c r="A78" s="4097" t="n"/>
      <c r="B78" s="4107" t="n"/>
      <c r="C78" s="4102" t="n"/>
      <c r="D78" s="4103" t="n"/>
      <c r="E78" s="4103" t="n"/>
      <c r="F78" s="4103" t="n"/>
      <c r="G78" s="4103" t="n"/>
      <c r="H78" s="4103" t="n"/>
      <c r="I78" s="4103" t="n"/>
      <c r="J78" s="4104" t="n"/>
      <c r="K78" s="3272" t="inlineStr">
        <is>
          <t>6)</t>
        </is>
      </c>
      <c r="L78" s="1406" t="n"/>
      <c r="M78" s="4110" t="n"/>
      <c r="N78" s="4110" t="n"/>
      <c r="O78" s="2325" t="inlineStr">
        <is>
          <t>7)</t>
        </is>
      </c>
      <c r="P78" s="1406" t="n"/>
      <c r="Q78" s="4110" t="n"/>
      <c r="R78" s="4110" t="n"/>
      <c r="S78" s="2325" t="inlineStr">
        <is>
          <t>8)</t>
        </is>
      </c>
      <c r="T78" s="1406" t="n"/>
      <c r="U78" s="4110" t="n"/>
      <c r="V78" s="4110" t="n"/>
      <c r="W78" s="2325" t="inlineStr">
        <is>
          <t>9)</t>
        </is>
      </c>
      <c r="X78" s="1406" t="n"/>
      <c r="Y78" s="4110" t="n"/>
      <c r="Z78" s="4110" t="n"/>
      <c r="AA78" s="71" t="inlineStr">
        <is>
          <t>10)</t>
        </is>
      </c>
      <c r="AB78" s="1406" t="n"/>
      <c r="AC78" s="4110" t="n"/>
      <c r="AD78" s="4110" t="n"/>
      <c r="AE78" s="4124" t="n"/>
      <c r="AF78" s="4102" t="n"/>
      <c r="AG78" s="4103" t="n"/>
      <c r="AH78" s="4105" t="n"/>
    </row>
    <row r="79" ht="3.95" customHeight="1" s="4080">
      <c r="A79" s="4097" t="n"/>
      <c r="B79" s="4107" t="n"/>
      <c r="C79" s="1795" t="n"/>
      <c r="D79" s="1402" t="n"/>
      <c r="E79" s="3328" t="n"/>
      <c r="F79" s="3328" t="n"/>
      <c r="G79" s="3328" t="n"/>
      <c r="H79" s="3328" t="n"/>
      <c r="I79" s="3328" t="n"/>
      <c r="J79" s="3329" t="n"/>
      <c r="K79" s="541" t="n"/>
      <c r="L79" s="1852" t="n"/>
      <c r="M79" s="4098" t="n"/>
      <c r="N79" s="4098" t="n"/>
      <c r="O79" s="3371" t="n"/>
      <c r="P79" s="4488" t="n"/>
      <c r="Q79" s="4098" t="n"/>
      <c r="R79" s="4098" t="n"/>
      <c r="S79" s="4098" t="n"/>
      <c r="T79" s="4098" t="n"/>
      <c r="U79" s="4098" t="n"/>
      <c r="V79" s="4098" t="n"/>
      <c r="W79" s="4098" t="n"/>
      <c r="X79" s="4098" t="n"/>
      <c r="Y79" s="4098" t="n"/>
      <c r="Z79" s="4098" t="n"/>
      <c r="AA79" s="4098" t="n"/>
      <c r="AB79" s="4098" t="n"/>
      <c r="AC79" s="4098" t="n"/>
      <c r="AD79" s="4098" t="n"/>
      <c r="AE79" s="4098" t="n"/>
      <c r="AF79" s="4098" t="n"/>
      <c r="AG79" s="4098" t="n"/>
      <c r="AH79" s="4101" t="n"/>
    </row>
    <row r="80" ht="12" customHeight="1" s="4080">
      <c r="A80" s="4097" t="n"/>
      <c r="B80" s="4107" t="n"/>
      <c r="C80" s="1241" t="n"/>
      <c r="D80" s="2284" t="inlineStr">
        <is>
          <t>食事提供の有無</t>
        </is>
      </c>
      <c r="J80" s="1243" t="n"/>
      <c r="K80" s="4106" t="n"/>
      <c r="L80" s="1829" t="inlineStr">
        <is>
          <t>有</t>
        </is>
      </c>
      <c r="M80" s="1829" t="inlineStr">
        <is>
          <t>・</t>
        </is>
      </c>
      <c r="N80" s="1829" t="inlineStr">
        <is>
          <t>無</t>
        </is>
      </c>
      <c r="O80" s="4107" t="n"/>
      <c r="P80" s="4106" t="n"/>
      <c r="AH80" s="4109" t="n"/>
    </row>
    <row r="81" ht="3.95" customHeight="1" s="4080">
      <c r="A81" s="4097" t="n"/>
      <c r="B81" s="4107" t="n"/>
      <c r="C81" s="1795" t="n"/>
      <c r="D81" s="1413" t="n"/>
      <c r="E81" s="3334" t="n"/>
      <c r="F81" s="3334" t="n"/>
      <c r="G81" s="3334" t="n"/>
      <c r="H81" s="3334" t="n"/>
      <c r="I81" s="3334" t="n"/>
      <c r="J81" s="3335" t="n"/>
      <c r="K81" s="4102" t="n"/>
      <c r="L81" s="2285" t="n"/>
      <c r="M81" s="4103" t="n"/>
      <c r="N81" s="4103" t="n"/>
      <c r="O81" s="4104" t="n"/>
      <c r="P81" s="4102" t="n"/>
      <c r="Q81" s="4103" t="n"/>
      <c r="R81" s="4103" t="n"/>
      <c r="S81" s="4103" t="n"/>
      <c r="T81" s="4103" t="n"/>
      <c r="U81" s="4103" t="n"/>
      <c r="V81" s="4103" t="n"/>
      <c r="W81" s="4103" t="n"/>
      <c r="X81" s="4103" t="n"/>
      <c r="Y81" s="4103" t="n"/>
      <c r="Z81" s="4103" t="n"/>
      <c r="AA81" s="4103" t="n"/>
      <c r="AB81" s="4103" t="n"/>
      <c r="AC81" s="4103" t="n"/>
      <c r="AD81" s="4103" t="n"/>
      <c r="AE81" s="4103" t="n"/>
      <c r="AF81" s="4103" t="n"/>
      <c r="AG81" s="4103" t="n"/>
      <c r="AH81" s="4105" t="n"/>
      <c r="AJ81" s="266" t="n"/>
    </row>
    <row r="82" ht="3.95" customHeight="1" s="4080">
      <c r="A82" s="4097" t="n"/>
      <c r="B82" s="4107" t="n"/>
      <c r="C82" s="4231" t="inlineStr">
        <is>
          <t>その他参考
となる事項</t>
        </is>
      </c>
      <c r="D82" s="4099" t="n"/>
      <c r="E82" s="2753" t="inlineStr">
        <is>
          <t>第三者評価の実施状況</t>
        </is>
      </c>
      <c r="F82" s="4098" t="n"/>
      <c r="G82" s="4098" t="n"/>
      <c r="H82" s="4098" t="n"/>
      <c r="I82" s="4098" t="n"/>
      <c r="J82" s="4099" t="n"/>
      <c r="K82" s="1657" t="n"/>
      <c r="L82" s="1658" t="n"/>
      <c r="M82" s="1658" t="n"/>
      <c r="N82" s="1658" t="n"/>
      <c r="O82" s="1658" t="n"/>
      <c r="P82" s="1658" t="n"/>
      <c r="Q82" s="1658" t="n"/>
      <c r="R82" s="930" t="n"/>
      <c r="AB82" s="1658" t="n"/>
      <c r="AC82" s="1658" t="n"/>
      <c r="AD82" s="1658" t="n"/>
      <c r="AE82" s="1658" t="n"/>
      <c r="AF82" s="1658" t="n"/>
      <c r="AG82" s="1658" t="n"/>
      <c r="AH82" s="1659" t="n"/>
    </row>
    <row r="83" ht="15" customHeight="1" s="4080">
      <c r="A83" s="4097" t="n"/>
      <c r="B83" s="4107" t="n"/>
      <c r="C83" s="4106" t="n"/>
      <c r="D83" s="4107" t="n"/>
      <c r="J83" s="4107" t="n"/>
      <c r="K83" s="1372" t="n"/>
      <c r="L83" s="1432" t="inlineStr">
        <is>
          <t>している</t>
        </is>
      </c>
      <c r="O83" s="1458" t="inlineStr">
        <is>
          <t>(実施先：</t>
        </is>
      </c>
      <c r="AB83" s="1325" t="inlineStr">
        <is>
          <t>)・</t>
        </is>
      </c>
      <c r="AD83" s="1432" t="inlineStr">
        <is>
          <t>していない</t>
        </is>
      </c>
      <c r="AH83" s="1668" t="n"/>
    </row>
    <row r="84" ht="3.95" customHeight="1" s="4080">
      <c r="A84" s="4097" t="n"/>
      <c r="B84" s="4107" t="n"/>
      <c r="C84" s="4106" t="n"/>
      <c r="D84" s="4107" t="n"/>
      <c r="E84" s="4103" t="n"/>
      <c r="F84" s="4103" t="n"/>
      <c r="G84" s="4103" t="n"/>
      <c r="H84" s="4103" t="n"/>
      <c r="I84" s="4103" t="n"/>
      <c r="J84" s="4104" t="n"/>
      <c r="K84" s="1657" t="n"/>
      <c r="L84" s="1658" t="n"/>
      <c r="M84" s="1658" t="n"/>
      <c r="N84" s="1658" t="n"/>
      <c r="O84" s="1658" t="n"/>
      <c r="P84" s="1658" t="n"/>
      <c r="Q84" s="1658" t="n"/>
      <c r="R84" s="4103" t="n"/>
      <c r="S84" s="4103" t="n"/>
      <c r="T84" s="4103" t="n"/>
      <c r="U84" s="4103" t="n"/>
      <c r="V84" s="4103" t="n"/>
      <c r="W84" s="4103" t="n"/>
      <c r="X84" s="4103" t="n"/>
      <c r="Y84" s="4103" t="n"/>
      <c r="Z84" s="4103" t="n"/>
      <c r="AA84" s="4103" t="n"/>
      <c r="AB84" s="1658" t="n"/>
      <c r="AC84" s="1658" t="n"/>
      <c r="AD84" s="1658" t="n"/>
      <c r="AE84" s="1658" t="n"/>
      <c r="AF84" s="1658" t="n"/>
      <c r="AG84" s="1658" t="n"/>
      <c r="AH84" s="1659" t="n"/>
    </row>
    <row r="85" ht="15" customHeight="1" s="4080">
      <c r="A85" s="4097" t="n"/>
      <c r="B85" s="4107" t="n"/>
      <c r="C85" s="4106" t="n"/>
      <c r="D85" s="4107" t="n"/>
      <c r="E85" s="1439" t="inlineStr">
        <is>
          <t>苦情解決の措置概要</t>
        </is>
      </c>
      <c r="F85" s="4098" t="n"/>
      <c r="G85" s="4098" t="n"/>
      <c r="H85" s="4098" t="n"/>
      <c r="I85" s="4098" t="n"/>
      <c r="J85" s="4099" t="n"/>
      <c r="K85" s="2542" t="inlineStr">
        <is>
          <t>窓　口</t>
        </is>
      </c>
      <c r="L85" s="4110" t="n"/>
      <c r="M85" s="4111" t="n"/>
      <c r="N85" s="4121" t="inlineStr">
        <is>
          <t xml:space="preserve">　</t>
        </is>
      </c>
      <c r="O85" s="4110" t="n"/>
      <c r="P85" s="4110" t="n"/>
      <c r="Q85" s="4110" t="n"/>
      <c r="R85" s="4110" t="n"/>
      <c r="S85" s="4110" t="n"/>
      <c r="T85" s="4110" t="n"/>
      <c r="U85" s="4110" t="n"/>
      <c r="V85" s="4110" t="n"/>
      <c r="W85" s="4110" t="n"/>
      <c r="X85" s="4110" t="n"/>
      <c r="Y85" s="4110" t="n"/>
      <c r="Z85" s="4110" t="n"/>
      <c r="AA85" s="4110" t="n"/>
      <c r="AB85" s="4110" t="n"/>
      <c r="AC85" s="4110" t="n"/>
      <c r="AD85" s="4110" t="n"/>
      <c r="AE85" s="4110" t="n"/>
      <c r="AF85" s="4110" t="n"/>
      <c r="AG85" s="4110" t="n"/>
      <c r="AH85" s="4113" t="n"/>
    </row>
    <row r="86" ht="15" customHeight="1" s="4080">
      <c r="A86" s="4097" t="n"/>
      <c r="B86" s="4107" t="n"/>
      <c r="C86" s="4106" t="n"/>
      <c r="D86" s="4107" t="n"/>
      <c r="E86" s="4103" t="n"/>
      <c r="F86" s="4103" t="n"/>
      <c r="G86" s="4103" t="n"/>
      <c r="H86" s="4103" t="n"/>
      <c r="I86" s="4103" t="n"/>
      <c r="J86" s="4104" t="n"/>
      <c r="K86" s="2542" t="inlineStr">
        <is>
          <t>担当者</t>
        </is>
      </c>
      <c r="L86" s="4110" t="n"/>
      <c r="M86" s="4111" t="n"/>
      <c r="N86" s="4233" t="n"/>
      <c r="O86" s="4110" t="n"/>
      <c r="P86" s="4110" t="n"/>
      <c r="Q86" s="4110" t="n"/>
      <c r="R86" s="4110" t="n"/>
      <c r="S86" s="4110" t="n"/>
      <c r="T86" s="4110" t="n"/>
      <c r="U86" s="4111" t="n"/>
      <c r="V86" s="2163" t="inlineStr">
        <is>
          <t>電話</t>
        </is>
      </c>
      <c r="W86" s="4111" t="n"/>
      <c r="X86" s="882" t="n"/>
      <c r="Y86" s="4110" t="n"/>
      <c r="Z86" s="4110" t="n"/>
      <c r="AA86" s="1492" t="inlineStr">
        <is>
          <t>－</t>
        </is>
      </c>
      <c r="AB86" s="920" t="n"/>
      <c r="AC86" s="4110" t="n"/>
      <c r="AD86" s="4110" t="n"/>
      <c r="AE86" s="1492" t="inlineStr">
        <is>
          <t>－</t>
        </is>
      </c>
      <c r="AF86" s="955" t="n"/>
      <c r="AG86" s="4110" t="n"/>
      <c r="AH86" s="4113" t="n"/>
    </row>
    <row r="87" ht="15" customHeight="1" s="4080">
      <c r="A87" s="4114" t="n"/>
      <c r="B87" s="4104" t="n"/>
      <c r="C87" s="4102" t="n"/>
      <c r="D87" s="4104" t="n"/>
      <c r="E87" s="1394" t="inlineStr">
        <is>
          <t>そ　　 の 　　他</t>
        </is>
      </c>
      <c r="F87" s="4110" t="n"/>
      <c r="G87" s="4110" t="n"/>
      <c r="H87" s="4110" t="n"/>
      <c r="I87" s="4110" t="n"/>
      <c r="J87" s="4111" t="n"/>
      <c r="K87" s="4121" t="n"/>
      <c r="L87" s="4110" t="n"/>
      <c r="M87" s="4110" t="n"/>
      <c r="N87" s="4110" t="n"/>
      <c r="O87" s="4110" t="n"/>
      <c r="P87" s="4110" t="n"/>
      <c r="Q87" s="4110" t="n"/>
      <c r="R87" s="4110" t="n"/>
      <c r="S87" s="4110" t="n"/>
      <c r="T87" s="4110" t="n"/>
      <c r="U87" s="4110" t="n"/>
      <c r="V87" s="4110" t="n"/>
      <c r="W87" s="4110" t="n"/>
      <c r="X87" s="4110" t="n"/>
      <c r="Y87" s="4110" t="n"/>
      <c r="Z87" s="4110" t="n"/>
      <c r="AA87" s="4110" t="n"/>
      <c r="AB87" s="4110" t="n"/>
      <c r="AC87" s="4110" t="n"/>
      <c r="AD87" s="4110" t="n"/>
      <c r="AE87" s="4110" t="n"/>
      <c r="AF87" s="4110" t="n"/>
      <c r="AG87" s="4110" t="n"/>
      <c r="AH87" s="4113" t="n"/>
    </row>
    <row r="88" ht="15" customHeight="1" s="4080">
      <c r="A88" s="2915" t="n"/>
      <c r="B88" s="1264" t="inlineStr">
        <is>
          <t>協力医療機関</t>
        </is>
      </c>
      <c r="C88" s="4098" t="n"/>
      <c r="D88" s="4098" t="n"/>
      <c r="E88" s="4098" t="n"/>
      <c r="F88" s="4098" t="n"/>
      <c r="G88" s="4098" t="n"/>
      <c r="H88" s="4098" t="n"/>
      <c r="I88" s="4098" t="n"/>
      <c r="J88" s="2077" t="n"/>
      <c r="K88" s="1865" t="inlineStr">
        <is>
          <t>ﾌﾘｶﾞﾅ</t>
        </is>
      </c>
      <c r="L88" s="4110" t="n"/>
      <c r="M88" s="4110" t="n"/>
      <c r="N88" s="4432" t="n"/>
      <c r="O88" s="4110" t="n"/>
      <c r="P88" s="4110" t="n"/>
      <c r="Q88" s="4110" t="n"/>
      <c r="R88" s="4110" t="n"/>
      <c r="S88" s="4110" t="n"/>
      <c r="T88" s="4110" t="n"/>
      <c r="U88" s="4110" t="n"/>
      <c r="V88" s="4110" t="n"/>
      <c r="W88" s="4110" t="n"/>
      <c r="X88" s="4110" t="n"/>
      <c r="Y88" s="4110" t="n"/>
      <c r="Z88" s="4110" t="n"/>
      <c r="AA88" s="4110" t="n"/>
      <c r="AB88" s="4111" t="n"/>
      <c r="AC88" s="3362" t="inlineStr">
        <is>
          <t>主な診療科名</t>
        </is>
      </c>
      <c r="AD88" s="4099" t="n"/>
      <c r="AE88" s="4489" t="n"/>
      <c r="AF88" s="4098" t="n"/>
      <c r="AG88" s="4098" t="n"/>
      <c r="AH88" s="4101" t="n"/>
    </row>
    <row r="89" ht="24" customHeight="1" s="4080">
      <c r="A89" s="4114" t="n"/>
      <c r="B89" s="4103" t="n"/>
      <c r="C89" s="4103" t="n"/>
      <c r="D89" s="4103" t="n"/>
      <c r="E89" s="4103" t="n"/>
      <c r="F89" s="4103" t="n"/>
      <c r="G89" s="4103" t="n"/>
      <c r="H89" s="4103" t="n"/>
      <c r="I89" s="4103" t="n"/>
      <c r="J89" s="4104" t="n"/>
      <c r="K89" s="2164" t="inlineStr">
        <is>
          <t>名　称</t>
        </is>
      </c>
      <c r="L89" s="4110" t="n"/>
      <c r="M89" s="4111" t="n"/>
      <c r="N89" s="4123" t="n"/>
      <c r="O89" s="4110" t="n"/>
      <c r="P89" s="4110" t="n"/>
      <c r="Q89" s="4110" t="n"/>
      <c r="R89" s="4110" t="n"/>
      <c r="S89" s="4110" t="n"/>
      <c r="T89" s="4110" t="n"/>
      <c r="U89" s="4110" t="n"/>
      <c r="V89" s="4110" t="n"/>
      <c r="W89" s="4110" t="n"/>
      <c r="X89" s="4110" t="n"/>
      <c r="Y89" s="4110" t="n"/>
      <c r="Z89" s="4110" t="n"/>
      <c r="AA89" s="4110" t="n"/>
      <c r="AB89" s="4111" t="n"/>
      <c r="AC89" s="4103" t="n"/>
      <c r="AD89" s="4104" t="n"/>
      <c r="AE89" s="4102" t="n"/>
      <c r="AF89" s="4103" t="n"/>
      <c r="AG89" s="4103" t="n"/>
      <c r="AH89" s="4105" t="n"/>
    </row>
    <row r="90" ht="15" customHeight="1" s="4080">
      <c r="A90" s="2915" t="n"/>
      <c r="B90" s="1264" t="inlineStr">
        <is>
          <t>提携就労支援機関</t>
        </is>
      </c>
      <c r="C90" s="4098" t="n"/>
      <c r="D90" s="4098" t="n"/>
      <c r="E90" s="4098" t="n"/>
      <c r="F90" s="4098" t="n"/>
      <c r="G90" s="4098" t="n"/>
      <c r="H90" s="4098" t="n"/>
      <c r="I90" s="4098" t="n"/>
      <c r="J90" s="2077" t="n"/>
      <c r="K90" s="1865" t="inlineStr">
        <is>
          <t>ﾌﾘｶﾞﾅ</t>
        </is>
      </c>
      <c r="L90" s="4110" t="n"/>
      <c r="M90" s="4110" t="n"/>
      <c r="N90" s="4432" t="n"/>
      <c r="O90" s="4110" t="n"/>
      <c r="P90" s="4110" t="n"/>
      <c r="Q90" s="4110" t="n"/>
      <c r="R90" s="4110" t="n"/>
      <c r="S90" s="4110" t="n"/>
      <c r="T90" s="4110" t="n"/>
      <c r="U90" s="4110" t="n"/>
      <c r="V90" s="4110" t="n"/>
      <c r="W90" s="4110" t="n"/>
      <c r="X90" s="4110" t="n"/>
      <c r="Y90" s="4110" t="n"/>
      <c r="Z90" s="4110" t="n"/>
      <c r="AA90" s="4110" t="n"/>
      <c r="AB90" s="4111" t="n"/>
      <c r="AC90" s="3362" t="inlineStr">
        <is>
          <t>業種</t>
        </is>
      </c>
      <c r="AD90" s="4099" t="n"/>
      <c r="AE90" s="4489" t="n"/>
      <c r="AF90" s="4098" t="n"/>
      <c r="AG90" s="4098" t="n"/>
      <c r="AH90" s="4101" t="n"/>
    </row>
    <row r="91" ht="24" customHeight="1" s="4080">
      <c r="A91" s="4114" t="n"/>
      <c r="B91" s="4103" t="n"/>
      <c r="C91" s="4103" t="n"/>
      <c r="D91" s="4103" t="n"/>
      <c r="E91" s="4103" t="n"/>
      <c r="F91" s="4103" t="n"/>
      <c r="G91" s="4103" t="n"/>
      <c r="H91" s="4103" t="n"/>
      <c r="I91" s="4103" t="n"/>
      <c r="J91" s="4104" t="n"/>
      <c r="K91" s="2164" t="inlineStr">
        <is>
          <t>名　称</t>
        </is>
      </c>
      <c r="L91" s="4110" t="n"/>
      <c r="M91" s="4111" t="n"/>
      <c r="N91" s="4123" t="n"/>
      <c r="O91" s="4110" t="n"/>
      <c r="P91" s="4110" t="n"/>
      <c r="Q91" s="4110" t="n"/>
      <c r="R91" s="4110" t="n"/>
      <c r="S91" s="4110" t="n"/>
      <c r="T91" s="4110" t="n"/>
      <c r="U91" s="4110" t="n"/>
      <c r="V91" s="4110" t="n"/>
      <c r="W91" s="4110" t="n"/>
      <c r="X91" s="4110" t="n"/>
      <c r="Y91" s="4110" t="n"/>
      <c r="Z91" s="4110" t="n"/>
      <c r="AA91" s="4110" t="n"/>
      <c r="AB91" s="4111" t="n"/>
      <c r="AC91" s="4103" t="n"/>
      <c r="AD91" s="4104" t="n"/>
      <c r="AE91" s="4102" t="n"/>
      <c r="AF91" s="4103" t="n"/>
      <c r="AG91" s="4103" t="n"/>
      <c r="AH91" s="4105" t="n"/>
    </row>
    <row r="92" ht="17.1" customHeight="1" s="4080" thickBot="1">
      <c r="A92" s="4234" t="inlineStr">
        <is>
          <t>添　　付　　書　　類</t>
        </is>
      </c>
      <c r="B92" s="4153" t="n"/>
      <c r="C92" s="4153" t="n"/>
      <c r="D92" s="4153" t="n"/>
      <c r="E92" s="4153" t="n"/>
      <c r="F92" s="4153" t="n"/>
      <c r="G92" s="4153" t="n"/>
      <c r="H92" s="4153" t="n"/>
      <c r="I92" s="4153" t="n"/>
      <c r="J92" s="4154" t="n"/>
      <c r="K92" s="4235" t="inlineStr">
        <is>
          <t xml:space="preserve">　別紙「添付書類一覧表」のとおり</t>
        </is>
      </c>
      <c r="L92" s="4153" t="n"/>
      <c r="M92" s="4153" t="n"/>
      <c r="N92" s="4153" t="n"/>
      <c r="O92" s="4153" t="n"/>
      <c r="P92" s="4153" t="n"/>
      <c r="Q92" s="4153" t="n"/>
      <c r="R92" s="4153" t="n"/>
      <c r="S92" s="4153" t="n"/>
      <c r="T92" s="4153" t="n"/>
      <c r="U92" s="4153" t="n"/>
      <c r="V92" s="4153" t="n"/>
      <c r="W92" s="4153" t="n"/>
      <c r="X92" s="4153" t="n"/>
      <c r="Y92" s="4153" t="n"/>
      <c r="Z92" s="4153" t="n"/>
      <c r="AA92" s="4153" t="n"/>
      <c r="AB92" s="4153" t="n"/>
      <c r="AC92" s="4153" t="n"/>
      <c r="AD92" s="4153" t="n"/>
      <c r="AE92" s="4153" t="n"/>
      <c r="AF92" s="4153" t="n"/>
      <c r="AG92" s="4153" t="n"/>
      <c r="AH92" s="4155" t="n"/>
    </row>
  </sheetData>
  <mergeCells count="380">
    <mergeCell ref="N42:P42"/>
    <mergeCell ref="K11:AH11"/>
    <mergeCell ref="AC43:AH43"/>
    <mergeCell ref="P77:R77"/>
    <mergeCell ref="X27:AH29"/>
    <mergeCell ref="AA51:AA53"/>
    <mergeCell ref="AC34:AH34"/>
    <mergeCell ref="V18:AH18"/>
    <mergeCell ref="U58:W58"/>
    <mergeCell ref="W63:X63"/>
    <mergeCell ref="AE64:AH65"/>
    <mergeCell ref="T62:U62"/>
    <mergeCell ref="O63:P63"/>
    <mergeCell ref="Q63:R63"/>
    <mergeCell ref="W39:AB39"/>
    <mergeCell ref="K38:P38"/>
    <mergeCell ref="Q49:Q50"/>
    <mergeCell ref="C10:E11"/>
    <mergeCell ref="D77:I78"/>
    <mergeCell ref="H2:L2"/>
    <mergeCell ref="T31:V33"/>
    <mergeCell ref="Y52:Z52"/>
    <mergeCell ref="V51:W51"/>
    <mergeCell ref="S57:T59"/>
    <mergeCell ref="AA2:AA3"/>
    <mergeCell ref="N30:O33"/>
    <mergeCell ref="AC2:AC3"/>
    <mergeCell ref="C22:L22"/>
    <mergeCell ref="K36:M36"/>
    <mergeCell ref="F13:I13"/>
    <mergeCell ref="J77:J78"/>
    <mergeCell ref="Y23:AH23"/>
    <mergeCell ref="K47:O47"/>
    <mergeCell ref="C20:AH20"/>
    <mergeCell ref="N52:O52"/>
    <mergeCell ref="C34:J35"/>
    <mergeCell ref="T27:V29"/>
    <mergeCell ref="A1:Y1"/>
    <mergeCell ref="AA57:AA59"/>
    <mergeCell ref="AE1:AF1"/>
    <mergeCell ref="X77:Z77"/>
    <mergeCell ref="C72:J74"/>
    <mergeCell ref="T42:V42"/>
    <mergeCell ref="C26:E26"/>
    <mergeCell ref="T78:V78"/>
    <mergeCell ref="J27:M29"/>
    <mergeCell ref="AA54:AA56"/>
    <mergeCell ref="C37:J37"/>
    <mergeCell ref="L78:N78"/>
    <mergeCell ref="K51:M53"/>
    <mergeCell ref="V49:AB49"/>
    <mergeCell ref="E87:J87"/>
    <mergeCell ref="Q38:V38"/>
    <mergeCell ref="Q35:S35"/>
    <mergeCell ref="AC88:AD89"/>
    <mergeCell ref="P30:S30"/>
    <mergeCell ref="Y55:Z55"/>
    <mergeCell ref="K43:P43"/>
    <mergeCell ref="P49:P50"/>
    <mergeCell ref="A48:B74"/>
    <mergeCell ref="R49:R50"/>
    <mergeCell ref="AC90:AD91"/>
    <mergeCell ref="S60:S62"/>
    <mergeCell ref="Q36:S36"/>
    <mergeCell ref="C39:J40"/>
    <mergeCell ref="N40:P40"/>
    <mergeCell ref="Z2:Z3"/>
    <mergeCell ref="P51:P53"/>
    <mergeCell ref="AB2:AB3"/>
    <mergeCell ref="AD2:AD3"/>
    <mergeCell ref="R82:AA84"/>
    <mergeCell ref="AE66:AH66"/>
    <mergeCell ref="T26:X26"/>
    <mergeCell ref="L69:L70"/>
    <mergeCell ref="N69:N70"/>
    <mergeCell ref="J90:J91"/>
    <mergeCell ref="N35:P35"/>
    <mergeCell ref="AA64:AD65"/>
    <mergeCell ref="T60:U60"/>
    <mergeCell ref="K79:K81"/>
    <mergeCell ref="C77:C78"/>
    <mergeCell ref="V60:AB60"/>
    <mergeCell ref="L68:N68"/>
    <mergeCell ref="K63:M63"/>
    <mergeCell ref="D76:I76"/>
    <mergeCell ref="Z37:AB37"/>
    <mergeCell ref="P14:Q16"/>
    <mergeCell ref="I8:M9"/>
    <mergeCell ref="K66:N66"/>
    <mergeCell ref="W42:Y42"/>
    <mergeCell ref="AF40:AH40"/>
    <mergeCell ref="AB78:AD78"/>
    <mergeCell ref="W17:AH17"/>
    <mergeCell ref="J64:J66"/>
    <mergeCell ref="W19:AH19"/>
    <mergeCell ref="N26:O29"/>
    <mergeCell ref="Q43:V43"/>
    <mergeCell ref="AF37:AH37"/>
    <mergeCell ref="W34:AB34"/>
    <mergeCell ref="N41:P41"/>
    <mergeCell ref="C17:M19"/>
    <mergeCell ref="T14:V16"/>
    <mergeCell ref="E82:J84"/>
    <mergeCell ref="C14:E16"/>
    <mergeCell ref="AB83:AC83"/>
    <mergeCell ref="V86:W86"/>
    <mergeCell ref="K40:M40"/>
    <mergeCell ref="D48:I50"/>
    <mergeCell ref="F27:I29"/>
    <mergeCell ref="AF42:AH42"/>
    <mergeCell ref="M24:X24"/>
    <mergeCell ref="I10:K10"/>
    <mergeCell ref="V48:AB48"/>
    <mergeCell ref="S63:U63"/>
    <mergeCell ref="C7:E9"/>
    <mergeCell ref="M45:N45"/>
    <mergeCell ref="X86:Z86"/>
    <mergeCell ref="X14:AH16"/>
    <mergeCell ref="K67:N67"/>
    <mergeCell ref="A75:B87"/>
    <mergeCell ref="O83:Q83"/>
    <mergeCell ref="A12:S12"/>
    <mergeCell ref="N8:O9"/>
    <mergeCell ref="AC60:AC62"/>
    <mergeCell ref="AF10:AH10"/>
    <mergeCell ref="X51:X53"/>
    <mergeCell ref="S17:U19"/>
    <mergeCell ref="AE90:AH91"/>
    <mergeCell ref="Q52:R52"/>
    <mergeCell ref="N51:O51"/>
    <mergeCell ref="AC42:AE42"/>
    <mergeCell ref="V61:AB61"/>
    <mergeCell ref="V70:AA70"/>
    <mergeCell ref="Z35:AB35"/>
    <mergeCell ref="J60:J62"/>
    <mergeCell ref="O64:R65"/>
    <mergeCell ref="U55:W55"/>
    <mergeCell ref="Y24:AH24"/>
    <mergeCell ref="F30:I30"/>
    <mergeCell ref="C36:J36"/>
    <mergeCell ref="L77:N77"/>
    <mergeCell ref="Z36:AB36"/>
    <mergeCell ref="W40:Y40"/>
    <mergeCell ref="C25:L25"/>
    <mergeCell ref="A34:B43"/>
    <mergeCell ref="N37:P37"/>
    <mergeCell ref="W35:Y35"/>
    <mergeCell ref="M49:M50"/>
    <mergeCell ref="O49:O50"/>
    <mergeCell ref="P13:S13"/>
    <mergeCell ref="Q10:S10"/>
    <mergeCell ref="O68:O71"/>
    <mergeCell ref="F4:AH4"/>
    <mergeCell ref="U2:X3"/>
    <mergeCell ref="J48:J50"/>
    <mergeCell ref="C5:E6"/>
    <mergeCell ref="A13:B25"/>
    <mergeCell ref="J14:M16"/>
    <mergeCell ref="C70:C71"/>
    <mergeCell ref="D64:I66"/>
    <mergeCell ref="F7:I7"/>
    <mergeCell ref="AA63:AH63"/>
    <mergeCell ref="N89:AB89"/>
    <mergeCell ref="Y21:AH21"/>
    <mergeCell ref="T13:X13"/>
    <mergeCell ref="D63:I63"/>
    <mergeCell ref="R61:R62"/>
    <mergeCell ref="K92:AH92"/>
    <mergeCell ref="K89:M89"/>
    <mergeCell ref="AC37:AE37"/>
    <mergeCell ref="L61:L62"/>
    <mergeCell ref="N85:AH85"/>
    <mergeCell ref="K54:M56"/>
    <mergeCell ref="C4:E4"/>
    <mergeCell ref="K88:M88"/>
    <mergeCell ref="K90:M90"/>
    <mergeCell ref="AG1:AH1"/>
    <mergeCell ref="W41:Y41"/>
    <mergeCell ref="C31:E33"/>
    <mergeCell ref="K42:M42"/>
    <mergeCell ref="P31:Q33"/>
    <mergeCell ref="P68:T71"/>
    <mergeCell ref="P78:R78"/>
    <mergeCell ref="K37:M37"/>
    <mergeCell ref="K34:P34"/>
    <mergeCell ref="L49:L50"/>
    <mergeCell ref="N49:N50"/>
    <mergeCell ref="Y12:Z12"/>
    <mergeCell ref="F26:I26"/>
    <mergeCell ref="AA12:AB12"/>
    <mergeCell ref="C21:L21"/>
    <mergeCell ref="V69:AA69"/>
    <mergeCell ref="D51:I59"/>
    <mergeCell ref="T67:X67"/>
    <mergeCell ref="N86:U86"/>
    <mergeCell ref="C23:L23"/>
    <mergeCell ref="C48:C50"/>
    <mergeCell ref="T49:U49"/>
    <mergeCell ref="W64:Z65"/>
    <mergeCell ref="AC39:AH39"/>
    <mergeCell ref="AF77:AH78"/>
    <mergeCell ref="B2:F2"/>
    <mergeCell ref="AD60:AH62"/>
    <mergeCell ref="AC40:AE40"/>
    <mergeCell ref="T50:U50"/>
    <mergeCell ref="K57:M59"/>
    <mergeCell ref="P54:P56"/>
    <mergeCell ref="K61:K62"/>
    <mergeCell ref="D67:I67"/>
    <mergeCell ref="T37:V37"/>
    <mergeCell ref="M61:M62"/>
    <mergeCell ref="AC41:AE41"/>
    <mergeCell ref="AB51:AH53"/>
    <mergeCell ref="AC70:AH70"/>
    <mergeCell ref="N91:AB91"/>
    <mergeCell ref="B90:I91"/>
    <mergeCell ref="Q42:S42"/>
    <mergeCell ref="C38:J38"/>
    <mergeCell ref="Z1:AA1"/>
    <mergeCell ref="J88:J89"/>
    <mergeCell ref="P57:P59"/>
    <mergeCell ref="X78:Z78"/>
    <mergeCell ref="X31:AH33"/>
    <mergeCell ref="T30:X30"/>
    <mergeCell ref="F5:AH6"/>
    <mergeCell ref="A88:A89"/>
    <mergeCell ref="M22:X22"/>
    <mergeCell ref="AA44:AB46"/>
    <mergeCell ref="A90:A91"/>
    <mergeCell ref="K86:M86"/>
    <mergeCell ref="K75:AH75"/>
    <mergeCell ref="AD48:AH50"/>
    <mergeCell ref="A44:J44"/>
    <mergeCell ref="T40:V40"/>
    <mergeCell ref="Q34:V34"/>
    <mergeCell ref="Z67:AH67"/>
    <mergeCell ref="W44:Z46"/>
    <mergeCell ref="P26:S26"/>
    <mergeCell ref="AC44:AH46"/>
    <mergeCell ref="K39:P39"/>
    <mergeCell ref="C24:L24"/>
    <mergeCell ref="AF2:AF3"/>
    <mergeCell ref="AH2:AH3"/>
    <mergeCell ref="C13:E13"/>
    <mergeCell ref="J7:N7"/>
    <mergeCell ref="C64:C66"/>
    <mergeCell ref="N36:P36"/>
    <mergeCell ref="T10:W10"/>
    <mergeCell ref="AF86:AH86"/>
    <mergeCell ref="K35:M35"/>
    <mergeCell ref="Y25:AH25"/>
    <mergeCell ref="E85:J86"/>
    <mergeCell ref="D68:I71"/>
    <mergeCell ref="X54:X56"/>
    <mergeCell ref="N54:O54"/>
    <mergeCell ref="D75:I75"/>
    <mergeCell ref="P7:AH9"/>
    <mergeCell ref="N13:O16"/>
    <mergeCell ref="J31:M33"/>
    <mergeCell ref="O66:R66"/>
    <mergeCell ref="C51:C59"/>
    <mergeCell ref="AF41:AH41"/>
    <mergeCell ref="C41:J41"/>
    <mergeCell ref="AF35:AH35"/>
    <mergeCell ref="X10:Z10"/>
    <mergeCell ref="U12:V12"/>
    <mergeCell ref="AB10:AD10"/>
    <mergeCell ref="W12:X12"/>
    <mergeCell ref="Q61:Q62"/>
    <mergeCell ref="C43:J43"/>
    <mergeCell ref="AF36:AH36"/>
    <mergeCell ref="C30:E30"/>
    <mergeCell ref="T77:V77"/>
    <mergeCell ref="X57:X59"/>
    <mergeCell ref="S48:S50"/>
    <mergeCell ref="T35:V35"/>
    <mergeCell ref="K64:N65"/>
    <mergeCell ref="Q39:V39"/>
    <mergeCell ref="S51:T53"/>
    <mergeCell ref="K41:M41"/>
    <mergeCell ref="Q40:S40"/>
    <mergeCell ref="AE2:AE3"/>
    <mergeCell ref="AG2:AG3"/>
    <mergeCell ref="AC69:AH69"/>
    <mergeCell ref="Y2:Y3"/>
    <mergeCell ref="M25:X25"/>
    <mergeCell ref="Q58:R58"/>
    <mergeCell ref="A92:J92"/>
    <mergeCell ref="AE88:AH89"/>
    <mergeCell ref="Q2:S2"/>
    <mergeCell ref="A45:J45"/>
    <mergeCell ref="J13:M13"/>
    <mergeCell ref="C82:D87"/>
    <mergeCell ref="P79:AH81"/>
    <mergeCell ref="N57:O57"/>
    <mergeCell ref="F10:H10"/>
    <mergeCell ref="A46:J46"/>
    <mergeCell ref="D80:I80"/>
    <mergeCell ref="C42:J42"/>
    <mergeCell ref="L83:N83"/>
    <mergeCell ref="J68:J71"/>
    <mergeCell ref="Y58:Z58"/>
    <mergeCell ref="Q44:V46"/>
    <mergeCell ref="AB77:AD77"/>
    <mergeCell ref="Q55:R55"/>
    <mergeCell ref="N61:N62"/>
    <mergeCell ref="M21:X21"/>
    <mergeCell ref="P61:P62"/>
    <mergeCell ref="V62:AB62"/>
    <mergeCell ref="AC48:AC50"/>
    <mergeCell ref="AD83:AG83"/>
    <mergeCell ref="Q41:S41"/>
    <mergeCell ref="W38:AB38"/>
    <mergeCell ref="T61:U61"/>
    <mergeCell ref="J30:M30"/>
    <mergeCell ref="A4:B11"/>
    <mergeCell ref="Y22:AH22"/>
    <mergeCell ref="W36:Y36"/>
    <mergeCell ref="AB1:AD1"/>
    <mergeCell ref="F31:I33"/>
    <mergeCell ref="L71:N71"/>
    <mergeCell ref="AA66:AD66"/>
    <mergeCell ref="K76:AH76"/>
    <mergeCell ref="V50:AB50"/>
    <mergeCell ref="AC12:AD12"/>
    <mergeCell ref="O79:O81"/>
    <mergeCell ref="AE12:AF12"/>
    <mergeCell ref="Z42:AB42"/>
    <mergeCell ref="N2:O2"/>
    <mergeCell ref="N88:AB88"/>
    <mergeCell ref="P27:Q29"/>
    <mergeCell ref="N17:R17"/>
    <mergeCell ref="AB54:AH56"/>
    <mergeCell ref="M23:X23"/>
    <mergeCell ref="N90:AB90"/>
    <mergeCell ref="J51:J59"/>
    <mergeCell ref="S64:V65"/>
    <mergeCell ref="N19:R19"/>
    <mergeCell ref="D60:I62"/>
    <mergeCell ref="K87:AH87"/>
    <mergeCell ref="C68:C69"/>
    <mergeCell ref="K68:K71"/>
    <mergeCell ref="N55:O55"/>
    <mergeCell ref="K91:M91"/>
    <mergeCell ref="A47:J47"/>
    <mergeCell ref="K85:M85"/>
    <mergeCell ref="F11:J11"/>
    <mergeCell ref="M69:M70"/>
    <mergeCell ref="AE77:AE78"/>
    <mergeCell ref="AC35:AE35"/>
    <mergeCell ref="W43:AB43"/>
    <mergeCell ref="F14:I16"/>
    <mergeCell ref="L79:N79"/>
    <mergeCell ref="T41:V41"/>
    <mergeCell ref="C27:E29"/>
    <mergeCell ref="U52:W52"/>
    <mergeCell ref="N58:O58"/>
    <mergeCell ref="L81:N81"/>
    <mergeCell ref="W37:Y37"/>
    <mergeCell ref="T36:V36"/>
    <mergeCell ref="F8:H9"/>
    <mergeCell ref="P67:S67"/>
    <mergeCell ref="J26:M26"/>
    <mergeCell ref="C60:C62"/>
    <mergeCell ref="K49:K50"/>
    <mergeCell ref="B88:I89"/>
    <mergeCell ref="T48:U48"/>
    <mergeCell ref="M10:O10"/>
    <mergeCell ref="AB57:AH59"/>
    <mergeCell ref="AB86:AD86"/>
    <mergeCell ref="AC38:AH38"/>
    <mergeCell ref="A26:B33"/>
    <mergeCell ref="AC36:AE36"/>
    <mergeCell ref="O61:O62"/>
    <mergeCell ref="Z40:AB40"/>
    <mergeCell ref="S66:V66"/>
    <mergeCell ref="Q37:S37"/>
    <mergeCell ref="W66:Z66"/>
    <mergeCell ref="Z41:AB41"/>
    <mergeCell ref="S54:T56"/>
  </mergeCells>
  <dataValidations count="11">
    <dataValidation sqref="M10:O10 Q10:S10 X10:Z10 AB10:AD10 AF10:AH10" showDropDown="0" showInputMessage="1" showErrorMessage="1" allowBlank="1" error="全角数字で入力してください" imeMode="fullAlpha"/>
    <dataValidation sqref="K36:AH38 K41:AH43 K44:P46 Q44 AA44 AC44" showDropDown="0" showInputMessage="1" showErrorMessage="1" allowBlank="1" imeMode="halfAlpha"/>
    <dataValidation sqref="N52 N55 N58 U52:V52 U55:V55 U58:V58" showDropDown="0" showInputMessage="1" showErrorMessage="1" allowBlank="1" type="list">
      <formula1>"　,１,２,３,４,５,６,７,８,９,１０,１１,１２,１３,１４,１５,１６,１７,１８,１９,２０,２１,２２,２３,２４"</formula1>
    </dataValidation>
    <dataValidation sqref="K63 S63" showDropDown="0" showInputMessage="1" showErrorMessage="1" allowBlank="1" type="list" imeMode="fullAlpha">
      <formula1>"　,１,２,３,４,５,６,７,８,９,１０,１１,１２,１３,１４,１５,１６,１７,１８,１９,２０,２１,２２,２３,２４"</formula1>
    </dataValidation>
    <dataValidation sqref="K49:R50 K61:R62 K66 O66 S66 W66 AA66 AE66" showDropDown="0" showInputMessage="1" showErrorMessage="1" allowBlank="1" type="list">
      <formula1>"　,○"</formula1>
    </dataValidation>
    <dataValidation sqref="AB68:AH68 AB71:AH74" showDropDown="0" showInputMessage="1" showErrorMessage="1" allowBlank="1" type="list">
      <formula1>"　,サービス提供責任者,事務職員,サービス提供責任者、事務職員"</formula1>
    </dataValidation>
    <dataValidation sqref="V69:AA70 AC69:AH70" showDropDown="0" showInputMessage="1" showErrorMessage="1" allowBlank="1" error="このサービスの組み合わせは、多機能型では選択できません" type="list">
      <formula1>"　,児童デイサービス,自立訓練(生活訓練),自立訓練(機能訓練),就労移行支援,就労継続支援(A型),就労継続支援(B型)"</formula1>
    </dataValidation>
    <dataValidation sqref="I10:K10 J7:N7 K67:N67 O63:P63 T13:X13 T26:X26 T30:X30 T67:X67 U12:V12 W44 W63:X63 X86 Y2:AH3 Y12:Z12 Z63:AA63 AB86:AD86 AC12:AD12 AF86" showDropDown="0" showInputMessage="1" showErrorMessage="1" allowBlank="1" imeMode="fullAlpha"/>
    <dataValidation sqref="F4:AH4 F13:M13 F26:M26 F30:M30 J88 J90 N88 N90 AE88 AE90" showDropDown="0" showInputMessage="1" showErrorMessage="1" allowBlank="1" imeMode="halfKatakana"/>
    <dataValidation sqref="K75:AH75" showDropDown="0" showInputMessage="1" showErrorMessage="1" allowBlank="1" type="list" errorStyle="warning">
      <formula1>"　,法定代理受領分：厚生労働大臣が定める基準の10/100、法定代理受領分以外：厚生労働大臣が定める基準"</formula1>
    </dataValidation>
    <dataValidation sqref="K76:AH76" showDropDown="0" showInputMessage="1" showErrorMessage="1" allowBlank="1" type="list">
      <formula1>"　,運営規程に定めるとおり"</formula1>
    </dataValidation>
  </dataValidations>
  <printOptions horizontalCentered="1"/>
  <pageMargins left="0.7086614173228347" right="0.5905511811023623" top="0.6692913385826772" bottom="0.3937007874015748" header="0.5905511811023623" footer="0.5118110236220472"/>
  <pageSetup orientation="portrait" paperSize="9" scale="96"/>
  <rowBreaks count="1" manualBreakCount="1">
    <brk id="74" min="0" max="33" man="1"/>
  </rowBreaks>
  <legacyDrawing xmlns:r="http://schemas.openxmlformats.org/officeDocument/2006/relationships" r:id="anysvml"/>
</worksheet>
</file>

<file path=xl/worksheets/sheet14.xml><?xml version="1.0" encoding="utf-8"?>
<worksheet xmlns="http://schemas.openxmlformats.org/spreadsheetml/2006/main">
  <sheetPr codeName="Sheet13">
    <outlinePr summaryBelow="1" summaryRight="1"/>
    <pageSetUpPr/>
  </sheetPr>
  <dimension ref="A1:AN92"/>
  <sheetViews>
    <sheetView showGridLines="0" view="pageBreakPreview" topLeftCell="A34"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7.1" customHeight="1" s="4080" thickBot="1">
      <c r="A1" s="1213" t="inlineStr">
        <is>
          <t>付表９　就労継続支援事業所の指定に係る記載事項</t>
        </is>
      </c>
      <c r="Z1" s="1753" t="n"/>
      <c r="AA1" s="4087" t="n"/>
      <c r="AB1" s="1754" t="n"/>
      <c r="AC1" s="4087" t="n"/>
      <c r="AD1" s="4087" t="n"/>
      <c r="AE1" s="1753" t="n"/>
      <c r="AF1" s="4087" t="n"/>
      <c r="AG1" s="1755" t="n"/>
      <c r="AH1" s="4087" t="n"/>
      <c r="AN1" s="719">
        <f>HYPERLINK("#目次!A1","目次へ戻る")</f>
        <v/>
      </c>
    </row>
    <row r="2" ht="15" customHeight="1" s="4080">
      <c r="A2" s="45" t="inlineStr">
        <is>
          <t>（</t>
        </is>
      </c>
      <c r="B2" s="1889" t="inlineStr">
        <is>
          <t>Ａ型（雇用型）</t>
        </is>
      </c>
      <c r="G2" s="2069" t="inlineStr">
        <is>
          <t>・</t>
        </is>
      </c>
      <c r="H2" s="1889" t="inlineStr">
        <is>
          <t>Ｂ型（非雇用型）</t>
        </is>
      </c>
      <c r="M2" s="1667" t="inlineStr">
        <is>
          <t>）（</t>
        </is>
      </c>
      <c r="N2" s="1889" t="inlineStr">
        <is>
          <t>単独</t>
        </is>
      </c>
      <c r="P2" s="2069" t="inlineStr">
        <is>
          <t>・</t>
        </is>
      </c>
      <c r="Q2" s="1889" t="inlineStr">
        <is>
          <t>多機能</t>
        </is>
      </c>
      <c r="T2" s="1667" t="inlineStr">
        <is>
          <t>）</t>
        </is>
      </c>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4179" t="inlineStr">
        <is>
          <t>事業所</t>
        </is>
      </c>
      <c r="B4" s="4082"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C5" s="4181" t="inlineStr">
        <is>
          <t>名　称</t>
        </is>
      </c>
      <c r="D5" s="4098" t="n"/>
      <c r="E5" s="4099" t="n"/>
      <c r="F5" s="4182"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C7" s="4181" t="inlineStr">
        <is>
          <t>所在地</t>
        </is>
      </c>
      <c r="D7" s="4098" t="n"/>
      <c r="E7" s="4099" t="n"/>
      <c r="F7" s="1244" t="inlineStr">
        <is>
          <t>郵便番号（</t>
        </is>
      </c>
      <c r="G7" s="4098" t="n"/>
      <c r="H7" s="4098" t="n"/>
      <c r="I7" s="4098" t="n"/>
      <c r="J7" s="1287" t="n"/>
      <c r="K7" s="4098" t="n"/>
      <c r="L7" s="4098" t="n"/>
      <c r="M7" s="4098" t="n"/>
      <c r="N7" s="4098" t="n"/>
      <c r="O7" s="1329" t="inlineStr">
        <is>
          <t>）</t>
        </is>
      </c>
      <c r="P7" s="4311"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986" t="n"/>
      <c r="N8" s="1260" t="inlineStr">
        <is>
          <t>区</t>
        </is>
      </c>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882" t="n"/>
      <c r="J10" s="4110" t="n"/>
      <c r="K10" s="4110" t="n"/>
      <c r="L10" s="53" t="inlineStr">
        <is>
          <t>－</t>
        </is>
      </c>
      <c r="M10" s="920" t="n"/>
      <c r="N10" s="4110" t="n"/>
      <c r="O10" s="4110" t="n"/>
      <c r="P10" s="53" t="inlineStr">
        <is>
          <t>－</t>
        </is>
      </c>
      <c r="Q10" s="878" t="n"/>
      <c r="R10" s="4110" t="n"/>
      <c r="S10" s="4111" t="n"/>
      <c r="T10" s="4184" t="inlineStr">
        <is>
          <t>ＦＡＸ番号</t>
        </is>
      </c>
      <c r="U10" s="4110" t="n"/>
      <c r="V10" s="4110" t="n"/>
      <c r="W10" s="4111" t="n"/>
      <c r="X10" s="882" t="n"/>
      <c r="Y10" s="4110" t="n"/>
      <c r="Z10" s="4110" t="n"/>
      <c r="AA10" s="53" t="inlineStr">
        <is>
          <t>－</t>
        </is>
      </c>
      <c r="AB10" s="920" t="n"/>
      <c r="AC10" s="4110" t="n"/>
      <c r="AD10" s="4110" t="n"/>
      <c r="AE10" s="53" t="inlineStr">
        <is>
          <t>－</t>
        </is>
      </c>
      <c r="AF10" s="955" t="n"/>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18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20" t="n"/>
      <c r="V12" s="4110" t="n"/>
      <c r="W12" s="1264" t="inlineStr">
        <is>
          <t>条第</t>
        </is>
      </c>
      <c r="X12" s="4110" t="n"/>
      <c r="Y12" s="920" t="n"/>
      <c r="Z12" s="4110" t="n"/>
      <c r="AA12" s="1264" t="inlineStr">
        <is>
          <t>項第</t>
        </is>
      </c>
      <c r="AB12" s="4110" t="n"/>
      <c r="AC12" s="920" t="n"/>
      <c r="AD12" s="4110" t="n"/>
      <c r="AE12" s="1264" t="inlineStr">
        <is>
          <t>号（</t>
        </is>
      </c>
      <c r="AF12" s="4110" t="n"/>
      <c r="AG12" s="920" t="n"/>
      <c r="AH12" s="2827" t="inlineStr">
        <is>
          <t>）</t>
        </is>
      </c>
    </row>
    <row r="13" ht="12" customHeight="1" s="4080">
      <c r="A13" s="4188" t="inlineStr">
        <is>
          <t>管　　理　　者</t>
        </is>
      </c>
      <c r="B13" s="4099" t="n"/>
      <c r="C13" s="4184" t="inlineStr">
        <is>
          <t>ﾌﾘｶﾞﾅ</t>
        </is>
      </c>
      <c r="D13" s="4110" t="n"/>
      <c r="E13" s="4111" t="n"/>
      <c r="F13" s="1278" t="n"/>
      <c r="G13" s="4110" t="n"/>
      <c r="H13" s="4110" t="n"/>
      <c r="I13" s="4189" t="n"/>
      <c r="J13" s="1279" t="n"/>
      <c r="K13" s="4110" t="n"/>
      <c r="L13" s="4110" t="n"/>
      <c r="M13" s="4189" t="n"/>
      <c r="N13" s="4185" t="inlineStr">
        <is>
          <t>住所</t>
        </is>
      </c>
      <c r="O13" s="4099" t="n"/>
      <c r="P13" s="1244" t="inlineStr">
        <is>
          <t>郵便番号（</t>
        </is>
      </c>
      <c r="Q13" s="4098" t="n"/>
      <c r="R13" s="4098" t="n"/>
      <c r="S13" s="4098" t="n"/>
      <c r="T13" s="1287" t="n"/>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278" t="n"/>
      <c r="G14" s="4098" t="n"/>
      <c r="H14" s="4098" t="n"/>
      <c r="I14" s="4190" t="n"/>
      <c r="J14" s="1279" t="n"/>
      <c r="K14" s="4098" t="n"/>
      <c r="L14" s="4098" t="n"/>
      <c r="M14" s="4190" t="n"/>
      <c r="N14" s="4106" t="n"/>
      <c r="O14" s="4107" t="n"/>
      <c r="P14" s="1319" t="n"/>
      <c r="R14" s="2378" t="inlineStr">
        <is>
          <t>都</t>
        </is>
      </c>
      <c r="S14" s="2378" t="inlineStr">
        <is>
          <t>道</t>
        </is>
      </c>
      <c r="T14" s="1319" t="n"/>
      <c r="W14" s="2378" t="inlineStr">
        <is>
          <t>郡</t>
        </is>
      </c>
      <c r="X14" s="1321" t="n"/>
      <c r="AH14" s="4109" t="n"/>
    </row>
    <row r="15" ht="12" customHeight="1" s="4080">
      <c r="A15" s="4097" t="n"/>
      <c r="B15" s="4107" t="n"/>
      <c r="C15" s="4106" t="n"/>
      <c r="E15" s="4107" t="n"/>
      <c r="F15" s="4106" t="n"/>
      <c r="I15" s="4191" t="n"/>
      <c r="J15" s="4192" t="n"/>
      <c r="M15" s="4191" t="n"/>
      <c r="N15" s="4106" t="n"/>
      <c r="O15" s="4107" t="n"/>
      <c r="R15" s="2378" t="inlineStr">
        <is>
          <t>府</t>
        </is>
      </c>
      <c r="S15" s="2378" t="inlineStr">
        <is>
          <t>県</t>
        </is>
      </c>
      <c r="W15" s="2378"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3"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1325" t="inlineStr">
        <is>
          <t>無</t>
        </is>
      </c>
      <c r="R18" s="1332" t="n"/>
      <c r="S18" s="4106" t="n"/>
      <c r="U18" s="4107" t="n"/>
      <c r="V18" s="4312"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7.25" customHeight="1" s="4080">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Height="1" s="4080">
      <c r="A21" s="4097" t="n"/>
      <c r="B21" s="4107" t="n"/>
      <c r="C21" s="1303" t="inlineStr">
        <is>
          <t>事　業　所　名</t>
        </is>
      </c>
      <c r="D21" s="4138" t="n"/>
      <c r="E21" s="4138" t="n"/>
      <c r="F21" s="4138" t="n"/>
      <c r="G21" s="4138" t="n"/>
      <c r="H21" s="4138" t="n"/>
      <c r="I21" s="4138" t="n"/>
      <c r="J21" s="4138" t="n"/>
      <c r="K21" s="4138" t="n"/>
      <c r="L21" s="4198" t="n"/>
      <c r="M21" s="1304" t="inlineStr">
        <is>
          <t>サービス種別</t>
        </is>
      </c>
      <c r="N21" s="4138" t="n"/>
      <c r="O21" s="4138" t="n"/>
      <c r="P21" s="4138" t="n"/>
      <c r="Q21" s="4138" t="n"/>
      <c r="R21" s="4138" t="n"/>
      <c r="S21" s="4138" t="n"/>
      <c r="T21" s="4138" t="n"/>
      <c r="U21" s="4138" t="n"/>
      <c r="V21" s="4138" t="n"/>
      <c r="W21" s="4138" t="n"/>
      <c r="X21" s="4198" t="n"/>
      <c r="Y21" s="1641" t="inlineStr">
        <is>
          <t>職　　　種</t>
        </is>
      </c>
      <c r="Z21" s="4138" t="n"/>
      <c r="AA21" s="4138" t="n"/>
      <c r="AB21" s="4138" t="n"/>
      <c r="AC21" s="4138" t="n"/>
      <c r="AD21" s="4138" t="n"/>
      <c r="AE21" s="4138" t="n"/>
      <c r="AF21" s="4138" t="n"/>
      <c r="AG21" s="4138" t="n"/>
      <c r="AH21" s="4198" t="n"/>
    </row>
    <row r="22" ht="15" customHeight="1" s="4080">
      <c r="A22" s="4097" t="n"/>
      <c r="B22" s="4107" t="n"/>
      <c r="C22" s="1347" t="n"/>
      <c r="D22" s="4098" t="n"/>
      <c r="E22" s="4098" t="n"/>
      <c r="F22" s="4098" t="n"/>
      <c r="G22" s="4098" t="n"/>
      <c r="H22" s="4098" t="n"/>
      <c r="I22" s="4098" t="n"/>
      <c r="J22" s="4098" t="n"/>
      <c r="K22" s="4098" t="n"/>
      <c r="L22" s="4190" t="n"/>
      <c r="M22" s="1348" t="n"/>
      <c r="N22" s="4098" t="n"/>
      <c r="O22" s="4098" t="n"/>
      <c r="P22" s="4098" t="n"/>
      <c r="Q22" s="4098" t="n"/>
      <c r="R22" s="4098" t="n"/>
      <c r="S22" s="4098" t="n"/>
      <c r="T22" s="4098" t="n"/>
      <c r="U22" s="4098" t="n"/>
      <c r="V22" s="4098" t="n"/>
      <c r="W22" s="4098" t="n"/>
      <c r="X22" s="4190" t="n"/>
      <c r="Y22" s="1349" t="n"/>
      <c r="Z22" s="4098" t="n"/>
      <c r="AA22" s="4098" t="n"/>
      <c r="AB22" s="4098" t="n"/>
      <c r="AC22" s="4098" t="n"/>
      <c r="AD22" s="4098" t="n"/>
      <c r="AE22" s="4098" t="n"/>
      <c r="AF22" s="4098" t="n"/>
      <c r="AG22" s="4098" t="n"/>
      <c r="AH22" s="4190" t="n"/>
    </row>
    <row r="23" ht="15" customHeight="1" s="4080">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1" t="n"/>
      <c r="Z23" s="4199" t="n"/>
      <c r="AA23" s="4199" t="n"/>
      <c r="AB23" s="4199" t="n"/>
      <c r="AC23" s="4199" t="n"/>
      <c r="AD23" s="4199" t="n"/>
      <c r="AE23" s="4199" t="n"/>
      <c r="AF23" s="4199" t="n"/>
      <c r="AG23" s="4199" t="n"/>
      <c r="AH23" s="4200" t="n"/>
    </row>
    <row r="24" ht="15" customHeight="1" s="4080">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1" t="n"/>
      <c r="Z24" s="4199" t="n"/>
      <c r="AA24" s="4199" t="n"/>
      <c r="AB24" s="4199" t="n"/>
      <c r="AC24" s="4199" t="n"/>
      <c r="AD24" s="4199" t="n"/>
      <c r="AE24" s="4199" t="n"/>
      <c r="AF24" s="4199" t="n"/>
      <c r="AG24" s="4199" t="n"/>
      <c r="AH24" s="4200" t="n"/>
    </row>
    <row r="25" ht="15" customHeight="1" s="4080">
      <c r="A25" s="4097" t="n"/>
      <c r="B25" s="4107" t="n"/>
      <c r="C25" s="1343" t="n"/>
      <c r="D25" s="4146" t="n"/>
      <c r="E25" s="4146" t="n"/>
      <c r="F25" s="4146" t="n"/>
      <c r="G25" s="4146" t="n"/>
      <c r="H25" s="4146" t="n"/>
      <c r="I25" s="4146" t="n"/>
      <c r="J25" s="4146" t="n"/>
      <c r="K25" s="4146" t="n"/>
      <c r="L25" s="4201" t="n"/>
      <c r="M25" s="1344" t="n"/>
      <c r="N25" s="4146" t="n"/>
      <c r="O25" s="4146" t="n"/>
      <c r="P25" s="4146" t="n"/>
      <c r="Q25" s="4146" t="n"/>
      <c r="R25" s="4146" t="n"/>
      <c r="S25" s="4146" t="n"/>
      <c r="T25" s="4146" t="n"/>
      <c r="U25" s="4146" t="n"/>
      <c r="V25" s="4146" t="n"/>
      <c r="W25" s="4146" t="n"/>
      <c r="X25" s="4201" t="n"/>
      <c r="Y25" s="1345" t="n"/>
      <c r="Z25" s="4146" t="n"/>
      <c r="AA25" s="4146" t="n"/>
      <c r="AB25" s="4146" t="n"/>
      <c r="AC25" s="4146" t="n"/>
      <c r="AD25" s="4146" t="n"/>
      <c r="AE25" s="4146" t="n"/>
      <c r="AF25" s="4146" t="n"/>
      <c r="AG25" s="4146" t="n"/>
      <c r="AH25" s="4201" t="n"/>
    </row>
    <row r="26" ht="12" customHeight="1" s="4080">
      <c r="A26" s="4361" t="inlineStr">
        <is>
          <t>サービス管理
責任者</t>
        </is>
      </c>
      <c r="B26" s="4099" t="n"/>
      <c r="C26" s="4184" t="inlineStr">
        <is>
          <t>ﾌﾘｶﾞﾅ</t>
        </is>
      </c>
      <c r="D26" s="4110" t="n"/>
      <c r="E26" s="4111" t="n"/>
      <c r="F26" s="4203" t="n"/>
      <c r="G26" s="4110" t="n"/>
      <c r="H26" s="4110" t="n"/>
      <c r="I26" s="4204" t="n"/>
      <c r="J26" s="4205" t="n"/>
      <c r="K26" s="4110" t="n"/>
      <c r="L26" s="4110" t="n"/>
      <c r="M26" s="4111" t="n"/>
      <c r="N26" s="2164" t="inlineStr">
        <is>
          <t>住所</t>
        </is>
      </c>
      <c r="O26" s="4099" t="n"/>
      <c r="P26" s="1244" t="inlineStr">
        <is>
          <t>郵便番号（</t>
        </is>
      </c>
      <c r="Q26" s="4098" t="n"/>
      <c r="R26" s="4098" t="n"/>
      <c r="S26" s="4098" t="n"/>
      <c r="T26" s="1287" t="n"/>
      <c r="U26" s="4098" t="n"/>
      <c r="V26" s="4098" t="n"/>
      <c r="W26" s="4098" t="n"/>
      <c r="X26" s="4098" t="n"/>
      <c r="Y26" s="1329" t="inlineStr">
        <is>
          <t>）</t>
        </is>
      </c>
      <c r="Z26" s="1017" t="n"/>
      <c r="AA26" s="1017" t="n"/>
      <c r="AB26" s="1017" t="n"/>
      <c r="AC26" s="1017" t="n"/>
      <c r="AD26" s="1017" t="n"/>
      <c r="AE26" s="120" t="n"/>
      <c r="AF26" s="119" t="n"/>
      <c r="AG26" s="119" t="n"/>
      <c r="AH26" s="118" t="n"/>
    </row>
    <row r="27" ht="12" customHeight="1" s="4080">
      <c r="A27" s="4097" t="n"/>
      <c r="B27" s="4107" t="n"/>
      <c r="C27" s="4209" t="inlineStr">
        <is>
          <t>氏　　名</t>
        </is>
      </c>
      <c r="D27" s="4098" t="n"/>
      <c r="E27" s="4099" t="n"/>
      <c r="F27" s="4203" t="n"/>
      <c r="G27" s="4098" t="n"/>
      <c r="H27" s="4098" t="n"/>
      <c r="I27" s="4210" t="n"/>
      <c r="J27" s="4205" t="n"/>
      <c r="K27" s="4098" t="n"/>
      <c r="L27" s="4098" t="n"/>
      <c r="M27" s="4099" t="n"/>
      <c r="N27" s="4106" t="n"/>
      <c r="O27" s="4107" t="n"/>
      <c r="P27" s="1318" t="n"/>
      <c r="R27" s="2378" t="inlineStr">
        <is>
          <t>都</t>
        </is>
      </c>
      <c r="S27" s="2378" t="inlineStr">
        <is>
          <t>道</t>
        </is>
      </c>
      <c r="T27" s="1389" t="n"/>
      <c r="W27" s="2378" t="inlineStr">
        <is>
          <t>郡</t>
        </is>
      </c>
      <c r="X27" s="1686" t="n"/>
      <c r="AH27" s="4109" t="n"/>
    </row>
    <row r="28" ht="12" customHeight="1" s="4080">
      <c r="A28" s="4097" t="n"/>
      <c r="B28" s="4107" t="n"/>
      <c r="C28" s="4106" t="n"/>
      <c r="E28" s="4107" t="n"/>
      <c r="F28" s="4106" t="n"/>
      <c r="I28" s="4212" t="n"/>
      <c r="J28" s="4213" t="n"/>
      <c r="M28" s="4107" t="n"/>
      <c r="N28" s="4106" t="n"/>
      <c r="O28" s="4107" t="n"/>
      <c r="P28" s="4106" t="n"/>
      <c r="R28" s="2378" t="inlineStr">
        <is>
          <t>府</t>
        </is>
      </c>
      <c r="S28" s="2378" t="inlineStr">
        <is>
          <t>県</t>
        </is>
      </c>
      <c r="W28" s="2378" t="inlineStr">
        <is>
          <t>市</t>
        </is>
      </c>
      <c r="AH28" s="4109" t="n"/>
    </row>
    <row r="29" ht="3" customHeight="1" s="4080">
      <c r="A29" s="4097" t="n"/>
      <c r="B29" s="4107" t="n"/>
      <c r="C29" s="4102" t="n"/>
      <c r="D29" s="4103" t="n"/>
      <c r="E29" s="4104" t="n"/>
      <c r="F29" s="4102" t="n"/>
      <c r="G29" s="4103" t="n"/>
      <c r="H29" s="4103" t="n"/>
      <c r="I29" s="4215" t="n"/>
      <c r="J29" s="4216" t="n"/>
      <c r="K29" s="4103" t="n"/>
      <c r="L29" s="4103" t="n"/>
      <c r="M29" s="4104" t="n"/>
      <c r="N29" s="4102" t="n"/>
      <c r="O29" s="4104" t="n"/>
      <c r="P29" s="4102" t="n"/>
      <c r="Q29" s="4103" t="n"/>
      <c r="R29" s="2378" t="n"/>
      <c r="S29" s="2378" t="n"/>
      <c r="T29" s="4103" t="n"/>
      <c r="U29" s="4103" t="n"/>
      <c r="V29" s="4103" t="n"/>
      <c r="W29" s="63" t="n"/>
      <c r="X29" s="4103" t="n"/>
      <c r="Y29" s="4103" t="n"/>
      <c r="Z29" s="4103" t="n"/>
      <c r="AA29" s="4103" t="n"/>
      <c r="AB29" s="4103" t="n"/>
      <c r="AC29" s="4103" t="n"/>
      <c r="AD29" s="4103" t="n"/>
      <c r="AE29" s="4103" t="n"/>
      <c r="AF29" s="4103" t="n"/>
      <c r="AG29" s="4103" t="n"/>
      <c r="AH29" s="4105" t="n"/>
    </row>
    <row r="30" ht="12" customHeight="1" s="4080">
      <c r="A30" s="4097" t="n"/>
      <c r="B30" s="4107" t="n"/>
      <c r="C30" s="4184" t="inlineStr">
        <is>
          <t>ﾌﾘｶﾞﾅ</t>
        </is>
      </c>
      <c r="D30" s="4110" t="n"/>
      <c r="E30" s="4111" t="n"/>
      <c r="F30" s="4203" t="n"/>
      <c r="G30" s="4110" t="n"/>
      <c r="H30" s="4110" t="n"/>
      <c r="I30" s="4204" t="n"/>
      <c r="J30" s="4205" t="n"/>
      <c r="K30" s="4110" t="n"/>
      <c r="L30" s="4110" t="n"/>
      <c r="M30" s="4111" t="n"/>
      <c r="N30" s="2164" t="inlineStr">
        <is>
          <t>住所</t>
        </is>
      </c>
      <c r="O30" s="4099" t="n"/>
      <c r="P30" s="1244" t="inlineStr">
        <is>
          <t>郵便番号（</t>
        </is>
      </c>
      <c r="Q30" s="4098" t="n"/>
      <c r="R30" s="4098" t="n"/>
      <c r="S30" s="4098" t="n"/>
      <c r="T30" s="1287" t="n"/>
      <c r="U30" s="4098" t="n"/>
      <c r="V30" s="4098" t="n"/>
      <c r="W30" s="4098" t="n"/>
      <c r="X30" s="4098" t="n"/>
      <c r="Y30" s="1329" t="inlineStr">
        <is>
          <t>）</t>
        </is>
      </c>
      <c r="Z30" s="1017" t="n"/>
      <c r="AA30" s="1017" t="n"/>
      <c r="AB30" s="1017" t="n"/>
      <c r="AC30" s="1017" t="n"/>
      <c r="AD30" s="1017" t="n"/>
      <c r="AE30" s="120" t="n"/>
      <c r="AF30" s="119" t="n"/>
      <c r="AG30" s="119" t="n"/>
      <c r="AH30" s="118" t="n"/>
    </row>
    <row r="31" ht="12" customHeight="1" s="4080">
      <c r="A31" s="4097" t="n"/>
      <c r="B31" s="4107" t="n"/>
      <c r="C31" s="4209" t="inlineStr">
        <is>
          <t>氏　　名</t>
        </is>
      </c>
      <c r="D31" s="4098" t="n"/>
      <c r="E31" s="4099" t="n"/>
      <c r="F31" s="4203" t="n"/>
      <c r="G31" s="4098" t="n"/>
      <c r="H31" s="4098" t="n"/>
      <c r="I31" s="4210" t="n"/>
      <c r="J31" s="4205" t="n"/>
      <c r="K31" s="4098" t="n"/>
      <c r="L31" s="4098" t="n"/>
      <c r="M31" s="4099" t="n"/>
      <c r="N31" s="4106" t="n"/>
      <c r="O31" s="4107" t="n"/>
      <c r="P31" s="1318" t="n"/>
      <c r="R31" s="2378" t="inlineStr">
        <is>
          <t>都</t>
        </is>
      </c>
      <c r="S31" s="2378" t="inlineStr">
        <is>
          <t>道</t>
        </is>
      </c>
      <c r="T31" s="1389" t="n"/>
      <c r="W31" s="1325" t="inlineStr">
        <is>
          <t>郡</t>
        </is>
      </c>
      <c r="X31" s="1686" t="n"/>
      <c r="AH31" s="4109" t="n"/>
    </row>
    <row r="32" ht="12" customHeight="1" s="4080">
      <c r="A32" s="4097" t="n"/>
      <c r="B32" s="4107" t="n"/>
      <c r="C32" s="4106" t="n"/>
      <c r="E32" s="4107" t="n"/>
      <c r="F32" s="4106" t="n"/>
      <c r="I32" s="4212" t="n"/>
      <c r="J32" s="4213" t="n"/>
      <c r="M32" s="4107" t="n"/>
      <c r="N32" s="4106" t="n"/>
      <c r="O32" s="4107" t="n"/>
      <c r="P32" s="4106" t="n"/>
      <c r="R32" s="2378" t="inlineStr">
        <is>
          <t>府</t>
        </is>
      </c>
      <c r="S32" s="2378" t="inlineStr">
        <is>
          <t>県</t>
        </is>
      </c>
      <c r="W32" s="2378" t="inlineStr">
        <is>
          <t>市</t>
        </is>
      </c>
      <c r="AH32" s="4109" t="n"/>
    </row>
    <row r="33" ht="3.75" customHeight="1" s="4080">
      <c r="A33" s="4114" t="n"/>
      <c r="B33" s="4104" t="n"/>
      <c r="C33" s="4102" t="n"/>
      <c r="D33" s="4103" t="n"/>
      <c r="E33" s="4104" t="n"/>
      <c r="F33" s="4102" t="n"/>
      <c r="G33" s="4103" t="n"/>
      <c r="H33" s="4103" t="n"/>
      <c r="I33" s="4215" t="n"/>
      <c r="J33" s="4216" t="n"/>
      <c r="K33" s="4103" t="n"/>
      <c r="L33" s="4103" t="n"/>
      <c r="M33" s="4104" t="n"/>
      <c r="N33" s="4102" t="n"/>
      <c r="O33" s="4104" t="n"/>
      <c r="P33" s="4102" t="n"/>
      <c r="Q33" s="4103" t="n"/>
      <c r="R33" s="2378" t="n"/>
      <c r="S33" s="2378" t="n"/>
      <c r="T33" s="4103" t="n"/>
      <c r="U33" s="4103" t="n"/>
      <c r="V33" s="4103" t="n"/>
      <c r="W33" s="63" t="n"/>
      <c r="X33" s="4103" t="n"/>
      <c r="Y33" s="4103" t="n"/>
      <c r="Z33" s="4103" t="n"/>
      <c r="AA33" s="4103" t="n"/>
      <c r="AB33" s="4103" t="n"/>
      <c r="AC33" s="4103" t="n"/>
      <c r="AD33" s="4103" t="n"/>
      <c r="AE33" s="4103" t="n"/>
      <c r="AF33" s="4103" t="n"/>
      <c r="AG33" s="4103" t="n"/>
      <c r="AH33" s="4105" t="n"/>
    </row>
    <row r="34" ht="15.95" customHeight="1" s="4080">
      <c r="A34" s="4490" t="inlineStr">
        <is>
          <t>職員の職種・員数</t>
        </is>
      </c>
      <c r="B34" s="4099" t="n"/>
      <c r="C34" s="4272" t="inlineStr">
        <is>
          <t xml:space="preserve">　　　　　　職種・勤務形態
常勤・非常勤の別</t>
        </is>
      </c>
      <c r="D34" s="4098" t="n"/>
      <c r="E34" s="4098" t="n"/>
      <c r="F34" s="4098" t="n"/>
      <c r="G34" s="4098" t="n"/>
      <c r="H34" s="4098" t="n"/>
      <c r="I34" s="4098" t="n"/>
      <c r="J34" s="4099" t="n"/>
      <c r="K34" s="4185" t="inlineStr">
        <is>
          <t>サービス管理責任者</t>
        </is>
      </c>
      <c r="L34" s="4110" t="n"/>
      <c r="M34" s="4110" t="n"/>
      <c r="N34" s="4110" t="n"/>
      <c r="O34" s="4110" t="n"/>
      <c r="P34" s="4111" t="n"/>
      <c r="Q34" s="4325" t="inlineStr">
        <is>
          <t>職業指導員</t>
        </is>
      </c>
      <c r="R34" s="4098" t="n"/>
      <c r="S34" s="4098" t="n"/>
      <c r="T34" s="4098" t="n"/>
      <c r="U34" s="4098" t="n"/>
      <c r="V34" s="4099" t="n"/>
      <c r="W34" s="4325" t="inlineStr">
        <is>
          <t>生活支援員</t>
        </is>
      </c>
      <c r="X34" s="4098" t="n"/>
      <c r="Y34" s="4098" t="n"/>
      <c r="Z34" s="4098" t="n"/>
      <c r="AA34" s="4098" t="n"/>
      <c r="AB34" s="4099" t="n"/>
      <c r="AC34" s="4326" t="inlineStr">
        <is>
          <t>就労支援員</t>
        </is>
      </c>
      <c r="AD34" s="4098" t="n"/>
      <c r="AE34" s="4098" t="n"/>
      <c r="AF34" s="4098" t="n"/>
      <c r="AG34" s="4098" t="n"/>
      <c r="AH34" s="4101" t="n"/>
    </row>
    <row r="35" ht="15.95" customHeight="1" s="4080">
      <c r="A35" s="4097" t="n"/>
      <c r="B35" s="4107" t="n"/>
      <c r="C35" s="4102" t="n"/>
      <c r="D35" s="4103" t="n"/>
      <c r="E35" s="4103" t="n"/>
      <c r="F35" s="4103" t="n"/>
      <c r="G35" s="4103" t="n"/>
      <c r="H35" s="4103" t="n"/>
      <c r="I35" s="4103" t="n"/>
      <c r="J35" s="4104" t="n"/>
      <c r="K35" s="1617" t="inlineStr">
        <is>
          <t>専従</t>
        </is>
      </c>
      <c r="L35" s="4110" t="n"/>
      <c r="M35" s="4189" t="n"/>
      <c r="N35" s="1603" t="inlineStr">
        <is>
          <t>兼務</t>
        </is>
      </c>
      <c r="O35" s="4110" t="n"/>
      <c r="P35" s="4189" t="n"/>
      <c r="Q35" s="1617" t="inlineStr">
        <is>
          <t>専従</t>
        </is>
      </c>
      <c r="R35" s="4110" t="n"/>
      <c r="S35" s="4189" t="n"/>
      <c r="T35" s="1603" t="inlineStr">
        <is>
          <t>兼務</t>
        </is>
      </c>
      <c r="U35" s="4110" t="n"/>
      <c r="V35" s="4189" t="n"/>
      <c r="W35" s="1617" t="inlineStr">
        <is>
          <t>専従</t>
        </is>
      </c>
      <c r="X35" s="4110" t="n"/>
      <c r="Y35" s="4189" t="n"/>
      <c r="Z35" s="1603" t="inlineStr">
        <is>
          <t>兼務</t>
        </is>
      </c>
      <c r="AA35" s="4110" t="n"/>
      <c r="AB35" s="4189" t="n"/>
      <c r="AC35" s="1617" t="inlineStr">
        <is>
          <t>専従</t>
        </is>
      </c>
      <c r="AD35" s="4110" t="n"/>
      <c r="AE35" s="4189" t="n"/>
      <c r="AF35" s="1603" t="inlineStr">
        <is>
          <t>兼務</t>
        </is>
      </c>
      <c r="AG35" s="4110" t="n"/>
      <c r="AH35" s="4189" t="n"/>
    </row>
    <row r="36" ht="15.95" customHeight="1" s="4080">
      <c r="A36" s="4097" t="n"/>
      <c r="B36" s="4107" t="n"/>
      <c r="C36" s="1268" t="inlineStr">
        <is>
          <t>常　　　　　勤（人）</t>
        </is>
      </c>
      <c r="D36" s="4110" t="n"/>
      <c r="E36" s="4110" t="n"/>
      <c r="F36" s="4110" t="n"/>
      <c r="G36" s="4110" t="n"/>
      <c r="H36" s="4110" t="n"/>
      <c r="I36" s="4110" t="n"/>
      <c r="J36" s="4111" t="n"/>
      <c r="K36" s="4275" t="n"/>
      <c r="L36" s="4110" t="n"/>
      <c r="M36" s="4189" t="n"/>
      <c r="N36" s="4276" t="n"/>
      <c r="O36" s="4110" t="n"/>
      <c r="P36" s="4189" t="n"/>
      <c r="Q36" s="4275" t="n"/>
      <c r="R36" s="4110" t="n"/>
      <c r="S36" s="4189" t="n"/>
      <c r="T36" s="4276" t="n"/>
      <c r="U36" s="4110" t="n"/>
      <c r="V36" s="4189" t="n"/>
      <c r="W36" s="4275" t="n"/>
      <c r="X36" s="4110" t="n"/>
      <c r="Y36" s="4189" t="n"/>
      <c r="Z36" s="4276" t="n"/>
      <c r="AA36" s="4110" t="n"/>
      <c r="AB36" s="4189" t="n"/>
      <c r="AC36" s="4275" t="n"/>
      <c r="AD36" s="4110" t="n"/>
      <c r="AE36" s="4189" t="n"/>
      <c r="AF36" s="4276" t="n"/>
      <c r="AG36" s="4110" t="n"/>
      <c r="AH36" s="4189" t="n"/>
    </row>
    <row r="37" ht="15.95" customHeight="1" s="4080">
      <c r="A37" s="4097" t="n"/>
      <c r="B37" s="4107" t="n"/>
      <c r="C37" s="1286" t="inlineStr">
        <is>
          <t>非　　常　　勤（人）</t>
        </is>
      </c>
      <c r="D37" s="4103" t="n"/>
      <c r="E37" s="4103" t="n"/>
      <c r="F37" s="4103" t="n"/>
      <c r="G37" s="4103" t="n"/>
      <c r="H37" s="4103" t="n"/>
      <c r="I37" s="4103" t="n"/>
      <c r="J37" s="4104" t="n"/>
      <c r="K37" s="4275" t="n"/>
      <c r="L37" s="4110" t="n"/>
      <c r="M37" s="4189" t="n"/>
      <c r="N37" s="4276" t="n"/>
      <c r="O37" s="4110" t="n"/>
      <c r="P37" s="4189" t="n"/>
      <c r="Q37" s="4275" t="n"/>
      <c r="R37" s="4110" t="n"/>
      <c r="S37" s="4189" t="n"/>
      <c r="T37" s="4276" t="n"/>
      <c r="U37" s="4110" t="n"/>
      <c r="V37" s="4189" t="n"/>
      <c r="W37" s="4275" t="n"/>
      <c r="X37" s="4110" t="n"/>
      <c r="Y37" s="4189" t="n"/>
      <c r="Z37" s="4276" t="n"/>
      <c r="AA37" s="4110" t="n"/>
      <c r="AB37" s="4189" t="n"/>
      <c r="AC37" s="4275" t="n"/>
      <c r="AD37" s="4110" t="n"/>
      <c r="AE37" s="4189" t="n"/>
      <c r="AF37" s="4276" t="n"/>
      <c r="AG37" s="4110" t="n"/>
      <c r="AH37" s="4189" t="n"/>
    </row>
    <row r="38" ht="15.95" customHeight="1" s="4080">
      <c r="A38" s="4097" t="n"/>
      <c r="B38" s="4107" t="n"/>
      <c r="C38" s="1268" t="inlineStr">
        <is>
          <t>常勤換算後の人数（人）</t>
        </is>
      </c>
      <c r="D38" s="4110" t="n"/>
      <c r="E38" s="4110" t="n"/>
      <c r="F38" s="4110" t="n"/>
      <c r="G38" s="4110" t="n"/>
      <c r="H38" s="4110" t="n"/>
      <c r="I38" s="4110" t="n"/>
      <c r="J38" s="4111" t="n"/>
      <c r="K38" s="4464" t="n"/>
      <c r="L38" s="4110" t="n"/>
      <c r="M38" s="4110" t="n"/>
      <c r="N38" s="4110" t="n"/>
      <c r="O38" s="4110" t="n"/>
      <c r="P38" s="4111" t="n"/>
      <c r="Q38" s="4464" t="n"/>
      <c r="R38" s="4110" t="n"/>
      <c r="S38" s="4110" t="n"/>
      <c r="T38" s="4110" t="n"/>
      <c r="U38" s="4110" t="n"/>
      <c r="V38" s="4111" t="n"/>
      <c r="W38" s="4464" t="n"/>
      <c r="X38" s="4110" t="n"/>
      <c r="Y38" s="4110" t="n"/>
      <c r="Z38" s="4110" t="n"/>
      <c r="AA38" s="4110" t="n"/>
      <c r="AB38" s="4111" t="n"/>
      <c r="AC38" s="4465" t="n"/>
      <c r="AD38" s="4110" t="n"/>
      <c r="AE38" s="4110" t="n"/>
      <c r="AF38" s="4110" t="n"/>
      <c r="AG38" s="4110" t="n"/>
      <c r="AH38" s="4113" t="n"/>
    </row>
    <row r="39" ht="15.95" customHeight="1" s="4080">
      <c r="A39" s="4097" t="n"/>
      <c r="B39" s="4107" t="n"/>
      <c r="C39" s="4272" t="inlineStr">
        <is>
          <t xml:space="preserve">　　　　　　職種・勤務形態
常勤・非常勤の別</t>
        </is>
      </c>
      <c r="D39" s="4098" t="n"/>
      <c r="E39" s="4098" t="n"/>
      <c r="F39" s="4098" t="n"/>
      <c r="G39" s="4098" t="n"/>
      <c r="H39" s="4098" t="n"/>
      <c r="I39" s="4098" t="n"/>
      <c r="J39" s="4099" t="n"/>
      <c r="K39" s="4505" t="n"/>
      <c r="L39" s="4110" t="n"/>
      <c r="M39" s="4110" t="n"/>
      <c r="N39" s="4110" t="n"/>
      <c r="O39" s="4110" t="n"/>
      <c r="P39" s="4111" t="n"/>
      <c r="Q39" s="4136" t="n"/>
      <c r="R39" s="4098" t="n"/>
      <c r="S39" s="4098" t="n"/>
      <c r="T39" s="4098" t="n"/>
      <c r="U39" s="4098" t="n"/>
      <c r="V39" s="4099" t="n"/>
      <c r="W39" s="4136" t="n"/>
      <c r="X39" s="4098" t="n"/>
      <c r="Y39" s="4098" t="n"/>
      <c r="Z39" s="4098" t="n"/>
      <c r="AA39" s="4098" t="n"/>
      <c r="AB39" s="4099" t="n"/>
      <c r="AC39" s="4506" t="n"/>
      <c r="AD39" s="4098" t="n"/>
      <c r="AE39" s="4098" t="n"/>
      <c r="AF39" s="4098" t="n"/>
      <c r="AG39" s="4098" t="n"/>
      <c r="AH39" s="4101" t="n"/>
    </row>
    <row r="40" ht="15.95" customHeight="1" s="4080">
      <c r="A40" s="4097" t="n"/>
      <c r="B40" s="4107" t="n"/>
      <c r="C40" s="4102" t="n"/>
      <c r="D40" s="4103" t="n"/>
      <c r="E40" s="4103" t="n"/>
      <c r="F40" s="4103" t="n"/>
      <c r="G40" s="4103" t="n"/>
      <c r="H40" s="4103" t="n"/>
      <c r="I40" s="4103" t="n"/>
      <c r="J40" s="4104" t="n"/>
      <c r="K40" s="1617" t="inlineStr">
        <is>
          <t>専従</t>
        </is>
      </c>
      <c r="L40" s="4110" t="n"/>
      <c r="M40" s="4189" t="n"/>
      <c r="N40" s="1603" t="inlineStr">
        <is>
          <t>兼務</t>
        </is>
      </c>
      <c r="O40" s="4110" t="n"/>
      <c r="P40" s="4189" t="n"/>
      <c r="Q40" s="1617" t="inlineStr">
        <is>
          <t>専従</t>
        </is>
      </c>
      <c r="R40" s="4110" t="n"/>
      <c r="S40" s="4189" t="n"/>
      <c r="T40" s="1603" t="inlineStr">
        <is>
          <t>兼務</t>
        </is>
      </c>
      <c r="U40" s="4110" t="n"/>
      <c r="V40" s="4189" t="n"/>
      <c r="W40" s="1617" t="inlineStr">
        <is>
          <t>専従</t>
        </is>
      </c>
      <c r="X40" s="4110" t="n"/>
      <c r="Y40" s="4189" t="n"/>
      <c r="Z40" s="1603" t="inlineStr">
        <is>
          <t>兼務</t>
        </is>
      </c>
      <c r="AA40" s="4110" t="n"/>
      <c r="AB40" s="4189" t="n"/>
      <c r="AC40" s="1617" t="inlineStr">
        <is>
          <t>専従</t>
        </is>
      </c>
      <c r="AD40" s="4110" t="n"/>
      <c r="AE40" s="4189" t="n"/>
      <c r="AF40" s="1603" t="inlineStr">
        <is>
          <t>兼務</t>
        </is>
      </c>
      <c r="AG40" s="4110" t="n"/>
      <c r="AH40" s="4189" t="n"/>
    </row>
    <row r="41" ht="15.95" customHeight="1" s="4080">
      <c r="A41" s="4097" t="n"/>
      <c r="B41" s="4107" t="n"/>
      <c r="C41" s="1268" t="inlineStr">
        <is>
          <t>常　　　　　勤（人）</t>
        </is>
      </c>
      <c r="D41" s="4110" t="n"/>
      <c r="E41" s="4110" t="n"/>
      <c r="F41" s="4110" t="n"/>
      <c r="G41" s="4110" t="n"/>
      <c r="H41" s="4110" t="n"/>
      <c r="I41" s="4110" t="n"/>
      <c r="J41" s="4111" t="n"/>
      <c r="K41" s="4275" t="n"/>
      <c r="L41" s="4110" t="n"/>
      <c r="M41" s="4189" t="n"/>
      <c r="N41" s="4276" t="n"/>
      <c r="O41" s="4110" t="n"/>
      <c r="P41" s="4189" t="n"/>
      <c r="Q41" s="4275" t="n"/>
      <c r="R41" s="4110" t="n"/>
      <c r="S41" s="4189" t="n"/>
      <c r="T41" s="4276" t="n"/>
      <c r="U41" s="4110" t="n"/>
      <c r="V41" s="4189" t="n"/>
      <c r="W41" s="4275" t="n"/>
      <c r="X41" s="4110" t="n"/>
      <c r="Y41" s="4189" t="n"/>
      <c r="Z41" s="4276" t="n"/>
      <c r="AA41" s="4110" t="n"/>
      <c r="AB41" s="4189" t="n"/>
      <c r="AC41" s="4275" t="n"/>
      <c r="AD41" s="4110" t="n"/>
      <c r="AE41" s="4189" t="n"/>
      <c r="AF41" s="4276" t="n"/>
      <c r="AG41" s="4110" t="n"/>
      <c r="AH41" s="4189" t="n"/>
    </row>
    <row r="42" ht="15.95" customHeight="1" s="4080">
      <c r="A42" s="4097" t="n"/>
      <c r="B42" s="4107" t="n"/>
      <c r="C42" s="1286" t="inlineStr">
        <is>
          <t>非　　常　　勤（人）</t>
        </is>
      </c>
      <c r="D42" s="4103" t="n"/>
      <c r="E42" s="4103" t="n"/>
      <c r="F42" s="4103" t="n"/>
      <c r="G42" s="4103" t="n"/>
      <c r="H42" s="4103" t="n"/>
      <c r="I42" s="4103" t="n"/>
      <c r="J42" s="4104" t="n"/>
      <c r="K42" s="4275" t="n"/>
      <c r="L42" s="4110" t="n"/>
      <c r="M42" s="4189" t="n"/>
      <c r="N42" s="4276" t="n"/>
      <c r="O42" s="4110" t="n"/>
      <c r="P42" s="4189" t="n"/>
      <c r="Q42" s="4275" t="n"/>
      <c r="R42" s="4110" t="n"/>
      <c r="S42" s="4189" t="n"/>
      <c r="T42" s="4276" t="n"/>
      <c r="U42" s="4110" t="n"/>
      <c r="V42" s="4189" t="n"/>
      <c r="W42" s="4275" t="n"/>
      <c r="X42" s="4110" t="n"/>
      <c r="Y42" s="4189" t="n"/>
      <c r="Z42" s="4276" t="n"/>
      <c r="AA42" s="4110" t="n"/>
      <c r="AB42" s="4189" t="n"/>
      <c r="AC42" s="4275" t="n"/>
      <c r="AD42" s="4110" t="n"/>
      <c r="AE42" s="4189" t="n"/>
      <c r="AF42" s="4276" t="n"/>
      <c r="AG42" s="4110" t="n"/>
      <c r="AH42" s="4189" t="n"/>
    </row>
    <row r="43" ht="15.95" customHeight="1" s="4080">
      <c r="A43" s="4114" t="n"/>
      <c r="B43" s="4104" t="n"/>
      <c r="C43" s="1268" t="inlineStr">
        <is>
          <t>常勤換算後の人数（人）</t>
        </is>
      </c>
      <c r="D43" s="4110" t="n"/>
      <c r="E43" s="4110" t="n"/>
      <c r="F43" s="4110" t="n"/>
      <c r="G43" s="4110" t="n"/>
      <c r="H43" s="4110" t="n"/>
      <c r="I43" s="4110" t="n"/>
      <c r="J43" s="4111" t="n"/>
      <c r="K43" s="4464" t="n"/>
      <c r="L43" s="4110" t="n"/>
      <c r="M43" s="4110" t="n"/>
      <c r="N43" s="4110" t="n"/>
      <c r="O43" s="4110" t="n"/>
      <c r="P43" s="4111" t="n"/>
      <c r="Q43" s="4464" t="n"/>
      <c r="R43" s="4110" t="n"/>
      <c r="S43" s="4110" t="n"/>
      <c r="T43" s="4110" t="n"/>
      <c r="U43" s="4110" t="n"/>
      <c r="V43" s="4111" t="n"/>
      <c r="W43" s="4464" t="n"/>
      <c r="X43" s="4110" t="n"/>
      <c r="Y43" s="4110" t="n"/>
      <c r="Z43" s="4110" t="n"/>
      <c r="AA43" s="4110" t="n"/>
      <c r="AB43" s="4111" t="n"/>
      <c r="AC43" s="4465" t="n"/>
      <c r="AD43" s="4110" t="n"/>
      <c r="AE43" s="4110" t="n"/>
      <c r="AF43" s="4110" t="n"/>
      <c r="AG43" s="4110" t="n"/>
      <c r="AH43" s="4113" t="n"/>
    </row>
    <row r="44" ht="3.95" customHeight="1" s="4080">
      <c r="A44" s="3061" t="n"/>
      <c r="B44" s="4098" t="n"/>
      <c r="C44" s="4098" t="n"/>
      <c r="D44" s="4098" t="n"/>
      <c r="E44" s="4098" t="n"/>
      <c r="F44" s="4098" t="n"/>
      <c r="G44" s="4098" t="n"/>
      <c r="H44" s="4098" t="n"/>
      <c r="I44" s="4098" t="n"/>
      <c r="J44" s="4099" t="n"/>
      <c r="K44" s="4332" t="n"/>
      <c r="L44" s="4333" t="n"/>
      <c r="M44" s="4333" t="n"/>
      <c r="N44" s="4333" t="n"/>
      <c r="O44" s="4333" t="n"/>
      <c r="P44" s="4392" t="n"/>
      <c r="Q44" s="4393" t="inlineStr">
        <is>
          <t>短期入所の利用定員</t>
        </is>
      </c>
      <c r="R44" s="4098" t="n"/>
      <c r="S44" s="4098" t="n"/>
      <c r="T44" s="4098" t="n"/>
      <c r="U44" s="4098" t="n"/>
      <c r="V44" s="4099" t="n"/>
      <c r="W44" s="2229" t="n"/>
      <c r="X44" s="4098" t="n"/>
      <c r="Y44" s="4098" t="n"/>
      <c r="Z44" s="4098" t="n"/>
      <c r="AA44" s="4476" t="inlineStr">
        <is>
          <t>名</t>
        </is>
      </c>
      <c r="AB44" s="4099" t="n"/>
      <c r="AC44" s="4477" t="n"/>
      <c r="AD44" s="4098" t="n"/>
      <c r="AE44" s="4098" t="n"/>
      <c r="AF44" s="4098" t="n"/>
      <c r="AG44" s="4098" t="n"/>
      <c r="AH44" s="4101" t="n"/>
    </row>
    <row r="45" ht="14.1" customHeight="1" s="4080">
      <c r="A45" s="4338" t="inlineStr">
        <is>
          <t>短期入所の実施の有無</t>
        </is>
      </c>
      <c r="J45" s="4107" t="n"/>
      <c r="K45" s="4339" t="n"/>
      <c r="L45" s="4340" t="inlineStr">
        <is>
          <t>有</t>
        </is>
      </c>
      <c r="M45" s="4340" t="inlineStr">
        <is>
          <t>・</t>
        </is>
      </c>
      <c r="O45" s="4340" t="inlineStr">
        <is>
          <t>無</t>
        </is>
      </c>
      <c r="P45" s="4397" t="n"/>
      <c r="Q45" s="4106" t="n"/>
      <c r="V45" s="4107" t="n"/>
      <c r="W45" s="4106" t="n"/>
      <c r="AB45" s="4107" t="n"/>
      <c r="AC45" s="4106" t="n"/>
      <c r="AH45" s="4109" t="n"/>
    </row>
    <row r="46" ht="3.95" customHeight="1" s="4080">
      <c r="A46" s="3063" t="n"/>
      <c r="B46" s="4103" t="n"/>
      <c r="C46" s="4103" t="n"/>
      <c r="D46" s="4103" t="n"/>
      <c r="E46" s="4103" t="n"/>
      <c r="F46" s="4103" t="n"/>
      <c r="G46" s="4103" t="n"/>
      <c r="H46" s="4103" t="n"/>
      <c r="I46" s="4103" t="n"/>
      <c r="J46" s="4104" t="n"/>
      <c r="K46" s="4343" t="n"/>
      <c r="L46" s="4344" t="n"/>
      <c r="M46" s="4344" t="n"/>
      <c r="N46" s="4344" t="n"/>
      <c r="O46" s="4344" t="n"/>
      <c r="P46" s="4398" t="n"/>
      <c r="Q46" s="4102" t="n"/>
      <c r="R46" s="4103" t="n"/>
      <c r="S46" s="4103" t="n"/>
      <c r="T46" s="4103" t="n"/>
      <c r="U46" s="4103" t="n"/>
      <c r="V46" s="4104" t="n"/>
      <c r="W46" s="4102" t="n"/>
      <c r="X46" s="4103" t="n"/>
      <c r="Y46" s="4103" t="n"/>
      <c r="Z46" s="4103" t="n"/>
      <c r="AA46" s="4103" t="n"/>
      <c r="AB46" s="4104" t="n"/>
      <c r="AC46" s="4102" t="n"/>
      <c r="AD46" s="4103" t="n"/>
      <c r="AE46" s="4103" t="n"/>
      <c r="AF46" s="4103" t="n"/>
      <c r="AG46" s="4103" t="n"/>
      <c r="AH46" s="4105" t="n"/>
    </row>
    <row r="47" ht="27.75" customHeight="1" s="4080" thickBot="1">
      <c r="A47" s="4497" t="inlineStr">
        <is>
          <t>前年度利用者数
（新規・増員の場合、推定利用者数）</t>
        </is>
      </c>
      <c r="B47" s="4098" t="n"/>
      <c r="C47" s="4098" t="n"/>
      <c r="D47" s="4098" t="n"/>
      <c r="E47" s="4098" t="n"/>
      <c r="F47" s="4098" t="n"/>
      <c r="G47" s="4098" t="n"/>
      <c r="H47" s="4098" t="n"/>
      <c r="I47" s="4098" t="n"/>
      <c r="J47" s="4099" t="n"/>
      <c r="K47" s="1411" t="n"/>
      <c r="L47" s="4098" t="n"/>
      <c r="M47" s="4098" t="n"/>
      <c r="N47" s="4098" t="n"/>
      <c r="O47" s="4098" t="n"/>
      <c r="P47" s="277" t="inlineStr">
        <is>
          <t>人</t>
        </is>
      </c>
      <c r="Q47" s="278" t="inlineStr">
        <is>
          <t>＊小数第２位を切り上げ</t>
        </is>
      </c>
      <c r="R47" s="279" t="n"/>
      <c r="S47" s="280" t="n"/>
      <c r="T47" s="280" t="n"/>
      <c r="U47" s="280" t="n"/>
      <c r="V47" s="280" t="n"/>
      <c r="W47" s="280" t="n"/>
      <c r="X47" s="280" t="n"/>
      <c r="Y47" s="280" t="n"/>
      <c r="Z47" s="280" t="n"/>
      <c r="AA47" s="280" t="n"/>
      <c r="AB47" s="280" t="n"/>
      <c r="AC47" s="280" t="n"/>
      <c r="AD47" s="280" t="n"/>
      <c r="AE47" s="280" t="n"/>
      <c r="AF47" s="280" t="n"/>
      <c r="AG47" s="280" t="n"/>
      <c r="AH47" s="281" t="n"/>
    </row>
    <row r="48" ht="12" customHeight="1" s="4080" thickBot="1">
      <c r="A48" s="4498" t="inlineStr">
        <is>
          <t>主　　な　　掲　　示　　事　　項</t>
        </is>
      </c>
      <c r="B48" s="4099" t="n"/>
      <c r="C48" s="1322" t="n"/>
      <c r="D48" s="1264" t="inlineStr">
        <is>
          <t>営業日</t>
        </is>
      </c>
      <c r="E48" s="4098" t="n"/>
      <c r="F48" s="4098" t="n"/>
      <c r="G48" s="4098" t="n"/>
      <c r="H48" s="4098" t="n"/>
      <c r="I48" s="4098" t="n"/>
      <c r="J48" s="2027" t="n"/>
      <c r="K48" s="2244" t="inlineStr">
        <is>
          <t>月</t>
        </is>
      </c>
      <c r="L48" s="2245" t="inlineStr">
        <is>
          <t>火</t>
        </is>
      </c>
      <c r="M48" s="2245" t="inlineStr">
        <is>
          <t>水</t>
        </is>
      </c>
      <c r="N48" s="2245" t="inlineStr">
        <is>
          <t>木</t>
        </is>
      </c>
      <c r="O48" s="2245" t="inlineStr">
        <is>
          <t>金</t>
        </is>
      </c>
      <c r="P48" s="2245" t="inlineStr">
        <is>
          <t>土</t>
        </is>
      </c>
      <c r="Q48" s="2245" t="inlineStr">
        <is>
          <t>日</t>
        </is>
      </c>
      <c r="R48" s="2249" t="inlineStr">
        <is>
          <t>祝</t>
        </is>
      </c>
      <c r="S48" s="4279" t="inlineStr">
        <is>
          <t>休業日</t>
        </is>
      </c>
      <c r="T48" s="2007" t="inlineStr">
        <is>
          <t>年末年始</t>
        </is>
      </c>
      <c r="U48" s="4082" t="n"/>
      <c r="V48" s="2014" t="n"/>
      <c r="W48" s="4082" t="n"/>
      <c r="X48" s="4082" t="n"/>
      <c r="Y48" s="4082" t="n"/>
      <c r="Z48" s="4082" t="n"/>
      <c r="AA48" s="4082" t="n"/>
      <c r="AB48" s="4356" t="n"/>
      <c r="AC48" s="2236" t="inlineStr">
        <is>
          <t>備　考</t>
        </is>
      </c>
      <c r="AD48" s="4479" t="n"/>
      <c r="AE48" s="4082" t="n"/>
      <c r="AF48" s="4082" t="n"/>
      <c r="AG48" s="4082" t="n"/>
      <c r="AH48" s="4083" t="n"/>
    </row>
    <row r="49" ht="12" customHeight="1" s="4080" thickBot="1">
      <c r="A49" s="4097" t="n"/>
      <c r="B49" s="4107" t="n"/>
      <c r="C49" s="4106" t="n"/>
      <c r="J49" s="4107" t="n"/>
      <c r="K49" s="2244" t="n"/>
      <c r="L49" s="2245" t="n"/>
      <c r="M49" s="2245" t="n"/>
      <c r="N49" s="2245" t="n"/>
      <c r="O49" s="2245" t="n"/>
      <c r="P49" s="2245" t="n"/>
      <c r="Q49" s="2245" t="n"/>
      <c r="R49" s="2249" t="n"/>
      <c r="S49" s="4282" t="n"/>
      <c r="T49" s="2008" t="inlineStr">
        <is>
          <t>夏季</t>
        </is>
      </c>
      <c r="V49" s="937" t="n"/>
      <c r="AB49" s="4107" t="n"/>
      <c r="AC49" s="4282" t="n"/>
      <c r="AD49" s="4192" t="n"/>
      <c r="AH49" s="4109" t="n"/>
    </row>
    <row r="50" ht="12" customHeight="1" s="4080">
      <c r="A50" s="4097" t="n"/>
      <c r="B50" s="4107" t="n"/>
      <c r="C50" s="4106" t="n"/>
      <c r="D50" s="4103" t="n"/>
      <c r="E50" s="4103" t="n"/>
      <c r="F50" s="4103" t="n"/>
      <c r="G50" s="4103" t="n"/>
      <c r="H50" s="4103" t="n"/>
      <c r="I50" s="4103" t="n"/>
      <c r="J50" s="4107" t="n"/>
      <c r="K50" s="4283" t="n"/>
      <c r="L50" s="4284" t="n"/>
      <c r="M50" s="4284" t="n"/>
      <c r="N50" s="4284" t="n"/>
      <c r="O50" s="4284" t="n"/>
      <c r="P50" s="4284" t="n"/>
      <c r="Q50" s="4284" t="n"/>
      <c r="R50" s="4285" t="n"/>
      <c r="S50" s="4286" t="n"/>
      <c r="T50" s="1610" t="inlineStr">
        <is>
          <t>その他</t>
        </is>
      </c>
      <c r="U50" s="4103" t="n"/>
      <c r="V50" s="940" t="n"/>
      <c r="W50" s="4103" t="n"/>
      <c r="X50" s="4103" t="n"/>
      <c r="Y50" s="4103" t="n"/>
      <c r="Z50" s="4103" t="n"/>
      <c r="AA50" s="4103" t="n"/>
      <c r="AB50" s="4104" t="n"/>
      <c r="AC50" s="4421" t="n"/>
      <c r="AD50" s="4480" t="n"/>
      <c r="AE50" s="4087" t="n"/>
      <c r="AF50" s="4087" t="n"/>
      <c r="AG50" s="4087" t="n"/>
      <c r="AH50" s="4088" t="n"/>
    </row>
    <row r="51" ht="3.95" customHeight="1" s="4080">
      <c r="A51" s="4097" t="n"/>
      <c r="B51" s="4107" t="n"/>
      <c r="C51" s="1393" t="n"/>
      <c r="D51" s="1264" t="inlineStr">
        <is>
          <t>営業時間</t>
        </is>
      </c>
      <c r="E51" s="4098" t="n"/>
      <c r="F51" s="4098" t="n"/>
      <c r="G51" s="4098" t="n"/>
      <c r="H51" s="4098" t="n"/>
      <c r="I51" s="4098" t="n"/>
      <c r="J51" s="4223" t="n"/>
      <c r="K51" s="4287" t="inlineStr">
        <is>
          <t>平日</t>
        </is>
      </c>
      <c r="L51" s="4098" t="n"/>
      <c r="M51" s="4190" t="n"/>
      <c r="N51" s="1590" t="n"/>
      <c r="O51" s="4098" t="n"/>
      <c r="P51" s="2842" t="inlineStr">
        <is>
          <t>時</t>
        </is>
      </c>
      <c r="Q51" s="1323" t="n"/>
      <c r="R51" s="1323" t="n"/>
      <c r="S51" s="4288" t="inlineStr">
        <is>
          <t>分～</t>
        </is>
      </c>
      <c r="T51" s="4098" t="n"/>
      <c r="U51" s="108" t="inlineStr">
        <is>
          <t xml:space="preserve">　</t>
        </is>
      </c>
      <c r="V51" s="1591" t="n"/>
      <c r="W51" s="4098" t="n"/>
      <c r="X51" s="2842" t="inlineStr">
        <is>
          <t>時</t>
        </is>
      </c>
      <c r="Y51" s="2834" t="n"/>
      <c r="Z51" s="2834" t="n"/>
      <c r="AA51" s="2842" t="inlineStr">
        <is>
          <t>分</t>
        </is>
      </c>
      <c r="AB51" s="2844" t="n"/>
      <c r="AC51" s="4098" t="n"/>
      <c r="AD51" s="4098" t="n"/>
      <c r="AE51" s="4098" t="n"/>
      <c r="AF51" s="4098" t="n"/>
      <c r="AG51" s="4098" t="n"/>
      <c r="AH51" s="4101" t="n"/>
    </row>
    <row r="52" ht="12" customHeight="1" s="4080">
      <c r="A52" s="4097" t="n"/>
      <c r="B52" s="4107" t="n"/>
      <c r="C52" s="4106" t="n"/>
      <c r="J52" s="4107" t="n"/>
      <c r="K52" s="4106" t="n"/>
      <c r="M52" s="4191" t="n"/>
      <c r="N52" s="1589" t="n"/>
      <c r="Q52" s="1325" t="n"/>
      <c r="U52" s="1257" t="n"/>
      <c r="Y52" s="1580" t="n"/>
      <c r="AH52" s="4109" t="n"/>
    </row>
    <row r="53" ht="3.95" customHeight="1" s="4080">
      <c r="A53" s="4097" t="n"/>
      <c r="B53" s="4107" t="n"/>
      <c r="C53" s="4106" t="n"/>
      <c r="J53" s="4107" t="n"/>
      <c r="K53" s="4145" t="n"/>
      <c r="L53" s="4146" t="n"/>
      <c r="M53" s="4201" t="n"/>
      <c r="N53" s="1586" t="n"/>
      <c r="O53" s="1587" t="n"/>
      <c r="P53" s="4146" t="n"/>
      <c r="Q53" s="1585" t="n"/>
      <c r="R53" s="1585" t="n"/>
      <c r="S53" s="4146" t="n"/>
      <c r="T53" s="4146" t="n"/>
      <c r="U53" s="105" t="n"/>
      <c r="V53" s="1587" t="n"/>
      <c r="W53" s="1587" t="n"/>
      <c r="X53" s="4146" t="n"/>
      <c r="Y53" s="101" t="n"/>
      <c r="Z53" s="101" t="n"/>
      <c r="AA53" s="4146" t="n"/>
      <c r="AB53" s="4146" t="n"/>
      <c r="AC53" s="4146" t="n"/>
      <c r="AD53" s="4146" t="n"/>
      <c r="AE53" s="4146" t="n"/>
      <c r="AF53" s="4146" t="n"/>
      <c r="AG53" s="4146" t="n"/>
      <c r="AH53" s="4305" t="n"/>
    </row>
    <row r="54" ht="3.95" customHeight="1" s="4080">
      <c r="A54" s="4097" t="n"/>
      <c r="B54" s="4107" t="n"/>
      <c r="C54" s="4106" t="n"/>
      <c r="J54" s="4107" t="n"/>
      <c r="K54" s="4289" t="inlineStr">
        <is>
          <t>土曜</t>
        </is>
      </c>
      <c r="L54" s="4290" t="n"/>
      <c r="M54" s="4291" t="n"/>
      <c r="N54" s="1581" t="n"/>
      <c r="O54" s="4290" t="n"/>
      <c r="P54" s="1514" t="inlineStr">
        <is>
          <t>時</t>
        </is>
      </c>
      <c r="Q54" s="1583" t="n"/>
      <c r="R54" s="1583" t="n"/>
      <c r="S54" s="4292" t="inlineStr">
        <is>
          <t>分～</t>
        </is>
      </c>
      <c r="T54" s="4290" t="n"/>
      <c r="U54" s="98" t="inlineStr">
        <is>
          <t xml:space="preserve">　</t>
        </is>
      </c>
      <c r="V54" s="1582" t="n"/>
      <c r="W54" s="1582" t="n"/>
      <c r="X54" s="1514" t="inlineStr">
        <is>
          <t>時</t>
        </is>
      </c>
      <c r="Y54" s="96" t="n"/>
      <c r="Z54" s="96" t="n"/>
      <c r="AA54" s="1514" t="inlineStr">
        <is>
          <t>分</t>
        </is>
      </c>
      <c r="AB54" s="4481" t="n"/>
      <c r="AC54" s="4290" t="n"/>
      <c r="AD54" s="4290" t="n"/>
      <c r="AE54" s="4290" t="n"/>
      <c r="AF54" s="4290" t="n"/>
      <c r="AG54" s="4290" t="n"/>
      <c r="AH54" s="4482" t="n"/>
    </row>
    <row r="55" ht="12" customHeight="1" s="4080">
      <c r="A55" s="4097" t="n"/>
      <c r="B55" s="4107" t="n"/>
      <c r="C55" s="4106" t="n"/>
      <c r="J55" s="4107" t="n"/>
      <c r="K55" s="4106" t="n"/>
      <c r="M55" s="4191" t="n"/>
      <c r="N55" s="1589" t="n"/>
      <c r="Q55" s="1325" t="n"/>
      <c r="U55" s="1257" t="n"/>
      <c r="Y55" s="1580" t="n"/>
      <c r="AH55" s="4109" t="n"/>
    </row>
    <row r="56" ht="3.95" customHeight="1" s="4080">
      <c r="A56" s="4097" t="n"/>
      <c r="B56" s="4107" t="n"/>
      <c r="C56" s="4106" t="n"/>
      <c r="J56" s="4107" t="n"/>
      <c r="K56" s="4145" t="n"/>
      <c r="L56" s="4146" t="n"/>
      <c r="M56" s="4201" t="n"/>
      <c r="N56" s="1586" t="n"/>
      <c r="O56" s="1587" t="n"/>
      <c r="P56" s="4146" t="n"/>
      <c r="Q56" s="1585" t="n"/>
      <c r="R56" s="1585" t="n"/>
      <c r="S56" s="4146" t="n"/>
      <c r="T56" s="4146" t="n"/>
      <c r="U56" s="103" t="n"/>
      <c r="V56" s="1587" t="n"/>
      <c r="W56" s="1587" t="n"/>
      <c r="X56" s="4146" t="n"/>
      <c r="Y56" s="101" t="n"/>
      <c r="Z56" s="101" t="n"/>
      <c r="AA56" s="4146" t="n"/>
      <c r="AB56" s="4146" t="n"/>
      <c r="AC56" s="4146" t="n"/>
      <c r="AD56" s="4146" t="n"/>
      <c r="AE56" s="4146" t="n"/>
      <c r="AF56" s="4146" t="n"/>
      <c r="AG56" s="4146" t="n"/>
      <c r="AH56" s="4305" t="n"/>
    </row>
    <row r="57" ht="3.95" customHeight="1" s="4080">
      <c r="A57" s="4097" t="n"/>
      <c r="B57" s="4107" t="n"/>
      <c r="C57" s="4106" t="n"/>
      <c r="J57" s="4107" t="n"/>
      <c r="K57" s="4293" t="inlineStr">
        <is>
          <t>日・祝日</t>
        </is>
      </c>
      <c r="L57" s="4290" t="n"/>
      <c r="M57" s="4291" t="n"/>
      <c r="N57" s="1581" t="n"/>
      <c r="O57" s="4290" t="n"/>
      <c r="P57" s="1521" t="inlineStr">
        <is>
          <t>時</t>
        </is>
      </c>
      <c r="Q57" s="1583" t="n"/>
      <c r="R57" s="1583" t="n"/>
      <c r="S57" s="4294" t="inlineStr">
        <is>
          <t>分～</t>
        </is>
      </c>
      <c r="T57" s="4290" t="n"/>
      <c r="U57" s="98" t="inlineStr">
        <is>
          <t xml:space="preserve">　</t>
        </is>
      </c>
      <c r="V57" s="1582" t="n"/>
      <c r="W57" s="1582" t="n"/>
      <c r="X57" s="1521" t="inlineStr">
        <is>
          <t>時</t>
        </is>
      </c>
      <c r="Y57" s="96" t="n"/>
      <c r="Z57" s="96" t="n"/>
      <c r="AA57" s="1521" t="inlineStr">
        <is>
          <t>分</t>
        </is>
      </c>
      <c r="AB57" s="4483" t="n"/>
      <c r="AC57" s="4290" t="n"/>
      <c r="AD57" s="4290" t="n"/>
      <c r="AE57" s="4290" t="n"/>
      <c r="AF57" s="4290" t="n"/>
      <c r="AG57" s="4290" t="n"/>
      <c r="AH57" s="4482" t="n"/>
    </row>
    <row r="58" ht="12" customHeight="1" s="4080">
      <c r="A58" s="4097" t="n"/>
      <c r="B58" s="4107" t="n"/>
      <c r="C58" s="4106" t="n"/>
      <c r="J58" s="4107" t="n"/>
      <c r="K58" s="4106" t="n"/>
      <c r="M58" s="4191" t="n"/>
      <c r="N58" s="1589" t="n"/>
      <c r="Q58" s="1325" t="n"/>
      <c r="U58" s="1257" t="n"/>
      <c r="Y58" s="1580" t="n"/>
      <c r="AH58" s="4109" t="n"/>
    </row>
    <row r="59" ht="3.95" customHeight="1" s="4080">
      <c r="A59" s="4097" t="n"/>
      <c r="B59" s="4107" t="n"/>
      <c r="C59" s="4102" t="n"/>
      <c r="D59" s="4103" t="n"/>
      <c r="E59" s="4103" t="n"/>
      <c r="F59" s="4103" t="n"/>
      <c r="G59" s="4103" t="n"/>
      <c r="H59" s="4103" t="n"/>
      <c r="I59" s="4103" t="n"/>
      <c r="J59" s="4104" t="n"/>
      <c r="K59" s="4102" t="n"/>
      <c r="L59" s="4103" t="n"/>
      <c r="M59" s="4193" t="n"/>
      <c r="N59" s="1588" t="n"/>
      <c r="O59" s="1258" t="n"/>
      <c r="P59" s="4103" t="n"/>
      <c r="Q59" s="1327" t="n"/>
      <c r="R59" s="1327" t="n"/>
      <c r="S59" s="4103" t="n"/>
      <c r="T59" s="4103" t="n"/>
      <c r="U59" s="92" t="n"/>
      <c r="V59" s="1258" t="n"/>
      <c r="W59" s="1258" t="n"/>
      <c r="X59" s="4103" t="n"/>
      <c r="Y59" s="2836" t="n"/>
      <c r="Z59" s="2836" t="n"/>
      <c r="AA59" s="4103" t="n"/>
      <c r="AB59" s="4103" t="n"/>
      <c r="AC59" s="4103" t="n"/>
      <c r="AD59" s="4103" t="n"/>
      <c r="AE59" s="4103" t="n"/>
      <c r="AF59" s="4103" t="n"/>
      <c r="AG59" s="4103" t="n"/>
      <c r="AH59" s="4105" t="n"/>
    </row>
    <row r="60" ht="12" customHeight="1" s="4080">
      <c r="A60" s="4097" t="n"/>
      <c r="B60" s="4107" t="n"/>
      <c r="C60" s="1322" t="n"/>
      <c r="D60" s="1264" t="inlineStr">
        <is>
          <t>サービス提供日</t>
        </is>
      </c>
      <c r="E60" s="4098" t="n"/>
      <c r="F60" s="4098" t="n"/>
      <c r="G60" s="4098" t="n"/>
      <c r="H60" s="4098" t="n"/>
      <c r="I60" s="4098" t="n"/>
      <c r="J60" s="2027" t="n"/>
      <c r="K60" s="2244" t="inlineStr">
        <is>
          <t>月</t>
        </is>
      </c>
      <c r="L60" s="2245" t="inlineStr">
        <is>
          <t>火</t>
        </is>
      </c>
      <c r="M60" s="2245" t="inlineStr">
        <is>
          <t>水</t>
        </is>
      </c>
      <c r="N60" s="2245" t="inlineStr">
        <is>
          <t>木</t>
        </is>
      </c>
      <c r="O60" s="2245" t="inlineStr">
        <is>
          <t>金</t>
        </is>
      </c>
      <c r="P60" s="2245" t="inlineStr">
        <is>
          <t>土</t>
        </is>
      </c>
      <c r="Q60" s="2245" t="inlineStr">
        <is>
          <t>日</t>
        </is>
      </c>
      <c r="R60" s="2249" t="inlineStr">
        <is>
          <t>祝</t>
        </is>
      </c>
      <c r="S60" s="4279" t="inlineStr">
        <is>
          <t>休業日</t>
        </is>
      </c>
      <c r="T60" s="1611" t="inlineStr">
        <is>
          <t>年末年始</t>
        </is>
      </c>
      <c r="U60" s="4098" t="n"/>
      <c r="V60" s="934" t="n"/>
      <c r="W60" s="4098" t="n"/>
      <c r="X60" s="4098" t="n"/>
      <c r="Y60" s="4098" t="n"/>
      <c r="Z60" s="4098" t="n"/>
      <c r="AA60" s="4098" t="n"/>
      <c r="AB60" s="4099" t="n"/>
      <c r="AC60" s="4280" t="inlineStr">
        <is>
          <t>備　考</t>
        </is>
      </c>
      <c r="AD60" s="4281" t="n"/>
      <c r="AE60" s="4098" t="n"/>
      <c r="AF60" s="4098" t="n"/>
      <c r="AG60" s="4098" t="n"/>
      <c r="AH60" s="4101" t="n"/>
    </row>
    <row r="61" ht="12" customHeight="1" s="4080">
      <c r="A61" s="4097" t="n"/>
      <c r="B61" s="4107" t="n"/>
      <c r="C61" s="4106" t="n"/>
      <c r="J61" s="4107" t="n"/>
      <c r="K61" s="2244" t="n"/>
      <c r="L61" s="2245" t="n"/>
      <c r="M61" s="2245" t="n"/>
      <c r="N61" s="2245" t="n"/>
      <c r="O61" s="2245" t="n"/>
      <c r="P61" s="2245" t="n"/>
      <c r="Q61" s="2245" t="n"/>
      <c r="R61" s="2249" t="n"/>
      <c r="S61" s="4282" t="n"/>
      <c r="T61" s="1609" t="inlineStr">
        <is>
          <t>夏季</t>
        </is>
      </c>
      <c r="V61" s="937" t="n"/>
      <c r="AB61" s="4107" t="n"/>
      <c r="AC61" s="4282" t="n"/>
      <c r="AD61" s="4192" t="n"/>
      <c r="AH61" s="4109" t="n"/>
    </row>
    <row r="62" ht="12" customHeight="1" s="4080">
      <c r="A62" s="4097" t="n"/>
      <c r="B62" s="4107" t="n"/>
      <c r="C62" s="4106" t="n"/>
      <c r="D62" s="4103" t="n"/>
      <c r="E62" s="4103" t="n"/>
      <c r="F62" s="4103" t="n"/>
      <c r="G62" s="4103" t="n"/>
      <c r="H62" s="4103" t="n"/>
      <c r="I62" s="4103" t="n"/>
      <c r="J62" s="4107" t="n"/>
      <c r="K62" s="4283" t="n"/>
      <c r="L62" s="4284" t="n"/>
      <c r="M62" s="4284" t="n"/>
      <c r="N62" s="4284" t="n"/>
      <c r="O62" s="4284" t="n"/>
      <c r="P62" s="4284" t="n"/>
      <c r="Q62" s="4284" t="n"/>
      <c r="R62" s="4285" t="n"/>
      <c r="S62" s="4286" t="n"/>
      <c r="T62" s="1610" t="inlineStr">
        <is>
          <t>その他</t>
        </is>
      </c>
      <c r="U62" s="4103" t="n"/>
      <c r="V62" s="940" t="n"/>
      <c r="W62" s="4103" t="n"/>
      <c r="X62" s="4103" t="n"/>
      <c r="Y62" s="4103" t="n"/>
      <c r="Z62" s="4103" t="n"/>
      <c r="AA62" s="4103" t="n"/>
      <c r="AB62" s="4104" t="n"/>
      <c r="AC62" s="4286" t="n"/>
      <c r="AD62" s="4194" t="n"/>
      <c r="AE62" s="4103" t="n"/>
      <c r="AF62" s="4103" t="n"/>
      <c r="AG62" s="4103" t="n"/>
      <c r="AH62" s="4105" t="n"/>
    </row>
    <row r="63" ht="15.95" customHeight="1" s="4080">
      <c r="A63" s="4097" t="n"/>
      <c r="B63" s="4107" t="n"/>
      <c r="C63" s="1322" t="n"/>
      <c r="D63" s="1402" t="inlineStr">
        <is>
          <t>サービス提供時間</t>
        </is>
      </c>
      <c r="E63" s="4098" t="n"/>
      <c r="F63" s="4098" t="n"/>
      <c r="G63" s="4098" t="n"/>
      <c r="H63" s="4098" t="n"/>
      <c r="I63" s="4098" t="n"/>
      <c r="J63" s="1288" t="n"/>
      <c r="K63" s="2322" t="n"/>
      <c r="L63" s="4110" t="n"/>
      <c r="M63" s="4110" t="n"/>
      <c r="N63" s="1355" t="inlineStr">
        <is>
          <t>時</t>
        </is>
      </c>
      <c r="O63" s="2324" t="n"/>
      <c r="P63" s="4110" t="n"/>
      <c r="Q63" s="2325" t="inlineStr">
        <is>
          <t>分～</t>
        </is>
      </c>
      <c r="R63" s="4110" t="n"/>
      <c r="S63" s="2323" t="n"/>
      <c r="T63" s="4110" t="n"/>
      <c r="U63" s="4110" t="n"/>
      <c r="V63" s="1325" t="inlineStr">
        <is>
          <t>時</t>
        </is>
      </c>
      <c r="W63" s="1645" t="n"/>
      <c r="X63" s="4110" t="n"/>
      <c r="Y63" s="1325" t="inlineStr">
        <is>
          <t>分</t>
        </is>
      </c>
      <c r="Z63" s="2834" t="n"/>
      <c r="AA63" s="4278" t="n"/>
      <c r="AB63" s="4110" t="n"/>
      <c r="AC63" s="4110" t="n"/>
      <c r="AD63" s="4110" t="n"/>
      <c r="AE63" s="4110" t="n"/>
      <c r="AF63" s="4110" t="n"/>
      <c r="AG63" s="4110" t="n"/>
      <c r="AH63" s="4113" t="n"/>
    </row>
    <row r="64" ht="12" customHeight="1" s="4080">
      <c r="A64" s="4097" t="n"/>
      <c r="B64" s="4107" t="n"/>
      <c r="C64" s="1393" t="n"/>
      <c r="D64" s="4222" t="inlineStr">
        <is>
          <t>サービスを提供
する主たる対象者</t>
        </is>
      </c>
      <c r="E64" s="4098" t="n"/>
      <c r="F64" s="4098" t="n"/>
      <c r="G64" s="4098" t="n"/>
      <c r="H64" s="4098" t="n"/>
      <c r="I64" s="4098" t="n"/>
      <c r="J64" s="4223" t="n"/>
      <c r="K64" s="4425" t="inlineStr">
        <is>
          <t>身体障害者</t>
        </is>
      </c>
      <c r="L64" s="4098" t="n"/>
      <c r="M64" s="4098" t="n"/>
      <c r="N64" s="4099" t="n"/>
      <c r="O64" s="4425" t="inlineStr">
        <is>
          <t>知的障害者</t>
        </is>
      </c>
      <c r="P64" s="4098" t="n"/>
      <c r="Q64" s="4098" t="n"/>
      <c r="R64" s="4099" t="n"/>
      <c r="S64" s="4425" t="inlineStr">
        <is>
          <t>精神障害者</t>
        </is>
      </c>
      <c r="T64" s="4098" t="n"/>
      <c r="U64" s="4098" t="n"/>
      <c r="V64" s="4099" t="n"/>
      <c r="W64" s="4426" t="inlineStr">
        <is>
          <t>難病等対象者</t>
        </is>
      </c>
      <c r="X64" s="4098" t="n"/>
      <c r="Y64" s="4098" t="n"/>
      <c r="Z64" s="4099" t="n"/>
      <c r="AA64" s="2037" t="n"/>
      <c r="AB64" s="4098" t="n"/>
      <c r="AC64" s="4098" t="n"/>
      <c r="AD64" s="4098" t="n"/>
      <c r="AE64" s="2039" t="n"/>
      <c r="AF64" s="4098" t="n"/>
      <c r="AG64" s="4098" t="n"/>
      <c r="AH64" s="4101" t="n"/>
    </row>
    <row r="65" ht="18.75" customHeight="1" s="4080">
      <c r="A65" s="4097" t="n"/>
      <c r="B65" s="4107" t="n"/>
      <c r="C65" s="4106" t="n"/>
      <c r="J65" s="4107" t="n"/>
      <c r="K65" s="4102" t="n"/>
      <c r="L65" s="4103" t="n"/>
      <c r="M65" s="4103" t="n"/>
      <c r="N65" s="4104" t="n"/>
      <c r="O65" s="4102" t="n"/>
      <c r="P65" s="4103" t="n"/>
      <c r="Q65" s="4103" t="n"/>
      <c r="R65" s="4104" t="n"/>
      <c r="S65" s="4102" t="n"/>
      <c r="T65" s="4103" t="n"/>
      <c r="U65" s="4103" t="n"/>
      <c r="V65" s="4104" t="n"/>
      <c r="W65" s="4102" t="n"/>
      <c r="X65" s="4103" t="n"/>
      <c r="Y65" s="4103" t="n"/>
      <c r="Z65" s="4104" t="n"/>
      <c r="AH65" s="4109" t="n"/>
    </row>
    <row r="66" ht="18.75" customHeight="1" s="4080">
      <c r="A66" s="4097" t="n"/>
      <c r="B66" s="4107" t="n"/>
      <c r="C66" s="4102" t="n"/>
      <c r="D66" s="4103" t="n"/>
      <c r="E66" s="4103" t="n"/>
      <c r="F66" s="4103" t="n"/>
      <c r="G66" s="4103" t="n"/>
      <c r="H66" s="4103" t="n"/>
      <c r="I66" s="4103" t="n"/>
      <c r="J66" s="4104" t="n"/>
      <c r="K66" s="1663" t="n"/>
      <c r="L66" s="4140" t="n"/>
      <c r="M66" s="4140" t="n"/>
      <c r="N66" s="4141" t="n"/>
      <c r="O66" s="1663" t="n"/>
      <c r="P66" s="4140" t="n"/>
      <c r="Q66" s="4140" t="n"/>
      <c r="R66" s="4141" t="n"/>
      <c r="S66" s="988" t="n"/>
      <c r="T66" s="4110" t="n"/>
      <c r="U66" s="4110" t="n"/>
      <c r="V66" s="4111" t="n"/>
      <c r="W66" s="988" t="n"/>
      <c r="X66" s="4110" t="n"/>
      <c r="Y66" s="4110" t="n"/>
      <c r="Z66" s="4111" t="n"/>
      <c r="AA66" s="2031" t="n"/>
      <c r="AB66" s="4103" t="n"/>
      <c r="AC66" s="4103" t="n"/>
      <c r="AD66" s="4104" t="n"/>
      <c r="AE66" s="2031" t="n"/>
      <c r="AF66" s="4103" t="n"/>
      <c r="AG66" s="4103" t="n"/>
      <c r="AH66" s="4104" t="n"/>
    </row>
    <row r="67" ht="15" customHeight="1" s="4080">
      <c r="A67" s="4097" t="n"/>
      <c r="B67" s="4107" t="n"/>
      <c r="C67" s="1370" t="n"/>
      <c r="D67" s="1245" t="inlineStr">
        <is>
          <t>利用定員</t>
        </is>
      </c>
      <c r="E67" s="4098" t="n"/>
      <c r="F67" s="4098" t="n"/>
      <c r="G67" s="4098" t="n"/>
      <c r="H67" s="4098" t="n"/>
      <c r="I67" s="4098" t="n"/>
      <c r="J67" s="1371" t="n"/>
      <c r="K67" s="2369" t="n"/>
      <c r="L67" s="4098" t="n"/>
      <c r="M67" s="4098" t="n"/>
      <c r="N67" s="4098" t="n"/>
      <c r="O67" s="258" t="inlineStr">
        <is>
          <t>人</t>
        </is>
      </c>
      <c r="P67" s="4485" t="inlineStr">
        <is>
          <t>単位ごとの定員</t>
        </is>
      </c>
      <c r="Q67" s="4098" t="n"/>
      <c r="R67" s="4098" t="n"/>
      <c r="S67" s="4210" t="n"/>
      <c r="T67" s="2371" t="n"/>
      <c r="U67" s="4486" t="n"/>
      <c r="V67" s="4486" t="n"/>
      <c r="W67" s="4486" t="n"/>
      <c r="X67" s="4486" t="n"/>
      <c r="Y67" s="227" t="inlineStr">
        <is>
          <t>人</t>
        </is>
      </c>
      <c r="Z67" s="4487" t="n"/>
      <c r="AA67" s="4098" t="n"/>
      <c r="AB67" s="4098" t="n"/>
      <c r="AC67" s="4098" t="n"/>
      <c r="AD67" s="4098" t="n"/>
      <c r="AE67" s="4098" t="n"/>
      <c r="AF67" s="4098" t="n"/>
      <c r="AG67" s="4098" t="n"/>
      <c r="AH67" s="4101" t="n"/>
    </row>
    <row r="68" ht="3.95" customHeight="1" s="4080">
      <c r="A68" s="4097" t="n"/>
      <c r="B68" s="4107" t="n"/>
      <c r="C68" s="1322" t="n"/>
      <c r="D68" s="4429" t="inlineStr">
        <is>
          <t>従たる事業所の有無</t>
        </is>
      </c>
      <c r="E68" s="4098" t="n"/>
      <c r="F68" s="4098" t="n"/>
      <c r="G68" s="4098" t="n"/>
      <c r="H68" s="4098" t="n"/>
      <c r="I68" s="4098" t="n"/>
      <c r="J68" s="1394" t="n"/>
      <c r="K68" s="4430" t="n"/>
      <c r="L68" s="2056" t="n"/>
      <c r="M68" s="4098" t="n"/>
      <c r="N68" s="4098" t="n"/>
      <c r="O68" s="2070" t="n"/>
      <c r="P68" s="4431" t="inlineStr">
        <is>
          <t>従たる事業所に
おいて実施する
サービス種別</t>
        </is>
      </c>
      <c r="Q68" s="4098" t="n"/>
      <c r="R68" s="4098" t="n"/>
      <c r="S68" s="4098" t="n"/>
      <c r="T68" s="4190" t="n"/>
      <c r="U68" s="2056" t="n"/>
      <c r="V68" s="2056" t="n"/>
      <c r="W68" s="2056" t="n"/>
      <c r="X68" s="2056" t="n"/>
      <c r="Y68" s="2056" t="n"/>
      <c r="Z68" s="2056" t="n"/>
      <c r="AA68" s="2056" t="n"/>
      <c r="AB68" s="1334" t="inlineStr">
        <is>
          <t xml:space="preserve">　</t>
        </is>
      </c>
      <c r="AC68" s="1334" t="n"/>
      <c r="AD68" s="1334" t="n"/>
      <c r="AE68" s="1334" t="n"/>
      <c r="AF68" s="1334" t="n"/>
      <c r="AG68" s="1334" t="n"/>
      <c r="AH68" s="1335" t="n"/>
    </row>
    <row r="69" ht="12" customHeight="1" s="4080">
      <c r="A69" s="4097" t="n"/>
      <c r="B69" s="4107" t="n"/>
      <c r="C69" s="4106" t="n"/>
      <c r="J69" s="4107" t="n"/>
      <c r="K69" s="4106" t="n"/>
      <c r="L69" s="2069" t="inlineStr">
        <is>
          <t>有</t>
        </is>
      </c>
      <c r="M69" s="2069" t="inlineStr">
        <is>
          <t>・</t>
        </is>
      </c>
      <c r="N69" s="2069" t="inlineStr">
        <is>
          <t>無</t>
        </is>
      </c>
      <c r="O69" s="4107" t="n"/>
      <c r="P69" s="4106" t="n"/>
      <c r="T69" s="4191" t="n"/>
      <c r="U69" s="230" t="inlineStr">
        <is>
          <t>1)</t>
        </is>
      </c>
      <c r="V69" s="2057" t="n"/>
      <c r="AB69" s="231" t="inlineStr">
        <is>
          <t>3)</t>
        </is>
      </c>
      <c r="AC69" s="2058" t="n"/>
      <c r="AH69" s="4109" t="n"/>
    </row>
    <row r="70" ht="12" customHeight="1" s="4080">
      <c r="A70" s="4097" t="n"/>
      <c r="B70" s="4107" t="n"/>
      <c r="C70" s="1326" t="n"/>
      <c r="J70" s="4107" t="n"/>
      <c r="K70" s="4106" t="n"/>
      <c r="O70" s="4107" t="n"/>
      <c r="P70" s="4106" t="n"/>
      <c r="T70" s="4191" t="n"/>
      <c r="U70" s="232" t="inlineStr">
        <is>
          <t>2)</t>
        </is>
      </c>
      <c r="V70" s="2057" t="n"/>
      <c r="AB70" s="233" t="inlineStr">
        <is>
          <t>4)</t>
        </is>
      </c>
      <c r="AC70" s="2058" t="n"/>
      <c r="AH70" s="4109" t="n"/>
    </row>
    <row r="71" ht="3.95" customHeight="1" s="4080">
      <c r="A71" s="4097" t="n"/>
      <c r="B71" s="4107" t="n"/>
      <c r="C71" s="4102" t="n"/>
      <c r="D71" s="4103" t="n"/>
      <c r="E71" s="4103" t="n"/>
      <c r="F71" s="4103" t="n"/>
      <c r="G71" s="4103" t="n"/>
      <c r="H71" s="4103" t="n"/>
      <c r="I71" s="4103" t="n"/>
      <c r="J71" s="4104" t="n"/>
      <c r="K71" s="4102" t="n"/>
      <c r="L71" s="2059" t="n"/>
      <c r="M71" s="4103" t="n"/>
      <c r="N71" s="4103" t="n"/>
      <c r="O71" s="4104" t="n"/>
      <c r="P71" s="4102" t="n"/>
      <c r="Q71" s="4103" t="n"/>
      <c r="R71" s="4103" t="n"/>
      <c r="S71" s="4103" t="n"/>
      <c r="T71" s="4193" t="n"/>
      <c r="U71" s="2059" t="n"/>
      <c r="V71" s="2059" t="n"/>
      <c r="W71" s="2059" t="n"/>
      <c r="X71" s="2059" t="n"/>
      <c r="Y71" s="2059" t="n"/>
      <c r="Z71" s="2059" t="n"/>
      <c r="AA71" s="2059" t="n"/>
      <c r="AB71" s="1298" t="n"/>
      <c r="AC71" s="1298" t="n"/>
      <c r="AD71" s="1298" t="n"/>
      <c r="AE71" s="1298" t="n"/>
      <c r="AF71" s="1298" t="n"/>
      <c r="AG71" s="1298" t="n"/>
      <c r="AH71" s="1299" t="n"/>
    </row>
    <row r="72" ht="3.6" customHeight="1" s="4080">
      <c r="A72" s="4097" t="n"/>
      <c r="B72" s="4107" t="n"/>
      <c r="C72" s="4503" t="inlineStr">
        <is>
          <t>多機能型の実施</t>
        </is>
      </c>
      <c r="D72" s="4098" t="n"/>
      <c r="E72" s="4098" t="n"/>
      <c r="F72" s="4098" t="n"/>
      <c r="G72" s="4098" t="n"/>
      <c r="H72" s="4098" t="n"/>
      <c r="I72" s="4098" t="n"/>
      <c r="J72" s="4099" t="n"/>
      <c r="K72" s="2053" t="n"/>
      <c r="L72" s="2056" t="n"/>
      <c r="M72" s="2056" t="n"/>
      <c r="N72" s="2056" t="n"/>
      <c r="O72" s="1371" t="n"/>
      <c r="P72" s="3316" t="n"/>
      <c r="Q72" s="3316" t="n"/>
      <c r="R72" s="3316" t="n"/>
      <c r="S72" s="3316" t="n"/>
      <c r="T72" s="3316" t="n"/>
      <c r="U72" s="238" t="n"/>
      <c r="V72" s="238" t="n"/>
      <c r="W72" s="238" t="n"/>
      <c r="X72" s="238" t="n"/>
      <c r="Y72" s="238" t="n"/>
      <c r="Z72" s="238" t="n"/>
      <c r="AA72" s="238" t="n"/>
      <c r="AB72" s="2960" t="n"/>
      <c r="AC72" s="2960" t="n"/>
      <c r="AD72" s="2960" t="n"/>
      <c r="AE72" s="2960" t="n"/>
      <c r="AF72" s="2960" t="n"/>
      <c r="AG72" s="2960" t="n"/>
      <c r="AH72" s="2961" t="n"/>
    </row>
    <row r="73" ht="18.75" customHeight="1" s="4080">
      <c r="A73" s="4097" t="n"/>
      <c r="B73" s="4107" t="n"/>
      <c r="C73" s="4106" t="n"/>
      <c r="J73" s="4107" t="n"/>
      <c r="K73" s="1657" t="n"/>
      <c r="L73" s="1658" t="inlineStr">
        <is>
          <t>有</t>
        </is>
      </c>
      <c r="M73" s="2069" t="inlineStr">
        <is>
          <t>・</t>
        </is>
      </c>
      <c r="N73" s="1658" t="inlineStr">
        <is>
          <t>無</t>
        </is>
      </c>
      <c r="O73" s="241" t="n"/>
      <c r="P73" s="3315" t="n"/>
      <c r="Q73" s="3316" t="n"/>
      <c r="R73" s="3316" t="n"/>
      <c r="S73" s="3316" t="n"/>
      <c r="T73" s="3316" t="n"/>
      <c r="U73" s="238" t="n"/>
      <c r="V73" s="238" t="n"/>
      <c r="W73" s="238" t="n"/>
      <c r="X73" s="238" t="n"/>
      <c r="Y73" s="238" t="n"/>
      <c r="Z73" s="238" t="n"/>
      <c r="AA73" s="238" t="n"/>
      <c r="AB73" s="2960" t="n"/>
      <c r="AC73" s="2960" t="n"/>
      <c r="AD73" s="2960" t="n"/>
      <c r="AE73" s="2960" t="n"/>
      <c r="AF73" s="2960" t="n"/>
      <c r="AG73" s="2960" t="n"/>
      <c r="AH73" s="2961" t="n"/>
    </row>
    <row r="74" ht="6.6" customHeight="1" s="4080" thickBot="1">
      <c r="A74" s="4086" t="n"/>
      <c r="B74" s="4410" t="n"/>
      <c r="C74" s="4420" t="n"/>
      <c r="D74" s="4087" t="n"/>
      <c r="E74" s="4087" t="n"/>
      <c r="F74" s="4087" t="n"/>
      <c r="G74" s="4087" t="n"/>
      <c r="H74" s="4087" t="n"/>
      <c r="I74" s="4087" t="n"/>
      <c r="J74" s="4410" t="n"/>
      <c r="K74" s="285" t="n"/>
      <c r="L74" s="49" t="n"/>
      <c r="M74" s="49" t="n"/>
      <c r="N74" s="49" t="n"/>
      <c r="O74" s="286" t="n"/>
      <c r="P74" s="287" t="n"/>
      <c r="Q74" s="287" t="n"/>
      <c r="R74" s="287" t="n"/>
      <c r="S74" s="287" t="n"/>
      <c r="T74" s="287" t="n"/>
      <c r="U74" s="288" t="n"/>
      <c r="V74" s="288" t="n"/>
      <c r="W74" s="288" t="n"/>
      <c r="X74" s="288" t="n"/>
      <c r="Y74" s="288" t="n"/>
      <c r="Z74" s="288" t="n"/>
      <c r="AA74" s="288" t="n"/>
      <c r="AB74" s="3028" t="n"/>
      <c r="AC74" s="3028" t="n"/>
      <c r="AD74" s="3028" t="n"/>
      <c r="AE74" s="3028" t="n"/>
      <c r="AF74" s="3028" t="n"/>
      <c r="AG74" s="3028" t="n"/>
      <c r="AH74" s="3029" t="n"/>
    </row>
    <row r="75" ht="20.25" customHeight="1" s="4080">
      <c r="A75" s="4355" t="inlineStr">
        <is>
          <t>主　な　掲　示　事　項</t>
        </is>
      </c>
      <c r="B75" s="4356" t="n"/>
      <c r="C75" s="2000" t="n"/>
      <c r="D75" s="2001" t="inlineStr">
        <is>
          <t>利用料</t>
        </is>
      </c>
      <c r="E75" s="4093" t="n"/>
      <c r="F75" s="4093" t="n"/>
      <c r="G75" s="4093" t="n"/>
      <c r="H75" s="4093" t="n"/>
      <c r="I75" s="4093" t="n"/>
      <c r="J75" s="292" t="n"/>
      <c r="K75" s="4504" t="n"/>
      <c r="L75" s="4093" t="n"/>
      <c r="M75" s="4093" t="n"/>
      <c r="N75" s="4093" t="n"/>
      <c r="O75" s="4093" t="n"/>
      <c r="P75" s="4093" t="n"/>
      <c r="Q75" s="4093" t="n"/>
      <c r="R75" s="4093" t="n"/>
      <c r="S75" s="4093" t="n"/>
      <c r="T75" s="4093" t="n"/>
      <c r="U75" s="4093" t="n"/>
      <c r="V75" s="4093" t="n"/>
      <c r="W75" s="4093" t="n"/>
      <c r="X75" s="4093" t="n"/>
      <c r="Y75" s="4093" t="n"/>
      <c r="Z75" s="4093" t="n"/>
      <c r="AA75" s="4093" t="n"/>
      <c r="AB75" s="4093" t="n"/>
      <c r="AC75" s="4093" t="n"/>
      <c r="AD75" s="4093" t="n"/>
      <c r="AE75" s="4093" t="n"/>
      <c r="AF75" s="4093" t="n"/>
      <c r="AG75" s="4093" t="n"/>
      <c r="AH75" s="4096" t="n"/>
    </row>
    <row r="76" ht="20.25" customHeight="1" s="4080">
      <c r="A76" s="4097" t="n"/>
      <c r="B76" s="4107" t="n"/>
      <c r="C76" s="1322" t="n"/>
      <c r="D76" s="1264" t="inlineStr">
        <is>
          <t>その他の費用</t>
        </is>
      </c>
      <c r="E76" s="4110" t="n"/>
      <c r="F76" s="4110" t="n"/>
      <c r="G76" s="4110" t="n"/>
      <c r="H76" s="4110" t="n"/>
      <c r="I76" s="4110" t="n"/>
      <c r="J76" s="1331" t="n"/>
      <c r="K76" s="4121" t="n"/>
      <c r="L76" s="4110" t="n"/>
      <c r="M76" s="4110" t="n"/>
      <c r="N76" s="4110" t="n"/>
      <c r="O76" s="4110" t="n"/>
      <c r="P76" s="4110" t="n"/>
      <c r="Q76" s="4110" t="n"/>
      <c r="R76" s="4110" t="n"/>
      <c r="S76" s="4110" t="n"/>
      <c r="T76" s="4110" t="n"/>
      <c r="U76" s="4110" t="n"/>
      <c r="V76" s="4110" t="n"/>
      <c r="W76" s="4110" t="n"/>
      <c r="X76" s="4110" t="n"/>
      <c r="Y76" s="4110" t="n"/>
      <c r="Z76" s="4110" t="n"/>
      <c r="AA76" s="4110" t="n"/>
      <c r="AB76" s="4110" t="n"/>
      <c r="AC76" s="4110" t="n"/>
      <c r="AD76" s="4110" t="n"/>
      <c r="AE76" s="4110" t="n"/>
      <c r="AF76" s="4110" t="n"/>
      <c r="AG76" s="4110" t="n"/>
      <c r="AH76" s="4113" t="n"/>
    </row>
    <row r="77" ht="24" customHeight="1" s="4080">
      <c r="A77" s="4097" t="n"/>
      <c r="B77" s="4107" t="n"/>
      <c r="C77" s="1300" t="n"/>
      <c r="D77" s="4222" t="inlineStr">
        <is>
          <t>通常の事業の
実施地域</t>
        </is>
      </c>
      <c r="E77" s="4098" t="n"/>
      <c r="F77" s="4098" t="n"/>
      <c r="G77" s="4098" t="n"/>
      <c r="H77" s="4098" t="n"/>
      <c r="I77" s="4098" t="n"/>
      <c r="J77" s="1963" t="n"/>
      <c r="K77" s="3272" t="inlineStr">
        <is>
          <t>1)</t>
        </is>
      </c>
      <c r="L77" s="1406" t="n"/>
      <c r="M77" s="4110" t="n"/>
      <c r="N77" s="4110" t="n"/>
      <c r="O77" s="2325" t="inlineStr">
        <is>
          <t>2)</t>
        </is>
      </c>
      <c r="P77" s="1406" t="n"/>
      <c r="Q77" s="4110" t="n"/>
      <c r="R77" s="4110" t="n"/>
      <c r="S77" s="2325" t="inlineStr">
        <is>
          <t>3)</t>
        </is>
      </c>
      <c r="T77" s="1406" t="n"/>
      <c r="U77" s="4110" t="n"/>
      <c r="V77" s="4110" t="n"/>
      <c r="W77" s="2325" t="inlineStr">
        <is>
          <t>4)</t>
        </is>
      </c>
      <c r="X77" s="1406" t="n"/>
      <c r="Y77" s="4110" t="n"/>
      <c r="Z77" s="4110" t="n"/>
      <c r="AA77" s="2325" t="inlineStr">
        <is>
          <t>5)</t>
        </is>
      </c>
      <c r="AB77" s="1406" t="n"/>
      <c r="AC77" s="4110" t="n"/>
      <c r="AD77" s="4110" t="n"/>
      <c r="AE77" s="4229" t="inlineStr">
        <is>
          <t>備考</t>
        </is>
      </c>
      <c r="AF77" s="4230" t="n"/>
      <c r="AG77" s="4098" t="n"/>
      <c r="AH77" s="4101" t="n"/>
    </row>
    <row r="78" ht="24" customHeight="1" s="4080">
      <c r="A78" s="4097" t="n"/>
      <c r="B78" s="4107" t="n"/>
      <c r="C78" s="4102" t="n"/>
      <c r="D78" s="4103" t="n"/>
      <c r="E78" s="4103" t="n"/>
      <c r="F78" s="4103" t="n"/>
      <c r="G78" s="4103" t="n"/>
      <c r="H78" s="4103" t="n"/>
      <c r="I78" s="4103" t="n"/>
      <c r="J78" s="4104" t="n"/>
      <c r="K78" s="3272" t="inlineStr">
        <is>
          <t>6)</t>
        </is>
      </c>
      <c r="L78" s="1406" t="n"/>
      <c r="M78" s="4110" t="n"/>
      <c r="N78" s="4110" t="n"/>
      <c r="O78" s="2325" t="inlineStr">
        <is>
          <t>7)</t>
        </is>
      </c>
      <c r="P78" s="1406" t="n"/>
      <c r="Q78" s="4110" t="n"/>
      <c r="R78" s="4110" t="n"/>
      <c r="S78" s="2325" t="inlineStr">
        <is>
          <t>8)</t>
        </is>
      </c>
      <c r="T78" s="1406" t="n"/>
      <c r="U78" s="4110" t="n"/>
      <c r="V78" s="4110" t="n"/>
      <c r="W78" s="2325" t="inlineStr">
        <is>
          <t>9)</t>
        </is>
      </c>
      <c r="X78" s="1406" t="n"/>
      <c r="Y78" s="4110" t="n"/>
      <c r="Z78" s="4110" t="n"/>
      <c r="AA78" s="71" t="inlineStr">
        <is>
          <t>10)</t>
        </is>
      </c>
      <c r="AB78" s="1406" t="n"/>
      <c r="AC78" s="4110" t="n"/>
      <c r="AD78" s="4110" t="n"/>
      <c r="AE78" s="4124" t="n"/>
      <c r="AF78" s="4102" t="n"/>
      <c r="AG78" s="4103" t="n"/>
      <c r="AH78" s="4105" t="n"/>
    </row>
    <row r="79" ht="3.95" customHeight="1" s="4080">
      <c r="A79" s="4097" t="n"/>
      <c r="B79" s="4107" t="n"/>
      <c r="C79" s="1795" t="n"/>
      <c r="D79" s="1402" t="n"/>
      <c r="E79" s="3328" t="n"/>
      <c r="F79" s="3328" t="n"/>
      <c r="G79" s="3328" t="n"/>
      <c r="H79" s="3328" t="n"/>
      <c r="I79" s="3328" t="n"/>
      <c r="J79" s="3329" t="n"/>
      <c r="K79" s="541" t="n"/>
      <c r="L79" s="1852" t="n"/>
      <c r="M79" s="4098" t="n"/>
      <c r="N79" s="4098" t="n"/>
      <c r="O79" s="3371" t="n"/>
      <c r="P79" s="4488" t="n"/>
      <c r="Q79" s="4098" t="n"/>
      <c r="R79" s="4098" t="n"/>
      <c r="S79" s="4098" t="n"/>
      <c r="T79" s="4098" t="n"/>
      <c r="U79" s="4098" t="n"/>
      <c r="V79" s="4098" t="n"/>
      <c r="W79" s="4098" t="n"/>
      <c r="X79" s="4098" t="n"/>
      <c r="Y79" s="4098" t="n"/>
      <c r="Z79" s="4098" t="n"/>
      <c r="AA79" s="4098" t="n"/>
      <c r="AB79" s="4098" t="n"/>
      <c r="AC79" s="4098" t="n"/>
      <c r="AD79" s="4098" t="n"/>
      <c r="AE79" s="4098" t="n"/>
      <c r="AF79" s="4098" t="n"/>
      <c r="AG79" s="4098" t="n"/>
      <c r="AH79" s="4101" t="n"/>
    </row>
    <row r="80" ht="12" customHeight="1" s="4080">
      <c r="A80" s="4097" t="n"/>
      <c r="B80" s="4107" t="n"/>
      <c r="C80" s="1241" t="n"/>
      <c r="D80" s="2284" t="inlineStr">
        <is>
          <t>食事提供の有無</t>
        </is>
      </c>
      <c r="J80" s="1243" t="n"/>
      <c r="K80" s="4106" t="n"/>
      <c r="L80" s="1829" t="inlineStr">
        <is>
          <t>有</t>
        </is>
      </c>
      <c r="M80" s="1829" t="inlineStr">
        <is>
          <t>・</t>
        </is>
      </c>
      <c r="N80" s="1829" t="inlineStr">
        <is>
          <t>無</t>
        </is>
      </c>
      <c r="O80" s="4107" t="n"/>
      <c r="P80" s="4106" t="n"/>
      <c r="AH80" s="4109" t="n"/>
    </row>
    <row r="81" ht="3.95" customHeight="1" s="4080">
      <c r="A81" s="4097" t="n"/>
      <c r="B81" s="4107" t="n"/>
      <c r="C81" s="1795" t="n"/>
      <c r="D81" s="1413" t="n"/>
      <c r="E81" s="3334" t="n"/>
      <c r="F81" s="3334" t="n"/>
      <c r="G81" s="3334" t="n"/>
      <c r="H81" s="3334" t="n"/>
      <c r="I81" s="3334" t="n"/>
      <c r="J81" s="3335" t="n"/>
      <c r="K81" s="4102" t="n"/>
      <c r="L81" s="2285" t="n"/>
      <c r="M81" s="4103" t="n"/>
      <c r="N81" s="4103" t="n"/>
      <c r="O81" s="4104" t="n"/>
      <c r="P81" s="4102" t="n"/>
      <c r="Q81" s="4103" t="n"/>
      <c r="R81" s="4103" t="n"/>
      <c r="S81" s="4103" t="n"/>
      <c r="T81" s="4103" t="n"/>
      <c r="U81" s="4103" t="n"/>
      <c r="V81" s="4103" t="n"/>
      <c r="W81" s="4103" t="n"/>
      <c r="X81" s="4103" t="n"/>
      <c r="Y81" s="4103" t="n"/>
      <c r="Z81" s="4103" t="n"/>
      <c r="AA81" s="4103" t="n"/>
      <c r="AB81" s="4103" t="n"/>
      <c r="AC81" s="4103" t="n"/>
      <c r="AD81" s="4103" t="n"/>
      <c r="AE81" s="4103" t="n"/>
      <c r="AF81" s="4103" t="n"/>
      <c r="AG81" s="4103" t="n"/>
      <c r="AH81" s="4105" t="n"/>
      <c r="AJ81" s="266" t="n"/>
    </row>
    <row r="82" ht="3.95" customHeight="1" s="4080">
      <c r="A82" s="4097" t="n"/>
      <c r="B82" s="4107" t="n"/>
      <c r="C82" s="4231" t="inlineStr">
        <is>
          <t>その他参考
となる事項</t>
        </is>
      </c>
      <c r="D82" s="4099" t="n"/>
      <c r="E82" s="2753" t="inlineStr">
        <is>
          <t>第三者評価の実施状況</t>
        </is>
      </c>
      <c r="F82" s="4098" t="n"/>
      <c r="G82" s="4098" t="n"/>
      <c r="H82" s="4098" t="n"/>
      <c r="I82" s="4098" t="n"/>
      <c r="J82" s="4099" t="n"/>
      <c r="K82" s="1657" t="n"/>
      <c r="L82" s="1658" t="n"/>
      <c r="M82" s="1658" t="n"/>
      <c r="N82" s="1658" t="n"/>
      <c r="O82" s="1658" t="n"/>
      <c r="P82" s="1658" t="n"/>
      <c r="Q82" s="1658" t="n"/>
      <c r="R82" s="930" t="n"/>
      <c r="AB82" s="1658" t="n"/>
      <c r="AC82" s="1658" t="n"/>
      <c r="AD82" s="1658" t="n"/>
      <c r="AE82" s="1658" t="n"/>
      <c r="AF82" s="1658" t="n"/>
      <c r="AG82" s="1658" t="n"/>
      <c r="AH82" s="1659" t="n"/>
    </row>
    <row r="83" ht="15" customHeight="1" s="4080">
      <c r="A83" s="4097" t="n"/>
      <c r="B83" s="4107" t="n"/>
      <c r="C83" s="4106" t="n"/>
      <c r="D83" s="4107" t="n"/>
      <c r="J83" s="4107" t="n"/>
      <c r="K83" s="1372" t="n"/>
      <c r="L83" s="1432" t="inlineStr">
        <is>
          <t>している</t>
        </is>
      </c>
      <c r="O83" s="1458" t="inlineStr">
        <is>
          <t>(実施先：</t>
        </is>
      </c>
      <c r="AB83" s="1325" t="inlineStr">
        <is>
          <t>)・</t>
        </is>
      </c>
      <c r="AD83" s="1432" t="inlineStr">
        <is>
          <t>していない</t>
        </is>
      </c>
      <c r="AH83" s="1668" t="n"/>
    </row>
    <row r="84" ht="3.95" customHeight="1" s="4080">
      <c r="A84" s="4097" t="n"/>
      <c r="B84" s="4107" t="n"/>
      <c r="C84" s="4106" t="n"/>
      <c r="D84" s="4107" t="n"/>
      <c r="E84" s="4103" t="n"/>
      <c r="F84" s="4103" t="n"/>
      <c r="G84" s="4103" t="n"/>
      <c r="H84" s="4103" t="n"/>
      <c r="I84" s="4103" t="n"/>
      <c r="J84" s="4104" t="n"/>
      <c r="K84" s="1657" t="n"/>
      <c r="L84" s="1658" t="n"/>
      <c r="M84" s="1658" t="n"/>
      <c r="N84" s="1658" t="n"/>
      <c r="O84" s="1658" t="n"/>
      <c r="P84" s="1658" t="n"/>
      <c r="Q84" s="1658" t="n"/>
      <c r="R84" s="4103" t="n"/>
      <c r="S84" s="4103" t="n"/>
      <c r="T84" s="4103" t="n"/>
      <c r="U84" s="4103" t="n"/>
      <c r="V84" s="4103" t="n"/>
      <c r="W84" s="4103" t="n"/>
      <c r="X84" s="4103" t="n"/>
      <c r="Y84" s="4103" t="n"/>
      <c r="Z84" s="4103" t="n"/>
      <c r="AA84" s="4103" t="n"/>
      <c r="AB84" s="1658" t="n"/>
      <c r="AC84" s="1658" t="n"/>
      <c r="AD84" s="1658" t="n"/>
      <c r="AE84" s="1658" t="n"/>
      <c r="AF84" s="1658" t="n"/>
      <c r="AG84" s="1658" t="n"/>
      <c r="AH84" s="1659" t="n"/>
    </row>
    <row r="85" ht="15" customHeight="1" s="4080">
      <c r="A85" s="4097" t="n"/>
      <c r="B85" s="4107" t="n"/>
      <c r="C85" s="4106" t="n"/>
      <c r="D85" s="4107" t="n"/>
      <c r="E85" s="1439" t="inlineStr">
        <is>
          <t>苦情解決の措置概要</t>
        </is>
      </c>
      <c r="F85" s="4098" t="n"/>
      <c r="G85" s="4098" t="n"/>
      <c r="H85" s="4098" t="n"/>
      <c r="I85" s="4098" t="n"/>
      <c r="J85" s="4099" t="n"/>
      <c r="K85" s="2542" t="inlineStr">
        <is>
          <t>窓　口</t>
        </is>
      </c>
      <c r="L85" s="4110" t="n"/>
      <c r="M85" s="4111" t="n"/>
      <c r="N85" s="4121" t="n"/>
      <c r="O85" s="4110" t="n"/>
      <c r="P85" s="4110" t="n"/>
      <c r="Q85" s="4110" t="n"/>
      <c r="R85" s="4110" t="n"/>
      <c r="S85" s="4110" t="n"/>
      <c r="T85" s="4110" t="n"/>
      <c r="U85" s="4110" t="n"/>
      <c r="V85" s="4110" t="n"/>
      <c r="W85" s="4110" t="n"/>
      <c r="X85" s="4110" t="n"/>
      <c r="Y85" s="4110" t="n"/>
      <c r="Z85" s="4110" t="n"/>
      <c r="AA85" s="4110" t="n"/>
      <c r="AB85" s="4110" t="n"/>
      <c r="AC85" s="4110" t="n"/>
      <c r="AD85" s="4110" t="n"/>
      <c r="AE85" s="4110" t="n"/>
      <c r="AF85" s="4110" t="n"/>
      <c r="AG85" s="4110" t="n"/>
      <c r="AH85" s="4113" t="n"/>
    </row>
    <row r="86" ht="15" customHeight="1" s="4080">
      <c r="A86" s="4097" t="n"/>
      <c r="B86" s="4107" t="n"/>
      <c r="C86" s="4106" t="n"/>
      <c r="D86" s="4107" t="n"/>
      <c r="E86" s="4103" t="n"/>
      <c r="F86" s="4103" t="n"/>
      <c r="G86" s="4103" t="n"/>
      <c r="H86" s="4103" t="n"/>
      <c r="I86" s="4103" t="n"/>
      <c r="J86" s="4104" t="n"/>
      <c r="K86" s="2542" t="inlineStr">
        <is>
          <t>担当者</t>
        </is>
      </c>
      <c r="L86" s="4110" t="n"/>
      <c r="M86" s="4111" t="n"/>
      <c r="N86" s="4123" t="n"/>
      <c r="O86" s="4110" t="n"/>
      <c r="P86" s="4110" t="n"/>
      <c r="Q86" s="4110" t="n"/>
      <c r="R86" s="4110" t="n"/>
      <c r="S86" s="4110" t="n"/>
      <c r="T86" s="4110" t="n"/>
      <c r="U86" s="4111" t="n"/>
      <c r="V86" s="2163" t="inlineStr">
        <is>
          <t>電話</t>
        </is>
      </c>
      <c r="W86" s="4111" t="n"/>
      <c r="X86" s="882" t="n"/>
      <c r="Y86" s="4110" t="n"/>
      <c r="Z86" s="4110" t="n"/>
      <c r="AA86" s="1492" t="inlineStr">
        <is>
          <t>－</t>
        </is>
      </c>
      <c r="AB86" s="920" t="n"/>
      <c r="AC86" s="4110" t="n"/>
      <c r="AD86" s="4110" t="n"/>
      <c r="AE86" s="1492" t="inlineStr">
        <is>
          <t>－</t>
        </is>
      </c>
      <c r="AF86" s="955" t="n"/>
      <c r="AG86" s="4110" t="n"/>
      <c r="AH86" s="4113" t="n"/>
    </row>
    <row r="87" ht="15" customHeight="1" s="4080">
      <c r="A87" s="4114" t="n"/>
      <c r="B87" s="4104" t="n"/>
      <c r="C87" s="4102" t="n"/>
      <c r="D87" s="4104" t="n"/>
      <c r="E87" s="1394" t="inlineStr">
        <is>
          <t>そ　　 の 　　他</t>
        </is>
      </c>
      <c r="F87" s="4110" t="n"/>
      <c r="G87" s="4110" t="n"/>
      <c r="H87" s="4110" t="n"/>
      <c r="I87" s="4110" t="n"/>
      <c r="J87" s="4111" t="n"/>
      <c r="K87" s="4121" t="n"/>
      <c r="L87" s="4110" t="n"/>
      <c r="M87" s="4110" t="n"/>
      <c r="N87" s="4110" t="n"/>
      <c r="O87" s="4110" t="n"/>
      <c r="P87" s="4110" t="n"/>
      <c r="Q87" s="4110" t="n"/>
      <c r="R87" s="4110" t="n"/>
      <c r="S87" s="4110" t="n"/>
      <c r="T87" s="4110" t="n"/>
      <c r="U87" s="4110" t="n"/>
      <c r="V87" s="4110" t="n"/>
      <c r="W87" s="4110" t="n"/>
      <c r="X87" s="4110" t="n"/>
      <c r="Y87" s="4110" t="n"/>
      <c r="Z87" s="4110" t="n"/>
      <c r="AA87" s="4110" t="n"/>
      <c r="AB87" s="4110" t="n"/>
      <c r="AC87" s="4110" t="n"/>
      <c r="AD87" s="4110" t="n"/>
      <c r="AE87" s="4110" t="n"/>
      <c r="AF87" s="4110" t="n"/>
      <c r="AG87" s="4110" t="n"/>
      <c r="AH87" s="4113" t="n"/>
    </row>
    <row r="88" ht="15" customHeight="1" s="4080">
      <c r="A88" s="2915" t="n"/>
      <c r="B88" s="1264" t="inlineStr">
        <is>
          <t>協力医療機関</t>
        </is>
      </c>
      <c r="C88" s="4098" t="n"/>
      <c r="D88" s="4098" t="n"/>
      <c r="E88" s="4098" t="n"/>
      <c r="F88" s="4098" t="n"/>
      <c r="G88" s="4098" t="n"/>
      <c r="H88" s="4098" t="n"/>
      <c r="I88" s="4098" t="n"/>
      <c r="J88" s="2077" t="n"/>
      <c r="K88" s="1865" t="inlineStr">
        <is>
          <t>ﾌﾘｶﾞﾅ</t>
        </is>
      </c>
      <c r="L88" s="4110" t="n"/>
      <c r="M88" s="4110" t="n"/>
      <c r="N88" s="4432" t="n"/>
      <c r="O88" s="4110" t="n"/>
      <c r="P88" s="4110" t="n"/>
      <c r="Q88" s="4110" t="n"/>
      <c r="R88" s="4110" t="n"/>
      <c r="S88" s="4110" t="n"/>
      <c r="T88" s="4110" t="n"/>
      <c r="U88" s="4110" t="n"/>
      <c r="V88" s="4110" t="n"/>
      <c r="W88" s="4110" t="n"/>
      <c r="X88" s="4110" t="n"/>
      <c r="Y88" s="4110" t="n"/>
      <c r="Z88" s="4110" t="n"/>
      <c r="AA88" s="4110" t="n"/>
      <c r="AB88" s="4111" t="n"/>
      <c r="AC88" s="3362" t="inlineStr">
        <is>
          <t>主な診療科名</t>
        </is>
      </c>
      <c r="AD88" s="4099" t="n"/>
      <c r="AE88" s="4224" t="n"/>
      <c r="AF88" s="4098" t="n"/>
      <c r="AG88" s="4098" t="n"/>
      <c r="AH88" s="4101" t="n"/>
    </row>
    <row r="89" ht="24" customHeight="1" s="4080">
      <c r="A89" s="4114" t="n"/>
      <c r="B89" s="4103" t="n"/>
      <c r="C89" s="4103" t="n"/>
      <c r="D89" s="4103" t="n"/>
      <c r="E89" s="4103" t="n"/>
      <c r="F89" s="4103" t="n"/>
      <c r="G89" s="4103" t="n"/>
      <c r="H89" s="4103" t="n"/>
      <c r="I89" s="4103" t="n"/>
      <c r="J89" s="4104" t="n"/>
      <c r="K89" s="2164" t="inlineStr">
        <is>
          <t>名　称</t>
        </is>
      </c>
      <c r="L89" s="4110" t="n"/>
      <c r="M89" s="4111" t="n"/>
      <c r="N89" s="4123" t="n"/>
      <c r="O89" s="4110" t="n"/>
      <c r="P89" s="4110" t="n"/>
      <c r="Q89" s="4110" t="n"/>
      <c r="R89" s="4110" t="n"/>
      <c r="S89" s="4110" t="n"/>
      <c r="T89" s="4110" t="n"/>
      <c r="U89" s="4110" t="n"/>
      <c r="V89" s="4110" t="n"/>
      <c r="W89" s="4110" t="n"/>
      <c r="X89" s="4110" t="n"/>
      <c r="Y89" s="4110" t="n"/>
      <c r="Z89" s="4110" t="n"/>
      <c r="AA89" s="4110" t="n"/>
      <c r="AB89" s="4111" t="n"/>
      <c r="AC89" s="4103" t="n"/>
      <c r="AD89" s="4104" t="n"/>
      <c r="AE89" s="4102" t="n"/>
      <c r="AF89" s="4103" t="n"/>
      <c r="AG89" s="4103" t="n"/>
      <c r="AH89" s="4105" t="n"/>
    </row>
    <row r="90" ht="15" customHeight="1" s="4080">
      <c r="A90" s="2915" t="n"/>
      <c r="B90" s="1264" t="inlineStr">
        <is>
          <t>提携就労支援機関</t>
        </is>
      </c>
      <c r="C90" s="4098" t="n"/>
      <c r="D90" s="4098" t="n"/>
      <c r="E90" s="4098" t="n"/>
      <c r="F90" s="4098" t="n"/>
      <c r="G90" s="4098" t="n"/>
      <c r="H90" s="4098" t="n"/>
      <c r="I90" s="4098" t="n"/>
      <c r="J90" s="2077" t="n"/>
      <c r="K90" s="1865" t="inlineStr">
        <is>
          <t>ﾌﾘｶﾞﾅ</t>
        </is>
      </c>
      <c r="L90" s="4110" t="n"/>
      <c r="M90" s="4110" t="n"/>
      <c r="N90" s="4432" t="n"/>
      <c r="O90" s="4110" t="n"/>
      <c r="P90" s="4110" t="n"/>
      <c r="Q90" s="4110" t="n"/>
      <c r="R90" s="4110" t="n"/>
      <c r="S90" s="4110" t="n"/>
      <c r="T90" s="4110" t="n"/>
      <c r="U90" s="4110" t="n"/>
      <c r="V90" s="4110" t="n"/>
      <c r="W90" s="4110" t="n"/>
      <c r="X90" s="4110" t="n"/>
      <c r="Y90" s="4110" t="n"/>
      <c r="Z90" s="4110" t="n"/>
      <c r="AA90" s="4110" t="n"/>
      <c r="AB90" s="4111" t="n"/>
      <c r="AC90" s="3362" t="inlineStr">
        <is>
          <t>業種</t>
        </is>
      </c>
      <c r="AD90" s="4099" t="n"/>
      <c r="AE90" s="4230" t="n"/>
      <c r="AF90" s="4098" t="n"/>
      <c r="AG90" s="4098" t="n"/>
      <c r="AH90" s="4101" t="n"/>
    </row>
    <row r="91" ht="24" customHeight="1" s="4080">
      <c r="A91" s="4114" t="n"/>
      <c r="B91" s="4103" t="n"/>
      <c r="C91" s="4103" t="n"/>
      <c r="D91" s="4103" t="n"/>
      <c r="E91" s="4103" t="n"/>
      <c r="F91" s="4103" t="n"/>
      <c r="G91" s="4103" t="n"/>
      <c r="H91" s="4103" t="n"/>
      <c r="I91" s="4103" t="n"/>
      <c r="J91" s="4104" t="n"/>
      <c r="K91" s="2164" t="inlineStr">
        <is>
          <t>名　称</t>
        </is>
      </c>
      <c r="L91" s="4110" t="n"/>
      <c r="M91" s="4111" t="n"/>
      <c r="N91" s="4123" t="n"/>
      <c r="O91" s="4110" t="n"/>
      <c r="P91" s="4110" t="n"/>
      <c r="Q91" s="4110" t="n"/>
      <c r="R91" s="4110" t="n"/>
      <c r="S91" s="4110" t="n"/>
      <c r="T91" s="4110" t="n"/>
      <c r="U91" s="4110" t="n"/>
      <c r="V91" s="4110" t="n"/>
      <c r="W91" s="4110" t="n"/>
      <c r="X91" s="4110" t="n"/>
      <c r="Y91" s="4110" t="n"/>
      <c r="Z91" s="4110" t="n"/>
      <c r="AA91" s="4110" t="n"/>
      <c r="AB91" s="4111" t="n"/>
      <c r="AC91" s="4103" t="n"/>
      <c r="AD91" s="4104" t="n"/>
      <c r="AE91" s="4102" t="n"/>
      <c r="AF91" s="4103" t="n"/>
      <c r="AG91" s="4103" t="n"/>
      <c r="AH91" s="4105" t="n"/>
    </row>
    <row r="92" ht="17.1" customHeight="1" s="4080" thickBot="1">
      <c r="A92" s="4234" t="inlineStr">
        <is>
          <t>添　　付　　書　　類</t>
        </is>
      </c>
      <c r="B92" s="4153" t="n"/>
      <c r="C92" s="4153" t="n"/>
      <c r="D92" s="4153" t="n"/>
      <c r="E92" s="4153" t="n"/>
      <c r="F92" s="4153" t="n"/>
      <c r="G92" s="4153" t="n"/>
      <c r="H92" s="4153" t="n"/>
      <c r="I92" s="4153" t="n"/>
      <c r="J92" s="4154" t="n"/>
      <c r="K92" s="4235" t="inlineStr">
        <is>
          <t xml:space="preserve">　別紙「添付書類一覧表」のとおり</t>
        </is>
      </c>
      <c r="L92" s="4153" t="n"/>
      <c r="M92" s="4153" t="n"/>
      <c r="N92" s="4153" t="n"/>
      <c r="O92" s="4153" t="n"/>
      <c r="P92" s="4153" t="n"/>
      <c r="Q92" s="4153" t="n"/>
      <c r="R92" s="4153" t="n"/>
      <c r="S92" s="4153" t="n"/>
      <c r="T92" s="4153" t="n"/>
      <c r="U92" s="4153" t="n"/>
      <c r="V92" s="4153" t="n"/>
      <c r="W92" s="4153" t="n"/>
      <c r="X92" s="4153" t="n"/>
      <c r="Y92" s="4153" t="n"/>
      <c r="Z92" s="4153" t="n"/>
      <c r="AA92" s="4153" t="n"/>
      <c r="AB92" s="4153" t="n"/>
      <c r="AC92" s="4153" t="n"/>
      <c r="AD92" s="4153" t="n"/>
      <c r="AE92" s="4153" t="n"/>
      <c r="AF92" s="4153" t="n"/>
      <c r="AG92" s="4153" t="n"/>
      <c r="AH92" s="4155" t="n"/>
    </row>
  </sheetData>
  <mergeCells count="380">
    <mergeCell ref="N42:P42"/>
    <mergeCell ref="K11:AH11"/>
    <mergeCell ref="AC43:AH43"/>
    <mergeCell ref="P77:R77"/>
    <mergeCell ref="X27:AH29"/>
    <mergeCell ref="AA51:AA53"/>
    <mergeCell ref="AC34:AH34"/>
    <mergeCell ref="V18:AH18"/>
    <mergeCell ref="U58:W58"/>
    <mergeCell ref="W63:X63"/>
    <mergeCell ref="AE64:AH65"/>
    <mergeCell ref="T62:U62"/>
    <mergeCell ref="O63:P63"/>
    <mergeCell ref="Q63:R63"/>
    <mergeCell ref="W39:AB39"/>
    <mergeCell ref="K38:P38"/>
    <mergeCell ref="Q49:Q50"/>
    <mergeCell ref="C10:E11"/>
    <mergeCell ref="D77:I78"/>
    <mergeCell ref="H2:L2"/>
    <mergeCell ref="T31:V33"/>
    <mergeCell ref="Y52:Z52"/>
    <mergeCell ref="V51:W51"/>
    <mergeCell ref="S57:T59"/>
    <mergeCell ref="AA2:AA3"/>
    <mergeCell ref="N30:O33"/>
    <mergeCell ref="AC2:AC3"/>
    <mergeCell ref="C22:L22"/>
    <mergeCell ref="K36:M36"/>
    <mergeCell ref="F13:I13"/>
    <mergeCell ref="J77:J78"/>
    <mergeCell ref="Y23:AH23"/>
    <mergeCell ref="K47:O47"/>
    <mergeCell ref="C20:AH20"/>
    <mergeCell ref="N52:O52"/>
    <mergeCell ref="C34:J35"/>
    <mergeCell ref="T27:V29"/>
    <mergeCell ref="A1:Y1"/>
    <mergeCell ref="AA57:AA59"/>
    <mergeCell ref="AE1:AF1"/>
    <mergeCell ref="X77:Z77"/>
    <mergeCell ref="C72:J74"/>
    <mergeCell ref="T42:V42"/>
    <mergeCell ref="C26:E26"/>
    <mergeCell ref="T78:V78"/>
    <mergeCell ref="J27:M29"/>
    <mergeCell ref="AA54:AA56"/>
    <mergeCell ref="C37:J37"/>
    <mergeCell ref="L78:N78"/>
    <mergeCell ref="K51:M53"/>
    <mergeCell ref="V49:AB49"/>
    <mergeCell ref="E87:J87"/>
    <mergeCell ref="Q38:V38"/>
    <mergeCell ref="Q35:S35"/>
    <mergeCell ref="AC88:AD89"/>
    <mergeCell ref="P30:S30"/>
    <mergeCell ref="Y55:Z55"/>
    <mergeCell ref="K43:P43"/>
    <mergeCell ref="P49:P50"/>
    <mergeCell ref="A48:B74"/>
    <mergeCell ref="R49:R50"/>
    <mergeCell ref="AC90:AD91"/>
    <mergeCell ref="S60:S62"/>
    <mergeCell ref="Q36:S36"/>
    <mergeCell ref="C39:J40"/>
    <mergeCell ref="N40:P40"/>
    <mergeCell ref="Z2:Z3"/>
    <mergeCell ref="P51:P53"/>
    <mergeCell ref="AB2:AB3"/>
    <mergeCell ref="AD2:AD3"/>
    <mergeCell ref="R82:AA84"/>
    <mergeCell ref="AE66:AH66"/>
    <mergeCell ref="T26:X26"/>
    <mergeCell ref="L69:L70"/>
    <mergeCell ref="N69:N70"/>
    <mergeCell ref="J90:J91"/>
    <mergeCell ref="N35:P35"/>
    <mergeCell ref="AA64:AD65"/>
    <mergeCell ref="T60:U60"/>
    <mergeCell ref="K79:K81"/>
    <mergeCell ref="C77:C78"/>
    <mergeCell ref="V60:AB60"/>
    <mergeCell ref="L68:N68"/>
    <mergeCell ref="K63:M63"/>
    <mergeCell ref="D76:I76"/>
    <mergeCell ref="Z37:AB37"/>
    <mergeCell ref="P14:Q16"/>
    <mergeCell ref="I8:M9"/>
    <mergeCell ref="K66:N66"/>
    <mergeCell ref="W42:Y42"/>
    <mergeCell ref="AF40:AH40"/>
    <mergeCell ref="AB78:AD78"/>
    <mergeCell ref="W17:AH17"/>
    <mergeCell ref="J64:J66"/>
    <mergeCell ref="W19:AH19"/>
    <mergeCell ref="N26:O29"/>
    <mergeCell ref="Q43:V43"/>
    <mergeCell ref="AF37:AH37"/>
    <mergeCell ref="W34:AB34"/>
    <mergeCell ref="N41:P41"/>
    <mergeCell ref="C17:M19"/>
    <mergeCell ref="T14:V16"/>
    <mergeCell ref="E82:J84"/>
    <mergeCell ref="C14:E16"/>
    <mergeCell ref="AB83:AC83"/>
    <mergeCell ref="V86:W86"/>
    <mergeCell ref="K40:M40"/>
    <mergeCell ref="D48:I50"/>
    <mergeCell ref="F27:I29"/>
    <mergeCell ref="AF42:AH42"/>
    <mergeCell ref="M24:X24"/>
    <mergeCell ref="I10:K10"/>
    <mergeCell ref="V48:AB48"/>
    <mergeCell ref="S63:U63"/>
    <mergeCell ref="C7:E9"/>
    <mergeCell ref="M45:N45"/>
    <mergeCell ref="X86:Z86"/>
    <mergeCell ref="X14:AH16"/>
    <mergeCell ref="K67:N67"/>
    <mergeCell ref="A75:B87"/>
    <mergeCell ref="O83:Q83"/>
    <mergeCell ref="A12:S12"/>
    <mergeCell ref="N8:O9"/>
    <mergeCell ref="AC60:AC62"/>
    <mergeCell ref="AF10:AH10"/>
    <mergeCell ref="X51:X53"/>
    <mergeCell ref="S17:U19"/>
    <mergeCell ref="AE90:AH91"/>
    <mergeCell ref="Q52:R52"/>
    <mergeCell ref="N51:O51"/>
    <mergeCell ref="AC42:AE42"/>
    <mergeCell ref="V61:AB61"/>
    <mergeCell ref="V70:AA70"/>
    <mergeCell ref="Z35:AB35"/>
    <mergeCell ref="J60:J62"/>
    <mergeCell ref="O64:R65"/>
    <mergeCell ref="U55:W55"/>
    <mergeCell ref="Y24:AH24"/>
    <mergeCell ref="F30:I30"/>
    <mergeCell ref="C36:J36"/>
    <mergeCell ref="L77:N77"/>
    <mergeCell ref="Z36:AB36"/>
    <mergeCell ref="W40:Y40"/>
    <mergeCell ref="C25:L25"/>
    <mergeCell ref="A34:B43"/>
    <mergeCell ref="N37:P37"/>
    <mergeCell ref="W35:Y35"/>
    <mergeCell ref="M49:M50"/>
    <mergeCell ref="O49:O50"/>
    <mergeCell ref="P13:S13"/>
    <mergeCell ref="Q10:S10"/>
    <mergeCell ref="O68:O71"/>
    <mergeCell ref="F4:AH4"/>
    <mergeCell ref="U2:X3"/>
    <mergeCell ref="J48:J50"/>
    <mergeCell ref="C5:E6"/>
    <mergeCell ref="A13:B25"/>
    <mergeCell ref="J14:M16"/>
    <mergeCell ref="C70:C71"/>
    <mergeCell ref="D64:I66"/>
    <mergeCell ref="F7:I7"/>
    <mergeCell ref="AA63:AH63"/>
    <mergeCell ref="N89:AB89"/>
    <mergeCell ref="Y21:AH21"/>
    <mergeCell ref="T13:X13"/>
    <mergeCell ref="D63:I63"/>
    <mergeCell ref="R61:R62"/>
    <mergeCell ref="K92:AH92"/>
    <mergeCell ref="K89:M89"/>
    <mergeCell ref="AC37:AE37"/>
    <mergeCell ref="L61:L62"/>
    <mergeCell ref="N85:AH85"/>
    <mergeCell ref="K54:M56"/>
    <mergeCell ref="C4:E4"/>
    <mergeCell ref="K88:M88"/>
    <mergeCell ref="K90:M90"/>
    <mergeCell ref="AG1:AH1"/>
    <mergeCell ref="W41:Y41"/>
    <mergeCell ref="C31:E33"/>
    <mergeCell ref="K42:M42"/>
    <mergeCell ref="P31:Q33"/>
    <mergeCell ref="P68:T71"/>
    <mergeCell ref="P78:R78"/>
    <mergeCell ref="K37:M37"/>
    <mergeCell ref="K34:P34"/>
    <mergeCell ref="L49:L50"/>
    <mergeCell ref="N49:N50"/>
    <mergeCell ref="Y12:Z12"/>
    <mergeCell ref="F26:I26"/>
    <mergeCell ref="AA12:AB12"/>
    <mergeCell ref="C21:L21"/>
    <mergeCell ref="V69:AA69"/>
    <mergeCell ref="D51:I59"/>
    <mergeCell ref="T67:X67"/>
    <mergeCell ref="N86:U86"/>
    <mergeCell ref="C23:L23"/>
    <mergeCell ref="C48:C50"/>
    <mergeCell ref="T49:U49"/>
    <mergeCell ref="W64:Z65"/>
    <mergeCell ref="AC39:AH39"/>
    <mergeCell ref="AF77:AH78"/>
    <mergeCell ref="B2:F2"/>
    <mergeCell ref="AD60:AH62"/>
    <mergeCell ref="AC40:AE40"/>
    <mergeCell ref="T50:U50"/>
    <mergeCell ref="K57:M59"/>
    <mergeCell ref="P54:P56"/>
    <mergeCell ref="K61:K62"/>
    <mergeCell ref="D67:I67"/>
    <mergeCell ref="T37:V37"/>
    <mergeCell ref="M61:M62"/>
    <mergeCell ref="AC41:AE41"/>
    <mergeCell ref="AB51:AH53"/>
    <mergeCell ref="AC70:AH70"/>
    <mergeCell ref="N91:AB91"/>
    <mergeCell ref="B90:I91"/>
    <mergeCell ref="Q42:S42"/>
    <mergeCell ref="C38:J38"/>
    <mergeCell ref="Z1:AA1"/>
    <mergeCell ref="J88:J89"/>
    <mergeCell ref="P57:P59"/>
    <mergeCell ref="X78:Z78"/>
    <mergeCell ref="X31:AH33"/>
    <mergeCell ref="T30:X30"/>
    <mergeCell ref="F5:AH6"/>
    <mergeCell ref="A88:A89"/>
    <mergeCell ref="M22:X22"/>
    <mergeCell ref="AA44:AB46"/>
    <mergeCell ref="A90:A91"/>
    <mergeCell ref="K86:M86"/>
    <mergeCell ref="K75:AH75"/>
    <mergeCell ref="AD48:AH50"/>
    <mergeCell ref="A44:J44"/>
    <mergeCell ref="T40:V40"/>
    <mergeCell ref="Q34:V34"/>
    <mergeCell ref="Z67:AH67"/>
    <mergeCell ref="W44:Z46"/>
    <mergeCell ref="P26:S26"/>
    <mergeCell ref="AC44:AH46"/>
    <mergeCell ref="K39:P39"/>
    <mergeCell ref="C24:L24"/>
    <mergeCell ref="AF2:AF3"/>
    <mergeCell ref="AH2:AH3"/>
    <mergeCell ref="C13:E13"/>
    <mergeCell ref="J7:N7"/>
    <mergeCell ref="C64:C66"/>
    <mergeCell ref="N36:P36"/>
    <mergeCell ref="T10:W10"/>
    <mergeCell ref="AF86:AH86"/>
    <mergeCell ref="K35:M35"/>
    <mergeCell ref="Y25:AH25"/>
    <mergeCell ref="E85:J86"/>
    <mergeCell ref="D68:I71"/>
    <mergeCell ref="X54:X56"/>
    <mergeCell ref="N54:O54"/>
    <mergeCell ref="D75:I75"/>
    <mergeCell ref="P7:AH9"/>
    <mergeCell ref="N13:O16"/>
    <mergeCell ref="J31:M33"/>
    <mergeCell ref="O66:R66"/>
    <mergeCell ref="C51:C59"/>
    <mergeCell ref="AF41:AH41"/>
    <mergeCell ref="C41:J41"/>
    <mergeCell ref="AF35:AH35"/>
    <mergeCell ref="X10:Z10"/>
    <mergeCell ref="U12:V12"/>
    <mergeCell ref="AB10:AD10"/>
    <mergeCell ref="W12:X12"/>
    <mergeCell ref="Q61:Q62"/>
    <mergeCell ref="C43:J43"/>
    <mergeCell ref="AF36:AH36"/>
    <mergeCell ref="C30:E30"/>
    <mergeCell ref="T77:V77"/>
    <mergeCell ref="X57:X59"/>
    <mergeCell ref="S48:S50"/>
    <mergeCell ref="T35:V35"/>
    <mergeCell ref="K64:N65"/>
    <mergeCell ref="Q39:V39"/>
    <mergeCell ref="S51:T53"/>
    <mergeCell ref="K41:M41"/>
    <mergeCell ref="Q40:S40"/>
    <mergeCell ref="AE2:AE3"/>
    <mergeCell ref="AG2:AG3"/>
    <mergeCell ref="AC69:AH69"/>
    <mergeCell ref="Y2:Y3"/>
    <mergeCell ref="M25:X25"/>
    <mergeCell ref="Q58:R58"/>
    <mergeCell ref="A92:J92"/>
    <mergeCell ref="AE88:AH89"/>
    <mergeCell ref="Q2:S2"/>
    <mergeCell ref="A45:J45"/>
    <mergeCell ref="J13:M13"/>
    <mergeCell ref="C82:D87"/>
    <mergeCell ref="P79:AH81"/>
    <mergeCell ref="N57:O57"/>
    <mergeCell ref="F10:H10"/>
    <mergeCell ref="A46:J46"/>
    <mergeCell ref="D80:I80"/>
    <mergeCell ref="C42:J42"/>
    <mergeCell ref="L83:N83"/>
    <mergeCell ref="J68:J71"/>
    <mergeCell ref="Y58:Z58"/>
    <mergeCell ref="Q44:V46"/>
    <mergeCell ref="AB77:AD77"/>
    <mergeCell ref="Q55:R55"/>
    <mergeCell ref="N61:N62"/>
    <mergeCell ref="M21:X21"/>
    <mergeCell ref="P61:P62"/>
    <mergeCell ref="V62:AB62"/>
    <mergeCell ref="AC48:AC50"/>
    <mergeCell ref="AD83:AG83"/>
    <mergeCell ref="Q41:S41"/>
    <mergeCell ref="W38:AB38"/>
    <mergeCell ref="T61:U61"/>
    <mergeCell ref="J30:M30"/>
    <mergeCell ref="A4:B11"/>
    <mergeCell ref="Y22:AH22"/>
    <mergeCell ref="W36:Y36"/>
    <mergeCell ref="AB1:AD1"/>
    <mergeCell ref="F31:I33"/>
    <mergeCell ref="L71:N71"/>
    <mergeCell ref="AA66:AD66"/>
    <mergeCell ref="K76:AH76"/>
    <mergeCell ref="V50:AB50"/>
    <mergeCell ref="AC12:AD12"/>
    <mergeCell ref="O79:O81"/>
    <mergeCell ref="AE12:AF12"/>
    <mergeCell ref="Z42:AB42"/>
    <mergeCell ref="N2:O2"/>
    <mergeCell ref="N88:AB88"/>
    <mergeCell ref="P27:Q29"/>
    <mergeCell ref="N17:R17"/>
    <mergeCell ref="AB54:AH56"/>
    <mergeCell ref="M23:X23"/>
    <mergeCell ref="N90:AB90"/>
    <mergeCell ref="J51:J59"/>
    <mergeCell ref="S64:V65"/>
    <mergeCell ref="N19:R19"/>
    <mergeCell ref="D60:I62"/>
    <mergeCell ref="K87:AH87"/>
    <mergeCell ref="C68:C69"/>
    <mergeCell ref="K68:K71"/>
    <mergeCell ref="N55:O55"/>
    <mergeCell ref="K91:M91"/>
    <mergeCell ref="A47:J47"/>
    <mergeCell ref="K85:M85"/>
    <mergeCell ref="F11:J11"/>
    <mergeCell ref="M69:M70"/>
    <mergeCell ref="AE77:AE78"/>
    <mergeCell ref="AC35:AE35"/>
    <mergeCell ref="W43:AB43"/>
    <mergeCell ref="F14:I16"/>
    <mergeCell ref="L79:N79"/>
    <mergeCell ref="T41:V41"/>
    <mergeCell ref="C27:E29"/>
    <mergeCell ref="U52:W52"/>
    <mergeCell ref="N58:O58"/>
    <mergeCell ref="L81:N81"/>
    <mergeCell ref="W37:Y37"/>
    <mergeCell ref="T36:V36"/>
    <mergeCell ref="F8:H9"/>
    <mergeCell ref="P67:S67"/>
    <mergeCell ref="J26:M26"/>
    <mergeCell ref="C60:C62"/>
    <mergeCell ref="K49:K50"/>
    <mergeCell ref="B88:I89"/>
    <mergeCell ref="T48:U48"/>
    <mergeCell ref="M10:O10"/>
    <mergeCell ref="AB57:AH59"/>
    <mergeCell ref="AB86:AD86"/>
    <mergeCell ref="AC38:AH38"/>
    <mergeCell ref="A26:B33"/>
    <mergeCell ref="AC36:AE36"/>
    <mergeCell ref="O61:O62"/>
    <mergeCell ref="Z40:AB40"/>
    <mergeCell ref="S66:V66"/>
    <mergeCell ref="Q37:S37"/>
    <mergeCell ref="W66:Z66"/>
    <mergeCell ref="Z41:AB41"/>
    <mergeCell ref="S54:T56"/>
  </mergeCells>
  <dataValidations count="12">
    <dataValidation sqref="M10:O10 Q10:S10 X10:Z10 AB10:AD10 AF10:AH10" showDropDown="0" showInputMessage="1" showErrorMessage="1" allowBlank="1" error="全角数字で入力してください" imeMode="fullAlpha"/>
    <dataValidation sqref="K36:AH38 K41:AH43 K44:P46 Q44 AA44 AC44" showDropDown="0" showInputMessage="1" showErrorMessage="1" allowBlank="1" imeMode="halfAlpha"/>
    <dataValidation sqref="K39:AH39" showDropDown="0" showInputMessage="1" showErrorMessage="0" allowBlank="1" type="list" errorStyle="information">
      <formula1>"　,事務職員,調理員,栄養士,運転手"</formula1>
    </dataValidation>
    <dataValidation sqref="N52 N55 N58 U52:V52 U55:V55 U58:V58" showDropDown="0" showInputMessage="1" showErrorMessage="1" allowBlank="1" type="list">
      <formula1>"　,１,２,３,４,５,６,７,８,９,１０,１１,１２,１３,１４,１５,１６,１７,１８,１９,２０,２１,２２,２３,２４"</formula1>
    </dataValidation>
    <dataValidation sqref="K63 S63" showDropDown="0" showInputMessage="1" showErrorMessage="1" allowBlank="1" type="list" imeMode="fullAlpha">
      <formula1>"　,１,２,３,４,５,６,７,８,９,１０,１１,１２,１３,１４,１５,１６,１７,１８,１９,２０,２１,２２,２３,２４"</formula1>
    </dataValidation>
    <dataValidation sqref="K49:R50 K61:R62 K66 O66 S66 W66 AA66 AE66" showDropDown="0" showInputMessage="1" showErrorMessage="1" allowBlank="1" type="list">
      <formula1>"　,○"</formula1>
    </dataValidation>
    <dataValidation sqref="V69:AA70 AC69:AH70" showDropDown="0" showInputMessage="1" showErrorMessage="1" allowBlank="1" error="このサービスの組み合わせは、多機能型では選択できません" type="list">
      <formula1>"　,児童デイサービス,自立訓練(生活訓練),自立訓練(機能訓練),就労移行支援,就労継続支援(A型),就労継続支援(B型)"</formula1>
    </dataValidation>
    <dataValidation sqref="AB68:AH68 AB71:AH74" showDropDown="0" showInputMessage="1" showErrorMessage="1" allowBlank="1" type="list">
      <formula1>"　,サービス提供責任者,事務職員,サービス提供責任者、事務職員"</formula1>
    </dataValidation>
    <dataValidation sqref="I10:K10 J7:N7 K67:N67 O63:P63 T13:X13 T26:X26 T30:X30 T67:X67 U12:V12 W44 W63:X63 X86 Y2:AH3 Y12:Z12 Z63:AA63 AB86:AD86 AC12:AD12 AF86" showDropDown="0" showInputMessage="1" showErrorMessage="1" allowBlank="1" imeMode="fullAlpha"/>
    <dataValidation sqref="F4:AH4 F13:M13 F26:M26 F30:M30 J88 J90 N88 N90 AE88 AE90" showDropDown="0" showInputMessage="1" showErrorMessage="1" allowBlank="1" imeMode="halfKatakana"/>
    <dataValidation sqref="K75:AH75" showDropDown="0" showInputMessage="1" showErrorMessage="1" allowBlank="1" type="list" errorStyle="warning">
      <formula1>"　,法定代理受領分：厚生労働大臣が定める基準の10/100、法定代理受領分以外：厚生労働大臣が定める基準"</formula1>
    </dataValidation>
    <dataValidation sqref="K76:AH76" showDropDown="0" showInputMessage="1" showErrorMessage="1" allowBlank="1" type="list">
      <formula1>"　,運営規程に定めるとおり"</formula1>
    </dataValidation>
  </dataValidations>
  <printOptions horizontalCentered="1"/>
  <pageMargins left="0.7086614173228347" right="0.5905511811023623" top="0.3937007874015748" bottom="0.3937007874015748" header="0.5118110236220472" footer="0.5118110236220472"/>
  <pageSetup orientation="portrait" paperSize="9" scale="94"/>
  <rowBreaks count="1" manualBreakCount="1">
    <brk id="74" min="0" max="33" man="1"/>
  </rowBreaks>
  <legacyDrawing xmlns:r="http://schemas.openxmlformats.org/officeDocument/2006/relationships" r:id="anysvml"/>
</worksheet>
</file>

<file path=xl/worksheets/sheet15.xml><?xml version="1.0" encoding="utf-8"?>
<worksheet xmlns="http://schemas.openxmlformats.org/spreadsheetml/2006/main">
  <sheetPr codeName="Sheet14">
    <outlinePr summaryBelow="1" summaryRight="1"/>
    <pageSetUpPr/>
  </sheetPr>
  <dimension ref="A1:AN73"/>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15"/>
    <col width="3.125" customWidth="1" style="1667" min="16" max="16"/>
    <col width="2.625" customWidth="1" style="1667" min="17" max="33"/>
    <col width="4.375" customWidth="1" style="1667" min="34" max="34"/>
    <col width="1.625" customWidth="1" style="1667" min="35" max="35"/>
    <col width="9" customWidth="1" style="1667" min="36" max="16384"/>
  </cols>
  <sheetData>
    <row r="1" ht="19.5" customHeight="1" s="4080">
      <c r="A1" s="1213" t="inlineStr">
        <is>
          <t>付表１０　従たる事業所の指定にかかる記載事項</t>
        </is>
      </c>
      <c r="Z1" s="2373" t="n"/>
      <c r="AB1" s="1290" t="inlineStr">
        <is>
          <t>単位／</t>
        </is>
      </c>
      <c r="AE1" s="2373" t="n"/>
      <c r="AG1" s="1355" t="inlineStr">
        <is>
          <t>単位</t>
        </is>
      </c>
      <c r="AN1" s="719">
        <f>HYPERLINK("#目次!A1","目次へ戻る")</f>
        <v/>
      </c>
    </row>
    <row r="2" ht="21" customHeight="1" s="4080" thickBot="1">
      <c r="A2" s="293" t="inlineStr">
        <is>
          <t xml:space="preserve">　※主たる事業所の指定にかかる記載事項（付表５～９のうち対応するもの）も合わせて提出してください</t>
        </is>
      </c>
      <c r="Z2" s="197" t="n"/>
      <c r="AA2" s="197" t="n"/>
      <c r="AB2" s="197" t="n"/>
      <c r="AC2" s="197" t="n"/>
      <c r="AD2" s="197" t="n"/>
      <c r="AE2" s="197" t="n"/>
      <c r="AF2" s="197" t="n"/>
      <c r="AG2" s="197" t="n"/>
      <c r="AH2" s="197" t="n"/>
    </row>
    <row r="3" ht="15" customHeight="1" s="4080">
      <c r="B3" s="45" t="n"/>
      <c r="C3" s="45" t="n"/>
      <c r="D3" s="45" t="n"/>
      <c r="E3" s="1889" t="n"/>
      <c r="F3" s="1889" t="n"/>
      <c r="G3" s="1889" t="n"/>
      <c r="H3" s="2069" t="n"/>
      <c r="I3" s="1889" t="n"/>
      <c r="J3" s="1889" t="n"/>
      <c r="K3" s="1889" t="n"/>
      <c r="L3" s="1889" t="n"/>
      <c r="M3" s="1889" t="n"/>
      <c r="N3" s="2069" t="n"/>
      <c r="O3" s="1889" t="n"/>
      <c r="P3" s="1889" t="n"/>
      <c r="Q3" s="1889" t="n"/>
      <c r="S3" s="1889" t="n"/>
      <c r="U3" s="4178" t="inlineStr">
        <is>
          <t>事業所番号</t>
        </is>
      </c>
      <c r="V3" s="4082" t="n"/>
      <c r="W3" s="4082" t="n"/>
      <c r="X3" s="4083" t="n"/>
      <c r="Y3" s="4084" t="n"/>
      <c r="Z3" s="4084" t="n"/>
      <c r="AA3" s="4084" t="n"/>
      <c r="AB3" s="4084" t="n"/>
      <c r="AC3" s="4084" t="n"/>
      <c r="AD3" s="4084" t="n"/>
      <c r="AE3" s="4084" t="n"/>
      <c r="AF3" s="4084" t="n"/>
      <c r="AG3" s="4084" t="n"/>
      <c r="AH3" s="4085" t="n"/>
    </row>
    <row r="4" ht="3.95" customHeight="1" s="4080" thickBot="1">
      <c r="B4" s="45" t="n"/>
      <c r="C4" s="48" t="n"/>
      <c r="D4" s="48" t="n"/>
      <c r="E4" s="48" t="n"/>
      <c r="F4" s="49" t="n"/>
      <c r="G4" s="48" t="n"/>
      <c r="H4" s="48" t="n"/>
      <c r="I4" s="48" t="n"/>
      <c r="J4" s="49" t="n"/>
      <c r="K4" s="48" t="n"/>
      <c r="L4" s="48" t="n"/>
      <c r="M4" s="48" t="n"/>
      <c r="Q4" s="2345" t="n"/>
      <c r="R4" s="2345" t="n"/>
      <c r="S4" s="2345" t="n"/>
      <c r="T4" s="4015" t="n"/>
      <c r="U4" s="4086" t="n"/>
      <c r="V4" s="4087" t="n"/>
      <c r="W4" s="4087" t="n"/>
      <c r="X4" s="4088" t="n"/>
      <c r="Y4" s="4089" t="n"/>
      <c r="Z4" s="4089" t="n"/>
      <c r="AA4" s="4089" t="n"/>
      <c r="AB4" s="4089" t="n"/>
      <c r="AC4" s="4089" t="n"/>
      <c r="AD4" s="4089" t="n"/>
      <c r="AE4" s="4089" t="n"/>
      <c r="AF4" s="4089" t="n"/>
      <c r="AG4" s="4089" t="n"/>
      <c r="AH4" s="4090" t="n"/>
    </row>
    <row r="5" ht="14.1" customHeight="1" s="4080">
      <c r="A5" s="4355" t="inlineStr">
        <is>
          <t>従たる事業所</t>
        </is>
      </c>
      <c r="B5" s="4356" t="n"/>
      <c r="C5" s="4180" t="inlineStr">
        <is>
          <t>ﾌﾘｶﾞﾅ</t>
        </is>
      </c>
      <c r="D5" s="4093" t="n"/>
      <c r="E5" s="4094" t="n"/>
      <c r="F5" s="4095" t="n"/>
      <c r="G5" s="4093" t="n"/>
      <c r="H5" s="4093" t="n"/>
      <c r="I5" s="4093" t="n"/>
      <c r="J5" s="4093" t="n"/>
      <c r="K5" s="4093" t="n"/>
      <c r="L5" s="4093" t="n"/>
      <c r="M5" s="4093" t="n"/>
      <c r="N5" s="4093" t="n"/>
      <c r="O5" s="4093" t="n"/>
      <c r="P5" s="4093" t="n"/>
      <c r="Q5" s="4093" t="n"/>
      <c r="R5" s="4093" t="n"/>
      <c r="S5" s="4093" t="n"/>
      <c r="T5" s="4093" t="n"/>
      <c r="U5" s="4093" t="n"/>
      <c r="V5" s="4093" t="n"/>
      <c r="W5" s="4093" t="n"/>
      <c r="X5" s="4093" t="n"/>
      <c r="Y5" s="4093" t="n"/>
      <c r="Z5" s="4093" t="n"/>
      <c r="AA5" s="4093" t="n"/>
      <c r="AB5" s="4093" t="n"/>
      <c r="AC5" s="4093" t="n"/>
      <c r="AD5" s="4093" t="n"/>
      <c r="AE5" s="4093" t="n"/>
      <c r="AF5" s="4093" t="n"/>
      <c r="AG5" s="4093" t="n"/>
      <c r="AH5" s="4096" t="n"/>
    </row>
    <row r="6" ht="14.1" customHeight="1" s="4080">
      <c r="A6" s="4097" t="n"/>
      <c r="B6" s="4107" t="n"/>
      <c r="C6" s="4181" t="inlineStr">
        <is>
          <t>名　称</t>
        </is>
      </c>
      <c r="D6" s="4098" t="n"/>
      <c r="E6" s="4099" t="n"/>
      <c r="F6" s="4182" t="n"/>
      <c r="G6" s="4098" t="n"/>
      <c r="H6" s="4098" t="n"/>
      <c r="I6" s="4098" t="n"/>
      <c r="J6" s="4098" t="n"/>
      <c r="K6" s="4098" t="n"/>
      <c r="L6" s="4098" t="n"/>
      <c r="M6" s="4098" t="n"/>
      <c r="N6" s="4098" t="n"/>
      <c r="O6" s="4098" t="n"/>
      <c r="P6" s="4098" t="n"/>
      <c r="Q6" s="4098" t="n"/>
      <c r="R6" s="4098" t="n"/>
      <c r="S6" s="4098" t="n"/>
      <c r="T6" s="4098" t="n"/>
      <c r="U6" s="4098" t="n"/>
      <c r="V6" s="4098" t="n"/>
      <c r="W6" s="4098" t="n"/>
      <c r="X6" s="4098" t="n"/>
      <c r="Y6" s="4098" t="n"/>
      <c r="Z6" s="4098" t="n"/>
      <c r="AA6" s="4098" t="n"/>
      <c r="AB6" s="4098" t="n"/>
      <c r="AC6" s="4098" t="n"/>
      <c r="AD6" s="4098" t="n"/>
      <c r="AE6" s="4098" t="n"/>
      <c r="AF6" s="4098" t="n"/>
      <c r="AG6" s="4098" t="n"/>
      <c r="AH6" s="4101" t="n"/>
    </row>
    <row r="7" ht="14.1" customHeight="1" s="4080">
      <c r="A7" s="4097" t="n"/>
      <c r="B7" s="4107" t="n"/>
      <c r="C7" s="4102" t="n"/>
      <c r="D7" s="4103" t="n"/>
      <c r="E7" s="4104" t="n"/>
      <c r="F7" s="4102" t="n"/>
      <c r="G7" s="4103" t="n"/>
      <c r="H7" s="4103" t="n"/>
      <c r="I7" s="4103" t="n"/>
      <c r="J7" s="4103" t="n"/>
      <c r="K7" s="4103" t="n"/>
      <c r="L7" s="4103" t="n"/>
      <c r="M7" s="4103" t="n"/>
      <c r="N7" s="4103" t="n"/>
      <c r="O7" s="4103" t="n"/>
      <c r="P7" s="4103" t="n"/>
      <c r="Q7" s="4103" t="n"/>
      <c r="R7" s="4103" t="n"/>
      <c r="S7" s="4103" t="n"/>
      <c r="T7" s="4103" t="n"/>
      <c r="U7" s="4103" t="n"/>
      <c r="V7" s="4103" t="n"/>
      <c r="W7" s="4103" t="n"/>
      <c r="X7" s="4103" t="n"/>
      <c r="Y7" s="4103" t="n"/>
      <c r="Z7" s="4103" t="n"/>
      <c r="AA7" s="4103" t="n"/>
      <c r="AB7" s="4103" t="n"/>
      <c r="AC7" s="4103" t="n"/>
      <c r="AD7" s="4103" t="n"/>
      <c r="AE7" s="4103" t="n"/>
      <c r="AF7" s="4103" t="n"/>
      <c r="AG7" s="4103" t="n"/>
      <c r="AH7" s="4105" t="n"/>
    </row>
    <row r="8" ht="14.1" customHeight="1" s="4080">
      <c r="A8" s="4097" t="n"/>
      <c r="B8" s="4107" t="n"/>
      <c r="C8" s="4181" t="inlineStr">
        <is>
          <t>所在地</t>
        </is>
      </c>
      <c r="D8" s="4098" t="n"/>
      <c r="E8" s="4099" t="n"/>
      <c r="F8" s="1244" t="inlineStr">
        <is>
          <t>郵便番号（</t>
        </is>
      </c>
      <c r="G8" s="4098" t="n"/>
      <c r="H8" s="4098" t="n"/>
      <c r="I8" s="4098" t="n"/>
      <c r="J8" s="1287" t="n"/>
      <c r="K8" s="4098" t="n"/>
      <c r="L8" s="4098" t="n"/>
      <c r="M8" s="4098" t="n"/>
      <c r="N8" s="4098" t="n"/>
      <c r="O8" s="1329" t="inlineStr">
        <is>
          <t>）</t>
        </is>
      </c>
      <c r="P8" s="4311" t="n"/>
      <c r="Q8" s="4098" t="n"/>
      <c r="R8" s="4098" t="n"/>
      <c r="S8" s="4098" t="n"/>
      <c r="T8" s="4098" t="n"/>
      <c r="U8" s="4098" t="n"/>
      <c r="V8" s="4098" t="n"/>
      <c r="W8" s="4098" t="n"/>
      <c r="X8" s="4098" t="n"/>
      <c r="Y8" s="4098" t="n"/>
      <c r="Z8" s="4098" t="n"/>
      <c r="AA8" s="4098" t="n"/>
      <c r="AB8" s="4098" t="n"/>
      <c r="AC8" s="4098" t="n"/>
      <c r="AD8" s="4098" t="n"/>
      <c r="AE8" s="4098" t="n"/>
      <c r="AF8" s="4098" t="n"/>
      <c r="AG8" s="4098" t="n"/>
      <c r="AH8" s="4101" t="n"/>
    </row>
    <row r="9" ht="10.5" customHeight="1" s="4080">
      <c r="A9" s="4097" t="n"/>
      <c r="B9" s="4107" t="n"/>
      <c r="C9" s="4106" t="n"/>
      <c r="E9" s="4107" t="n"/>
      <c r="F9" s="1255" t="inlineStr">
        <is>
          <t>大阪市</t>
        </is>
      </c>
      <c r="I9" s="986" t="n"/>
      <c r="N9" s="1260" t="inlineStr">
        <is>
          <t>区</t>
        </is>
      </c>
      <c r="AH9" s="4109" t="n"/>
    </row>
    <row r="10" ht="3.95" customHeight="1" s="4080">
      <c r="A10" s="4097" t="n"/>
      <c r="B10" s="4107" t="n"/>
      <c r="C10" s="4102" t="n"/>
      <c r="D10" s="4103" t="n"/>
      <c r="E10" s="4104" t="n"/>
      <c r="F10" s="4102" t="n"/>
      <c r="G10" s="4103" t="n"/>
      <c r="H10" s="4103" t="n"/>
      <c r="I10" s="4103" t="n"/>
      <c r="J10" s="4103" t="n"/>
      <c r="K10" s="4103" t="n"/>
      <c r="L10" s="4103" t="n"/>
      <c r="M10" s="4103" t="n"/>
      <c r="N10" s="4103" t="n"/>
      <c r="O10" s="4103" t="n"/>
      <c r="P10" s="4103" t="n"/>
      <c r="Q10" s="4103" t="n"/>
      <c r="R10" s="4103" t="n"/>
      <c r="S10" s="4103" t="n"/>
      <c r="T10" s="4103" t="n"/>
      <c r="U10" s="4103" t="n"/>
      <c r="V10" s="4103" t="n"/>
      <c r="W10" s="4103" t="n"/>
      <c r="X10" s="4103" t="n"/>
      <c r="Y10" s="4103" t="n"/>
      <c r="Z10" s="4103" t="n"/>
      <c r="AA10" s="4103" t="n"/>
      <c r="AB10" s="4103" t="n"/>
      <c r="AC10" s="4103" t="n"/>
      <c r="AD10" s="4103" t="n"/>
      <c r="AE10" s="4103" t="n"/>
      <c r="AF10" s="4103" t="n"/>
      <c r="AG10" s="4103" t="n"/>
      <c r="AH10" s="4105" t="n"/>
    </row>
    <row r="11" ht="15" customHeight="1" s="4080">
      <c r="A11" s="4097" t="n"/>
      <c r="B11" s="4107" t="n"/>
      <c r="C11" s="1864" t="inlineStr">
        <is>
          <t>連絡先</t>
        </is>
      </c>
      <c r="D11" s="4098" t="n"/>
      <c r="E11" s="4098" t="n"/>
      <c r="F11" s="4274" t="inlineStr">
        <is>
          <t>電話番号</t>
        </is>
      </c>
      <c r="G11" s="4110" t="n"/>
      <c r="H11" s="4111" t="n"/>
      <c r="I11" s="882" t="n"/>
      <c r="J11" s="4110" t="n"/>
      <c r="K11" s="4110" t="n"/>
      <c r="L11" s="53" t="inlineStr">
        <is>
          <t>－</t>
        </is>
      </c>
      <c r="M11" s="920" t="n"/>
      <c r="N11" s="4110" t="n"/>
      <c r="O11" s="4110" t="n"/>
      <c r="P11" s="53" t="inlineStr">
        <is>
          <t>－</t>
        </is>
      </c>
      <c r="Q11" s="878" t="n"/>
      <c r="R11" s="4110" t="n"/>
      <c r="S11" s="4111" t="n"/>
      <c r="T11" s="4184" t="inlineStr">
        <is>
          <t>ＦＡＸ番号</t>
        </is>
      </c>
      <c r="U11" s="4110" t="n"/>
      <c r="V11" s="4110" t="n"/>
      <c r="W11" s="4111" t="n"/>
      <c r="X11" s="882" t="n"/>
      <c r="Y11" s="4110" t="n"/>
      <c r="Z11" s="4110" t="n"/>
      <c r="AA11" s="53" t="inlineStr">
        <is>
          <t>－</t>
        </is>
      </c>
      <c r="AB11" s="920" t="n"/>
      <c r="AC11" s="4110" t="n"/>
      <c r="AD11" s="4110" t="n"/>
      <c r="AE11" s="53" t="inlineStr">
        <is>
          <t>－</t>
        </is>
      </c>
      <c r="AF11" s="955" t="n"/>
      <c r="AG11" s="4110" t="n"/>
      <c r="AH11" s="4113" t="n"/>
    </row>
    <row r="12" ht="15" customHeight="1" s="4080">
      <c r="A12" s="4097" t="n"/>
      <c r="B12" s="4107" t="n"/>
      <c r="C12" s="4102" t="n"/>
      <c r="D12" s="4103" t="n"/>
      <c r="E12" s="4103" t="n"/>
      <c r="F12" s="4185" t="inlineStr">
        <is>
          <t>メールアドレス</t>
        </is>
      </c>
      <c r="G12" s="4110" t="n"/>
      <c r="H12" s="4110" t="n"/>
      <c r="I12" s="4110" t="n"/>
      <c r="J12" s="4111" t="n"/>
      <c r="K12" s="4186" t="n"/>
      <c r="L12" s="4110" t="n"/>
      <c r="M12" s="4110" t="n"/>
      <c r="N12" s="4110" t="n"/>
      <c r="O12" s="4110" t="n"/>
      <c r="P12" s="4110" t="n"/>
      <c r="Q12" s="4110" t="n"/>
      <c r="R12" s="4110" t="n"/>
      <c r="S12" s="4110" t="n"/>
      <c r="T12" s="4110" t="n"/>
      <c r="U12" s="4110" t="n"/>
      <c r="V12" s="4110" t="n"/>
      <c r="W12" s="4110" t="n"/>
      <c r="X12" s="4110" t="n"/>
      <c r="Y12" s="4110" t="n"/>
      <c r="Z12" s="4110" t="n"/>
      <c r="AA12" s="4110" t="n"/>
      <c r="AB12" s="4110" t="n"/>
      <c r="AC12" s="4110" t="n"/>
      <c r="AD12" s="4110" t="n"/>
      <c r="AE12" s="4110" t="n"/>
      <c r="AF12" s="4110" t="n"/>
      <c r="AG12" s="4110" t="n"/>
      <c r="AH12" s="4113" t="n"/>
    </row>
    <row r="13" ht="9" customHeight="1" s="4080">
      <c r="A13" s="4097" t="n"/>
      <c r="B13" s="4107" t="n"/>
      <c r="C13" s="2542" t="inlineStr">
        <is>
          <t>実施する事業</t>
        </is>
      </c>
      <c r="D13" s="4099" t="n"/>
      <c r="E13" s="2542" t="inlineStr">
        <is>
          <t>種別</t>
        </is>
      </c>
      <c r="F13" s="4099" t="n"/>
      <c r="G13" s="4185" t="inlineStr">
        <is>
          <t>生活介護</t>
        </is>
      </c>
      <c r="H13" s="4098" t="n"/>
      <c r="I13" s="4098" t="n"/>
      <c r="J13" s="4099" t="n"/>
      <c r="K13" s="2542" t="inlineStr">
        <is>
          <t>自立訓練</t>
        </is>
      </c>
      <c r="L13" s="4098" t="n"/>
      <c r="M13" s="4098" t="n"/>
      <c r="N13" s="4098" t="n"/>
      <c r="O13" s="4098" t="n"/>
      <c r="P13" s="4098" t="n"/>
      <c r="Q13" s="4098" t="n"/>
      <c r="R13" s="4099" t="n"/>
      <c r="S13" s="2542" t="inlineStr">
        <is>
          <t>就労移行
支　　援</t>
        </is>
      </c>
      <c r="T13" s="4098" t="n"/>
      <c r="U13" s="4098" t="n"/>
      <c r="V13" s="4099" t="n"/>
      <c r="W13" s="1437" t="inlineStr">
        <is>
          <t>就労継続支援</t>
        </is>
      </c>
      <c r="X13" s="4098" t="n"/>
      <c r="Y13" s="4098" t="n"/>
      <c r="Z13" s="4098" t="n"/>
      <c r="AA13" s="4098" t="n"/>
      <c r="AB13" s="4098" t="n"/>
      <c r="AC13" s="4098" t="n"/>
      <c r="AD13" s="4098" t="n"/>
      <c r="AE13" s="4507" t="inlineStr">
        <is>
          <t>放課後等デイサービス
児童発達支援</t>
        </is>
      </c>
      <c r="AF13" s="4098" t="n"/>
      <c r="AG13" s="4098" t="n"/>
      <c r="AH13" s="4101" t="n"/>
    </row>
    <row r="14" ht="8.25" customHeight="1" s="4080">
      <c r="A14" s="4097" t="n"/>
      <c r="B14" s="4107" t="n"/>
      <c r="C14" s="4106" t="n"/>
      <c r="D14" s="4107" t="n"/>
      <c r="E14" s="4106" t="n"/>
      <c r="F14" s="4107" t="n"/>
      <c r="G14" s="4106" t="n"/>
      <c r="J14" s="4107" t="n"/>
      <c r="K14" s="4102" t="n"/>
      <c r="L14" s="4103" t="n"/>
      <c r="M14" s="4103" t="n"/>
      <c r="N14" s="4103" t="n"/>
      <c r="O14" s="4103" t="n"/>
      <c r="P14" s="4103" t="n"/>
      <c r="Q14" s="4103" t="n"/>
      <c r="R14" s="4104" t="n"/>
      <c r="S14" s="4106" t="n"/>
      <c r="V14" s="4107" t="n"/>
      <c r="W14" s="4102" t="n"/>
      <c r="X14" s="4103" t="n"/>
      <c r="Y14" s="4103" t="n"/>
      <c r="Z14" s="4103" t="n"/>
      <c r="AA14" s="4103" t="n"/>
      <c r="AB14" s="4103" t="n"/>
      <c r="AC14" s="4103" t="n"/>
      <c r="AD14" s="4103" t="n"/>
      <c r="AE14" s="4106" t="n"/>
      <c r="AH14" s="4109" t="n"/>
    </row>
    <row r="15" ht="12" customHeight="1" s="4080">
      <c r="A15" s="4097" t="n"/>
      <c r="B15" s="4107" t="n"/>
      <c r="C15" s="4106" t="n"/>
      <c r="D15" s="4107" t="n"/>
      <c r="E15" s="4106" t="n"/>
      <c r="F15" s="4107" t="n"/>
      <c r="G15" s="4102" t="n"/>
      <c r="H15" s="4103" t="n"/>
      <c r="I15" s="4103" t="n"/>
      <c r="J15" s="4104" t="n"/>
      <c r="K15" s="4508" t="inlineStr">
        <is>
          <t>機能訓練</t>
        </is>
      </c>
      <c r="L15" s="4103" t="n"/>
      <c r="M15" s="4103" t="n"/>
      <c r="N15" s="4104" t="n"/>
      <c r="O15" s="1786" t="inlineStr">
        <is>
          <t>生活訓練</t>
        </is>
      </c>
      <c r="P15" s="4103" t="n"/>
      <c r="Q15" s="4103" t="n"/>
      <c r="R15" s="4103" t="n"/>
      <c r="S15" s="4102" t="n"/>
      <c r="T15" s="4103" t="n"/>
      <c r="U15" s="4103" t="n"/>
      <c r="V15" s="4104" t="n"/>
      <c r="W15" s="3089" t="inlineStr">
        <is>
          <t>Ａ　型</t>
        </is>
      </c>
      <c r="X15" s="4103" t="n"/>
      <c r="Y15" s="4103" t="n"/>
      <c r="Z15" s="4104" t="n"/>
      <c r="AA15" s="2377" t="inlineStr">
        <is>
          <t>Ｂ　型</t>
        </is>
      </c>
      <c r="AB15" s="4103" t="n"/>
      <c r="AC15" s="4103" t="n"/>
      <c r="AD15" s="4103" t="n"/>
      <c r="AE15" s="4102" t="n"/>
      <c r="AF15" s="4103" t="n"/>
      <c r="AG15" s="4103" t="n"/>
      <c r="AH15" s="4105" t="n"/>
    </row>
    <row r="16" ht="12" customHeight="1" s="4080">
      <c r="A16" s="4097" t="n"/>
      <c r="B16" s="4107" t="n"/>
      <c r="C16" s="4106" t="n"/>
      <c r="D16" s="4107" t="n"/>
      <c r="E16" s="4102" t="n"/>
      <c r="F16" s="4104" t="n"/>
      <c r="G16" s="4115" t="n"/>
      <c r="H16" s="4110" t="n"/>
      <c r="I16" s="4110" t="n"/>
      <c r="J16" s="4111" t="n"/>
      <c r="K16" s="4115" t="n"/>
      <c r="L16" s="4110" t="n"/>
      <c r="M16" s="4110" t="n"/>
      <c r="N16" s="4111" t="n"/>
      <c r="O16" s="4115" t="n"/>
      <c r="P16" s="4110" t="n"/>
      <c r="Q16" s="4110" t="n"/>
      <c r="R16" s="4111" t="n"/>
      <c r="S16" s="4115" t="n"/>
      <c r="T16" s="4110" t="n"/>
      <c r="U16" s="4110" t="n"/>
      <c r="V16" s="4111" t="n"/>
      <c r="W16" s="4115" t="n"/>
      <c r="X16" s="4110" t="n"/>
      <c r="Y16" s="4110" t="n"/>
      <c r="Z16" s="4111" t="n"/>
      <c r="AA16" s="997" t="n"/>
      <c r="AB16" s="4110" t="n"/>
      <c r="AC16" s="4110" t="n"/>
      <c r="AD16" s="4110" t="n"/>
      <c r="AE16" s="4509" t="inlineStr">
        <is>
          <t xml:space="preserve">　</t>
        </is>
      </c>
      <c r="AF16" s="4110" t="n"/>
      <c r="AG16" s="4110" t="n"/>
      <c r="AH16" s="4113" t="n"/>
    </row>
    <row r="17" ht="21.75" customHeight="1" s="4080">
      <c r="A17" s="4097" t="n"/>
      <c r="B17" s="4107" t="n"/>
      <c r="C17" s="4102" t="n"/>
      <c r="D17" s="4104" t="n"/>
      <c r="E17" s="2385" t="inlineStr">
        <is>
          <t>利用定員</t>
        </is>
      </c>
      <c r="F17" s="4104" t="n"/>
      <c r="G17" s="2386" t="n"/>
      <c r="H17" s="4110" t="n"/>
      <c r="I17" s="4110" t="n"/>
      <c r="J17" s="1268" t="inlineStr">
        <is>
          <t>人</t>
        </is>
      </c>
      <c r="K17" s="2386" t="inlineStr">
        <is>
          <t xml:space="preserve">　</t>
        </is>
      </c>
      <c r="L17" s="4110" t="n"/>
      <c r="M17" s="4110" t="n"/>
      <c r="N17" s="1268" t="inlineStr">
        <is>
          <t>人</t>
        </is>
      </c>
      <c r="O17" s="2386" t="inlineStr">
        <is>
          <t xml:space="preserve">　</t>
        </is>
      </c>
      <c r="P17" s="4110" t="n"/>
      <c r="Q17" s="4110" t="n"/>
      <c r="R17" s="1268" t="inlineStr">
        <is>
          <t>人</t>
        </is>
      </c>
      <c r="S17" s="2386" t="n"/>
      <c r="T17" s="4110" t="n"/>
      <c r="U17" s="4110" t="n"/>
      <c r="V17" s="1268" t="inlineStr">
        <is>
          <t>人</t>
        </is>
      </c>
      <c r="W17" s="2386" t="inlineStr">
        <is>
          <t xml:space="preserve">　</t>
        </is>
      </c>
      <c r="X17" s="4110" t="n"/>
      <c r="Y17" s="4110" t="n"/>
      <c r="Z17" s="1268" t="inlineStr">
        <is>
          <t>人</t>
        </is>
      </c>
      <c r="AA17" s="2386" t="n"/>
      <c r="AB17" s="4110" t="n"/>
      <c r="AC17" s="4110" t="n"/>
      <c r="AD17" s="1267" t="inlineStr">
        <is>
          <t>人</t>
        </is>
      </c>
      <c r="AE17" s="2386" t="inlineStr">
        <is>
          <t xml:space="preserve">　</t>
        </is>
      </c>
      <c r="AF17" s="4110" t="n"/>
      <c r="AG17" s="4110" t="n"/>
      <c r="AH17" s="1902" t="inlineStr">
        <is>
          <t>人</t>
        </is>
      </c>
    </row>
    <row r="18" ht="8.25" customHeight="1" s="4080">
      <c r="A18" s="4097" t="n"/>
      <c r="B18" s="4107" t="n"/>
      <c r="C18" s="1393" t="n"/>
      <c r="D18" s="4222" t="inlineStr">
        <is>
          <t>サービスを提供
する主たる対象者</t>
        </is>
      </c>
      <c r="E18" s="4098" t="n"/>
      <c r="F18" s="4098" t="n"/>
      <c r="G18" s="4098" t="n"/>
      <c r="H18" s="4098" t="n"/>
      <c r="I18" s="4098" t="n"/>
      <c r="J18" s="4223" t="n"/>
      <c r="K18" s="1670" t="inlineStr">
        <is>
          <t>身体障害者</t>
        </is>
      </c>
      <c r="L18" s="4098" t="n"/>
      <c r="M18" s="4098" t="n"/>
      <c r="N18" s="4099" t="n"/>
      <c r="O18" s="4510" t="inlineStr">
        <is>
          <t>知的障害者</t>
        </is>
      </c>
      <c r="P18" s="4098" t="n"/>
      <c r="Q18" s="4098" t="n"/>
      <c r="R18" s="4099" t="n"/>
      <c r="S18" s="4510" t="inlineStr">
        <is>
          <t>精神障害者</t>
        </is>
      </c>
      <c r="T18" s="4098" t="n"/>
      <c r="U18" s="4098" t="n"/>
      <c r="V18" s="4099" t="n"/>
      <c r="W18" s="4511" t="inlineStr">
        <is>
          <t>難病等対象者</t>
        </is>
      </c>
      <c r="X18" s="4098" t="n"/>
      <c r="Y18" s="4098" t="n"/>
      <c r="Z18" s="4099" t="n"/>
      <c r="AA18" s="2037" t="n"/>
      <c r="AB18" s="2037" t="n"/>
      <c r="AC18" s="2037" t="n"/>
      <c r="AD18" s="2037" t="n"/>
      <c r="AE18" s="2037" t="n"/>
      <c r="AF18" s="2037" t="n"/>
      <c r="AG18" s="2037" t="n"/>
      <c r="AH18" s="2272" t="n"/>
    </row>
    <row r="19" ht="8.25" customHeight="1" s="4080">
      <c r="A19" s="4097" t="n"/>
      <c r="B19" s="4107" t="n"/>
      <c r="C19" s="4106" t="n"/>
      <c r="J19" s="4107" t="n"/>
      <c r="K19" s="4145" t="n"/>
      <c r="L19" s="4146" t="n"/>
      <c r="M19" s="4146" t="n"/>
      <c r="N19" s="4147" t="n"/>
      <c r="O19" s="4145" t="n"/>
      <c r="P19" s="4146" t="n"/>
      <c r="Q19" s="4146" t="n"/>
      <c r="R19" s="4147" t="n"/>
      <c r="S19" s="4145" t="n"/>
      <c r="T19" s="4146" t="n"/>
      <c r="U19" s="4146" t="n"/>
      <c r="V19" s="4147" t="n"/>
      <c r="W19" s="4145" t="n"/>
      <c r="X19" s="4146" t="n"/>
      <c r="Y19" s="4146" t="n"/>
      <c r="Z19" s="4147" t="n"/>
      <c r="AA19" s="2038" t="n"/>
      <c r="AB19" s="2038" t="n"/>
      <c r="AC19" s="2038" t="n"/>
      <c r="AD19" s="2038" t="n"/>
      <c r="AE19" s="2038" t="n"/>
      <c r="AF19" s="2038" t="n"/>
      <c r="AG19" s="2038" t="n"/>
      <c r="AH19" s="298" t="n"/>
    </row>
    <row r="20" ht="12" customHeight="1" s="4080" thickBot="1">
      <c r="A20" s="4114" t="n"/>
      <c r="B20" s="4104" t="n"/>
      <c r="C20" s="4102" t="n"/>
      <c r="D20" s="4103" t="n"/>
      <c r="E20" s="4103" t="n"/>
      <c r="F20" s="4103" t="n"/>
      <c r="G20" s="4103" t="n"/>
      <c r="H20" s="4103" t="n"/>
      <c r="I20" s="4103" t="n"/>
      <c r="J20" s="4104" t="n"/>
      <c r="K20" s="1663" t="n"/>
      <c r="L20" s="4140" t="n"/>
      <c r="M20" s="4140" t="n"/>
      <c r="N20" s="4141" t="n"/>
      <c r="O20" s="1663" t="n"/>
      <c r="P20" s="4140" t="n"/>
      <c r="Q20" s="4140" t="n"/>
      <c r="R20" s="4141" t="n"/>
      <c r="S20" s="1663" t="n"/>
      <c r="T20" s="4140" t="n"/>
      <c r="U20" s="4140" t="n"/>
      <c r="V20" s="4141" t="n"/>
      <c r="W20" s="2389" t="n"/>
      <c r="X20" s="4512" t="n"/>
      <c r="Y20" s="4512" t="n"/>
      <c r="Z20" s="4513" t="n"/>
      <c r="AA20" s="299" t="n"/>
      <c r="AB20" s="299" t="n"/>
      <c r="AC20" s="299" t="n"/>
      <c r="AD20" s="299" t="n"/>
      <c r="AE20" s="299" t="n"/>
      <c r="AF20" s="299" t="n"/>
      <c r="AG20" s="299" t="n"/>
      <c r="AH20" s="300" t="n"/>
    </row>
    <row r="21" ht="14.1" customHeight="1" s="4080">
      <c r="A21" s="4514" t="inlineStr">
        <is>
          <t>主たる事業所</t>
        </is>
      </c>
      <c r="B21" s="4356" t="n"/>
      <c r="C21" s="4180" t="inlineStr">
        <is>
          <t>ﾌﾘｶﾞﾅ</t>
        </is>
      </c>
      <c r="D21" s="4093" t="n"/>
      <c r="E21" s="4094" t="n"/>
      <c r="F21" s="4095" t="n"/>
      <c r="G21" s="4093" t="n"/>
      <c r="H21" s="4093" t="n"/>
      <c r="I21" s="4093" t="n"/>
      <c r="J21" s="4093" t="n"/>
      <c r="K21" s="4093" t="n"/>
      <c r="L21" s="4093" t="n"/>
      <c r="M21" s="4093" t="n"/>
      <c r="N21" s="4093" t="n"/>
      <c r="O21" s="4093" t="n"/>
      <c r="P21" s="4093" t="n"/>
      <c r="Q21" s="4093" t="n"/>
      <c r="R21" s="4093" t="n"/>
      <c r="S21" s="4093" t="n"/>
      <c r="T21" s="4093" t="n"/>
      <c r="U21" s="4093" t="n"/>
      <c r="V21" s="4093" t="n"/>
      <c r="W21" s="4093" t="n"/>
      <c r="X21" s="4093" t="n"/>
      <c r="Y21" s="4093" t="n"/>
      <c r="Z21" s="4093" t="n"/>
      <c r="AA21" s="4093" t="n"/>
      <c r="AB21" s="4093" t="n"/>
      <c r="AC21" s="4093" t="n"/>
      <c r="AD21" s="4093" t="n"/>
      <c r="AE21" s="4093" t="n"/>
      <c r="AF21" s="4093" t="n"/>
      <c r="AG21" s="4093" t="n"/>
      <c r="AH21" s="4096" t="n"/>
    </row>
    <row r="22" ht="14.1" customHeight="1" s="4080">
      <c r="A22" s="4097" t="n"/>
      <c r="B22" s="4107" t="n"/>
      <c r="C22" s="4181" t="inlineStr">
        <is>
          <t>名　称</t>
        </is>
      </c>
      <c r="D22" s="4098" t="n"/>
      <c r="E22" s="4099" t="n"/>
      <c r="F22" s="4182" t="n"/>
      <c r="G22" s="4098" t="n"/>
      <c r="H22" s="4098" t="n"/>
      <c r="I22" s="4098" t="n"/>
      <c r="J22" s="4098" t="n"/>
      <c r="K22" s="4098" t="n"/>
      <c r="L22" s="4098" t="n"/>
      <c r="M22" s="4098" t="n"/>
      <c r="N22" s="4098" t="n"/>
      <c r="O22" s="4098" t="n"/>
      <c r="P22" s="4098" t="n"/>
      <c r="Q22" s="4098" t="n"/>
      <c r="R22" s="4098" t="n"/>
      <c r="S22" s="4098" t="n"/>
      <c r="T22" s="4098" t="n"/>
      <c r="U22" s="4098" t="n"/>
      <c r="V22" s="4098" t="n"/>
      <c r="W22" s="4098" t="n"/>
      <c r="X22" s="4098" t="n"/>
      <c r="Y22" s="4098" t="n"/>
      <c r="Z22" s="4098" t="n"/>
      <c r="AA22" s="4098" t="n"/>
      <c r="AB22" s="4098" t="n"/>
      <c r="AC22" s="4098" t="n"/>
      <c r="AD22" s="4098" t="n"/>
      <c r="AE22" s="4098" t="n"/>
      <c r="AF22" s="4098" t="n"/>
      <c r="AG22" s="4098" t="n"/>
      <c r="AH22" s="4101" t="n"/>
    </row>
    <row r="23" ht="14.1" customHeight="1" s="4080">
      <c r="A23" s="4097" t="n"/>
      <c r="B23" s="4107" t="n"/>
      <c r="C23" s="4102" t="n"/>
      <c r="D23" s="4103" t="n"/>
      <c r="E23" s="4104" t="n"/>
      <c r="F23" s="4102" t="n"/>
      <c r="G23" s="4103" t="n"/>
      <c r="H23" s="4103" t="n"/>
      <c r="I23" s="4103" t="n"/>
      <c r="J23" s="4103" t="n"/>
      <c r="K23" s="4103" t="n"/>
      <c r="L23" s="4103" t="n"/>
      <c r="M23" s="4103" t="n"/>
      <c r="N23" s="4103" t="n"/>
      <c r="O23" s="4103" t="n"/>
      <c r="P23" s="4103" t="n"/>
      <c r="Q23" s="4103" t="n"/>
      <c r="R23" s="4103" t="n"/>
      <c r="S23" s="4103" t="n"/>
      <c r="T23" s="4103" t="n"/>
      <c r="U23" s="4103" t="n"/>
      <c r="V23" s="4103" t="n"/>
      <c r="W23" s="4103" t="n"/>
      <c r="X23" s="4103" t="n"/>
      <c r="Y23" s="4103" t="n"/>
      <c r="Z23" s="4103" t="n"/>
      <c r="AA23" s="4103" t="n"/>
      <c r="AB23" s="4103" t="n"/>
      <c r="AC23" s="4103" t="n"/>
      <c r="AD23" s="4103" t="n"/>
      <c r="AE23" s="4103" t="n"/>
      <c r="AF23" s="4103" t="n"/>
      <c r="AG23" s="4103" t="n"/>
      <c r="AH23" s="4105" t="n"/>
    </row>
    <row r="24" ht="14.1" customHeight="1" s="4080">
      <c r="A24" s="4097" t="n"/>
      <c r="B24" s="4107" t="n"/>
      <c r="C24" s="4181" t="inlineStr">
        <is>
          <t>所在地</t>
        </is>
      </c>
      <c r="D24" s="4098" t="n"/>
      <c r="E24" s="4099" t="n"/>
      <c r="F24" s="1244" t="inlineStr">
        <is>
          <t>郵便番号（</t>
        </is>
      </c>
      <c r="G24" s="4098" t="n"/>
      <c r="H24" s="4098" t="n"/>
      <c r="I24" s="4098" t="n"/>
      <c r="J24" s="1287" t="n"/>
      <c r="K24" s="4098" t="n"/>
      <c r="L24" s="4098" t="n"/>
      <c r="M24" s="4098" t="n"/>
      <c r="N24" s="4098" t="n"/>
      <c r="O24" s="1329" t="inlineStr">
        <is>
          <t>）</t>
        </is>
      </c>
      <c r="P24" s="4311" t="n"/>
      <c r="Q24" s="4098" t="n"/>
      <c r="R24" s="4098" t="n"/>
      <c r="S24" s="4098" t="n"/>
      <c r="T24" s="4098" t="n"/>
      <c r="U24" s="4098" t="n"/>
      <c r="V24" s="4098" t="n"/>
      <c r="W24" s="4098" t="n"/>
      <c r="X24" s="4098" t="n"/>
      <c r="Y24" s="4098" t="n"/>
      <c r="Z24" s="4098" t="n"/>
      <c r="AA24" s="4098" t="n"/>
      <c r="AB24" s="4098" t="n"/>
      <c r="AC24" s="4098" t="n"/>
      <c r="AD24" s="4098" t="n"/>
      <c r="AE24" s="4098" t="n"/>
      <c r="AF24" s="4098" t="n"/>
      <c r="AG24" s="4098" t="n"/>
      <c r="AH24" s="4101" t="n"/>
    </row>
    <row r="25" ht="12" customHeight="1" s="4080">
      <c r="A25" s="4097" t="n"/>
      <c r="B25" s="4107" t="n"/>
      <c r="C25" s="4106" t="n"/>
      <c r="E25" s="4107" t="n"/>
      <c r="F25" s="1255" t="inlineStr">
        <is>
          <t>大阪市</t>
        </is>
      </c>
      <c r="I25" s="986" t="n"/>
      <c r="N25" s="1260" t="inlineStr">
        <is>
          <t>区</t>
        </is>
      </c>
      <c r="AH25" s="4109" t="n"/>
    </row>
    <row r="26" ht="3.95" customHeight="1" s="4080">
      <c r="A26" s="4097" t="n"/>
      <c r="B26" s="4107" t="n"/>
      <c r="C26" s="4102" t="n"/>
      <c r="D26" s="4103" t="n"/>
      <c r="E26" s="4104" t="n"/>
      <c r="F26" s="4102" t="n"/>
      <c r="G26" s="4103" t="n"/>
      <c r="H26" s="4103" t="n"/>
      <c r="I26" s="4103" t="n"/>
      <c r="J26" s="4103" t="n"/>
      <c r="K26" s="4103" t="n"/>
      <c r="L26" s="4103" t="n"/>
      <c r="M26" s="4103" t="n"/>
      <c r="N26" s="4103" t="n"/>
      <c r="O26" s="4103" t="n"/>
      <c r="P26" s="4103" t="n"/>
      <c r="Q26" s="4103" t="n"/>
      <c r="R26" s="4103" t="n"/>
      <c r="S26" s="4103" t="n"/>
      <c r="T26" s="4103" t="n"/>
      <c r="U26" s="4103" t="n"/>
      <c r="V26" s="4103" t="n"/>
      <c r="W26" s="4103" t="n"/>
      <c r="X26" s="4103" t="n"/>
      <c r="Y26" s="4103" t="n"/>
      <c r="Z26" s="4103" t="n"/>
      <c r="AA26" s="4103" t="n"/>
      <c r="AB26" s="4103" t="n"/>
      <c r="AC26" s="4103" t="n"/>
      <c r="AD26" s="4103" t="n"/>
      <c r="AE26" s="4103" t="n"/>
      <c r="AF26" s="4103" t="n"/>
      <c r="AG26" s="4103" t="n"/>
      <c r="AH26" s="4105" t="n"/>
    </row>
    <row r="27" ht="15" customHeight="1" s="4080">
      <c r="A27" s="4097" t="n"/>
      <c r="B27" s="4107" t="n"/>
      <c r="C27" s="1864" t="inlineStr">
        <is>
          <t>連絡先</t>
        </is>
      </c>
      <c r="D27" s="4098" t="n"/>
      <c r="E27" s="4098" t="n"/>
      <c r="F27" s="4274" t="inlineStr">
        <is>
          <t>電話番号</t>
        </is>
      </c>
      <c r="G27" s="4110" t="n"/>
      <c r="H27" s="4111" t="n"/>
      <c r="I27" s="882" t="n"/>
      <c r="J27" s="4110" t="n"/>
      <c r="K27" s="4110" t="n"/>
      <c r="L27" s="53" t="inlineStr">
        <is>
          <t>－</t>
        </is>
      </c>
      <c r="M27" s="920" t="n"/>
      <c r="N27" s="4110" t="n"/>
      <c r="O27" s="4110" t="n"/>
      <c r="P27" s="53" t="inlineStr">
        <is>
          <t>－</t>
        </is>
      </c>
      <c r="Q27" s="878" t="n"/>
      <c r="R27" s="4110" t="n"/>
      <c r="S27" s="4111" t="n"/>
      <c r="T27" s="4184" t="inlineStr">
        <is>
          <t>ＦＡＸ番号</t>
        </is>
      </c>
      <c r="U27" s="4110" t="n"/>
      <c r="V27" s="4110" t="n"/>
      <c r="W27" s="4111" t="n"/>
      <c r="X27" s="882" t="n"/>
      <c r="Y27" s="4110" t="n"/>
      <c r="Z27" s="4110" t="n"/>
      <c r="AA27" s="53" t="inlineStr">
        <is>
          <t>－</t>
        </is>
      </c>
      <c r="AB27" s="920" t="n"/>
      <c r="AC27" s="4110" t="n"/>
      <c r="AD27" s="4110" t="n"/>
      <c r="AE27" s="53" t="inlineStr">
        <is>
          <t>－</t>
        </is>
      </c>
      <c r="AF27" s="955" t="n"/>
      <c r="AG27" s="4110" t="n"/>
      <c r="AH27" s="4113" t="n"/>
    </row>
    <row r="28" ht="15" customHeight="1" s="4080">
      <c r="A28" s="4097" t="n"/>
      <c r="B28" s="4107" t="n"/>
      <c r="C28" s="4102" t="n"/>
      <c r="D28" s="4103" t="n"/>
      <c r="E28" s="4103" t="n"/>
      <c r="F28" s="4185" t="inlineStr">
        <is>
          <t>メールアドレス</t>
        </is>
      </c>
      <c r="G28" s="4110" t="n"/>
      <c r="H28" s="4110" t="n"/>
      <c r="I28" s="4110" t="n"/>
      <c r="J28" s="4111" t="n"/>
      <c r="K28" s="4186" t="n"/>
      <c r="L28" s="4110" t="n"/>
      <c r="M28" s="4110" t="n"/>
      <c r="N28" s="4110" t="n"/>
      <c r="O28" s="4110" t="n"/>
      <c r="P28" s="4110" t="n"/>
      <c r="Q28" s="4110" t="n"/>
      <c r="R28" s="4110" t="n"/>
      <c r="S28" s="4110" t="n"/>
      <c r="T28" s="4110" t="n"/>
      <c r="U28" s="4110" t="n"/>
      <c r="V28" s="4110" t="n"/>
      <c r="W28" s="4110" t="n"/>
      <c r="X28" s="4110" t="n"/>
      <c r="Y28" s="4110" t="n"/>
      <c r="Z28" s="4110" t="n"/>
      <c r="AA28" s="4110" t="n"/>
      <c r="AB28" s="4110" t="n"/>
      <c r="AC28" s="4110" t="n"/>
      <c r="AD28" s="4110" t="n"/>
      <c r="AE28" s="4110" t="n"/>
      <c r="AF28" s="4110" t="n"/>
      <c r="AG28" s="4110" t="n"/>
      <c r="AH28" s="4113" t="n"/>
    </row>
    <row r="29" ht="18" customHeight="1" s="4080">
      <c r="A29" s="4097" t="n"/>
      <c r="B29" s="4107" t="n"/>
      <c r="C29" s="4181" t="inlineStr">
        <is>
          <t>事業所番号</t>
        </is>
      </c>
      <c r="D29" s="4110" t="n"/>
      <c r="E29" s="4110" t="n"/>
      <c r="F29" s="4111" t="n"/>
      <c r="G29" s="301" t="n"/>
      <c r="H29" s="302" t="n"/>
      <c r="I29" s="303" t="n"/>
      <c r="J29" s="303" t="n"/>
      <c r="K29" s="303" t="n"/>
      <c r="L29" s="304" t="n"/>
      <c r="M29" s="1279" t="n"/>
      <c r="N29" s="1279" t="n"/>
      <c r="O29" s="1279" t="n"/>
      <c r="P29" s="306" t="n"/>
      <c r="Q29" s="270" t="n"/>
      <c r="R29" s="270" t="n"/>
      <c r="S29" s="270" t="n"/>
      <c r="T29" s="270" t="n"/>
      <c r="U29" s="270" t="n"/>
      <c r="V29" s="307" t="n"/>
      <c r="W29" s="307" t="n"/>
      <c r="X29" s="308" t="n"/>
      <c r="Y29" s="307" t="n"/>
      <c r="Z29" s="2221" t="n"/>
      <c r="AA29" s="270" t="n"/>
      <c r="AB29" s="270" t="n"/>
      <c r="AC29" s="270" t="n"/>
      <c r="AD29" s="270" t="n"/>
      <c r="AE29" s="270" t="n"/>
      <c r="AF29" s="270" t="n"/>
      <c r="AG29" s="270" t="n"/>
      <c r="AH29" s="310" t="n"/>
    </row>
    <row r="30" ht="9" customHeight="1" s="4080">
      <c r="A30" s="4097" t="n"/>
      <c r="B30" s="4107" t="n"/>
      <c r="C30" s="2542" t="inlineStr">
        <is>
          <t>事業種別</t>
        </is>
      </c>
      <c r="D30" s="4099" t="n"/>
      <c r="E30" s="2542" t="inlineStr">
        <is>
          <t>種別</t>
        </is>
      </c>
      <c r="F30" s="4099" t="n"/>
      <c r="G30" s="4185" t="inlineStr">
        <is>
          <t>生活介護</t>
        </is>
      </c>
      <c r="H30" s="4098" t="n"/>
      <c r="I30" s="4098" t="n"/>
      <c r="J30" s="4099" t="n"/>
      <c r="K30" s="2542" t="inlineStr">
        <is>
          <t>自立訓練</t>
        </is>
      </c>
      <c r="L30" s="4098" t="n"/>
      <c r="M30" s="4098" t="n"/>
      <c r="N30" s="4098" t="n"/>
      <c r="O30" s="4098" t="n"/>
      <c r="P30" s="4098" t="n"/>
      <c r="Q30" s="4098" t="n"/>
      <c r="R30" s="4099" t="n"/>
      <c r="S30" s="2542" t="inlineStr">
        <is>
          <t>就労移行
支　　援</t>
        </is>
      </c>
      <c r="T30" s="4098" t="n"/>
      <c r="U30" s="4098" t="n"/>
      <c r="V30" s="4099" t="n"/>
      <c r="W30" s="1437" t="inlineStr">
        <is>
          <t>就労継続支援</t>
        </is>
      </c>
      <c r="X30" s="4098" t="n"/>
      <c r="Y30" s="4098" t="n"/>
      <c r="Z30" s="4098" t="n"/>
      <c r="AA30" s="4098" t="n"/>
      <c r="AB30" s="4098" t="n"/>
      <c r="AC30" s="4098" t="n"/>
      <c r="AD30" s="4098" t="n"/>
      <c r="AE30" s="4507" t="inlineStr">
        <is>
          <t>放課後等デイサービス
児童発達支援</t>
        </is>
      </c>
      <c r="AF30" s="4098" t="n"/>
      <c r="AG30" s="4098" t="n"/>
      <c r="AH30" s="4101" t="n"/>
    </row>
    <row r="31" ht="8.25" customHeight="1" s="4080">
      <c r="A31" s="4097" t="n"/>
      <c r="B31" s="4107" t="n"/>
      <c r="C31" s="4106" t="n"/>
      <c r="D31" s="4107" t="n"/>
      <c r="E31" s="4106" t="n"/>
      <c r="F31" s="4107" t="n"/>
      <c r="G31" s="4106" t="n"/>
      <c r="J31" s="4107" t="n"/>
      <c r="K31" s="4102" t="n"/>
      <c r="L31" s="4103" t="n"/>
      <c r="M31" s="4103" t="n"/>
      <c r="N31" s="4103" t="n"/>
      <c r="O31" s="4103" t="n"/>
      <c r="P31" s="4103" t="n"/>
      <c r="Q31" s="4103" t="n"/>
      <c r="R31" s="4104" t="n"/>
      <c r="S31" s="4106" t="n"/>
      <c r="V31" s="4107" t="n"/>
      <c r="W31" s="4102" t="n"/>
      <c r="X31" s="4103" t="n"/>
      <c r="Y31" s="4103" t="n"/>
      <c r="Z31" s="4103" t="n"/>
      <c r="AA31" s="4103" t="n"/>
      <c r="AB31" s="4103" t="n"/>
      <c r="AC31" s="4103" t="n"/>
      <c r="AD31" s="4103" t="n"/>
      <c r="AE31" s="4106" t="n"/>
      <c r="AH31" s="4109" t="n"/>
    </row>
    <row r="32" ht="12" customHeight="1" s="4080">
      <c r="A32" s="4097" t="n"/>
      <c r="B32" s="4107" t="n"/>
      <c r="C32" s="4106" t="n"/>
      <c r="D32" s="4107" t="n"/>
      <c r="E32" s="4106" t="n"/>
      <c r="F32" s="4107" t="n"/>
      <c r="G32" s="4102" t="n"/>
      <c r="H32" s="4103" t="n"/>
      <c r="I32" s="4103" t="n"/>
      <c r="J32" s="4104" t="n"/>
      <c r="K32" s="4508" t="inlineStr">
        <is>
          <t>機能訓練</t>
        </is>
      </c>
      <c r="L32" s="4103" t="n"/>
      <c r="M32" s="4103" t="n"/>
      <c r="N32" s="4104" t="n"/>
      <c r="O32" s="1786" t="inlineStr">
        <is>
          <t>生活訓練</t>
        </is>
      </c>
      <c r="P32" s="4103" t="n"/>
      <c r="Q32" s="4103" t="n"/>
      <c r="R32" s="4103" t="n"/>
      <c r="S32" s="4102" t="n"/>
      <c r="T32" s="4103" t="n"/>
      <c r="U32" s="4103" t="n"/>
      <c r="V32" s="4104" t="n"/>
      <c r="W32" s="3089" t="inlineStr">
        <is>
          <t>Ａ　型</t>
        </is>
      </c>
      <c r="X32" s="4103" t="n"/>
      <c r="Y32" s="4103" t="n"/>
      <c r="Z32" s="4104" t="n"/>
      <c r="AA32" s="2377" t="inlineStr">
        <is>
          <t>Ｂ　型</t>
        </is>
      </c>
      <c r="AB32" s="4103" t="n"/>
      <c r="AC32" s="4103" t="n"/>
      <c r="AD32" s="4103" t="n"/>
      <c r="AE32" s="4102" t="n"/>
      <c r="AF32" s="4103" t="n"/>
      <c r="AG32" s="4103" t="n"/>
      <c r="AH32" s="4105" t="n"/>
    </row>
    <row r="33" ht="12" customHeight="1" s="4080">
      <c r="A33" s="4097" t="n"/>
      <c r="B33" s="4107" t="n"/>
      <c r="C33" s="4106" t="n"/>
      <c r="D33" s="4107" t="n"/>
      <c r="E33" s="4102" t="n"/>
      <c r="F33" s="4104" t="n"/>
      <c r="G33" s="4115" t="n"/>
      <c r="H33" s="4110" t="n"/>
      <c r="I33" s="4110" t="n"/>
      <c r="J33" s="4111" t="n"/>
      <c r="K33" s="4115" t="n"/>
      <c r="L33" s="4110" t="n"/>
      <c r="M33" s="4110" t="n"/>
      <c r="N33" s="4111" t="n"/>
      <c r="O33" s="4115" t="n"/>
      <c r="P33" s="4110" t="n"/>
      <c r="Q33" s="4110" t="n"/>
      <c r="R33" s="4111" t="n"/>
      <c r="S33" s="4115" t="n"/>
      <c r="T33" s="4110" t="n"/>
      <c r="U33" s="4110" t="n"/>
      <c r="V33" s="4111" t="n"/>
      <c r="W33" s="4115" t="n"/>
      <c r="X33" s="4110" t="n"/>
      <c r="Y33" s="4110" t="n"/>
      <c r="Z33" s="4111" t="n"/>
      <c r="AA33" s="997" t="n"/>
      <c r="AB33" s="4110" t="n"/>
      <c r="AC33" s="4110" t="n"/>
      <c r="AD33" s="4110" t="n"/>
      <c r="AE33" s="4509" t="inlineStr">
        <is>
          <t xml:space="preserve">　</t>
        </is>
      </c>
      <c r="AF33" s="4110" t="n"/>
      <c r="AG33" s="4110" t="n"/>
      <c r="AH33" s="4113" t="n"/>
    </row>
    <row r="34" ht="21.75" customHeight="1" s="4080">
      <c r="A34" s="4097" t="n"/>
      <c r="B34" s="4107" t="n"/>
      <c r="C34" s="4102" t="n"/>
      <c r="D34" s="4104" t="n"/>
      <c r="E34" s="2385" t="inlineStr">
        <is>
          <t>利用定員</t>
        </is>
      </c>
      <c r="F34" s="4104" t="n"/>
      <c r="G34" s="2386" t="n"/>
      <c r="H34" s="4110" t="n"/>
      <c r="I34" s="4110" t="n"/>
      <c r="J34" s="1268" t="inlineStr">
        <is>
          <t>人</t>
        </is>
      </c>
      <c r="K34" s="2386" t="inlineStr">
        <is>
          <t xml:space="preserve">　</t>
        </is>
      </c>
      <c r="L34" s="4110" t="n"/>
      <c r="M34" s="4110" t="n"/>
      <c r="N34" s="1268" t="inlineStr">
        <is>
          <t>人</t>
        </is>
      </c>
      <c r="O34" s="2386" t="inlineStr">
        <is>
          <t xml:space="preserve">　</t>
        </is>
      </c>
      <c r="P34" s="4110" t="n"/>
      <c r="Q34" s="4110" t="n"/>
      <c r="R34" s="1268" t="inlineStr">
        <is>
          <t>人</t>
        </is>
      </c>
      <c r="S34" s="2386" t="n"/>
      <c r="T34" s="4110" t="n"/>
      <c r="U34" s="4110" t="n"/>
      <c r="V34" s="1268" t="inlineStr">
        <is>
          <t>人</t>
        </is>
      </c>
      <c r="W34" s="2386" t="inlineStr">
        <is>
          <t xml:space="preserve">　</t>
        </is>
      </c>
      <c r="X34" s="4110" t="n"/>
      <c r="Y34" s="4110" t="n"/>
      <c r="Z34" s="1268" t="inlineStr">
        <is>
          <t>人</t>
        </is>
      </c>
      <c r="AA34" s="2386" t="n"/>
      <c r="AB34" s="4110" t="n"/>
      <c r="AC34" s="4110" t="n"/>
      <c r="AD34" s="1267" t="inlineStr">
        <is>
          <t>人</t>
        </is>
      </c>
      <c r="AE34" s="2386" t="inlineStr">
        <is>
          <t xml:space="preserve">　</t>
        </is>
      </c>
      <c r="AF34" s="4110" t="n"/>
      <c r="AG34" s="4110" t="n"/>
      <c r="AH34" s="1902" t="inlineStr">
        <is>
          <t>人</t>
        </is>
      </c>
    </row>
    <row r="35" ht="9" customHeight="1" s="4080">
      <c r="A35" s="4097" t="n"/>
      <c r="B35" s="4107" t="n"/>
      <c r="C35" s="2147" t="n"/>
      <c r="D35" s="4515" t="inlineStr">
        <is>
          <t>サービスを提供
する主たる対象者</t>
        </is>
      </c>
      <c r="E35" s="4098" t="n"/>
      <c r="F35" s="4098" t="n"/>
      <c r="G35" s="4098" t="n"/>
      <c r="H35" s="4098" t="n"/>
      <c r="I35" s="4098" t="n"/>
      <c r="J35" s="4516" t="n"/>
      <c r="K35" s="1670" t="inlineStr">
        <is>
          <t>身体障害者</t>
        </is>
      </c>
      <c r="L35" s="4098" t="n"/>
      <c r="M35" s="4098" t="n"/>
      <c r="N35" s="4099" t="n"/>
      <c r="O35" s="4510" t="inlineStr">
        <is>
          <t>知的障害者</t>
        </is>
      </c>
      <c r="P35" s="4098" t="n"/>
      <c r="Q35" s="4098" t="n"/>
      <c r="R35" s="4099" t="n"/>
      <c r="S35" s="4510" t="inlineStr">
        <is>
          <t>精神障害者</t>
        </is>
      </c>
      <c r="T35" s="4098" t="n"/>
      <c r="U35" s="4098" t="n"/>
      <c r="V35" s="4099" t="n"/>
      <c r="W35" s="4511" t="inlineStr">
        <is>
          <t>難病等対象者</t>
        </is>
      </c>
      <c r="X35" s="4098" t="n"/>
      <c r="Y35" s="4098" t="n"/>
      <c r="Z35" s="4099" t="n"/>
      <c r="AA35" s="2037" t="n"/>
      <c r="AB35" s="2037" t="n"/>
      <c r="AC35" s="2037" t="n"/>
      <c r="AD35" s="2037" t="n"/>
      <c r="AE35" s="2037" t="n"/>
      <c r="AF35" s="2037" t="n"/>
      <c r="AG35" s="2037" t="n"/>
      <c r="AH35" s="2272" t="n"/>
    </row>
    <row r="36" ht="7.5" customHeight="1" s="4080">
      <c r="A36" s="4097" t="n"/>
      <c r="B36" s="4107" t="n"/>
      <c r="C36" s="4106" t="n"/>
      <c r="J36" s="4107" t="n"/>
      <c r="K36" s="4145" t="n"/>
      <c r="L36" s="4146" t="n"/>
      <c r="M36" s="4146" t="n"/>
      <c r="N36" s="4147" t="n"/>
      <c r="O36" s="4145" t="n"/>
      <c r="P36" s="4146" t="n"/>
      <c r="Q36" s="4146" t="n"/>
      <c r="R36" s="4147" t="n"/>
      <c r="S36" s="4145" t="n"/>
      <c r="T36" s="4146" t="n"/>
      <c r="U36" s="4146" t="n"/>
      <c r="V36" s="4147" t="n"/>
      <c r="W36" s="4145" t="n"/>
      <c r="X36" s="4146" t="n"/>
      <c r="Y36" s="4146" t="n"/>
      <c r="Z36" s="4147" t="n"/>
      <c r="AA36" s="2038" t="n"/>
      <c r="AB36" s="2038" t="n"/>
      <c r="AC36" s="2038" t="n"/>
      <c r="AD36" s="2038" t="n"/>
      <c r="AE36" s="2038" t="n"/>
      <c r="AF36" s="2038" t="n"/>
      <c r="AG36" s="2038" t="n"/>
      <c r="AH36" s="298" t="n"/>
    </row>
    <row r="37" ht="12" customHeight="1" s="4080" thickBot="1">
      <c r="A37" s="4086" t="n"/>
      <c r="B37" s="4410" t="n"/>
      <c r="C37" s="4420" t="n"/>
      <c r="D37" s="4087" t="n"/>
      <c r="E37" s="4087" t="n"/>
      <c r="F37" s="4087" t="n"/>
      <c r="G37" s="4087" t="n"/>
      <c r="H37" s="4087" t="n"/>
      <c r="I37" s="4087" t="n"/>
      <c r="J37" s="4410" t="n"/>
      <c r="K37" s="2389" t="n"/>
      <c r="L37" s="4512" t="n"/>
      <c r="M37" s="4512" t="n"/>
      <c r="N37" s="4513" t="n"/>
      <c r="O37" s="2389" t="n"/>
      <c r="P37" s="4512" t="n"/>
      <c r="Q37" s="4512" t="n"/>
      <c r="R37" s="4513" t="n"/>
      <c r="S37" s="2389" t="n"/>
      <c r="T37" s="4512" t="n"/>
      <c r="U37" s="4512" t="n"/>
      <c r="V37" s="4513" t="n"/>
      <c r="W37" s="2389" t="n"/>
      <c r="X37" s="4512" t="n"/>
      <c r="Y37" s="4512" t="n"/>
      <c r="Z37" s="4513" t="n"/>
      <c r="AA37" s="809" t="n"/>
      <c r="AB37" s="809" t="n"/>
      <c r="AC37" s="809" t="n"/>
      <c r="AD37" s="809" t="n"/>
      <c r="AE37" s="809" t="n"/>
      <c r="AF37" s="809" t="n"/>
      <c r="AG37" s="809" t="n"/>
      <c r="AH37" s="311" t="n"/>
    </row>
    <row r="38" ht="12" customHeight="1" s="4080">
      <c r="A38" s="4517" t="inlineStr">
        <is>
          <t xml:space="preserve">従　た　る　事　業　所　に　お　け　る　職　員　の　職　種　・　員　数　　　</t>
        </is>
      </c>
      <c r="B38" s="4107" t="n"/>
      <c r="C38" s="1277" t="inlineStr">
        <is>
          <t>管　　理　　者</t>
        </is>
      </c>
      <c r="D38" s="4107" t="n"/>
      <c r="E38" s="4518" t="inlineStr">
        <is>
          <t>ﾌﾘｶﾞﾅ</t>
        </is>
      </c>
      <c r="F38" s="4103" t="n"/>
      <c r="G38" s="4104" t="n"/>
      <c r="H38" s="1311" t="n"/>
      <c r="I38" s="4103" t="n"/>
      <c r="J38" s="4103" t="n"/>
      <c r="K38" s="4193" t="n"/>
      <c r="L38" s="1312" t="n"/>
      <c r="M38" s="4103" t="n"/>
      <c r="N38" s="4103" t="n"/>
      <c r="O38" s="4193" t="n"/>
      <c r="P38" s="4329" t="inlineStr">
        <is>
          <t>住所</t>
        </is>
      </c>
      <c r="Q38" s="4107" t="n"/>
      <c r="R38" s="1289" t="inlineStr">
        <is>
          <t>郵便番号（</t>
        </is>
      </c>
      <c r="V38" s="2403" t="n"/>
      <c r="AA38" s="1355" t="inlineStr">
        <is>
          <t>）</t>
        </is>
      </c>
      <c r="AB38" s="1678" t="n"/>
      <c r="AC38" s="1678" t="n"/>
      <c r="AD38" s="1678" t="n"/>
      <c r="AE38" s="1678" t="n"/>
      <c r="AF38" s="1678" t="n"/>
      <c r="AG38" s="1678" t="n"/>
      <c r="AH38" s="1679" t="n"/>
      <c r="AI38" s="314" t="n"/>
      <c r="AJ38" s="1678" t="n"/>
    </row>
    <row r="39" ht="10.5" customHeight="1" s="4080">
      <c r="A39" s="4097" t="n"/>
      <c r="B39" s="4107" t="n"/>
      <c r="D39" s="4107" t="n"/>
      <c r="E39" s="4184" t="inlineStr">
        <is>
          <t>氏名</t>
        </is>
      </c>
      <c r="F39" s="4098" t="n"/>
      <c r="G39" s="4099" t="n"/>
      <c r="H39" s="1278" t="n"/>
      <c r="I39" s="4098" t="n"/>
      <c r="J39" s="4098" t="n"/>
      <c r="K39" s="4190" t="n"/>
      <c r="L39" s="1279" t="n"/>
      <c r="M39" s="4098" t="n"/>
      <c r="N39" s="4098" t="n"/>
      <c r="O39" s="4190" t="n"/>
      <c r="P39" s="4106" t="n"/>
      <c r="Q39" s="4107" t="n"/>
      <c r="R39" s="1318" t="n"/>
      <c r="T39" s="1325" t="inlineStr">
        <is>
          <t>都</t>
        </is>
      </c>
      <c r="U39" s="2378" t="inlineStr">
        <is>
          <t>道</t>
        </is>
      </c>
      <c r="V39" s="1319" t="n"/>
      <c r="Y39" s="2378" t="inlineStr">
        <is>
          <t>郡</t>
        </is>
      </c>
      <c r="Z39" s="1686" t="n"/>
      <c r="AH39" s="4109" t="n"/>
      <c r="AI39" s="315" t="n"/>
      <c r="AJ39" s="3349" t="n"/>
    </row>
    <row r="40" ht="10.5" customHeight="1" s="4080">
      <c r="A40" s="4097" t="n"/>
      <c r="B40" s="4107" t="n"/>
      <c r="D40" s="4107" t="n"/>
      <c r="E40" s="4106" t="n"/>
      <c r="G40" s="4107" t="n"/>
      <c r="H40" s="4106" t="n"/>
      <c r="K40" s="4191" t="n"/>
      <c r="L40" s="4192" t="n"/>
      <c r="O40" s="4191" t="n"/>
      <c r="P40" s="4106" t="n"/>
      <c r="Q40" s="4107" t="n"/>
      <c r="R40" s="4106" t="n"/>
      <c r="T40" s="2378" t="inlineStr">
        <is>
          <t>府</t>
        </is>
      </c>
      <c r="U40" s="2378" t="inlineStr">
        <is>
          <t>県</t>
        </is>
      </c>
      <c r="Y40" s="2378" t="inlineStr">
        <is>
          <t>市</t>
        </is>
      </c>
      <c r="AH40" s="4109" t="n"/>
      <c r="AI40" s="315" t="n"/>
      <c r="AJ40" s="3349" t="n"/>
    </row>
    <row r="41" ht="3.95" customHeight="1" s="4080">
      <c r="A41" s="4097" t="n"/>
      <c r="B41" s="4107" t="n"/>
      <c r="D41" s="4107" t="n"/>
      <c r="E41" s="4102" t="n"/>
      <c r="F41" s="4103" t="n"/>
      <c r="G41" s="4104" t="n"/>
      <c r="H41" s="4102" t="n"/>
      <c r="I41" s="4103" t="n"/>
      <c r="J41" s="4103" t="n"/>
      <c r="K41" s="4193" t="n"/>
      <c r="L41" s="4194" t="n"/>
      <c r="M41" s="4103" t="n"/>
      <c r="N41" s="4103" t="n"/>
      <c r="O41" s="4193" t="n"/>
      <c r="P41" s="4102" t="n"/>
      <c r="Q41" s="4104" t="n"/>
      <c r="R41" s="4102" t="n"/>
      <c r="S41" s="4103" t="n"/>
      <c r="T41" s="1810" t="n"/>
      <c r="U41" s="1810" t="n"/>
      <c r="V41" s="4103" t="n"/>
      <c r="W41" s="4103" t="n"/>
      <c r="X41" s="4103" t="n"/>
      <c r="Y41" s="1810" t="n"/>
      <c r="Z41" s="4103" t="n"/>
      <c r="AA41" s="4103" t="n"/>
      <c r="AB41" s="4103" t="n"/>
      <c r="AC41" s="4103" t="n"/>
      <c r="AD41" s="4103" t="n"/>
      <c r="AE41" s="4103" t="n"/>
      <c r="AF41" s="4103" t="n"/>
      <c r="AG41" s="4103" t="n"/>
      <c r="AH41" s="4105" t="n"/>
      <c r="AI41" s="315" t="n"/>
      <c r="AJ41" s="3349" t="n"/>
    </row>
    <row r="42" ht="3.95" customHeight="1" s="4080">
      <c r="A42" s="4097" t="n"/>
      <c r="B42" s="4107" t="n"/>
      <c r="D42" s="4107" t="n"/>
      <c r="E42" s="1393" t="inlineStr">
        <is>
          <t>他の職務との兼務の有無及び職種</t>
        </is>
      </c>
      <c r="F42" s="4098" t="n"/>
      <c r="G42" s="4098" t="n"/>
      <c r="H42" s="4098" t="n"/>
      <c r="I42" s="4098" t="n"/>
      <c r="J42" s="4098" t="n"/>
      <c r="K42" s="4098" t="n"/>
      <c r="L42" s="4098" t="n"/>
      <c r="M42" s="4098" t="n"/>
      <c r="N42" s="4098" t="n"/>
      <c r="O42" s="4098" t="n"/>
      <c r="P42" s="4195" t="n"/>
      <c r="Q42" s="4098" t="n"/>
      <c r="R42" s="4098" t="n"/>
      <c r="S42" s="4098" t="n"/>
      <c r="T42" s="4099" t="n"/>
      <c r="U42" s="2163" t="inlineStr">
        <is>
          <t>職　　種</t>
        </is>
      </c>
      <c r="V42" s="4098" t="n"/>
      <c r="W42" s="4099" t="n"/>
      <c r="X42" s="3408" t="inlineStr">
        <is>
          <t xml:space="preserve">　</t>
        </is>
      </c>
      <c r="Y42" s="4098" t="n"/>
      <c r="Z42" s="4098" t="n"/>
      <c r="AA42" s="4098" t="n"/>
      <c r="AB42" s="4098" t="n"/>
      <c r="AC42" s="4098" t="n"/>
      <c r="AD42" s="4098" t="n"/>
      <c r="AE42" s="4098" t="n"/>
      <c r="AF42" s="4098" t="n"/>
      <c r="AG42" s="4098" t="n"/>
      <c r="AH42" s="4101" t="n"/>
      <c r="AI42" s="317" t="n"/>
      <c r="AJ42" s="1457" t="n"/>
    </row>
    <row r="43" ht="9.75" customHeight="1" s="4080">
      <c r="A43" s="4097" t="n"/>
      <c r="B43" s="4107" t="n"/>
      <c r="D43" s="4107" t="n"/>
      <c r="E43" s="4106" t="n"/>
      <c r="P43" s="1354" t="n"/>
      <c r="Q43" s="1325" t="inlineStr">
        <is>
          <t>有</t>
        </is>
      </c>
      <c r="R43" s="1325" t="inlineStr">
        <is>
          <t>・</t>
        </is>
      </c>
      <c r="S43" s="1325" t="inlineStr">
        <is>
          <t>無</t>
        </is>
      </c>
      <c r="T43" s="1332" t="n"/>
      <c r="U43" s="4106" t="n"/>
      <c r="W43" s="4107" t="n"/>
      <c r="X43" s="4106" t="n"/>
      <c r="AH43" s="4109" t="n"/>
      <c r="AI43" s="318" t="n"/>
      <c r="AJ43" s="839" t="n"/>
    </row>
    <row r="44" ht="3.95" customHeight="1" s="4080">
      <c r="A44" s="4097" t="n"/>
      <c r="B44" s="4107" t="n"/>
      <c r="D44" s="4107" t="n"/>
      <c r="E44" s="4102" t="n"/>
      <c r="F44" s="4103" t="n"/>
      <c r="G44" s="4103" t="n"/>
      <c r="H44" s="4103" t="n"/>
      <c r="I44" s="4103" t="n"/>
      <c r="J44" s="4103" t="n"/>
      <c r="K44" s="4103" t="n"/>
      <c r="L44" s="4103" t="n"/>
      <c r="M44" s="4103" t="n"/>
      <c r="N44" s="4103" t="n"/>
      <c r="O44" s="4103" t="n"/>
      <c r="P44" s="4197" t="n"/>
      <c r="Q44" s="4103" t="n"/>
      <c r="R44" s="4103" t="n"/>
      <c r="S44" s="4103" t="n"/>
      <c r="T44" s="4104" t="n"/>
      <c r="U44" s="4102" t="n"/>
      <c r="V44" s="4103" t="n"/>
      <c r="W44" s="4104" t="n"/>
      <c r="X44" s="4102" t="n"/>
      <c r="Y44" s="4103" t="n"/>
      <c r="Z44" s="4103" t="n"/>
      <c r="AA44" s="4103" t="n"/>
      <c r="AB44" s="4103" t="n"/>
      <c r="AC44" s="4103" t="n"/>
      <c r="AD44" s="4103" t="n"/>
      <c r="AE44" s="4103" t="n"/>
      <c r="AF44" s="4103" t="n"/>
      <c r="AG44" s="4103" t="n"/>
      <c r="AH44" s="4105" t="n"/>
      <c r="AI44" s="317" t="n"/>
      <c r="AJ44" s="1457" t="n"/>
    </row>
    <row r="45" ht="17.25" customHeight="1" s="4080">
      <c r="A45" s="4097" t="n"/>
      <c r="B45" s="4107" t="n"/>
      <c r="D45" s="4107" t="n"/>
      <c r="E45" s="2166" t="inlineStr">
        <is>
          <t>他の事業所又は施設を兼務する場合における当該兼務する事業所等の名称等</t>
        </is>
      </c>
      <c r="F45" s="4110" t="n"/>
      <c r="G45" s="4110" t="n"/>
      <c r="H45" s="4110" t="n"/>
      <c r="I45" s="4110" t="n"/>
      <c r="J45" s="4110" t="n"/>
      <c r="K45" s="4110" t="n"/>
      <c r="L45" s="4110" t="n"/>
      <c r="M45" s="4110" t="n"/>
      <c r="N45" s="4110" t="n"/>
      <c r="O45" s="4110" t="n"/>
      <c r="P45" s="4110" t="n"/>
      <c r="Q45" s="4110" t="n"/>
      <c r="R45" s="4110" t="n"/>
      <c r="S45" s="4110" t="n"/>
      <c r="T45" s="4110" t="n"/>
      <c r="U45" s="4110" t="n"/>
      <c r="V45" s="4110" t="n"/>
      <c r="W45" s="4110" t="n"/>
      <c r="X45" s="4110" t="n"/>
      <c r="Y45" s="4110" t="n"/>
      <c r="Z45" s="4110" t="n"/>
      <c r="AA45" s="4110" t="n"/>
      <c r="AB45" s="4110" t="n"/>
      <c r="AC45" s="4110" t="n"/>
      <c r="AD45" s="4110" t="n"/>
      <c r="AE45" s="4110" t="n"/>
      <c r="AF45" s="4110" t="n"/>
      <c r="AG45" s="4110" t="n"/>
      <c r="AH45" s="4113" t="n"/>
      <c r="AI45" s="320" t="n"/>
      <c r="AJ45" s="321" t="n"/>
    </row>
    <row r="46" ht="17.25" customHeight="1" s="4080">
      <c r="A46" s="4097" t="n"/>
      <c r="B46" s="4107" t="n"/>
      <c r="D46" s="4107" t="n"/>
      <c r="E46" s="1303" t="inlineStr">
        <is>
          <t>事　業　所　名</t>
        </is>
      </c>
      <c r="F46" s="4138" t="n"/>
      <c r="G46" s="4138" t="n"/>
      <c r="H46" s="4138" t="n"/>
      <c r="I46" s="4138" t="n"/>
      <c r="J46" s="4138" t="n"/>
      <c r="K46" s="4138" t="n"/>
      <c r="L46" s="4138" t="n"/>
      <c r="M46" s="4138" t="n"/>
      <c r="N46" s="4198" t="n"/>
      <c r="O46" s="1304" t="inlineStr">
        <is>
          <t>サービス種別</t>
        </is>
      </c>
      <c r="P46" s="4138" t="n"/>
      <c r="Q46" s="4138" t="n"/>
      <c r="R46" s="4138" t="n"/>
      <c r="S46" s="4138" t="n"/>
      <c r="T46" s="4138" t="n"/>
      <c r="U46" s="4138" t="n"/>
      <c r="V46" s="4138" t="n"/>
      <c r="W46" s="4138" t="n"/>
      <c r="X46" s="4138" t="n"/>
      <c r="Y46" s="4138" t="n"/>
      <c r="Z46" s="4198" t="n"/>
      <c r="AA46" s="4519" t="inlineStr">
        <is>
          <t>職　　　種</t>
        </is>
      </c>
      <c r="AB46" s="4110" t="n"/>
      <c r="AC46" s="4110" t="n"/>
      <c r="AD46" s="4110" t="n"/>
      <c r="AE46" s="4110" t="n"/>
      <c r="AF46" s="4110" t="n"/>
      <c r="AG46" s="4110" t="n"/>
      <c r="AH46" s="4113" t="n"/>
      <c r="AI46" s="317" t="n"/>
      <c r="AJ46" s="1457" t="n"/>
    </row>
    <row r="47" ht="12.75" customHeight="1" s="4080">
      <c r="A47" s="4097" t="n"/>
      <c r="B47" s="4107" t="n"/>
      <c r="D47" s="4107" t="n"/>
      <c r="E47" s="1347" t="n"/>
      <c r="F47" s="4098" t="n"/>
      <c r="G47" s="4098" t="n"/>
      <c r="H47" s="4098" t="n"/>
      <c r="I47" s="4098" t="n"/>
      <c r="J47" s="4098" t="n"/>
      <c r="K47" s="4098" t="n"/>
      <c r="L47" s="4098" t="n"/>
      <c r="M47" s="4098" t="n"/>
      <c r="N47" s="4190" t="n"/>
      <c r="O47" s="1348" t="n"/>
      <c r="P47" s="4098" t="n"/>
      <c r="Q47" s="4098" t="n"/>
      <c r="R47" s="4098" t="n"/>
      <c r="S47" s="4098" t="n"/>
      <c r="T47" s="4098" t="n"/>
      <c r="U47" s="4098" t="n"/>
      <c r="V47" s="4098" t="n"/>
      <c r="W47" s="4098" t="n"/>
      <c r="X47" s="4098" t="n"/>
      <c r="Y47" s="4098" t="n"/>
      <c r="Z47" s="4190" t="n"/>
      <c r="AA47" s="1306" t="n"/>
      <c r="AB47" s="4138" t="n"/>
      <c r="AC47" s="4138" t="n"/>
      <c r="AD47" s="4138" t="n"/>
      <c r="AE47" s="4138" t="n"/>
      <c r="AF47" s="4138" t="n"/>
      <c r="AG47" s="4138" t="n"/>
      <c r="AH47" s="4246" t="n"/>
      <c r="AI47" s="317" t="n"/>
      <c r="AJ47" s="1457" t="n"/>
    </row>
    <row r="48" ht="12.75" customHeight="1" s="4080">
      <c r="A48" s="4097" t="n"/>
      <c r="B48" s="4107" t="n"/>
      <c r="D48" s="4107" t="n"/>
      <c r="E48" s="1339" t="n"/>
      <c r="F48" s="4199" t="n"/>
      <c r="G48" s="4199" t="n"/>
      <c r="H48" s="4199" t="n"/>
      <c r="I48" s="4199" t="n"/>
      <c r="J48" s="4199" t="n"/>
      <c r="K48" s="4199" t="n"/>
      <c r="L48" s="4199" t="n"/>
      <c r="M48" s="4199" t="n"/>
      <c r="N48" s="4200" t="n"/>
      <c r="O48" s="1340" t="n"/>
      <c r="P48" s="4199" t="n"/>
      <c r="Q48" s="4199" t="n"/>
      <c r="R48" s="4199" t="n"/>
      <c r="S48" s="4199" t="n"/>
      <c r="T48" s="4199" t="n"/>
      <c r="U48" s="4199" t="n"/>
      <c r="V48" s="4199" t="n"/>
      <c r="W48" s="4199" t="n"/>
      <c r="X48" s="4199" t="n"/>
      <c r="Y48" s="4199" t="n"/>
      <c r="Z48" s="4200" t="n"/>
      <c r="AA48" s="1342" t="n"/>
      <c r="AB48" s="4199" t="n"/>
      <c r="AC48" s="4199" t="n"/>
      <c r="AD48" s="4199" t="n"/>
      <c r="AE48" s="4199" t="n"/>
      <c r="AF48" s="4199" t="n"/>
      <c r="AG48" s="4199" t="n"/>
      <c r="AH48" s="4247" t="n"/>
      <c r="AI48" s="317" t="n"/>
      <c r="AJ48" s="1457" t="n"/>
    </row>
    <row r="49" ht="12.75" customHeight="1" s="4080">
      <c r="A49" s="4097" t="n"/>
      <c r="B49" s="4107" t="n"/>
      <c r="D49" s="4107" t="n"/>
      <c r="E49" s="1339" t="n"/>
      <c r="F49" s="4199" t="n"/>
      <c r="G49" s="4199" t="n"/>
      <c r="H49" s="4199" t="n"/>
      <c r="I49" s="4199" t="n"/>
      <c r="J49" s="4199" t="n"/>
      <c r="K49" s="4199" t="n"/>
      <c r="L49" s="4199" t="n"/>
      <c r="M49" s="4199" t="n"/>
      <c r="N49" s="4200" t="n"/>
      <c r="O49" s="1340" t="n"/>
      <c r="P49" s="4199" t="n"/>
      <c r="Q49" s="4199" t="n"/>
      <c r="R49" s="4199" t="n"/>
      <c r="S49" s="4199" t="n"/>
      <c r="T49" s="4199" t="n"/>
      <c r="U49" s="4199" t="n"/>
      <c r="V49" s="4199" t="n"/>
      <c r="W49" s="4199" t="n"/>
      <c r="X49" s="4199" t="n"/>
      <c r="Y49" s="4199" t="n"/>
      <c r="Z49" s="4200" t="n"/>
      <c r="AA49" s="1342" t="n"/>
      <c r="AB49" s="4199" t="n"/>
      <c r="AC49" s="4199" t="n"/>
      <c r="AD49" s="4199" t="n"/>
      <c r="AE49" s="4199" t="n"/>
      <c r="AF49" s="4199" t="n"/>
      <c r="AG49" s="4199" t="n"/>
      <c r="AH49" s="4247" t="n"/>
      <c r="AI49" s="317" t="n"/>
      <c r="AJ49" s="1457" t="n"/>
    </row>
    <row r="50" ht="12.75" customHeight="1" s="4080">
      <c r="A50" s="4097" t="n"/>
      <c r="B50" s="4107" t="n"/>
      <c r="D50" s="4107" t="n"/>
      <c r="E50" s="1343" t="n"/>
      <c r="F50" s="4146" t="n"/>
      <c r="G50" s="4146" t="n"/>
      <c r="H50" s="4146" t="n"/>
      <c r="I50" s="4146" t="n"/>
      <c r="J50" s="4146" t="n"/>
      <c r="K50" s="4146" t="n"/>
      <c r="L50" s="4146" t="n"/>
      <c r="M50" s="4146" t="n"/>
      <c r="N50" s="4201" t="n"/>
      <c r="O50" s="1344" t="n"/>
      <c r="P50" s="4146" t="n"/>
      <c r="Q50" s="4146" t="n"/>
      <c r="R50" s="4146" t="n"/>
      <c r="S50" s="4146" t="n"/>
      <c r="T50" s="4146" t="n"/>
      <c r="U50" s="4146" t="n"/>
      <c r="V50" s="4146" t="n"/>
      <c r="W50" s="4146" t="n"/>
      <c r="X50" s="4146" t="n"/>
      <c r="Y50" s="4146" t="n"/>
      <c r="Z50" s="4201" t="n"/>
      <c r="AA50" s="4251" t="n"/>
      <c r="AB50" s="4140" t="n"/>
      <c r="AC50" s="4140" t="n"/>
      <c r="AD50" s="4140" t="n"/>
      <c r="AE50" s="4140" t="n"/>
      <c r="AF50" s="4140" t="n"/>
      <c r="AG50" s="4140" t="n"/>
      <c r="AH50" s="4252" t="n"/>
      <c r="AI50" s="317" t="n"/>
      <c r="AJ50" s="1457" t="n"/>
    </row>
    <row r="51" ht="12" customHeight="1" s="4080">
      <c r="A51" s="4097" t="n"/>
      <c r="B51" s="4107" t="n"/>
      <c r="C51" s="4520" t="inlineStr">
        <is>
          <t>サービス管理
責任者</t>
        </is>
      </c>
      <c r="D51" s="4099" t="n"/>
      <c r="E51" s="4184" t="inlineStr">
        <is>
          <t>ﾌﾘｶﾞﾅ</t>
        </is>
      </c>
      <c r="F51" s="4110" t="n"/>
      <c r="G51" s="4111" t="n"/>
      <c r="H51" s="4203" t="n"/>
      <c r="I51" s="4110" t="n"/>
      <c r="J51" s="4110" t="n"/>
      <c r="K51" s="4204" t="n"/>
      <c r="L51" s="4205" t="n"/>
      <c r="M51" s="4110" t="n"/>
      <c r="N51" s="4110" t="n"/>
      <c r="O51" s="4111" t="n"/>
      <c r="P51" s="2164" t="inlineStr">
        <is>
          <t>住所</t>
        </is>
      </c>
      <c r="Q51" s="4099" t="n"/>
      <c r="R51" s="1244" t="inlineStr">
        <is>
          <t>郵便番号（</t>
        </is>
      </c>
      <c r="S51" s="4098" t="n"/>
      <c r="T51" s="4098" t="n"/>
      <c r="U51" s="4098" t="n"/>
      <c r="V51" s="1287" t="n"/>
      <c r="W51" s="4098" t="n"/>
      <c r="X51" s="4098" t="n"/>
      <c r="Y51" s="4098" t="n"/>
      <c r="Z51" s="4098" t="n"/>
      <c r="AA51" s="1329" t="inlineStr">
        <is>
          <t>）</t>
        </is>
      </c>
      <c r="AB51" s="1017" t="n"/>
      <c r="AC51" s="1017" t="n"/>
      <c r="AD51" s="1017" t="n"/>
      <c r="AE51" s="1017" t="n"/>
      <c r="AF51" s="1017" t="n"/>
      <c r="AG51" s="120" t="n"/>
      <c r="AH51" s="118" t="n"/>
      <c r="AI51" s="322" t="n"/>
      <c r="AJ51" s="323" t="n"/>
    </row>
    <row r="52" ht="9.75" customHeight="1" s="4080">
      <c r="A52" s="4097" t="n"/>
      <c r="B52" s="4107" t="n"/>
      <c r="D52" s="4107" t="n"/>
      <c r="E52" s="4209" t="inlineStr">
        <is>
          <t>氏　　名</t>
        </is>
      </c>
      <c r="F52" s="4098" t="n"/>
      <c r="G52" s="4099" t="n"/>
      <c r="H52" s="4203" t="n"/>
      <c r="I52" s="4098" t="n"/>
      <c r="J52" s="4098" t="n"/>
      <c r="K52" s="4210" t="n"/>
      <c r="L52" s="4205" t="n"/>
      <c r="M52" s="4098" t="n"/>
      <c r="N52" s="4098" t="n"/>
      <c r="O52" s="4099" t="n"/>
      <c r="P52" s="4106" t="n"/>
      <c r="Q52" s="4107" t="n"/>
      <c r="R52" s="1318" t="n"/>
      <c r="T52" s="2378" t="inlineStr">
        <is>
          <t>都</t>
        </is>
      </c>
      <c r="U52" s="2378" t="inlineStr">
        <is>
          <t>道</t>
        </is>
      </c>
      <c r="V52" s="1389" t="n"/>
      <c r="Y52" s="2378" t="inlineStr">
        <is>
          <t>郡</t>
        </is>
      </c>
      <c r="Z52" s="2413" t="n"/>
      <c r="AH52" s="4109" t="n"/>
      <c r="AI52" s="315" t="n"/>
      <c r="AJ52" s="3349" t="n"/>
    </row>
    <row r="53" ht="9.75" customHeight="1" s="4080">
      <c r="A53" s="4097" t="n"/>
      <c r="B53" s="4107" t="n"/>
      <c r="D53" s="4107" t="n"/>
      <c r="E53" s="4106" t="n"/>
      <c r="G53" s="4107" t="n"/>
      <c r="H53" s="4106" t="n"/>
      <c r="K53" s="4212" t="n"/>
      <c r="L53" s="4213" t="n"/>
      <c r="O53" s="4107" t="n"/>
      <c r="P53" s="4106" t="n"/>
      <c r="Q53" s="4107" t="n"/>
      <c r="R53" s="4106" t="n"/>
      <c r="T53" s="2378" t="inlineStr">
        <is>
          <t>府</t>
        </is>
      </c>
      <c r="U53" s="2378" t="inlineStr">
        <is>
          <t>県</t>
        </is>
      </c>
      <c r="Y53" s="2378" t="inlineStr">
        <is>
          <t>市</t>
        </is>
      </c>
      <c r="AH53" s="4109" t="n"/>
      <c r="AI53" s="315" t="n"/>
      <c r="AJ53" s="3349" t="n"/>
    </row>
    <row r="54" ht="3" customHeight="1" s="4080">
      <c r="A54" s="4097" t="n"/>
      <c r="B54" s="4107" t="n"/>
      <c r="D54" s="4107" t="n"/>
      <c r="E54" s="4102" t="n"/>
      <c r="F54" s="4103" t="n"/>
      <c r="G54" s="4104" t="n"/>
      <c r="H54" s="4102" t="n"/>
      <c r="I54" s="4103" t="n"/>
      <c r="J54" s="4103" t="n"/>
      <c r="K54" s="4215" t="n"/>
      <c r="L54" s="4216" t="n"/>
      <c r="M54" s="4103" t="n"/>
      <c r="N54" s="4103" t="n"/>
      <c r="O54" s="4104" t="n"/>
      <c r="P54" s="4102" t="n"/>
      <c r="Q54" s="4104" t="n"/>
      <c r="R54" s="4102" t="n"/>
      <c r="S54" s="4103" t="n"/>
      <c r="T54" s="2378" t="n"/>
      <c r="U54" s="2378" t="n"/>
      <c r="V54" s="4103" t="n"/>
      <c r="W54" s="4103" t="n"/>
      <c r="X54" s="4103" t="n"/>
      <c r="Y54" s="63" t="n"/>
      <c r="Z54" s="4103" t="n"/>
      <c r="AA54" s="4103" t="n"/>
      <c r="AB54" s="4103" t="n"/>
      <c r="AC54" s="4103" t="n"/>
      <c r="AD54" s="4103" t="n"/>
      <c r="AE54" s="4103" t="n"/>
      <c r="AF54" s="4103" t="n"/>
      <c r="AG54" s="4103" t="n"/>
      <c r="AH54" s="4105" t="n"/>
      <c r="AI54" s="315" t="n"/>
      <c r="AJ54" s="3349" t="n"/>
    </row>
    <row r="55" ht="12" customHeight="1" s="4080">
      <c r="A55" s="4097" t="n"/>
      <c r="B55" s="4107" t="n"/>
      <c r="D55" s="4107" t="n"/>
      <c r="E55" s="4184" t="inlineStr">
        <is>
          <t>ﾌﾘｶﾞﾅ</t>
        </is>
      </c>
      <c r="F55" s="4110" t="n"/>
      <c r="G55" s="4111" t="n"/>
      <c r="H55" s="4203" t="n"/>
      <c r="I55" s="4110" t="n"/>
      <c r="J55" s="4110" t="n"/>
      <c r="K55" s="4204" t="n"/>
      <c r="L55" s="4205" t="n"/>
      <c r="M55" s="4110" t="n"/>
      <c r="N55" s="4110" t="n"/>
      <c r="O55" s="4111" t="n"/>
      <c r="P55" s="2164" t="inlineStr">
        <is>
          <t>住所</t>
        </is>
      </c>
      <c r="Q55" s="4099" t="n"/>
      <c r="R55" s="1244" t="inlineStr">
        <is>
          <t>郵便番号（</t>
        </is>
      </c>
      <c r="S55" s="4098" t="n"/>
      <c r="T55" s="4098" t="n"/>
      <c r="U55" s="4098" t="n"/>
      <c r="V55" s="1287" t="n"/>
      <c r="W55" s="4098" t="n"/>
      <c r="X55" s="4098" t="n"/>
      <c r="Y55" s="4098" t="n"/>
      <c r="Z55" s="4098" t="n"/>
      <c r="AA55" s="1329" t="inlineStr">
        <is>
          <t>）</t>
        </is>
      </c>
      <c r="AB55" s="1017" t="n"/>
      <c r="AC55" s="1017" t="n"/>
      <c r="AD55" s="1017" t="n"/>
      <c r="AE55" s="1017" t="n"/>
      <c r="AF55" s="1017" t="n"/>
      <c r="AG55" s="120" t="n"/>
      <c r="AH55" s="118" t="n"/>
      <c r="AI55" s="322" t="n"/>
      <c r="AJ55" s="323" t="n"/>
    </row>
    <row r="56" ht="9.75" customHeight="1" s="4080">
      <c r="A56" s="4097" t="n"/>
      <c r="B56" s="4107" t="n"/>
      <c r="D56" s="4107" t="n"/>
      <c r="E56" s="4209" t="inlineStr">
        <is>
          <t>氏　　名</t>
        </is>
      </c>
      <c r="F56" s="4098" t="n"/>
      <c r="G56" s="4099" t="n"/>
      <c r="H56" s="4203" t="n"/>
      <c r="I56" s="4098" t="n"/>
      <c r="J56" s="4098" t="n"/>
      <c r="K56" s="4210" t="n"/>
      <c r="L56" s="4205" t="n"/>
      <c r="M56" s="4098" t="n"/>
      <c r="N56" s="4098" t="n"/>
      <c r="O56" s="4099" t="n"/>
      <c r="P56" s="4106" t="n"/>
      <c r="Q56" s="4107" t="n"/>
      <c r="R56" s="1318" t="n"/>
      <c r="T56" s="2378" t="inlineStr">
        <is>
          <t>都</t>
        </is>
      </c>
      <c r="U56" s="2378" t="inlineStr">
        <is>
          <t>道</t>
        </is>
      </c>
      <c r="V56" s="1389" t="n"/>
      <c r="Y56" s="1325" t="inlineStr">
        <is>
          <t>郡</t>
        </is>
      </c>
      <c r="Z56" s="2413" t="n"/>
      <c r="AH56" s="4109" t="n"/>
      <c r="AI56" s="315" t="n"/>
      <c r="AJ56" s="3349" t="n"/>
    </row>
    <row r="57" ht="9.75" customHeight="1" s="4080">
      <c r="A57" s="4097" t="n"/>
      <c r="B57" s="4107" t="n"/>
      <c r="D57" s="4107" t="n"/>
      <c r="E57" s="4106" t="n"/>
      <c r="G57" s="4107" t="n"/>
      <c r="H57" s="4106" t="n"/>
      <c r="K57" s="4212" t="n"/>
      <c r="L57" s="4213" t="n"/>
      <c r="O57" s="4107" t="n"/>
      <c r="P57" s="4106" t="n"/>
      <c r="Q57" s="4107" t="n"/>
      <c r="R57" s="4106" t="n"/>
      <c r="T57" s="2378" t="inlineStr">
        <is>
          <t>府</t>
        </is>
      </c>
      <c r="U57" s="2378" t="inlineStr">
        <is>
          <t>県</t>
        </is>
      </c>
      <c r="Y57" s="2378" t="inlineStr">
        <is>
          <t>市</t>
        </is>
      </c>
      <c r="AH57" s="4109" t="n"/>
      <c r="AI57" s="315" t="n"/>
      <c r="AJ57" s="3349" t="n"/>
    </row>
    <row r="58" ht="3.75" customHeight="1" s="4080">
      <c r="A58" s="4097" t="n"/>
      <c r="B58" s="4107" t="n"/>
      <c r="C58" s="4103" t="n"/>
      <c r="D58" s="4104" t="n"/>
      <c r="E58" s="4102" t="n"/>
      <c r="F58" s="4103" t="n"/>
      <c r="G58" s="4104" t="n"/>
      <c r="H58" s="4102" t="n"/>
      <c r="I58" s="4103" t="n"/>
      <c r="J58" s="4103" t="n"/>
      <c r="K58" s="4215" t="n"/>
      <c r="L58" s="4216" t="n"/>
      <c r="M58" s="4103" t="n"/>
      <c r="N58" s="4103" t="n"/>
      <c r="O58" s="4104" t="n"/>
      <c r="P58" s="4102" t="n"/>
      <c r="Q58" s="4104" t="n"/>
      <c r="R58" s="4102" t="n"/>
      <c r="S58" s="4103" t="n"/>
      <c r="T58" s="1810" t="n"/>
      <c r="U58" s="1810" t="n"/>
      <c r="V58" s="4103" t="n"/>
      <c r="W58" s="4103" t="n"/>
      <c r="X58" s="4103" t="n"/>
      <c r="Y58" s="324" t="n"/>
      <c r="Z58" s="4103" t="n"/>
      <c r="AA58" s="4103" t="n"/>
      <c r="AB58" s="4103" t="n"/>
      <c r="AC58" s="4103" t="n"/>
      <c r="AD58" s="4103" t="n"/>
      <c r="AE58" s="4103" t="n"/>
      <c r="AF58" s="4103" t="n"/>
      <c r="AG58" s="4103" t="n"/>
      <c r="AH58" s="4105" t="n"/>
      <c r="AI58" s="315" t="n"/>
      <c r="AJ58" s="3349" t="n"/>
    </row>
    <row r="59" ht="15.95" customHeight="1" s="4080">
      <c r="A59" s="4097" t="n"/>
      <c r="B59" s="4107" t="n"/>
      <c r="C59" s="4521" t="inlineStr">
        <is>
          <t xml:space="preserve">　　　　　　職種・勤務形態
常勤・非常勤の別</t>
        </is>
      </c>
      <c r="D59" s="4098" t="n"/>
      <c r="E59" s="4098" t="n"/>
      <c r="F59" s="4098" t="n"/>
      <c r="G59" s="4098" t="n"/>
      <c r="H59" s="4098" t="n"/>
      <c r="I59" s="4098" t="n"/>
      <c r="J59" s="4099" t="n"/>
      <c r="K59" s="4185" t="inlineStr">
        <is>
          <t>サービス管理責任者</t>
        </is>
      </c>
      <c r="L59" s="4110" t="n"/>
      <c r="M59" s="4110" t="n"/>
      <c r="N59" s="4110" t="n"/>
      <c r="O59" s="4110" t="n"/>
      <c r="P59" s="4111" t="n"/>
      <c r="Q59" s="4325" t="inlineStr">
        <is>
          <t>医師</t>
        </is>
      </c>
      <c r="R59" s="4098" t="n"/>
      <c r="S59" s="4098" t="n"/>
      <c r="T59" s="4098" t="n"/>
      <c r="U59" s="4098" t="n"/>
      <c r="V59" s="4099" t="n"/>
      <c r="W59" s="4325" t="inlineStr">
        <is>
          <t>看護職員</t>
        </is>
      </c>
      <c r="X59" s="4098" t="n"/>
      <c r="Y59" s="4098" t="n"/>
      <c r="Z59" s="4098" t="n"/>
      <c r="AA59" s="4098" t="n"/>
      <c r="AB59" s="4099" t="n"/>
      <c r="AC59" s="4326" t="inlineStr">
        <is>
          <t>職業指導員</t>
        </is>
      </c>
      <c r="AD59" s="4098" t="n"/>
      <c r="AE59" s="4098" t="n"/>
      <c r="AF59" s="4098" t="n"/>
      <c r="AG59" s="4098" t="n"/>
      <c r="AH59" s="4101" t="n"/>
    </row>
    <row r="60" ht="15.95" customHeight="1" s="4080">
      <c r="A60" s="4097" t="n"/>
      <c r="B60" s="4107" t="n"/>
      <c r="C60" s="4103" t="n"/>
      <c r="D60" s="4103" t="n"/>
      <c r="E60" s="4103" t="n"/>
      <c r="F60" s="4103" t="n"/>
      <c r="G60" s="4103" t="n"/>
      <c r="H60" s="4103" t="n"/>
      <c r="I60" s="4103" t="n"/>
      <c r="J60" s="4104" t="n"/>
      <c r="K60" s="1617" t="inlineStr">
        <is>
          <t>専従</t>
        </is>
      </c>
      <c r="L60" s="4110" t="n"/>
      <c r="M60" s="4189" t="n"/>
      <c r="N60" s="1603" t="inlineStr">
        <is>
          <t>兼務</t>
        </is>
      </c>
      <c r="O60" s="4110" t="n"/>
      <c r="P60" s="4189" t="n"/>
      <c r="Q60" s="1617" t="inlineStr">
        <is>
          <t>専従</t>
        </is>
      </c>
      <c r="R60" s="4110" t="n"/>
      <c r="S60" s="4189" t="n"/>
      <c r="T60" s="1603" t="inlineStr">
        <is>
          <t>兼務</t>
        </is>
      </c>
      <c r="U60" s="4110" t="n"/>
      <c r="V60" s="4189" t="n"/>
      <c r="W60" s="1617" t="inlineStr">
        <is>
          <t>専従</t>
        </is>
      </c>
      <c r="X60" s="4110" t="n"/>
      <c r="Y60" s="4189" t="n"/>
      <c r="Z60" s="1603" t="inlineStr">
        <is>
          <t>兼務</t>
        </is>
      </c>
      <c r="AA60" s="4110" t="n"/>
      <c r="AB60" s="4189" t="n"/>
      <c r="AC60" s="1617" t="inlineStr">
        <is>
          <t>専従</t>
        </is>
      </c>
      <c r="AD60" s="4110" t="n"/>
      <c r="AE60" s="4189" t="n"/>
      <c r="AF60" s="1603" t="inlineStr">
        <is>
          <t>兼務</t>
        </is>
      </c>
      <c r="AG60" s="4110" t="n"/>
      <c r="AH60" s="4189" t="n"/>
    </row>
    <row r="61" ht="15.95" customHeight="1" s="4080">
      <c r="A61" s="4097" t="n"/>
      <c r="B61" s="4107" t="n"/>
      <c r="C61" s="1268" t="inlineStr">
        <is>
          <t>常　　　　　勤（人）</t>
        </is>
      </c>
      <c r="D61" s="4110" t="n"/>
      <c r="E61" s="4110" t="n"/>
      <c r="F61" s="4110" t="n"/>
      <c r="G61" s="4110" t="n"/>
      <c r="H61" s="4110" t="n"/>
      <c r="I61" s="4110" t="n"/>
      <c r="J61" s="4111" t="n"/>
      <c r="K61" s="4275" t="n"/>
      <c r="L61" s="4110" t="n"/>
      <c r="M61" s="4189" t="n"/>
      <c r="N61" s="4276" t="n"/>
      <c r="O61" s="4110" t="n"/>
      <c r="P61" s="4189" t="n"/>
      <c r="Q61" s="4275" t="n"/>
      <c r="R61" s="4110" t="n"/>
      <c r="S61" s="4189" t="n"/>
      <c r="T61" s="4276" t="n"/>
      <c r="U61" s="4110" t="n"/>
      <c r="V61" s="4189" t="n"/>
      <c r="W61" s="4275" t="n"/>
      <c r="X61" s="4110" t="n"/>
      <c r="Y61" s="4189" t="n"/>
      <c r="Z61" s="4276" t="n"/>
      <c r="AA61" s="4110" t="n"/>
      <c r="AB61" s="4189" t="n"/>
      <c r="AC61" s="4275" t="n"/>
      <c r="AD61" s="4110" t="n"/>
      <c r="AE61" s="4189" t="n"/>
      <c r="AF61" s="4276" t="n"/>
      <c r="AG61" s="4110" t="n"/>
      <c r="AH61" s="4189" t="n"/>
    </row>
    <row r="62" ht="15.95" customHeight="1" s="4080">
      <c r="A62" s="4097" t="n"/>
      <c r="B62" s="4107" t="n"/>
      <c r="C62" s="1286" t="inlineStr">
        <is>
          <t>非　　常　　勤（人）</t>
        </is>
      </c>
      <c r="D62" s="4103" t="n"/>
      <c r="E62" s="4103" t="n"/>
      <c r="F62" s="4103" t="n"/>
      <c r="G62" s="4103" t="n"/>
      <c r="H62" s="4103" t="n"/>
      <c r="I62" s="4103" t="n"/>
      <c r="J62" s="4104" t="n"/>
      <c r="K62" s="4275" t="n"/>
      <c r="L62" s="4110" t="n"/>
      <c r="M62" s="4189" t="n"/>
      <c r="N62" s="4276" t="n"/>
      <c r="O62" s="4110" t="n"/>
      <c r="P62" s="4189" t="n"/>
      <c r="Q62" s="4275" t="n"/>
      <c r="R62" s="4110" t="n"/>
      <c r="S62" s="4189" t="n"/>
      <c r="T62" s="4276" t="n"/>
      <c r="U62" s="4110" t="n"/>
      <c r="V62" s="4189" t="n"/>
      <c r="W62" s="4275" t="n"/>
      <c r="X62" s="4110" t="n"/>
      <c r="Y62" s="4189" t="n"/>
      <c r="Z62" s="4276" t="n"/>
      <c r="AA62" s="4110" t="n"/>
      <c r="AB62" s="4189" t="n"/>
      <c r="AC62" s="4275" t="n"/>
      <c r="AD62" s="4110" t="n"/>
      <c r="AE62" s="4189" t="n"/>
      <c r="AF62" s="4276" t="n"/>
      <c r="AG62" s="4110" t="n"/>
      <c r="AH62" s="4189" t="n"/>
    </row>
    <row r="63" ht="15.95" customHeight="1" s="4080">
      <c r="A63" s="4097" t="n"/>
      <c r="B63" s="4107" t="n"/>
      <c r="C63" s="1282" t="inlineStr">
        <is>
          <t>常勤換算後の人数（人）</t>
        </is>
      </c>
      <c r="D63" s="4098" t="n"/>
      <c r="E63" s="4098" t="n"/>
      <c r="F63" s="4098" t="n"/>
      <c r="G63" s="4098" t="n"/>
      <c r="H63" s="4098" t="n"/>
      <c r="I63" s="4098" t="n"/>
      <c r="J63" s="4099" t="n"/>
      <c r="K63" s="4495" t="n"/>
      <c r="L63" s="4098" t="n"/>
      <c r="M63" s="4098" t="n"/>
      <c r="N63" s="4098" t="n"/>
      <c r="O63" s="4098" t="n"/>
      <c r="P63" s="4099" t="n"/>
      <c r="Q63" s="4495" t="n"/>
      <c r="R63" s="4098" t="n"/>
      <c r="S63" s="4098" t="n"/>
      <c r="T63" s="4098" t="n"/>
      <c r="U63" s="4098" t="n"/>
      <c r="V63" s="4099" t="n"/>
      <c r="W63" s="4495" t="n"/>
      <c r="X63" s="4098" t="n"/>
      <c r="Y63" s="4098" t="n"/>
      <c r="Z63" s="4098" t="n"/>
      <c r="AA63" s="4098" t="n"/>
      <c r="AB63" s="4099" t="n"/>
      <c r="AC63" s="4496" t="n"/>
      <c r="AD63" s="4098" t="n"/>
      <c r="AE63" s="4098" t="n"/>
      <c r="AF63" s="4098" t="n"/>
      <c r="AG63" s="4098" t="n"/>
      <c r="AH63" s="4101" t="n"/>
    </row>
    <row r="64" ht="15.95" customHeight="1" s="4080">
      <c r="A64" s="4097" t="n"/>
      <c r="B64" s="4107" t="n"/>
      <c r="C64" s="4521" t="inlineStr">
        <is>
          <t xml:space="preserve">　　　　　　職種・勤務形態
常勤・非常勤の別</t>
        </is>
      </c>
      <c r="D64" s="4098" t="n"/>
      <c r="E64" s="4098" t="n"/>
      <c r="F64" s="4098" t="n"/>
      <c r="G64" s="4098" t="n"/>
      <c r="H64" s="4098" t="n"/>
      <c r="I64" s="4098" t="n"/>
      <c r="J64" s="4099" t="n"/>
      <c r="K64" s="4325" t="inlineStr">
        <is>
          <t>生活支援員</t>
        </is>
      </c>
      <c r="L64" s="4098" t="n"/>
      <c r="M64" s="4098" t="n"/>
      <c r="N64" s="4098" t="n"/>
      <c r="O64" s="4098" t="n"/>
      <c r="P64" s="4099" t="n"/>
      <c r="Q64" s="1281" t="inlineStr">
        <is>
          <t>就労支援員</t>
        </is>
      </c>
      <c r="R64" s="4098" t="n"/>
      <c r="S64" s="4098" t="n"/>
      <c r="T64" s="4098" t="n"/>
      <c r="U64" s="4098" t="n"/>
      <c r="V64" s="4098" t="n"/>
      <c r="W64" s="4185" t="inlineStr">
        <is>
          <t>理学療法士</t>
        </is>
      </c>
      <c r="X64" s="4110" t="n"/>
      <c r="Y64" s="4110" t="n"/>
      <c r="Z64" s="4110" t="n"/>
      <c r="AA64" s="4110" t="n"/>
      <c r="AB64" s="4111" t="n"/>
      <c r="AC64" s="1804" t="inlineStr">
        <is>
          <t>作業療法士</t>
        </is>
      </c>
      <c r="AD64" s="4098" t="n"/>
      <c r="AE64" s="4098" t="n"/>
      <c r="AF64" s="4098" t="n"/>
      <c r="AG64" s="4098" t="n"/>
      <c r="AH64" s="4101" t="n"/>
    </row>
    <row r="65" ht="15.95" customHeight="1" s="4080">
      <c r="A65" s="4097" t="n"/>
      <c r="B65" s="4107" t="n"/>
      <c r="C65" s="4103" t="n"/>
      <c r="D65" s="4103" t="n"/>
      <c r="E65" s="4103" t="n"/>
      <c r="F65" s="4103" t="n"/>
      <c r="G65" s="4103" t="n"/>
      <c r="H65" s="4103" t="n"/>
      <c r="I65" s="4103" t="n"/>
      <c r="J65" s="4104" t="n"/>
      <c r="K65" s="1617" t="inlineStr">
        <is>
          <t>専従</t>
        </is>
      </c>
      <c r="L65" s="4110" t="n"/>
      <c r="M65" s="4189" t="n"/>
      <c r="N65" s="1603" t="inlineStr">
        <is>
          <t>兼務</t>
        </is>
      </c>
      <c r="O65" s="4110" t="n"/>
      <c r="P65" s="4189" t="n"/>
      <c r="Q65" s="1617" t="inlineStr">
        <is>
          <t>専従</t>
        </is>
      </c>
      <c r="R65" s="4110" t="n"/>
      <c r="S65" s="4189" t="n"/>
      <c r="T65" s="1603" t="inlineStr">
        <is>
          <t>兼務</t>
        </is>
      </c>
      <c r="U65" s="4110" t="n"/>
      <c r="V65" s="4189" t="n"/>
      <c r="W65" s="1617" t="inlineStr">
        <is>
          <t>専従</t>
        </is>
      </c>
      <c r="X65" s="4110" t="n"/>
      <c r="Y65" s="4189" t="n"/>
      <c r="Z65" s="1603" t="inlineStr">
        <is>
          <t>兼務</t>
        </is>
      </c>
      <c r="AA65" s="4110" t="n"/>
      <c r="AB65" s="4189" t="n"/>
      <c r="AC65" s="1617" t="inlineStr">
        <is>
          <t>専従</t>
        </is>
      </c>
      <c r="AD65" s="4110" t="n"/>
      <c r="AE65" s="4189" t="n"/>
      <c r="AF65" s="1603" t="inlineStr">
        <is>
          <t>兼務</t>
        </is>
      </c>
      <c r="AG65" s="4110" t="n"/>
      <c r="AH65" s="4189" t="n"/>
    </row>
    <row r="66" ht="15.95" customHeight="1" s="4080">
      <c r="A66" s="4097" t="n"/>
      <c r="B66" s="4107" t="n"/>
      <c r="C66" s="1268" t="inlineStr">
        <is>
          <t>常　　　　　勤（人）</t>
        </is>
      </c>
      <c r="D66" s="4110" t="n"/>
      <c r="E66" s="4110" t="n"/>
      <c r="F66" s="4110" t="n"/>
      <c r="G66" s="4110" t="n"/>
      <c r="H66" s="4110" t="n"/>
      <c r="I66" s="4110" t="n"/>
      <c r="J66" s="4111" t="n"/>
      <c r="K66" s="4275" t="n"/>
      <c r="L66" s="4110" t="n"/>
      <c r="M66" s="4189" t="n"/>
      <c r="N66" s="4276" t="n"/>
      <c r="O66" s="4110" t="n"/>
      <c r="P66" s="4189" t="n"/>
      <c r="Q66" s="4275" t="n"/>
      <c r="R66" s="4110" t="n"/>
      <c r="S66" s="4189" t="n"/>
      <c r="T66" s="4276" t="n"/>
      <c r="U66" s="4110" t="n"/>
      <c r="V66" s="4189" t="n"/>
      <c r="W66" s="4275" t="n"/>
      <c r="X66" s="4110" t="n"/>
      <c r="Y66" s="4189" t="n"/>
      <c r="Z66" s="4276" t="n"/>
      <c r="AA66" s="4110" t="n"/>
      <c r="AB66" s="4189" t="n"/>
      <c r="AC66" s="4275" t="n"/>
      <c r="AD66" s="4110" t="n"/>
      <c r="AE66" s="4189" t="n"/>
      <c r="AF66" s="4276" t="n"/>
      <c r="AG66" s="4110" t="n"/>
      <c r="AH66" s="4189" t="n"/>
    </row>
    <row r="67" ht="15.95" customHeight="1" s="4080">
      <c r="A67" s="4097" t="n"/>
      <c r="B67" s="4107" t="n"/>
      <c r="C67" s="1286" t="inlineStr">
        <is>
          <t>非　　常　　勤（人）</t>
        </is>
      </c>
      <c r="D67" s="4103" t="n"/>
      <c r="E67" s="4103" t="n"/>
      <c r="F67" s="4103" t="n"/>
      <c r="G67" s="4103" t="n"/>
      <c r="H67" s="4103" t="n"/>
      <c r="I67" s="4103" t="n"/>
      <c r="J67" s="4104" t="n"/>
      <c r="K67" s="4275" t="n"/>
      <c r="L67" s="4110" t="n"/>
      <c r="M67" s="4189" t="n"/>
      <c r="N67" s="4276" t="n"/>
      <c r="O67" s="4110" t="n"/>
      <c r="P67" s="4189" t="n"/>
      <c r="Q67" s="4275" t="n"/>
      <c r="R67" s="4110" t="n"/>
      <c r="S67" s="4189" t="n"/>
      <c r="T67" s="4276" t="n"/>
      <c r="U67" s="4110" t="n"/>
      <c r="V67" s="4189" t="n"/>
      <c r="W67" s="4275" t="n"/>
      <c r="X67" s="4110" t="n"/>
      <c r="Y67" s="4189" t="n"/>
      <c r="Z67" s="4276" t="n"/>
      <c r="AA67" s="4110" t="n"/>
      <c r="AB67" s="4189" t="n"/>
      <c r="AC67" s="4275" t="n"/>
      <c r="AD67" s="4110" t="n"/>
      <c r="AE67" s="4189" t="n"/>
      <c r="AF67" s="4276" t="n"/>
      <c r="AG67" s="4110" t="n"/>
      <c r="AH67" s="4189" t="n"/>
    </row>
    <row r="68" ht="15.95" customHeight="1" s="4080">
      <c r="A68" s="4097" t="n"/>
      <c r="B68" s="4107" t="n"/>
      <c r="C68" s="1268" t="inlineStr">
        <is>
          <t>常勤換算後の人数（人）</t>
        </is>
      </c>
      <c r="D68" s="4110" t="n"/>
      <c r="E68" s="4110" t="n"/>
      <c r="F68" s="4110" t="n"/>
      <c r="G68" s="4110" t="n"/>
      <c r="H68" s="4110" t="n"/>
      <c r="I68" s="4110" t="n"/>
      <c r="J68" s="4111" t="n"/>
      <c r="K68" s="4464" t="n"/>
      <c r="L68" s="4110" t="n"/>
      <c r="M68" s="4110" t="n"/>
      <c r="N68" s="4110" t="n"/>
      <c r="O68" s="4110" t="n"/>
      <c r="P68" s="4111" t="n"/>
      <c r="Q68" s="4464" t="n"/>
      <c r="R68" s="4110" t="n"/>
      <c r="S68" s="4110" t="n"/>
      <c r="T68" s="4110" t="n"/>
      <c r="U68" s="4110" t="n"/>
      <c r="V68" s="4111" t="n"/>
      <c r="W68" s="4464" t="n"/>
      <c r="X68" s="4110" t="n"/>
      <c r="Y68" s="4110" t="n"/>
      <c r="Z68" s="4110" t="n"/>
      <c r="AA68" s="4110" t="n"/>
      <c r="AB68" s="4111" t="n"/>
      <c r="AC68" s="4465" t="n"/>
      <c r="AD68" s="4110" t="n"/>
      <c r="AE68" s="4110" t="n"/>
      <c r="AF68" s="4110" t="n"/>
      <c r="AG68" s="4110" t="n"/>
      <c r="AH68" s="4113" t="n"/>
    </row>
    <row r="69" ht="15.95" customHeight="1" s="4080">
      <c r="A69" s="4097" t="n"/>
      <c r="B69" s="4107" t="n"/>
      <c r="C69" s="4521" t="inlineStr">
        <is>
          <t xml:space="preserve">　　　　　　職種・勤務形態
常勤・非常勤の別</t>
        </is>
      </c>
      <c r="D69" s="4098" t="n"/>
      <c r="E69" s="4098" t="n"/>
      <c r="F69" s="4098" t="n"/>
      <c r="G69" s="4098" t="n"/>
      <c r="H69" s="4098" t="n"/>
      <c r="I69" s="4098" t="n"/>
      <c r="J69" s="4099" t="n"/>
      <c r="K69" s="4185" t="n"/>
      <c r="L69" s="4110" t="n"/>
      <c r="M69" s="4110" t="n"/>
      <c r="N69" s="4110" t="n"/>
      <c r="O69" s="4110" t="n"/>
      <c r="P69" s="4111" t="n"/>
      <c r="Q69" s="4325" t="n"/>
      <c r="R69" s="4098" t="n"/>
      <c r="S69" s="4098" t="n"/>
      <c r="T69" s="4098" t="n"/>
      <c r="U69" s="4098" t="n"/>
      <c r="V69" s="4099" t="n"/>
      <c r="W69" s="4325" t="n"/>
      <c r="X69" s="4098" t="n"/>
      <c r="Y69" s="4098" t="n"/>
      <c r="Z69" s="4098" t="n"/>
      <c r="AA69" s="4098" t="n"/>
      <c r="AB69" s="4099" t="n"/>
      <c r="AC69" s="4326" t="n"/>
      <c r="AD69" s="4098" t="n"/>
      <c r="AE69" s="4098" t="n"/>
      <c r="AF69" s="4098" t="n"/>
      <c r="AG69" s="4098" t="n"/>
      <c r="AH69" s="4101" t="n"/>
    </row>
    <row r="70" ht="15.95" customHeight="1" s="4080">
      <c r="A70" s="4097" t="n"/>
      <c r="B70" s="4107" t="n"/>
      <c r="C70" s="4103" t="n"/>
      <c r="D70" s="4103" t="n"/>
      <c r="E70" s="4103" t="n"/>
      <c r="F70" s="4103" t="n"/>
      <c r="G70" s="4103" t="n"/>
      <c r="H70" s="4103" t="n"/>
      <c r="I70" s="4103" t="n"/>
      <c r="J70" s="4104" t="n"/>
      <c r="K70" s="1617" t="inlineStr">
        <is>
          <t>専従</t>
        </is>
      </c>
      <c r="L70" s="4110" t="n"/>
      <c r="M70" s="4189" t="n"/>
      <c r="N70" s="1603" t="inlineStr">
        <is>
          <t>兼務</t>
        </is>
      </c>
      <c r="O70" s="4110" t="n"/>
      <c r="P70" s="4189" t="n"/>
      <c r="Q70" s="1617" t="inlineStr">
        <is>
          <t>専従</t>
        </is>
      </c>
      <c r="R70" s="4110" t="n"/>
      <c r="S70" s="4189" t="n"/>
      <c r="T70" s="1603" t="inlineStr">
        <is>
          <t>兼務</t>
        </is>
      </c>
      <c r="U70" s="4110" t="n"/>
      <c r="V70" s="4189" t="n"/>
      <c r="W70" s="1617" t="inlineStr">
        <is>
          <t>専従</t>
        </is>
      </c>
      <c r="X70" s="4110" t="n"/>
      <c r="Y70" s="4189" t="n"/>
      <c r="Z70" s="1603" t="inlineStr">
        <is>
          <t>兼務</t>
        </is>
      </c>
      <c r="AA70" s="4110" t="n"/>
      <c r="AB70" s="4189" t="n"/>
      <c r="AC70" s="1617" t="inlineStr">
        <is>
          <t>専従</t>
        </is>
      </c>
      <c r="AD70" s="4110" t="n"/>
      <c r="AE70" s="4189" t="n"/>
      <c r="AF70" s="1603" t="inlineStr">
        <is>
          <t>兼務</t>
        </is>
      </c>
      <c r="AG70" s="4110" t="n"/>
      <c r="AH70" s="4189" t="n"/>
    </row>
    <row r="71" ht="15.95" customHeight="1" s="4080">
      <c r="A71" s="4097" t="n"/>
      <c r="B71" s="4107" t="n"/>
      <c r="C71" s="1268" t="inlineStr">
        <is>
          <t>常　　　　　勤（人）</t>
        </is>
      </c>
      <c r="D71" s="4110" t="n"/>
      <c r="E71" s="4110" t="n"/>
      <c r="F71" s="4110" t="n"/>
      <c r="G71" s="4110" t="n"/>
      <c r="H71" s="4110" t="n"/>
      <c r="I71" s="4110" t="n"/>
      <c r="J71" s="4111" t="n"/>
      <c r="K71" s="4275" t="n"/>
      <c r="L71" s="4110" t="n"/>
      <c r="M71" s="4189" t="n"/>
      <c r="N71" s="4276" t="n"/>
      <c r="O71" s="4110" t="n"/>
      <c r="P71" s="4189" t="n"/>
      <c r="Q71" s="4275" t="n"/>
      <c r="R71" s="4110" t="n"/>
      <c r="S71" s="4189" t="n"/>
      <c r="T71" s="4276" t="n"/>
      <c r="U71" s="4110" t="n"/>
      <c r="V71" s="4189" t="n"/>
      <c r="W71" s="4275" t="n"/>
      <c r="X71" s="4110" t="n"/>
      <c r="Y71" s="4189" t="n"/>
      <c r="Z71" s="4276" t="n"/>
      <c r="AA71" s="4110" t="n"/>
      <c r="AB71" s="4189" t="n"/>
      <c r="AC71" s="4275" t="n"/>
      <c r="AD71" s="4110" t="n"/>
      <c r="AE71" s="4189" t="n"/>
      <c r="AF71" s="4276" t="n"/>
      <c r="AG71" s="4110" t="n"/>
      <c r="AH71" s="4189" t="n"/>
    </row>
    <row r="72" ht="15.95" customHeight="1" s="4080">
      <c r="A72" s="4097" t="n"/>
      <c r="B72" s="4107" t="n"/>
      <c r="C72" s="1286" t="inlineStr">
        <is>
          <t>非　　常　　勤（人）</t>
        </is>
      </c>
      <c r="D72" s="4103" t="n"/>
      <c r="E72" s="4103" t="n"/>
      <c r="F72" s="4103" t="n"/>
      <c r="G72" s="4103" t="n"/>
      <c r="H72" s="4103" t="n"/>
      <c r="I72" s="4103" t="n"/>
      <c r="J72" s="4104" t="n"/>
      <c r="K72" s="4275" t="n"/>
      <c r="L72" s="4110" t="n"/>
      <c r="M72" s="4189" t="n"/>
      <c r="N72" s="4276" t="n"/>
      <c r="O72" s="4110" t="n"/>
      <c r="P72" s="4189" t="n"/>
      <c r="Q72" s="4275" t="n"/>
      <c r="R72" s="4110" t="n"/>
      <c r="S72" s="4189" t="n"/>
      <c r="T72" s="4276" t="n"/>
      <c r="U72" s="4110" t="n"/>
      <c r="V72" s="4189" t="n"/>
      <c r="W72" s="4275" t="n"/>
      <c r="X72" s="4110" t="n"/>
      <c r="Y72" s="4189" t="n"/>
      <c r="Z72" s="4276" t="n"/>
      <c r="AA72" s="4110" t="n"/>
      <c r="AB72" s="4189" t="n"/>
      <c r="AC72" s="4275" t="n"/>
      <c r="AD72" s="4110" t="n"/>
      <c r="AE72" s="4189" t="n"/>
      <c r="AF72" s="4276" t="n"/>
      <c r="AG72" s="4110" t="n"/>
      <c r="AH72" s="4189" t="n"/>
    </row>
    <row r="73" ht="15.95" customHeight="1" s="4080" thickBot="1">
      <c r="A73" s="4086" t="n"/>
      <c r="B73" s="4410" t="n"/>
      <c r="C73" s="2203" t="inlineStr">
        <is>
          <t>常勤換算後の人数（人）</t>
        </is>
      </c>
      <c r="D73" s="4153" t="n"/>
      <c r="E73" s="4153" t="n"/>
      <c r="F73" s="4153" t="n"/>
      <c r="G73" s="4153" t="n"/>
      <c r="H73" s="4153" t="n"/>
      <c r="I73" s="4153" t="n"/>
      <c r="J73" s="4154" t="n"/>
      <c r="K73" s="4471" t="n"/>
      <c r="L73" s="4153" t="n"/>
      <c r="M73" s="4153" t="n"/>
      <c r="N73" s="4153" t="n"/>
      <c r="O73" s="4153" t="n"/>
      <c r="P73" s="4154" t="n"/>
      <c r="Q73" s="4471" t="n"/>
      <c r="R73" s="4153" t="n"/>
      <c r="S73" s="4153" t="n"/>
      <c r="T73" s="4153" t="n"/>
      <c r="U73" s="4153" t="n"/>
      <c r="V73" s="4154" t="n"/>
      <c r="W73" s="4471" t="n"/>
      <c r="X73" s="4153" t="n"/>
      <c r="Y73" s="4153" t="n"/>
      <c r="Z73" s="4153" t="n"/>
      <c r="AA73" s="4153" t="n"/>
      <c r="AB73" s="4154" t="n"/>
      <c r="AC73" s="4472" t="n"/>
      <c r="AD73" s="4153" t="n"/>
      <c r="AE73" s="4153" t="n"/>
      <c r="AF73" s="4153" t="n"/>
      <c r="AG73" s="4153" t="n"/>
      <c r="AH73" s="4155" t="n"/>
    </row>
  </sheetData>
  <mergeCells count="305">
    <mergeCell ref="J35:J37"/>
    <mergeCell ref="C13:D17"/>
    <mergeCell ref="Q72:S72"/>
    <mergeCell ref="AC68:AH68"/>
    <mergeCell ref="AC67:AE67"/>
    <mergeCell ref="G30:J32"/>
    <mergeCell ref="T71:V71"/>
    <mergeCell ref="V38:Z38"/>
    <mergeCell ref="AB27:AD27"/>
    <mergeCell ref="S30:V32"/>
    <mergeCell ref="F22:AH23"/>
    <mergeCell ref="Z3:Z4"/>
    <mergeCell ref="C21:E21"/>
    <mergeCell ref="W72:Y72"/>
    <mergeCell ref="E30:F33"/>
    <mergeCell ref="N67:P67"/>
    <mergeCell ref="W59:AB59"/>
    <mergeCell ref="O37:R37"/>
    <mergeCell ref="K71:M71"/>
    <mergeCell ref="A21:B37"/>
    <mergeCell ref="AA32:AD32"/>
    <mergeCell ref="AE30:AH32"/>
    <mergeCell ref="C30:D34"/>
    <mergeCell ref="AB11:AD11"/>
    <mergeCell ref="Z67:AB67"/>
    <mergeCell ref="K12:AH12"/>
    <mergeCell ref="W71:Y71"/>
    <mergeCell ref="L52:O54"/>
    <mergeCell ref="Z52:AH54"/>
    <mergeCell ref="O47:Z47"/>
    <mergeCell ref="N60:P60"/>
    <mergeCell ref="T66:V66"/>
    <mergeCell ref="AA49:AH49"/>
    <mergeCell ref="Q70:S70"/>
    <mergeCell ref="Z39:AH41"/>
    <mergeCell ref="K17:M17"/>
    <mergeCell ref="K33:N33"/>
    <mergeCell ref="Z60:AB60"/>
    <mergeCell ref="F25:H26"/>
    <mergeCell ref="AC59:AH59"/>
    <mergeCell ref="C18:C20"/>
    <mergeCell ref="O15:R15"/>
    <mergeCell ref="W15:Z15"/>
    <mergeCell ref="H55:K55"/>
    <mergeCell ref="C69:J70"/>
    <mergeCell ref="W33:Z33"/>
    <mergeCell ref="E34:F34"/>
    <mergeCell ref="W13:AD14"/>
    <mergeCell ref="W60:Y60"/>
    <mergeCell ref="K66:M66"/>
    <mergeCell ref="W18:Z19"/>
    <mergeCell ref="AG3:AG4"/>
    <mergeCell ref="K34:M34"/>
    <mergeCell ref="E56:G58"/>
    <mergeCell ref="AF61:AH61"/>
    <mergeCell ref="D35:I37"/>
    <mergeCell ref="C61:J61"/>
    <mergeCell ref="C35:C37"/>
    <mergeCell ref="AF70:AH70"/>
    <mergeCell ref="O32:R32"/>
    <mergeCell ref="AE33:AH33"/>
    <mergeCell ref="K30:R31"/>
    <mergeCell ref="AA33:AD33"/>
    <mergeCell ref="W34:Y34"/>
    <mergeCell ref="H39:K41"/>
    <mergeCell ref="C24:E26"/>
    <mergeCell ref="C11:E12"/>
    <mergeCell ref="W30:AD31"/>
    <mergeCell ref="R55:U55"/>
    <mergeCell ref="AC66:AE66"/>
    <mergeCell ref="V52:X54"/>
    <mergeCell ref="O16:R16"/>
    <mergeCell ref="Z70:AB70"/>
    <mergeCell ref="L55:O55"/>
    <mergeCell ref="Z1:AA1"/>
    <mergeCell ref="R51:U51"/>
    <mergeCell ref="L38:O38"/>
    <mergeCell ref="AA16:AD16"/>
    <mergeCell ref="AA34:AC34"/>
    <mergeCell ref="S17:U17"/>
    <mergeCell ref="K60:M60"/>
    <mergeCell ref="R56:S58"/>
    <mergeCell ref="E46:N46"/>
    <mergeCell ref="Q64:V64"/>
    <mergeCell ref="C27:E28"/>
    <mergeCell ref="Z72:AB72"/>
    <mergeCell ref="K18:N19"/>
    <mergeCell ref="Q73:V73"/>
    <mergeCell ref="M11:O11"/>
    <mergeCell ref="AB1:AD1"/>
    <mergeCell ref="Q67:S67"/>
    <mergeCell ref="I25:M26"/>
    <mergeCell ref="N71:P71"/>
    <mergeCell ref="Z62:AB62"/>
    <mergeCell ref="Q63:V63"/>
    <mergeCell ref="Z71:AB71"/>
    <mergeCell ref="Q60:S60"/>
    <mergeCell ref="L56:O58"/>
    <mergeCell ref="S20:V20"/>
    <mergeCell ref="W62:Y62"/>
    <mergeCell ref="AC72:AE72"/>
    <mergeCell ref="K37:N37"/>
    <mergeCell ref="C73:J73"/>
    <mergeCell ref="K59:P59"/>
    <mergeCell ref="C6:E7"/>
    <mergeCell ref="O50:Z50"/>
    <mergeCell ref="T27:W27"/>
    <mergeCell ref="J18:J20"/>
    <mergeCell ref="N9:O10"/>
    <mergeCell ref="O35:R36"/>
    <mergeCell ref="W37:Z37"/>
    <mergeCell ref="E47:N47"/>
    <mergeCell ref="C38:D50"/>
    <mergeCell ref="C63:J63"/>
    <mergeCell ref="K70:M70"/>
    <mergeCell ref="O46:Z46"/>
    <mergeCell ref="F27:H27"/>
    <mergeCell ref="J24:N24"/>
    <mergeCell ref="W61:Y61"/>
    <mergeCell ref="T60:V60"/>
    <mergeCell ref="W70:Y70"/>
    <mergeCell ref="Q61:S61"/>
    <mergeCell ref="K15:N15"/>
    <mergeCell ref="AF60:AH60"/>
    <mergeCell ref="O48:Z48"/>
    <mergeCell ref="K65:M65"/>
    <mergeCell ref="K62:M62"/>
    <mergeCell ref="D18:I20"/>
    <mergeCell ref="X27:Z27"/>
    <mergeCell ref="AC70:AE70"/>
    <mergeCell ref="V56:X58"/>
    <mergeCell ref="A1:Y1"/>
    <mergeCell ref="X42:AH44"/>
    <mergeCell ref="AE1:AF1"/>
    <mergeCell ref="K32:N32"/>
    <mergeCell ref="W69:AB69"/>
    <mergeCell ref="AA15:AD15"/>
    <mergeCell ref="F11:H11"/>
    <mergeCell ref="X11:Z11"/>
    <mergeCell ref="W32:Z32"/>
    <mergeCell ref="H56:K58"/>
    <mergeCell ref="F6:AH7"/>
    <mergeCell ref="AA50:AH50"/>
    <mergeCell ref="Q71:S71"/>
    <mergeCell ref="AF67:AH67"/>
    <mergeCell ref="C67:J67"/>
    <mergeCell ref="I27:K27"/>
    <mergeCell ref="H52:K54"/>
    <mergeCell ref="AC62:AE62"/>
    <mergeCell ref="C72:J72"/>
    <mergeCell ref="AC71:AE71"/>
    <mergeCell ref="W65:Y65"/>
    <mergeCell ref="Z61:AB61"/>
    <mergeCell ref="K64:P64"/>
    <mergeCell ref="W16:Z16"/>
    <mergeCell ref="AA47:AH47"/>
    <mergeCell ref="G33:J33"/>
    <mergeCell ref="C59:J60"/>
    <mergeCell ref="G17:I17"/>
    <mergeCell ref="T11:W11"/>
    <mergeCell ref="Y3:Y4"/>
    <mergeCell ref="N72:P72"/>
    <mergeCell ref="T65:V65"/>
    <mergeCell ref="W64:AB64"/>
    <mergeCell ref="P8:AH10"/>
    <mergeCell ref="S33:V33"/>
    <mergeCell ref="R39:S41"/>
    <mergeCell ref="T62:V62"/>
    <mergeCell ref="V55:Z55"/>
    <mergeCell ref="K63:P63"/>
    <mergeCell ref="AF65:AH65"/>
    <mergeCell ref="S18:V19"/>
    <mergeCell ref="O49:Z49"/>
    <mergeCell ref="N62:P62"/>
    <mergeCell ref="AE13:AH15"/>
    <mergeCell ref="AC3:AC4"/>
    <mergeCell ref="AF62:AH62"/>
    <mergeCell ref="W63:AB63"/>
    <mergeCell ref="C62:J62"/>
    <mergeCell ref="AE3:AE4"/>
    <mergeCell ref="AE17:AG17"/>
    <mergeCell ref="G16:J16"/>
    <mergeCell ref="K67:M67"/>
    <mergeCell ref="W66:Y66"/>
    <mergeCell ref="AC64:AH64"/>
    <mergeCell ref="G34:I34"/>
    <mergeCell ref="P44:T44"/>
    <mergeCell ref="AC73:AH73"/>
    <mergeCell ref="Z56:AH58"/>
    <mergeCell ref="E42:O44"/>
    <mergeCell ref="S34:U34"/>
    <mergeCell ref="K35:N36"/>
    <mergeCell ref="AC63:AH63"/>
    <mergeCell ref="T70:V70"/>
    <mergeCell ref="W35:Z36"/>
    <mergeCell ref="Q27:S27"/>
    <mergeCell ref="F12:J12"/>
    <mergeCell ref="AC60:AE60"/>
    <mergeCell ref="K61:M61"/>
    <mergeCell ref="H38:K38"/>
    <mergeCell ref="O17:Q17"/>
    <mergeCell ref="U3:X4"/>
    <mergeCell ref="F5:AH5"/>
    <mergeCell ref="N65:P65"/>
    <mergeCell ref="V51:Z51"/>
    <mergeCell ref="C64:J65"/>
    <mergeCell ref="T67:V67"/>
    <mergeCell ref="C71:J71"/>
    <mergeCell ref="C29:F29"/>
    <mergeCell ref="Z65:AB65"/>
    <mergeCell ref="AC61:AE61"/>
    <mergeCell ref="AF27:AH27"/>
    <mergeCell ref="O20:R20"/>
    <mergeCell ref="K28:AH28"/>
    <mergeCell ref="K69:P69"/>
    <mergeCell ref="G13:J15"/>
    <mergeCell ref="AD3:AD4"/>
    <mergeCell ref="AB3:AB4"/>
    <mergeCell ref="W68:AB68"/>
    <mergeCell ref="P51:Q54"/>
    <mergeCell ref="S37:V37"/>
    <mergeCell ref="N25:O26"/>
    <mergeCell ref="Q68:V68"/>
    <mergeCell ref="F8:I8"/>
    <mergeCell ref="Q62:S62"/>
    <mergeCell ref="R52:S54"/>
    <mergeCell ref="AF3:AF4"/>
    <mergeCell ref="N66:P66"/>
    <mergeCell ref="AH3:AH4"/>
    <mergeCell ref="AF66:AH66"/>
    <mergeCell ref="E39:G41"/>
    <mergeCell ref="C66:J66"/>
    <mergeCell ref="P42:T42"/>
    <mergeCell ref="Z66:AB66"/>
    <mergeCell ref="F9:H10"/>
    <mergeCell ref="E51:G51"/>
    <mergeCell ref="J8:N8"/>
    <mergeCell ref="K72:M72"/>
    <mergeCell ref="E49:N49"/>
    <mergeCell ref="S13:V15"/>
    <mergeCell ref="C68:J68"/>
    <mergeCell ref="AG1:AH1"/>
    <mergeCell ref="N61:P61"/>
    <mergeCell ref="Q69:V69"/>
    <mergeCell ref="E17:F17"/>
    <mergeCell ref="AC69:AH69"/>
    <mergeCell ref="V39:X41"/>
    <mergeCell ref="Q59:V59"/>
    <mergeCell ref="C8:E10"/>
    <mergeCell ref="M27:O27"/>
    <mergeCell ref="AF11:AH11"/>
    <mergeCell ref="AA48:AH48"/>
    <mergeCell ref="Q65:S65"/>
    <mergeCell ref="T61:V61"/>
    <mergeCell ref="E50:N50"/>
    <mergeCell ref="K13:R14"/>
    <mergeCell ref="C51:D58"/>
    <mergeCell ref="S16:V16"/>
    <mergeCell ref="K16:N16"/>
    <mergeCell ref="AC65:AE65"/>
    <mergeCell ref="F21:AH21"/>
    <mergeCell ref="AE16:AH16"/>
    <mergeCell ref="R38:U38"/>
    <mergeCell ref="T72:V72"/>
    <mergeCell ref="AE34:AG34"/>
    <mergeCell ref="K73:P73"/>
    <mergeCell ref="W17:Y17"/>
    <mergeCell ref="O33:R33"/>
    <mergeCell ref="P24:AH26"/>
    <mergeCell ref="E45:AH45"/>
    <mergeCell ref="Q11:S11"/>
    <mergeCell ref="AF72:AH72"/>
    <mergeCell ref="I9:M10"/>
    <mergeCell ref="W73:AB73"/>
    <mergeCell ref="U42:W44"/>
    <mergeCell ref="P55:Q58"/>
    <mergeCell ref="W67:Y67"/>
    <mergeCell ref="E48:N48"/>
    <mergeCell ref="AA3:AA4"/>
    <mergeCell ref="Q66:S66"/>
    <mergeCell ref="F28:J28"/>
    <mergeCell ref="F24:I24"/>
    <mergeCell ref="N70:P70"/>
    <mergeCell ref="AF71:AH71"/>
    <mergeCell ref="K20:N20"/>
    <mergeCell ref="C22:E23"/>
    <mergeCell ref="AA17:AC17"/>
    <mergeCell ref="AA46:AH46"/>
    <mergeCell ref="W20:Z20"/>
    <mergeCell ref="E52:G54"/>
    <mergeCell ref="H51:K51"/>
    <mergeCell ref="O34:Q34"/>
    <mergeCell ref="K68:P68"/>
    <mergeCell ref="E55:G55"/>
    <mergeCell ref="I11:K11"/>
    <mergeCell ref="P38:Q41"/>
    <mergeCell ref="C5:E5"/>
    <mergeCell ref="L39:O41"/>
    <mergeCell ref="A38:B73"/>
    <mergeCell ref="S35:V36"/>
    <mergeCell ref="A5:B20"/>
    <mergeCell ref="L51:O51"/>
    <mergeCell ref="E13:F16"/>
    <mergeCell ref="E38:G38"/>
    <mergeCell ref="O18:R19"/>
  </mergeCells>
  <dataValidations count="6">
    <dataValidation sqref="M11:O11 M27:O27 Q11 Q27:S27 X11 X27:Z27 AB11:AD11 AB27:AD27 AF11 AF27:AH27" showDropDown="0" showInputMessage="1" showErrorMessage="1" allowBlank="1" error="全角数字で入力してください" imeMode="fullAlpha"/>
    <dataValidation sqref="G16 G33 K16 K20 K33 K37 O16 O20 O33 O37 S16 S20 S33 S37 W16 W20 W33 W37 AA16 AA33 AD20 AD37 AE16 AE33" showDropDown="0" showInputMessage="1" showErrorMessage="1" allowBlank="1" type="list">
      <formula1>"　,○"</formula1>
    </dataValidation>
    <dataValidation sqref="AI43:AJ43"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K61:AH63 K66:AH68 K71:AH73" showDropDown="0" showInputMessage="1" showErrorMessage="1" allowBlank="1" imeMode="halfAlpha"/>
    <dataValidation sqref="F5:AH5 F21:AH21 H38:O38 H51:O51 H55:O55" showDropDown="0" showInputMessage="1" showErrorMessage="1" allowBlank="1" imeMode="halfKatakana"/>
    <dataValidation sqref="I11 I27:K27 J8:N8 J24:N24 V38:Z38 V51:Z51 V55:Z55 Y3:AH4" showDropDown="0" showInputMessage="1" showErrorMessage="1" allowBlank="1" imeMode="fullAlpha"/>
  </dataValidations>
  <printOptions horizontalCentered="1"/>
  <pageMargins left="0.7086614173228347" right="0.5905511811023623" top="0.3543307086614174" bottom="0.3149606299212598" header="0.6299212598425197" footer="0.3543307086614174"/>
  <pageSetup orientation="portrait" paperSize="9" scale="96"/>
  <legacyDrawing xmlns:r="http://schemas.openxmlformats.org/officeDocument/2006/relationships" r:id="anysvml"/>
</worksheet>
</file>

<file path=xl/worksheets/sheet16.xml><?xml version="1.0" encoding="utf-8"?>
<worksheet xmlns="http://schemas.openxmlformats.org/spreadsheetml/2006/main">
  <sheetPr codeName="Sheet15">
    <outlinePr summaryBelow="1" summaryRight="1"/>
    <pageSetUpPr/>
  </sheetPr>
  <dimension ref="A1:AN73"/>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15"/>
    <col width="3.125" customWidth="1" style="1667" min="16" max="16"/>
    <col width="2.625" customWidth="1" style="1667" min="17" max="33"/>
    <col width="4.375" customWidth="1" style="1667" min="34" max="34"/>
    <col width="1.625" customWidth="1" style="1667" min="35" max="35"/>
    <col width="9" customWidth="1" style="1667" min="36" max="16384"/>
  </cols>
  <sheetData>
    <row r="1" ht="19.5" customHeight="1" s="4080">
      <c r="A1" s="1213" t="inlineStr">
        <is>
          <t>付表１０　従たる事業所の指定にかかる記載事項</t>
        </is>
      </c>
      <c r="Z1" s="2373" t="n"/>
      <c r="AB1" s="1290" t="inlineStr">
        <is>
          <t>単位／</t>
        </is>
      </c>
      <c r="AE1" s="2373" t="n"/>
      <c r="AG1" s="1355" t="inlineStr">
        <is>
          <t>単位</t>
        </is>
      </c>
      <c r="AN1" s="719">
        <f>HYPERLINK("#目次!A1","目次へ戻る")</f>
        <v/>
      </c>
    </row>
    <row r="2" ht="21" customHeight="1" s="4080" thickBot="1">
      <c r="A2" s="293" t="inlineStr">
        <is>
          <t xml:space="preserve">　※主たる事業所の指定にかかる記載事項（付表５～９のうち対応するもの）も合わせて提出してください</t>
        </is>
      </c>
      <c r="Z2" s="197" t="n"/>
      <c r="AA2" s="197" t="n"/>
      <c r="AB2" s="197" t="n"/>
      <c r="AC2" s="197" t="n"/>
      <c r="AD2" s="197" t="n"/>
      <c r="AE2" s="197" t="n"/>
      <c r="AF2" s="197" t="n"/>
      <c r="AG2" s="197" t="n"/>
      <c r="AH2" s="197" t="n"/>
    </row>
    <row r="3" ht="15" customHeight="1" s="4080">
      <c r="B3" s="45" t="n"/>
      <c r="C3" s="45" t="n"/>
      <c r="D3" s="45" t="n"/>
      <c r="E3" s="1889" t="n"/>
      <c r="F3" s="1889" t="n"/>
      <c r="G3" s="1889" t="n"/>
      <c r="H3" s="2069" t="n"/>
      <c r="I3" s="1889" t="n"/>
      <c r="J3" s="1889" t="n"/>
      <c r="K3" s="1889" t="n"/>
      <c r="L3" s="1889" t="n"/>
      <c r="M3" s="1889" t="n"/>
      <c r="N3" s="2069" t="n"/>
      <c r="O3" s="1889" t="n"/>
      <c r="P3" s="1889" t="n"/>
      <c r="Q3" s="1889" t="n"/>
      <c r="S3" s="1889" t="n"/>
      <c r="U3" s="4178" t="inlineStr">
        <is>
          <t>事業所番号</t>
        </is>
      </c>
      <c r="V3" s="4082" t="n"/>
      <c r="W3" s="4082" t="n"/>
      <c r="X3" s="4083" t="n"/>
      <c r="Y3" s="4084" t="n"/>
      <c r="Z3" s="4084" t="n"/>
      <c r="AA3" s="4084" t="n"/>
      <c r="AB3" s="4084" t="n"/>
      <c r="AC3" s="4084" t="n"/>
      <c r="AD3" s="4084" t="n"/>
      <c r="AE3" s="4084" t="n"/>
      <c r="AF3" s="4084" t="n"/>
      <c r="AG3" s="4084" t="n"/>
      <c r="AH3" s="4085" t="n"/>
    </row>
    <row r="4" ht="3.95" customHeight="1" s="4080" thickBot="1">
      <c r="B4" s="45" t="n"/>
      <c r="C4" s="48" t="n"/>
      <c r="D4" s="48" t="n"/>
      <c r="E4" s="48" t="n"/>
      <c r="F4" s="49" t="n"/>
      <c r="G4" s="48" t="n"/>
      <c r="H4" s="48" t="n"/>
      <c r="I4" s="48" t="n"/>
      <c r="J4" s="49" t="n"/>
      <c r="K4" s="48" t="n"/>
      <c r="L4" s="48" t="n"/>
      <c r="M4" s="48" t="n"/>
      <c r="Q4" s="2345" t="n"/>
      <c r="R4" s="2345" t="n"/>
      <c r="S4" s="2345" t="n"/>
      <c r="T4" s="4015" t="n"/>
      <c r="U4" s="4086" t="n"/>
      <c r="V4" s="4087" t="n"/>
      <c r="W4" s="4087" t="n"/>
      <c r="X4" s="4088" t="n"/>
      <c r="Y4" s="4089" t="n"/>
      <c r="Z4" s="4089" t="n"/>
      <c r="AA4" s="4089" t="n"/>
      <c r="AB4" s="4089" t="n"/>
      <c r="AC4" s="4089" t="n"/>
      <c r="AD4" s="4089" t="n"/>
      <c r="AE4" s="4089" t="n"/>
      <c r="AF4" s="4089" t="n"/>
      <c r="AG4" s="4089" t="n"/>
      <c r="AH4" s="4090" t="n"/>
    </row>
    <row r="5" ht="14.1" customHeight="1" s="4080">
      <c r="A5" s="4355" t="inlineStr">
        <is>
          <t>従たる事業所</t>
        </is>
      </c>
      <c r="B5" s="4356" t="n"/>
      <c r="C5" s="4180" t="inlineStr">
        <is>
          <t>ﾌﾘｶﾞﾅ</t>
        </is>
      </c>
      <c r="D5" s="4093" t="n"/>
      <c r="E5" s="4094" t="n"/>
      <c r="F5" s="4161" t="inlineStr">
        <is>
          <t>ｵｵｻｶｶﾞｲﾌｸｼｻｰﾋﾞｽｾﾝﾀｰ</t>
        </is>
      </c>
      <c r="G5" s="4093" t="n"/>
      <c r="H5" s="4093" t="n"/>
      <c r="I5" s="4093" t="n"/>
      <c r="J5" s="4093" t="n"/>
      <c r="K5" s="4093" t="n"/>
      <c r="L5" s="4093" t="n"/>
      <c r="M5" s="4093" t="n"/>
      <c r="N5" s="4093" t="n"/>
      <c r="O5" s="4093" t="n"/>
      <c r="P5" s="4093" t="n"/>
      <c r="Q5" s="4093" t="n"/>
      <c r="R5" s="4093" t="n"/>
      <c r="S5" s="4093" t="n"/>
      <c r="T5" s="4093" t="n"/>
      <c r="U5" s="4093" t="n"/>
      <c r="V5" s="4093" t="n"/>
      <c r="W5" s="4093" t="n"/>
      <c r="X5" s="4093" t="n"/>
      <c r="Y5" s="4093" t="n"/>
      <c r="Z5" s="4093" t="n"/>
      <c r="AA5" s="4093" t="n"/>
      <c r="AB5" s="4093" t="n"/>
      <c r="AC5" s="4093" t="n"/>
      <c r="AD5" s="4093" t="n"/>
      <c r="AE5" s="4093" t="n"/>
      <c r="AF5" s="4093" t="n"/>
      <c r="AG5" s="4093" t="n"/>
      <c r="AH5" s="4096" t="n"/>
    </row>
    <row r="6" ht="14.1" customHeight="1" s="4080">
      <c r="A6" s="4097" t="n"/>
      <c r="B6" s="4107" t="n"/>
      <c r="C6" s="4181" t="inlineStr">
        <is>
          <t>名　称</t>
        </is>
      </c>
      <c r="D6" s="4098" t="n"/>
      <c r="E6" s="4099" t="n"/>
      <c r="F6" s="4522" t="inlineStr">
        <is>
          <t>大阪障がい福祉サービスセンター</t>
        </is>
      </c>
      <c r="G6" s="4098" t="n"/>
      <c r="H6" s="4098" t="n"/>
      <c r="I6" s="4098" t="n"/>
      <c r="J6" s="4098" t="n"/>
      <c r="K6" s="4098" t="n"/>
      <c r="L6" s="4098" t="n"/>
      <c r="M6" s="4098" t="n"/>
      <c r="N6" s="4098" t="n"/>
      <c r="O6" s="4098" t="n"/>
      <c r="P6" s="4098" t="n"/>
      <c r="Q6" s="4098" t="n"/>
      <c r="R6" s="4098" t="n"/>
      <c r="S6" s="4098" t="n"/>
      <c r="T6" s="4098" t="n"/>
      <c r="U6" s="4098" t="n"/>
      <c r="V6" s="4098" t="n"/>
      <c r="W6" s="4098" t="n"/>
      <c r="X6" s="4098" t="n"/>
      <c r="Y6" s="4098" t="n"/>
      <c r="Z6" s="4098" t="n"/>
      <c r="AA6" s="4098" t="n"/>
      <c r="AB6" s="4098" t="n"/>
      <c r="AC6" s="4098" t="n"/>
      <c r="AD6" s="4098" t="n"/>
      <c r="AE6" s="4098" t="n"/>
      <c r="AF6" s="4098" t="n"/>
      <c r="AG6" s="4098" t="n"/>
      <c r="AH6" s="4101" t="n"/>
    </row>
    <row r="7" ht="14.1" customHeight="1" s="4080">
      <c r="A7" s="4097" t="n"/>
      <c r="B7" s="4107" t="n"/>
      <c r="C7" s="4102" t="n"/>
      <c r="D7" s="4103" t="n"/>
      <c r="E7" s="4104" t="n"/>
      <c r="F7" s="4102" t="n"/>
      <c r="G7" s="4103" t="n"/>
      <c r="H7" s="4103" t="n"/>
      <c r="I7" s="4103" t="n"/>
      <c r="J7" s="4103" t="n"/>
      <c r="K7" s="4103" t="n"/>
      <c r="L7" s="4103" t="n"/>
      <c r="M7" s="4103" t="n"/>
      <c r="N7" s="4103" t="n"/>
      <c r="O7" s="4103" t="n"/>
      <c r="P7" s="4103" t="n"/>
      <c r="Q7" s="4103" t="n"/>
      <c r="R7" s="4103" t="n"/>
      <c r="S7" s="4103" t="n"/>
      <c r="T7" s="4103" t="n"/>
      <c r="U7" s="4103" t="n"/>
      <c r="V7" s="4103" t="n"/>
      <c r="W7" s="4103" t="n"/>
      <c r="X7" s="4103" t="n"/>
      <c r="Y7" s="4103" t="n"/>
      <c r="Z7" s="4103" t="n"/>
      <c r="AA7" s="4103" t="n"/>
      <c r="AB7" s="4103" t="n"/>
      <c r="AC7" s="4103" t="n"/>
      <c r="AD7" s="4103" t="n"/>
      <c r="AE7" s="4103" t="n"/>
      <c r="AF7" s="4103" t="n"/>
      <c r="AG7" s="4103" t="n"/>
      <c r="AH7" s="4105" t="n"/>
    </row>
    <row r="8" ht="14.1" customHeight="1" s="4080">
      <c r="A8" s="4097" t="n"/>
      <c r="B8" s="4107" t="n"/>
      <c r="C8" s="4181" t="inlineStr">
        <is>
          <t>所在地</t>
        </is>
      </c>
      <c r="D8" s="4098" t="n"/>
      <c r="E8" s="4099" t="n"/>
      <c r="F8" s="1244" t="inlineStr">
        <is>
          <t>郵便番号（</t>
        </is>
      </c>
      <c r="G8" s="4098" t="n"/>
      <c r="H8" s="4098" t="n"/>
      <c r="I8" s="4098" t="n"/>
      <c r="J8" s="2423" t="inlineStr">
        <is>
          <t>５３０－８２０１</t>
        </is>
      </c>
      <c r="K8" s="4098" t="n"/>
      <c r="L8" s="4098" t="n"/>
      <c r="M8" s="4098" t="n"/>
      <c r="N8" s="4098" t="n"/>
      <c r="O8" s="1329" t="inlineStr">
        <is>
          <t>）</t>
        </is>
      </c>
      <c r="P8" s="4434" t="inlineStr">
        <is>
          <t>船場中央３－１－７</t>
        </is>
      </c>
      <c r="Q8" s="4098" t="n"/>
      <c r="R8" s="4098" t="n"/>
      <c r="S8" s="4098" t="n"/>
      <c r="T8" s="4098" t="n"/>
      <c r="U8" s="4098" t="n"/>
      <c r="V8" s="4098" t="n"/>
      <c r="W8" s="4098" t="n"/>
      <c r="X8" s="4098" t="n"/>
      <c r="Y8" s="4098" t="n"/>
      <c r="Z8" s="4098" t="n"/>
      <c r="AA8" s="4098" t="n"/>
      <c r="AB8" s="4098" t="n"/>
      <c r="AC8" s="4098" t="n"/>
      <c r="AD8" s="4098" t="n"/>
      <c r="AE8" s="4098" t="n"/>
      <c r="AF8" s="4098" t="n"/>
      <c r="AG8" s="4098" t="n"/>
      <c r="AH8" s="4101" t="n"/>
    </row>
    <row r="9" ht="10.5" customHeight="1" s="4080">
      <c r="A9" s="4097" t="n"/>
      <c r="B9" s="4107" t="n"/>
      <c r="C9" s="4106" t="n"/>
      <c r="E9" s="4107" t="n"/>
      <c r="F9" s="1255" t="inlineStr">
        <is>
          <t>大阪市</t>
        </is>
      </c>
      <c r="I9" s="2093" t="inlineStr">
        <is>
          <t>中央</t>
        </is>
      </c>
      <c r="N9" s="1260" t="inlineStr">
        <is>
          <t>区</t>
        </is>
      </c>
      <c r="AH9" s="4109" t="n"/>
    </row>
    <row r="10" ht="3.95" customHeight="1" s="4080">
      <c r="A10" s="4097" t="n"/>
      <c r="B10" s="4107" t="n"/>
      <c r="C10" s="4102" t="n"/>
      <c r="D10" s="4103" t="n"/>
      <c r="E10" s="4104" t="n"/>
      <c r="F10" s="4102" t="n"/>
      <c r="G10" s="4103" t="n"/>
      <c r="H10" s="4103" t="n"/>
      <c r="I10" s="4103" t="n"/>
      <c r="J10" s="4103" t="n"/>
      <c r="K10" s="4103" t="n"/>
      <c r="L10" s="4103" t="n"/>
      <c r="M10" s="4103" t="n"/>
      <c r="N10" s="4103" t="n"/>
      <c r="O10" s="4103" t="n"/>
      <c r="P10" s="4103" t="n"/>
      <c r="Q10" s="4103" t="n"/>
      <c r="R10" s="4103" t="n"/>
      <c r="S10" s="4103" t="n"/>
      <c r="T10" s="4103" t="n"/>
      <c r="U10" s="4103" t="n"/>
      <c r="V10" s="4103" t="n"/>
      <c r="W10" s="4103" t="n"/>
      <c r="X10" s="4103" t="n"/>
      <c r="Y10" s="4103" t="n"/>
      <c r="Z10" s="4103" t="n"/>
      <c r="AA10" s="4103" t="n"/>
      <c r="AB10" s="4103" t="n"/>
      <c r="AC10" s="4103" t="n"/>
      <c r="AD10" s="4103" t="n"/>
      <c r="AE10" s="4103" t="n"/>
      <c r="AF10" s="4103" t="n"/>
      <c r="AG10" s="4103" t="n"/>
      <c r="AH10" s="4105" t="n"/>
    </row>
    <row r="11" ht="15" customHeight="1" s="4080">
      <c r="A11" s="4097" t="n"/>
      <c r="B11" s="4107" t="n"/>
      <c r="C11" s="1864" t="inlineStr">
        <is>
          <t>連絡先</t>
        </is>
      </c>
      <c r="D11" s="4098" t="n"/>
      <c r="E11" s="4098" t="n"/>
      <c r="F11" s="4274" t="inlineStr">
        <is>
          <t>電話番号</t>
        </is>
      </c>
      <c r="G11" s="4110" t="n"/>
      <c r="H11" s="4111" t="n"/>
      <c r="I11" s="1479" t="inlineStr">
        <is>
          <t>０６</t>
        </is>
      </c>
      <c r="J11" s="4110" t="n"/>
      <c r="K11" s="4110" t="n"/>
      <c r="L11" s="53" t="inlineStr">
        <is>
          <t>－</t>
        </is>
      </c>
      <c r="M11" s="1150" t="inlineStr">
        <is>
          <t>６２４１</t>
        </is>
      </c>
      <c r="N11" s="4110" t="n"/>
      <c r="O11" s="4110" t="n"/>
      <c r="P11" s="53" t="inlineStr">
        <is>
          <t>－</t>
        </is>
      </c>
      <c r="Q11" s="1482" t="inlineStr">
        <is>
          <t>６５２１</t>
        </is>
      </c>
      <c r="R11" s="4110" t="n"/>
      <c r="S11" s="4111" t="n"/>
      <c r="T11" s="4184" t="inlineStr">
        <is>
          <t>ＦＡＸ番号</t>
        </is>
      </c>
      <c r="U11" s="4110" t="n"/>
      <c r="V11" s="4110" t="n"/>
      <c r="W11" s="4111" t="n"/>
      <c r="X11" s="1479" t="inlineStr">
        <is>
          <t>０６</t>
        </is>
      </c>
      <c r="Y11" s="4110" t="n"/>
      <c r="Z11" s="4110" t="n"/>
      <c r="AA11" s="53" t="inlineStr">
        <is>
          <t>－</t>
        </is>
      </c>
      <c r="AB11" s="1150" t="inlineStr">
        <is>
          <t>６２４１</t>
        </is>
      </c>
      <c r="AC11" s="4110" t="n"/>
      <c r="AD11" s="4110" t="n"/>
      <c r="AE11" s="53" t="inlineStr">
        <is>
          <t>－</t>
        </is>
      </c>
      <c r="AF11" s="1483" t="inlineStr">
        <is>
          <t>６６０９</t>
        </is>
      </c>
      <c r="AG11" s="4110" t="n"/>
      <c r="AH11" s="4113" t="n"/>
    </row>
    <row r="12" ht="15" customHeight="1" s="4080">
      <c r="A12" s="4097" t="n"/>
      <c r="B12" s="4107" t="n"/>
      <c r="C12" s="4102" t="n"/>
      <c r="D12" s="4103" t="n"/>
      <c r="E12" s="4103" t="n"/>
      <c r="F12" s="4185" t="inlineStr">
        <is>
          <t>メールアドレス</t>
        </is>
      </c>
      <c r="G12" s="4110" t="n"/>
      <c r="H12" s="4110" t="n"/>
      <c r="I12" s="4110" t="n"/>
      <c r="J12" s="4111" t="n"/>
      <c r="K12" s="4239" t="inlineStr">
        <is>
          <t>fa0260@city.osaka.lg.jp</t>
        </is>
      </c>
      <c r="L12" s="4110" t="n"/>
      <c r="M12" s="4110" t="n"/>
      <c r="N12" s="4110" t="n"/>
      <c r="O12" s="4110" t="n"/>
      <c r="P12" s="4110" t="n"/>
      <c r="Q12" s="4110" t="n"/>
      <c r="R12" s="4110" t="n"/>
      <c r="S12" s="4110" t="n"/>
      <c r="T12" s="4110" t="n"/>
      <c r="U12" s="4110" t="n"/>
      <c r="V12" s="4110" t="n"/>
      <c r="W12" s="4110" t="n"/>
      <c r="X12" s="4110" t="n"/>
      <c r="Y12" s="4110" t="n"/>
      <c r="Z12" s="4110" t="n"/>
      <c r="AA12" s="4110" t="n"/>
      <c r="AB12" s="4110" t="n"/>
      <c r="AC12" s="4110" t="n"/>
      <c r="AD12" s="4110" t="n"/>
      <c r="AE12" s="4110" t="n"/>
      <c r="AF12" s="4110" t="n"/>
      <c r="AG12" s="4110" t="n"/>
      <c r="AH12" s="4113" t="n"/>
    </row>
    <row r="13" ht="9" customHeight="1" s="4080">
      <c r="A13" s="4097" t="n"/>
      <c r="B13" s="4107" t="n"/>
      <c r="C13" s="2542" t="inlineStr">
        <is>
          <t>実施する事業</t>
        </is>
      </c>
      <c r="D13" s="4099" t="n"/>
      <c r="E13" s="2542" t="inlineStr">
        <is>
          <t>種別</t>
        </is>
      </c>
      <c r="F13" s="4099" t="n"/>
      <c r="G13" s="4185" t="inlineStr">
        <is>
          <t>生活介護</t>
        </is>
      </c>
      <c r="H13" s="4098" t="n"/>
      <c r="I13" s="4098" t="n"/>
      <c r="J13" s="4099" t="n"/>
      <c r="K13" s="2542" t="inlineStr">
        <is>
          <t>自立訓練</t>
        </is>
      </c>
      <c r="L13" s="4098" t="n"/>
      <c r="M13" s="4098" t="n"/>
      <c r="N13" s="4098" t="n"/>
      <c r="O13" s="4098" t="n"/>
      <c r="P13" s="4098" t="n"/>
      <c r="Q13" s="4098" t="n"/>
      <c r="R13" s="4099" t="n"/>
      <c r="S13" s="2542" t="inlineStr">
        <is>
          <t>就労移行
支　　援</t>
        </is>
      </c>
      <c r="T13" s="4098" t="n"/>
      <c r="U13" s="4098" t="n"/>
      <c r="V13" s="4099" t="n"/>
      <c r="W13" s="1437" t="inlineStr">
        <is>
          <t>就労継続支援</t>
        </is>
      </c>
      <c r="X13" s="4098" t="n"/>
      <c r="Y13" s="4098" t="n"/>
      <c r="Z13" s="4098" t="n"/>
      <c r="AA13" s="4098" t="n"/>
      <c r="AB13" s="4098" t="n"/>
      <c r="AC13" s="4098" t="n"/>
      <c r="AD13" s="4098" t="n"/>
      <c r="AE13" s="4507" t="inlineStr">
        <is>
          <t>放課後等デイサービス
児童発達支援</t>
        </is>
      </c>
      <c r="AF13" s="4098" t="n"/>
      <c r="AG13" s="4098" t="n"/>
      <c r="AH13" s="4101" t="n"/>
    </row>
    <row r="14" ht="8.25" customHeight="1" s="4080">
      <c r="A14" s="4097" t="n"/>
      <c r="B14" s="4107" t="n"/>
      <c r="C14" s="4106" t="n"/>
      <c r="D14" s="4107" t="n"/>
      <c r="E14" s="4106" t="n"/>
      <c r="F14" s="4107" t="n"/>
      <c r="G14" s="4106" t="n"/>
      <c r="J14" s="4107" t="n"/>
      <c r="K14" s="4102" t="n"/>
      <c r="L14" s="4103" t="n"/>
      <c r="M14" s="4103" t="n"/>
      <c r="N14" s="4103" t="n"/>
      <c r="O14" s="4103" t="n"/>
      <c r="P14" s="4103" t="n"/>
      <c r="Q14" s="4103" t="n"/>
      <c r="R14" s="4104" t="n"/>
      <c r="S14" s="4106" t="n"/>
      <c r="V14" s="4107" t="n"/>
      <c r="W14" s="4102" t="n"/>
      <c r="X14" s="4103" t="n"/>
      <c r="Y14" s="4103" t="n"/>
      <c r="Z14" s="4103" t="n"/>
      <c r="AA14" s="4103" t="n"/>
      <c r="AB14" s="4103" t="n"/>
      <c r="AC14" s="4103" t="n"/>
      <c r="AD14" s="4103" t="n"/>
      <c r="AE14" s="4106" t="n"/>
      <c r="AH14" s="4109" t="n"/>
    </row>
    <row r="15" ht="12" customHeight="1" s="4080">
      <c r="A15" s="4097" t="n"/>
      <c r="B15" s="4107" t="n"/>
      <c r="C15" s="4106" t="n"/>
      <c r="D15" s="4107" t="n"/>
      <c r="E15" s="4106" t="n"/>
      <c r="F15" s="4107" t="n"/>
      <c r="G15" s="4102" t="n"/>
      <c r="H15" s="4103" t="n"/>
      <c r="I15" s="4103" t="n"/>
      <c r="J15" s="4104" t="n"/>
      <c r="K15" s="4508" t="inlineStr">
        <is>
          <t>機能訓練</t>
        </is>
      </c>
      <c r="L15" s="4103" t="n"/>
      <c r="M15" s="4103" t="n"/>
      <c r="N15" s="4104" t="n"/>
      <c r="O15" s="1786" t="inlineStr">
        <is>
          <t>生活訓練</t>
        </is>
      </c>
      <c r="P15" s="4103" t="n"/>
      <c r="Q15" s="4103" t="n"/>
      <c r="R15" s="4103" t="n"/>
      <c r="S15" s="4102" t="n"/>
      <c r="T15" s="4103" t="n"/>
      <c r="U15" s="4103" t="n"/>
      <c r="V15" s="4104" t="n"/>
      <c r="W15" s="3089" t="inlineStr">
        <is>
          <t>Ａ　型</t>
        </is>
      </c>
      <c r="X15" s="4103" t="n"/>
      <c r="Y15" s="4103" t="n"/>
      <c r="Z15" s="4104" t="n"/>
      <c r="AA15" s="2377" t="inlineStr">
        <is>
          <t>Ｂ　型</t>
        </is>
      </c>
      <c r="AB15" s="4103" t="n"/>
      <c r="AC15" s="4103" t="n"/>
      <c r="AD15" s="4103" t="n"/>
      <c r="AE15" s="4102" t="n"/>
      <c r="AF15" s="4103" t="n"/>
      <c r="AG15" s="4103" t="n"/>
      <c r="AH15" s="4105" t="n"/>
    </row>
    <row r="16" ht="12" customHeight="1" s="4080">
      <c r="A16" s="4097" t="n"/>
      <c r="B16" s="4107" t="n"/>
      <c r="C16" s="4106" t="n"/>
      <c r="D16" s="4107" t="n"/>
      <c r="E16" s="4102" t="n"/>
      <c r="F16" s="4104" t="n"/>
      <c r="G16" s="4115" t="n"/>
      <c r="H16" s="4110" t="n"/>
      <c r="I16" s="4110" t="n"/>
      <c r="J16" s="4111" t="n"/>
      <c r="K16" s="4115" t="n"/>
      <c r="L16" s="4110" t="n"/>
      <c r="M16" s="4110" t="n"/>
      <c r="N16" s="4111" t="n"/>
      <c r="O16" s="4115" t="n"/>
      <c r="P16" s="4110" t="n"/>
      <c r="Q16" s="4110" t="n"/>
      <c r="R16" s="4111" t="n"/>
      <c r="S16" s="4115" t="n"/>
      <c r="T16" s="4110" t="n"/>
      <c r="U16" s="4110" t="n"/>
      <c r="V16" s="4111" t="n"/>
      <c r="W16" s="4115" t="n"/>
      <c r="X16" s="4110" t="n"/>
      <c r="Y16" s="4110" t="n"/>
      <c r="Z16" s="4111" t="n"/>
      <c r="AA16" s="997" t="n"/>
      <c r="AB16" s="4110" t="n"/>
      <c r="AC16" s="4110" t="n"/>
      <c r="AD16" s="4110" t="n"/>
      <c r="AE16" s="4509" t="inlineStr">
        <is>
          <t xml:space="preserve">　</t>
        </is>
      </c>
      <c r="AF16" s="4110" t="n"/>
      <c r="AG16" s="4110" t="n"/>
      <c r="AH16" s="4113" t="n"/>
    </row>
    <row r="17" ht="21.75" customHeight="1" s="4080">
      <c r="A17" s="4097" t="n"/>
      <c r="B17" s="4107" t="n"/>
      <c r="C17" s="4102" t="n"/>
      <c r="D17" s="4104" t="n"/>
      <c r="E17" s="2385" t="inlineStr">
        <is>
          <t>利用定員</t>
        </is>
      </c>
      <c r="F17" s="4104" t="n"/>
      <c r="G17" s="2386" t="n"/>
      <c r="H17" s="4110" t="n"/>
      <c r="I17" s="4110" t="n"/>
      <c r="J17" s="1268" t="inlineStr">
        <is>
          <t>人</t>
        </is>
      </c>
      <c r="K17" s="2386" t="inlineStr">
        <is>
          <t xml:space="preserve">　</t>
        </is>
      </c>
      <c r="L17" s="4110" t="n"/>
      <c r="M17" s="4110" t="n"/>
      <c r="N17" s="1268" t="inlineStr">
        <is>
          <t>人</t>
        </is>
      </c>
      <c r="O17" s="2386" t="inlineStr">
        <is>
          <t xml:space="preserve">　</t>
        </is>
      </c>
      <c r="P17" s="4110" t="n"/>
      <c r="Q17" s="4110" t="n"/>
      <c r="R17" s="1268" t="inlineStr">
        <is>
          <t>人</t>
        </is>
      </c>
      <c r="S17" s="2386" t="n"/>
      <c r="T17" s="4110" t="n"/>
      <c r="U17" s="4110" t="n"/>
      <c r="V17" s="1268" t="inlineStr">
        <is>
          <t>人</t>
        </is>
      </c>
      <c r="W17" s="2386" t="inlineStr">
        <is>
          <t xml:space="preserve">　</t>
        </is>
      </c>
      <c r="X17" s="4110" t="n"/>
      <c r="Y17" s="4110" t="n"/>
      <c r="Z17" s="1268" t="inlineStr">
        <is>
          <t>人</t>
        </is>
      </c>
      <c r="AA17" s="2424" t="inlineStr">
        <is>
          <t>１０</t>
        </is>
      </c>
      <c r="AB17" s="4110" t="n"/>
      <c r="AC17" s="4110" t="n"/>
      <c r="AD17" s="1267" t="inlineStr">
        <is>
          <t>人</t>
        </is>
      </c>
      <c r="AE17" s="2386" t="inlineStr">
        <is>
          <t xml:space="preserve">　</t>
        </is>
      </c>
      <c r="AF17" s="4110" t="n"/>
      <c r="AG17" s="4110" t="n"/>
      <c r="AH17" s="1902" t="inlineStr">
        <is>
          <t>人</t>
        </is>
      </c>
    </row>
    <row r="18" ht="8.25" customHeight="1" s="4080">
      <c r="A18" s="4097" t="n"/>
      <c r="B18" s="4107" t="n"/>
      <c r="C18" s="1393" t="n"/>
      <c r="D18" s="4222" t="inlineStr">
        <is>
          <t>サービスを提供
する主たる対象者</t>
        </is>
      </c>
      <c r="E18" s="4098" t="n"/>
      <c r="F18" s="4098" t="n"/>
      <c r="G18" s="4098" t="n"/>
      <c r="H18" s="4098" t="n"/>
      <c r="I18" s="4098" t="n"/>
      <c r="J18" s="4223" t="n"/>
      <c r="K18" s="1670" t="inlineStr">
        <is>
          <t>身体障害者</t>
        </is>
      </c>
      <c r="L18" s="4098" t="n"/>
      <c r="M18" s="4098" t="n"/>
      <c r="N18" s="4099" t="n"/>
      <c r="O18" s="4510" t="inlineStr">
        <is>
          <t>知的障害者</t>
        </is>
      </c>
      <c r="P18" s="4098" t="n"/>
      <c r="Q18" s="4098" t="n"/>
      <c r="R18" s="4099" t="n"/>
      <c r="S18" s="4510" t="inlineStr">
        <is>
          <t>精神障害者</t>
        </is>
      </c>
      <c r="T18" s="4098" t="n"/>
      <c r="U18" s="4098" t="n"/>
      <c r="V18" s="4099" t="n"/>
      <c r="W18" s="4511" t="inlineStr">
        <is>
          <t>難病等対象者</t>
        </is>
      </c>
      <c r="X18" s="4098" t="n"/>
      <c r="Y18" s="4098" t="n"/>
      <c r="Z18" s="4099" t="n"/>
      <c r="AA18" s="2037" t="n"/>
      <c r="AB18" s="2037" t="n"/>
      <c r="AC18" s="2037" t="n"/>
      <c r="AD18" s="2037" t="n"/>
      <c r="AE18" s="2037" t="n"/>
      <c r="AF18" s="2037" t="n"/>
      <c r="AG18" s="2037" t="n"/>
      <c r="AH18" s="2272" t="n"/>
    </row>
    <row r="19" ht="8.25" customHeight="1" s="4080">
      <c r="A19" s="4097" t="n"/>
      <c r="B19" s="4107" t="n"/>
      <c r="C19" s="4106" t="n"/>
      <c r="J19" s="4107" t="n"/>
      <c r="K19" s="4145" t="n"/>
      <c r="L19" s="4146" t="n"/>
      <c r="M19" s="4146" t="n"/>
      <c r="N19" s="4147" t="n"/>
      <c r="O19" s="4145" t="n"/>
      <c r="P19" s="4146" t="n"/>
      <c r="Q19" s="4146" t="n"/>
      <c r="R19" s="4147" t="n"/>
      <c r="S19" s="4145" t="n"/>
      <c r="T19" s="4146" t="n"/>
      <c r="U19" s="4146" t="n"/>
      <c r="V19" s="4147" t="n"/>
      <c r="W19" s="4145" t="n"/>
      <c r="X19" s="4146" t="n"/>
      <c r="Y19" s="4146" t="n"/>
      <c r="Z19" s="4147" t="n"/>
      <c r="AA19" s="2038" t="n"/>
      <c r="AB19" s="2038" t="n"/>
      <c r="AC19" s="2038" t="n"/>
      <c r="AD19" s="2038" t="n"/>
      <c r="AE19" s="2038" t="n"/>
      <c r="AF19" s="2038" t="n"/>
      <c r="AG19" s="2038" t="n"/>
      <c r="AH19" s="298" t="n"/>
    </row>
    <row r="20" ht="12" customHeight="1" s="4080" thickBot="1">
      <c r="A20" s="4114" t="n"/>
      <c r="B20" s="4104" t="n"/>
      <c r="C20" s="4102" t="n"/>
      <c r="D20" s="4103" t="n"/>
      <c r="E20" s="4103" t="n"/>
      <c r="F20" s="4103" t="n"/>
      <c r="G20" s="4103" t="n"/>
      <c r="H20" s="4103" t="n"/>
      <c r="I20" s="4103" t="n"/>
      <c r="J20" s="4104" t="n"/>
      <c r="K20" s="4523" t="inlineStr">
        <is>
          <t>○</t>
        </is>
      </c>
      <c r="L20" s="4140" t="n"/>
      <c r="M20" s="4140" t="n"/>
      <c r="N20" s="4141" t="n"/>
      <c r="O20" s="4523" t="inlineStr">
        <is>
          <t>○</t>
        </is>
      </c>
      <c r="P20" s="4140" t="n"/>
      <c r="Q20" s="4140" t="n"/>
      <c r="R20" s="4141" t="n"/>
      <c r="S20" s="4523" t="inlineStr">
        <is>
          <t>○</t>
        </is>
      </c>
      <c r="T20" s="4140" t="n"/>
      <c r="U20" s="4140" t="n"/>
      <c r="V20" s="4141" t="n"/>
      <c r="W20" s="4524" t="inlineStr">
        <is>
          <t>○</t>
        </is>
      </c>
      <c r="X20" s="4512" t="n"/>
      <c r="Y20" s="4512" t="n"/>
      <c r="Z20" s="4513" t="n"/>
      <c r="AA20" s="299" t="n"/>
      <c r="AB20" s="299" t="n"/>
      <c r="AC20" s="299" t="n"/>
      <c r="AD20" s="299" t="n"/>
      <c r="AE20" s="299" t="n"/>
      <c r="AF20" s="299" t="n"/>
      <c r="AG20" s="299" t="n"/>
      <c r="AH20" s="300" t="n"/>
    </row>
    <row r="21" ht="14.1" customHeight="1" s="4080">
      <c r="A21" s="4514" t="inlineStr">
        <is>
          <t>主たる事業所</t>
        </is>
      </c>
      <c r="B21" s="4356" t="n"/>
      <c r="C21" s="4180" t="inlineStr">
        <is>
          <t>ﾌﾘｶﾞﾅ</t>
        </is>
      </c>
      <c r="D21" s="4093" t="n"/>
      <c r="E21" s="4094" t="n"/>
      <c r="F21" s="4236" t="inlineStr">
        <is>
          <t>ﾅｶﾉｼﾏｼｮｳｶﾞｲﾌｸｼｻｰﾋﾞｽｾﾝﾀｰ</t>
        </is>
      </c>
      <c r="G21" s="4093" t="n"/>
      <c r="H21" s="4093" t="n"/>
      <c r="I21" s="4093" t="n"/>
      <c r="J21" s="4093" t="n"/>
      <c r="K21" s="4093" t="n"/>
      <c r="L21" s="4093" t="n"/>
      <c r="M21" s="4093" t="n"/>
      <c r="N21" s="4093" t="n"/>
      <c r="O21" s="4093" t="n"/>
      <c r="P21" s="4093" t="n"/>
      <c r="Q21" s="4093" t="n"/>
      <c r="R21" s="4093" t="n"/>
      <c r="S21" s="4093" t="n"/>
      <c r="T21" s="4093" t="n"/>
      <c r="U21" s="4093" t="n"/>
      <c r="V21" s="4093" t="n"/>
      <c r="W21" s="4093" t="n"/>
      <c r="X21" s="4093" t="n"/>
      <c r="Y21" s="4093" t="n"/>
      <c r="Z21" s="4093" t="n"/>
      <c r="AA21" s="4093" t="n"/>
      <c r="AB21" s="4093" t="n"/>
      <c r="AC21" s="4093" t="n"/>
      <c r="AD21" s="4093" t="n"/>
      <c r="AE21" s="4093" t="n"/>
      <c r="AF21" s="4093" t="n"/>
      <c r="AG21" s="4093" t="n"/>
      <c r="AH21" s="4096" t="n"/>
    </row>
    <row r="22" ht="14.1" customHeight="1" s="4080">
      <c r="A22" s="4097" t="n"/>
      <c r="B22" s="4107" t="n"/>
      <c r="C22" s="4181" t="inlineStr">
        <is>
          <t>名　称</t>
        </is>
      </c>
      <c r="D22" s="4098" t="n"/>
      <c r="E22" s="4099" t="n"/>
      <c r="F22" s="4237" t="inlineStr">
        <is>
          <t>中之島障がい福祉サービスセンター</t>
        </is>
      </c>
      <c r="G22" s="4098" t="n"/>
      <c r="H22" s="4098" t="n"/>
      <c r="I22" s="4098" t="n"/>
      <c r="J22" s="4098" t="n"/>
      <c r="K22" s="4098" t="n"/>
      <c r="L22" s="4098" t="n"/>
      <c r="M22" s="4098" t="n"/>
      <c r="N22" s="4098" t="n"/>
      <c r="O22" s="4098" t="n"/>
      <c r="P22" s="4098" t="n"/>
      <c r="Q22" s="4098" t="n"/>
      <c r="R22" s="4098" t="n"/>
      <c r="S22" s="4098" t="n"/>
      <c r="T22" s="4098" t="n"/>
      <c r="U22" s="4098" t="n"/>
      <c r="V22" s="4098" t="n"/>
      <c r="W22" s="4098" t="n"/>
      <c r="X22" s="4098" t="n"/>
      <c r="Y22" s="4098" t="n"/>
      <c r="Z22" s="4098" t="n"/>
      <c r="AA22" s="4098" t="n"/>
      <c r="AB22" s="4098" t="n"/>
      <c r="AC22" s="4098" t="n"/>
      <c r="AD22" s="4098" t="n"/>
      <c r="AE22" s="4098" t="n"/>
      <c r="AF22" s="4098" t="n"/>
      <c r="AG22" s="4098" t="n"/>
      <c r="AH22" s="4101" t="n"/>
    </row>
    <row r="23" ht="14.1" customHeight="1" s="4080">
      <c r="A23" s="4097" t="n"/>
      <c r="B23" s="4107" t="n"/>
      <c r="C23" s="4102" t="n"/>
      <c r="D23" s="4103" t="n"/>
      <c r="E23" s="4104" t="n"/>
      <c r="F23" s="4102" t="n"/>
      <c r="G23" s="4103" t="n"/>
      <c r="H23" s="4103" t="n"/>
      <c r="I23" s="4103" t="n"/>
      <c r="J23" s="4103" t="n"/>
      <c r="K23" s="4103" t="n"/>
      <c r="L23" s="4103" t="n"/>
      <c r="M23" s="4103" t="n"/>
      <c r="N23" s="4103" t="n"/>
      <c r="O23" s="4103" t="n"/>
      <c r="P23" s="4103" t="n"/>
      <c r="Q23" s="4103" t="n"/>
      <c r="R23" s="4103" t="n"/>
      <c r="S23" s="4103" t="n"/>
      <c r="T23" s="4103" t="n"/>
      <c r="U23" s="4103" t="n"/>
      <c r="V23" s="4103" t="n"/>
      <c r="W23" s="4103" t="n"/>
      <c r="X23" s="4103" t="n"/>
      <c r="Y23" s="4103" t="n"/>
      <c r="Z23" s="4103" t="n"/>
      <c r="AA23" s="4103" t="n"/>
      <c r="AB23" s="4103" t="n"/>
      <c r="AC23" s="4103" t="n"/>
      <c r="AD23" s="4103" t="n"/>
      <c r="AE23" s="4103" t="n"/>
      <c r="AF23" s="4103" t="n"/>
      <c r="AG23" s="4103" t="n"/>
      <c r="AH23" s="4105" t="n"/>
    </row>
    <row r="24" ht="14.1" customHeight="1" s="4080">
      <c r="A24" s="4097" t="n"/>
      <c r="B24" s="4107" t="n"/>
      <c r="C24" s="4181" t="inlineStr">
        <is>
          <t>所在地</t>
        </is>
      </c>
      <c r="D24" s="4098" t="n"/>
      <c r="E24" s="4099" t="n"/>
      <c r="F24" s="1244" t="inlineStr">
        <is>
          <t>郵便番号（</t>
        </is>
      </c>
      <c r="G24" s="4098" t="n"/>
      <c r="H24" s="4098" t="n"/>
      <c r="I24" s="4098" t="n"/>
      <c r="J24" s="2094" t="inlineStr">
        <is>
          <t>５３０－８２０１</t>
        </is>
      </c>
      <c r="K24" s="4098" t="n"/>
      <c r="L24" s="4098" t="n"/>
      <c r="M24" s="4098" t="n"/>
      <c r="N24" s="4098" t="n"/>
      <c r="O24" s="1329" t="inlineStr">
        <is>
          <t>）</t>
        </is>
      </c>
      <c r="P24" s="4434" t="inlineStr">
        <is>
          <t>中之島１－３－２０</t>
        </is>
      </c>
      <c r="Q24" s="4098" t="n"/>
      <c r="R24" s="4098" t="n"/>
      <c r="S24" s="4098" t="n"/>
      <c r="T24" s="4098" t="n"/>
      <c r="U24" s="4098" t="n"/>
      <c r="V24" s="4098" t="n"/>
      <c r="W24" s="4098" t="n"/>
      <c r="X24" s="4098" t="n"/>
      <c r="Y24" s="4098" t="n"/>
      <c r="Z24" s="4098" t="n"/>
      <c r="AA24" s="4098" t="n"/>
      <c r="AB24" s="4098" t="n"/>
      <c r="AC24" s="4098" t="n"/>
      <c r="AD24" s="4098" t="n"/>
      <c r="AE24" s="4098" t="n"/>
      <c r="AF24" s="4098" t="n"/>
      <c r="AG24" s="4098" t="n"/>
      <c r="AH24" s="4101" t="n"/>
    </row>
    <row r="25" ht="12" customHeight="1" s="4080">
      <c r="A25" s="4097" t="n"/>
      <c r="B25" s="4107" t="n"/>
      <c r="C25" s="4106" t="n"/>
      <c r="E25" s="4107" t="n"/>
      <c r="F25" s="1255" t="inlineStr">
        <is>
          <t>大阪市</t>
        </is>
      </c>
      <c r="I25" s="2093" t="inlineStr">
        <is>
          <t>北</t>
        </is>
      </c>
      <c r="N25" s="1260" t="inlineStr">
        <is>
          <t>区</t>
        </is>
      </c>
      <c r="AH25" s="4109" t="n"/>
    </row>
    <row r="26" ht="3.95" customHeight="1" s="4080">
      <c r="A26" s="4097" t="n"/>
      <c r="B26" s="4107" t="n"/>
      <c r="C26" s="4102" t="n"/>
      <c r="D26" s="4103" t="n"/>
      <c r="E26" s="4104" t="n"/>
      <c r="F26" s="4102" t="n"/>
      <c r="G26" s="4103" t="n"/>
      <c r="H26" s="4103" t="n"/>
      <c r="I26" s="4103" t="n"/>
      <c r="J26" s="4103" t="n"/>
      <c r="K26" s="4103" t="n"/>
      <c r="L26" s="4103" t="n"/>
      <c r="M26" s="4103" t="n"/>
      <c r="N26" s="4103" t="n"/>
      <c r="O26" s="4103" t="n"/>
      <c r="P26" s="4103" t="n"/>
      <c r="Q26" s="4103" t="n"/>
      <c r="R26" s="4103" t="n"/>
      <c r="S26" s="4103" t="n"/>
      <c r="T26" s="4103" t="n"/>
      <c r="U26" s="4103" t="n"/>
      <c r="V26" s="4103" t="n"/>
      <c r="W26" s="4103" t="n"/>
      <c r="X26" s="4103" t="n"/>
      <c r="Y26" s="4103" t="n"/>
      <c r="Z26" s="4103" t="n"/>
      <c r="AA26" s="4103" t="n"/>
      <c r="AB26" s="4103" t="n"/>
      <c r="AC26" s="4103" t="n"/>
      <c r="AD26" s="4103" t="n"/>
      <c r="AE26" s="4103" t="n"/>
      <c r="AF26" s="4103" t="n"/>
      <c r="AG26" s="4103" t="n"/>
      <c r="AH26" s="4105" t="n"/>
    </row>
    <row r="27" ht="15" customHeight="1" s="4080">
      <c r="A27" s="4097" t="n"/>
      <c r="B27" s="4107" t="n"/>
      <c r="C27" s="1864" t="inlineStr">
        <is>
          <t>連絡先</t>
        </is>
      </c>
      <c r="D27" s="4098" t="n"/>
      <c r="E27" s="4098" t="n"/>
      <c r="F27" s="4274" t="inlineStr">
        <is>
          <t>電話番号</t>
        </is>
      </c>
      <c r="G27" s="4110" t="n"/>
      <c r="H27" s="4111" t="n"/>
      <c r="I27" s="1479" t="inlineStr">
        <is>
          <t>０６</t>
        </is>
      </c>
      <c r="J27" s="4110" t="n"/>
      <c r="K27" s="4110" t="n"/>
      <c r="L27" s="53" t="inlineStr">
        <is>
          <t>－</t>
        </is>
      </c>
      <c r="M27" s="1150" t="inlineStr">
        <is>
          <t>６２４１</t>
        </is>
      </c>
      <c r="N27" s="4110" t="n"/>
      <c r="O27" s="4110" t="n"/>
      <c r="P27" s="53" t="inlineStr">
        <is>
          <t>－</t>
        </is>
      </c>
      <c r="Q27" s="1482" t="inlineStr">
        <is>
          <t>６５２０</t>
        </is>
      </c>
      <c r="R27" s="4110" t="n"/>
      <c r="S27" s="4111" t="n"/>
      <c r="T27" s="4184" t="inlineStr">
        <is>
          <t>ＦＡＸ番号</t>
        </is>
      </c>
      <c r="U27" s="4110" t="n"/>
      <c r="V27" s="4110" t="n"/>
      <c r="W27" s="4111" t="n"/>
      <c r="X27" s="1479" t="inlineStr">
        <is>
          <t>０６</t>
        </is>
      </c>
      <c r="Y27" s="4110" t="n"/>
      <c r="Z27" s="4110" t="n"/>
      <c r="AA27" s="53" t="inlineStr">
        <is>
          <t>－</t>
        </is>
      </c>
      <c r="AB27" s="1150" t="inlineStr">
        <is>
          <t>６２４１</t>
        </is>
      </c>
      <c r="AC27" s="4110" t="n"/>
      <c r="AD27" s="4110" t="n"/>
      <c r="AE27" s="53" t="inlineStr">
        <is>
          <t>－</t>
        </is>
      </c>
      <c r="AF27" s="1483" t="inlineStr">
        <is>
          <t>６６０８</t>
        </is>
      </c>
      <c r="AG27" s="4110" t="n"/>
      <c r="AH27" s="4113" t="n"/>
    </row>
    <row r="28" ht="15" customHeight="1" s="4080">
      <c r="A28" s="4097" t="n"/>
      <c r="B28" s="4107" t="n"/>
      <c r="C28" s="4102" t="n"/>
      <c r="D28" s="4103" t="n"/>
      <c r="E28" s="4103" t="n"/>
      <c r="F28" s="4185" t="inlineStr">
        <is>
          <t>メールアドレス</t>
        </is>
      </c>
      <c r="G28" s="4110" t="n"/>
      <c r="H28" s="4110" t="n"/>
      <c r="I28" s="4110" t="n"/>
      <c r="J28" s="4111" t="n"/>
      <c r="K28" s="4239" t="inlineStr">
        <is>
          <t>fa0260@city.osaka.lg.jp</t>
        </is>
      </c>
      <c r="L28" s="4110" t="n"/>
      <c r="M28" s="4110" t="n"/>
      <c r="N28" s="4110" t="n"/>
      <c r="O28" s="4110" t="n"/>
      <c r="P28" s="4110" t="n"/>
      <c r="Q28" s="4110" t="n"/>
      <c r="R28" s="4110" t="n"/>
      <c r="S28" s="4110" t="n"/>
      <c r="T28" s="4110" t="n"/>
      <c r="U28" s="4110" t="n"/>
      <c r="V28" s="4110" t="n"/>
      <c r="W28" s="4110" t="n"/>
      <c r="X28" s="4110" t="n"/>
      <c r="Y28" s="4110" t="n"/>
      <c r="Z28" s="4110" t="n"/>
      <c r="AA28" s="4110" t="n"/>
      <c r="AB28" s="4110" t="n"/>
      <c r="AC28" s="4110" t="n"/>
      <c r="AD28" s="4110" t="n"/>
      <c r="AE28" s="4110" t="n"/>
      <c r="AF28" s="4110" t="n"/>
      <c r="AG28" s="4110" t="n"/>
      <c r="AH28" s="4113" t="n"/>
    </row>
    <row r="29" ht="18" customHeight="1" s="4080">
      <c r="A29" s="4097" t="n"/>
      <c r="B29" s="4107" t="n"/>
      <c r="C29" s="4181" t="inlineStr">
        <is>
          <t>事業所番号</t>
        </is>
      </c>
      <c r="D29" s="4110" t="n"/>
      <c r="E29" s="4110" t="n"/>
      <c r="F29" s="4111" t="n"/>
      <c r="G29" s="325" t="inlineStr">
        <is>
          <t>２</t>
        </is>
      </c>
      <c r="H29" s="326" t="inlineStr">
        <is>
          <t>７</t>
        </is>
      </c>
      <c r="I29" s="327" t="inlineStr">
        <is>
          <t>０</t>
        </is>
      </c>
      <c r="J29" s="327" t="inlineStr">
        <is>
          <t>０</t>
        </is>
      </c>
      <c r="K29" s="327" t="inlineStr">
        <is>
          <t>１</t>
        </is>
      </c>
      <c r="L29" s="327" t="inlineStr">
        <is>
          <t>２</t>
        </is>
      </c>
      <c r="M29" s="327" t="inlineStr">
        <is>
          <t>３</t>
        </is>
      </c>
      <c r="N29" s="327" t="inlineStr">
        <is>
          <t>４</t>
        </is>
      </c>
      <c r="O29" s="327" t="inlineStr">
        <is>
          <t>５</t>
        </is>
      </c>
      <c r="P29" s="327" t="inlineStr">
        <is>
          <t>６</t>
        </is>
      </c>
      <c r="Q29" s="270" t="n"/>
      <c r="R29" s="270" t="n"/>
      <c r="S29" s="270" t="n"/>
      <c r="T29" s="270" t="n"/>
      <c r="U29" s="270" t="n"/>
      <c r="V29" s="307" t="n"/>
      <c r="W29" s="307" t="n"/>
      <c r="X29" s="308" t="n"/>
      <c r="Y29" s="307" t="n"/>
      <c r="Z29" s="2221" t="n"/>
      <c r="AA29" s="270" t="n"/>
      <c r="AB29" s="270" t="n"/>
      <c r="AC29" s="270" t="n"/>
      <c r="AD29" s="270" t="n"/>
      <c r="AE29" s="270" t="n"/>
      <c r="AF29" s="270" t="n"/>
      <c r="AG29" s="270" t="n"/>
      <c r="AH29" s="310" t="n"/>
    </row>
    <row r="30" ht="9" customHeight="1" s="4080">
      <c r="A30" s="4097" t="n"/>
      <c r="B30" s="4107" t="n"/>
      <c r="C30" s="2542" t="inlineStr">
        <is>
          <t>事業種別</t>
        </is>
      </c>
      <c r="D30" s="4099" t="n"/>
      <c r="E30" s="2542" t="inlineStr">
        <is>
          <t>種別</t>
        </is>
      </c>
      <c r="F30" s="4099" t="n"/>
      <c r="G30" s="4185" t="inlineStr">
        <is>
          <t>生活介護</t>
        </is>
      </c>
      <c r="H30" s="4098" t="n"/>
      <c r="I30" s="4098" t="n"/>
      <c r="J30" s="4099" t="n"/>
      <c r="K30" s="2542" t="inlineStr">
        <is>
          <t>自立訓練</t>
        </is>
      </c>
      <c r="L30" s="4098" t="n"/>
      <c r="M30" s="4098" t="n"/>
      <c r="N30" s="4098" t="n"/>
      <c r="O30" s="4098" t="n"/>
      <c r="P30" s="4098" t="n"/>
      <c r="Q30" s="4098" t="n"/>
      <c r="R30" s="4099" t="n"/>
      <c r="S30" s="2542" t="inlineStr">
        <is>
          <t>就労移行
支　　援</t>
        </is>
      </c>
      <c r="T30" s="4098" t="n"/>
      <c r="U30" s="4098" t="n"/>
      <c r="V30" s="4099" t="n"/>
      <c r="W30" s="1437" t="inlineStr">
        <is>
          <t>就労継続支援</t>
        </is>
      </c>
      <c r="X30" s="4098" t="n"/>
      <c r="Y30" s="4098" t="n"/>
      <c r="Z30" s="4098" t="n"/>
      <c r="AA30" s="4098" t="n"/>
      <c r="AB30" s="4098" t="n"/>
      <c r="AC30" s="4098" t="n"/>
      <c r="AD30" s="4098" t="n"/>
      <c r="AE30" s="4507" t="inlineStr">
        <is>
          <t>放課後等デイサービス
児童発達支援</t>
        </is>
      </c>
      <c r="AF30" s="4098" t="n"/>
      <c r="AG30" s="4098" t="n"/>
      <c r="AH30" s="4101" t="n"/>
    </row>
    <row r="31" ht="8.25" customHeight="1" s="4080">
      <c r="A31" s="4097" t="n"/>
      <c r="B31" s="4107" t="n"/>
      <c r="C31" s="4106" t="n"/>
      <c r="D31" s="4107" t="n"/>
      <c r="E31" s="4106" t="n"/>
      <c r="F31" s="4107" t="n"/>
      <c r="G31" s="4106" t="n"/>
      <c r="J31" s="4107" t="n"/>
      <c r="K31" s="4102" t="n"/>
      <c r="L31" s="4103" t="n"/>
      <c r="M31" s="4103" t="n"/>
      <c r="N31" s="4103" t="n"/>
      <c r="O31" s="4103" t="n"/>
      <c r="P31" s="4103" t="n"/>
      <c r="Q31" s="4103" t="n"/>
      <c r="R31" s="4104" t="n"/>
      <c r="S31" s="4106" t="n"/>
      <c r="V31" s="4107" t="n"/>
      <c r="W31" s="4102" t="n"/>
      <c r="X31" s="4103" t="n"/>
      <c r="Y31" s="4103" t="n"/>
      <c r="Z31" s="4103" t="n"/>
      <c r="AA31" s="4103" t="n"/>
      <c r="AB31" s="4103" t="n"/>
      <c r="AC31" s="4103" t="n"/>
      <c r="AD31" s="4103" t="n"/>
      <c r="AE31" s="4106" t="n"/>
      <c r="AH31" s="4109" t="n"/>
    </row>
    <row r="32" ht="12" customHeight="1" s="4080">
      <c r="A32" s="4097" t="n"/>
      <c r="B32" s="4107" t="n"/>
      <c r="C32" s="4106" t="n"/>
      <c r="D32" s="4107" t="n"/>
      <c r="E32" s="4106" t="n"/>
      <c r="F32" s="4107" t="n"/>
      <c r="G32" s="4102" t="n"/>
      <c r="H32" s="4103" t="n"/>
      <c r="I32" s="4103" t="n"/>
      <c r="J32" s="4104" t="n"/>
      <c r="K32" s="4508" t="inlineStr">
        <is>
          <t>機能訓練</t>
        </is>
      </c>
      <c r="L32" s="4103" t="n"/>
      <c r="M32" s="4103" t="n"/>
      <c r="N32" s="4104" t="n"/>
      <c r="O32" s="1786" t="inlineStr">
        <is>
          <t>生活訓練</t>
        </is>
      </c>
      <c r="P32" s="4103" t="n"/>
      <c r="Q32" s="4103" t="n"/>
      <c r="R32" s="4103" t="n"/>
      <c r="S32" s="4102" t="n"/>
      <c r="T32" s="4103" t="n"/>
      <c r="U32" s="4103" t="n"/>
      <c r="V32" s="4104" t="n"/>
      <c r="W32" s="3089" t="inlineStr">
        <is>
          <t>Ａ　型</t>
        </is>
      </c>
      <c r="X32" s="4103" t="n"/>
      <c r="Y32" s="4103" t="n"/>
      <c r="Z32" s="4104" t="n"/>
      <c r="AA32" s="2377" t="inlineStr">
        <is>
          <t>Ｂ　型</t>
        </is>
      </c>
      <c r="AB32" s="4103" t="n"/>
      <c r="AC32" s="4103" t="n"/>
      <c r="AD32" s="4103" t="n"/>
      <c r="AE32" s="4102" t="n"/>
      <c r="AF32" s="4103" t="n"/>
      <c r="AG32" s="4103" t="n"/>
      <c r="AH32" s="4105" t="n"/>
    </row>
    <row r="33" ht="12" customHeight="1" s="4080">
      <c r="A33" s="4097" t="n"/>
      <c r="B33" s="4107" t="n"/>
      <c r="C33" s="4106" t="n"/>
      <c r="D33" s="4107" t="n"/>
      <c r="E33" s="4102" t="n"/>
      <c r="F33" s="4104" t="n"/>
      <c r="G33" s="4115" t="n"/>
      <c r="H33" s="4110" t="n"/>
      <c r="I33" s="4110" t="n"/>
      <c r="J33" s="4111" t="n"/>
      <c r="K33" s="4115" t="n"/>
      <c r="L33" s="4110" t="n"/>
      <c r="M33" s="4110" t="n"/>
      <c r="N33" s="4111" t="n"/>
      <c r="O33" s="4115" t="n"/>
      <c r="P33" s="4110" t="n"/>
      <c r="Q33" s="4110" t="n"/>
      <c r="R33" s="4111" t="n"/>
      <c r="S33" s="4115" t="n"/>
      <c r="T33" s="4110" t="n"/>
      <c r="U33" s="4110" t="n"/>
      <c r="V33" s="4111" t="n"/>
      <c r="W33" s="4115" t="n"/>
      <c r="X33" s="4110" t="n"/>
      <c r="Y33" s="4110" t="n"/>
      <c r="Z33" s="4111" t="n"/>
      <c r="AA33" s="997" t="n"/>
      <c r="AB33" s="4110" t="n"/>
      <c r="AC33" s="4110" t="n"/>
      <c r="AD33" s="4110" t="n"/>
      <c r="AE33" s="4509" t="inlineStr">
        <is>
          <t xml:space="preserve">　</t>
        </is>
      </c>
      <c r="AF33" s="4110" t="n"/>
      <c r="AG33" s="4110" t="n"/>
      <c r="AH33" s="4113" t="n"/>
    </row>
    <row r="34" ht="21.75" customHeight="1" s="4080">
      <c r="A34" s="4097" t="n"/>
      <c r="B34" s="4107" t="n"/>
      <c r="C34" s="4102" t="n"/>
      <c r="D34" s="4104" t="n"/>
      <c r="E34" s="2385" t="inlineStr">
        <is>
          <t>利用定員</t>
        </is>
      </c>
      <c r="F34" s="4104" t="n"/>
      <c r="G34" s="2424" t="inlineStr">
        <is>
          <t>１０</t>
        </is>
      </c>
      <c r="H34" s="4110" t="n"/>
      <c r="I34" s="4110" t="n"/>
      <c r="J34" s="1268" t="inlineStr">
        <is>
          <t>人</t>
        </is>
      </c>
      <c r="K34" s="2386" t="inlineStr">
        <is>
          <t xml:space="preserve">　</t>
        </is>
      </c>
      <c r="L34" s="4110" t="n"/>
      <c r="M34" s="4110" t="n"/>
      <c r="N34" s="1268" t="inlineStr">
        <is>
          <t>人</t>
        </is>
      </c>
      <c r="O34" s="2386" t="inlineStr">
        <is>
          <t xml:space="preserve">　</t>
        </is>
      </c>
      <c r="P34" s="4110" t="n"/>
      <c r="Q34" s="4110" t="n"/>
      <c r="R34" s="1268" t="inlineStr">
        <is>
          <t>人</t>
        </is>
      </c>
      <c r="S34" s="2386" t="n"/>
      <c r="T34" s="4110" t="n"/>
      <c r="U34" s="4110" t="n"/>
      <c r="V34" s="1268" t="inlineStr">
        <is>
          <t>人</t>
        </is>
      </c>
      <c r="W34" s="2386" t="inlineStr">
        <is>
          <t xml:space="preserve">　</t>
        </is>
      </c>
      <c r="X34" s="4110" t="n"/>
      <c r="Y34" s="4110" t="n"/>
      <c r="Z34" s="1268" t="inlineStr">
        <is>
          <t>人</t>
        </is>
      </c>
      <c r="AA34" s="2424" t="inlineStr">
        <is>
          <t>２０</t>
        </is>
      </c>
      <c r="AB34" s="4110" t="n"/>
      <c r="AC34" s="4110" t="n"/>
      <c r="AD34" s="1267" t="inlineStr">
        <is>
          <t>人</t>
        </is>
      </c>
      <c r="AE34" s="2386" t="inlineStr">
        <is>
          <t xml:space="preserve">　</t>
        </is>
      </c>
      <c r="AF34" s="4110" t="n"/>
      <c r="AG34" s="4110" t="n"/>
      <c r="AH34" s="1902" t="inlineStr">
        <is>
          <t>人</t>
        </is>
      </c>
    </row>
    <row r="35" ht="9" customHeight="1" s="4080">
      <c r="A35" s="4097" t="n"/>
      <c r="B35" s="4107" t="n"/>
      <c r="C35" s="2147" t="n"/>
      <c r="D35" s="4515" t="inlineStr">
        <is>
          <t>サービスを提供
する主たる対象者</t>
        </is>
      </c>
      <c r="E35" s="4098" t="n"/>
      <c r="F35" s="4098" t="n"/>
      <c r="G35" s="4098" t="n"/>
      <c r="H35" s="4098" t="n"/>
      <c r="I35" s="4098" t="n"/>
      <c r="J35" s="4516" t="n"/>
      <c r="K35" s="1670" t="inlineStr">
        <is>
          <t>身体障害者</t>
        </is>
      </c>
      <c r="L35" s="4098" t="n"/>
      <c r="M35" s="4098" t="n"/>
      <c r="N35" s="4099" t="n"/>
      <c r="O35" s="4510" t="inlineStr">
        <is>
          <t>知的障害者</t>
        </is>
      </c>
      <c r="P35" s="4098" t="n"/>
      <c r="Q35" s="4098" t="n"/>
      <c r="R35" s="4099" t="n"/>
      <c r="S35" s="4510" t="inlineStr">
        <is>
          <t>精神障害者</t>
        </is>
      </c>
      <c r="T35" s="4098" t="n"/>
      <c r="U35" s="4098" t="n"/>
      <c r="V35" s="4099" t="n"/>
      <c r="W35" s="4511" t="inlineStr">
        <is>
          <t>難病等対象者</t>
        </is>
      </c>
      <c r="X35" s="4098" t="n"/>
      <c r="Y35" s="4098" t="n"/>
      <c r="Z35" s="4099" t="n"/>
      <c r="AA35" s="2037" t="n"/>
      <c r="AB35" s="2037" t="n"/>
      <c r="AC35" s="2037" t="n"/>
      <c r="AD35" s="2037" t="n"/>
      <c r="AE35" s="2037" t="n"/>
      <c r="AF35" s="2037" t="n"/>
      <c r="AG35" s="2037" t="n"/>
      <c r="AH35" s="2272" t="n"/>
    </row>
    <row r="36" ht="7.5" customHeight="1" s="4080">
      <c r="A36" s="4097" t="n"/>
      <c r="B36" s="4107" t="n"/>
      <c r="C36" s="4106" t="n"/>
      <c r="J36" s="4107" t="n"/>
      <c r="K36" s="4145" t="n"/>
      <c r="L36" s="4146" t="n"/>
      <c r="M36" s="4146" t="n"/>
      <c r="N36" s="4147" t="n"/>
      <c r="O36" s="4145" t="n"/>
      <c r="P36" s="4146" t="n"/>
      <c r="Q36" s="4146" t="n"/>
      <c r="R36" s="4147" t="n"/>
      <c r="S36" s="4145" t="n"/>
      <c r="T36" s="4146" t="n"/>
      <c r="U36" s="4146" t="n"/>
      <c r="V36" s="4147" t="n"/>
      <c r="W36" s="4145" t="n"/>
      <c r="X36" s="4146" t="n"/>
      <c r="Y36" s="4146" t="n"/>
      <c r="Z36" s="4147" t="n"/>
      <c r="AA36" s="2038" t="n"/>
      <c r="AB36" s="2038" t="n"/>
      <c r="AC36" s="2038" t="n"/>
      <c r="AD36" s="2038" t="n"/>
      <c r="AE36" s="2038" t="n"/>
      <c r="AF36" s="2038" t="n"/>
      <c r="AG36" s="2038" t="n"/>
      <c r="AH36" s="298" t="n"/>
    </row>
    <row r="37" ht="12" customHeight="1" s="4080" thickBot="1">
      <c r="A37" s="4086" t="n"/>
      <c r="B37" s="4410" t="n"/>
      <c r="C37" s="4420" t="n"/>
      <c r="D37" s="4087" t="n"/>
      <c r="E37" s="4087" t="n"/>
      <c r="F37" s="4087" t="n"/>
      <c r="G37" s="4087" t="n"/>
      <c r="H37" s="4087" t="n"/>
      <c r="I37" s="4087" t="n"/>
      <c r="J37" s="4410" t="n"/>
      <c r="K37" s="4524" t="inlineStr">
        <is>
          <t>○</t>
        </is>
      </c>
      <c r="L37" s="4512" t="n"/>
      <c r="M37" s="4512" t="n"/>
      <c r="N37" s="4513" t="n"/>
      <c r="O37" s="4524" t="inlineStr">
        <is>
          <t>○</t>
        </is>
      </c>
      <c r="P37" s="4512" t="n"/>
      <c r="Q37" s="4512" t="n"/>
      <c r="R37" s="4513" t="n"/>
      <c r="S37" s="4524" t="inlineStr">
        <is>
          <t>○</t>
        </is>
      </c>
      <c r="T37" s="4512" t="n"/>
      <c r="U37" s="4512" t="n"/>
      <c r="V37" s="4513" t="n"/>
      <c r="W37" s="4524" t="inlineStr">
        <is>
          <t>○</t>
        </is>
      </c>
      <c r="X37" s="4512" t="n"/>
      <c r="Y37" s="4512" t="n"/>
      <c r="Z37" s="4513" t="n"/>
      <c r="AA37" s="809" t="n"/>
      <c r="AB37" s="809" t="n"/>
      <c r="AC37" s="809" t="n"/>
      <c r="AD37" s="809" t="n"/>
      <c r="AE37" s="809" t="n"/>
      <c r="AF37" s="809" t="n"/>
      <c r="AG37" s="809" t="n"/>
      <c r="AH37" s="311" t="n"/>
    </row>
    <row r="38" ht="12" customHeight="1" s="4080">
      <c r="A38" s="4517" t="inlineStr">
        <is>
          <t xml:space="preserve">従　た　る　事　業　所　に　お　け　る　職　員　の　職　種　・　員　数　　　</t>
        </is>
      </c>
      <c r="B38" s="4107" t="n"/>
      <c r="C38" s="1277" t="inlineStr">
        <is>
          <t>管　　理　　者</t>
        </is>
      </c>
      <c r="D38" s="4107" t="n"/>
      <c r="E38" s="4525" t="inlineStr">
        <is>
          <t>ﾌﾘｶﾞﾅ</t>
        </is>
      </c>
      <c r="F38" s="4093" t="n"/>
      <c r="G38" s="4094" t="n"/>
      <c r="H38" s="2434" t="inlineStr">
        <is>
          <t>ｵｵｻｶ</t>
        </is>
      </c>
      <c r="I38" s="4093" t="n"/>
      <c r="J38" s="4093" t="n"/>
      <c r="K38" s="4526" t="n"/>
      <c r="L38" s="2435" t="inlineStr">
        <is>
          <t>ﾀﾛｳ</t>
        </is>
      </c>
      <c r="M38" s="4093" t="n"/>
      <c r="N38" s="4093" t="n"/>
      <c r="O38" s="4526" t="n"/>
      <c r="P38" s="4527" t="inlineStr">
        <is>
          <t>住所</t>
        </is>
      </c>
      <c r="Q38" s="4356" t="n"/>
      <c r="R38" s="2439" t="inlineStr">
        <is>
          <t>郵便番号（</t>
        </is>
      </c>
      <c r="S38" s="4082" t="n"/>
      <c r="T38" s="4082" t="n"/>
      <c r="U38" s="4082" t="n"/>
      <c r="V38" s="2440" t="inlineStr">
        <is>
          <t>５４０－０００８</t>
        </is>
      </c>
      <c r="W38" s="4082" t="n"/>
      <c r="X38" s="4082" t="n"/>
      <c r="Y38" s="4082" t="n"/>
      <c r="Z38" s="4082" t="n"/>
      <c r="AA38" s="328" t="inlineStr">
        <is>
          <t>）</t>
        </is>
      </c>
      <c r="AB38" s="2025" t="n"/>
      <c r="AC38" s="2025" t="n"/>
      <c r="AD38" s="2025" t="n"/>
      <c r="AE38" s="2025" t="n"/>
      <c r="AF38" s="2025" t="n"/>
      <c r="AG38" s="2025" t="n"/>
      <c r="AH38" s="2026" t="n"/>
      <c r="AI38" s="314" t="n"/>
      <c r="AJ38" s="1678" t="n"/>
    </row>
    <row r="39" ht="10.5" customHeight="1" s="4080">
      <c r="A39" s="4097" t="n"/>
      <c r="B39" s="4107" t="n"/>
      <c r="D39" s="4107" t="n"/>
      <c r="E39" s="4184" t="inlineStr">
        <is>
          <t>氏名</t>
        </is>
      </c>
      <c r="F39" s="4098" t="n"/>
      <c r="G39" s="4099" t="n"/>
      <c r="H39" s="1487" t="inlineStr">
        <is>
          <t>大阪</t>
        </is>
      </c>
      <c r="I39" s="4098" t="n"/>
      <c r="J39" s="4098" t="n"/>
      <c r="K39" s="4190" t="n"/>
      <c r="L39" s="1488" t="inlineStr">
        <is>
          <t>太郎</t>
        </is>
      </c>
      <c r="M39" s="4098" t="n"/>
      <c r="N39" s="4098" t="n"/>
      <c r="O39" s="4190" t="n"/>
      <c r="P39" s="4106" t="n"/>
      <c r="Q39" s="4107" t="n"/>
      <c r="R39" s="1509" t="inlineStr">
        <is>
          <t>大阪</t>
        </is>
      </c>
      <c r="T39" s="1325" t="inlineStr">
        <is>
          <t>都</t>
        </is>
      </c>
      <c r="U39" s="2378" t="inlineStr">
        <is>
          <t>道</t>
        </is>
      </c>
      <c r="V39" s="1510" t="inlineStr">
        <is>
          <t>大阪</t>
        </is>
      </c>
      <c r="Y39" s="2378" t="inlineStr">
        <is>
          <t>郡</t>
        </is>
      </c>
      <c r="Z39" s="2444" t="inlineStr">
        <is>
          <t>中央区大手前○丁目○番○号　○○マンション○○○号室</t>
        </is>
      </c>
      <c r="AH39" s="4109" t="n"/>
      <c r="AI39" s="331" t="n"/>
      <c r="AJ39" s="332" t="n"/>
    </row>
    <row r="40" ht="10.5" customHeight="1" s="4080">
      <c r="A40" s="4097" t="n"/>
      <c r="B40" s="4107" t="n"/>
      <c r="D40" s="4107" t="n"/>
      <c r="E40" s="4106" t="n"/>
      <c r="G40" s="4107" t="n"/>
      <c r="H40" s="4106" t="n"/>
      <c r="K40" s="4191" t="n"/>
      <c r="L40" s="4192" t="n"/>
      <c r="O40" s="4191" t="n"/>
      <c r="P40" s="4106" t="n"/>
      <c r="Q40" s="4107" t="n"/>
      <c r="R40" s="4106" t="n"/>
      <c r="T40" s="79" t="inlineStr">
        <is>
          <t>府</t>
        </is>
      </c>
      <c r="U40" s="2378" t="inlineStr">
        <is>
          <t>県</t>
        </is>
      </c>
      <c r="Y40" s="79" t="inlineStr">
        <is>
          <t>市</t>
        </is>
      </c>
      <c r="AH40" s="4109" t="n"/>
      <c r="AI40" s="331" t="n"/>
      <c r="AJ40" s="332" t="n"/>
    </row>
    <row r="41" ht="3.95" customHeight="1" s="4080">
      <c r="A41" s="4097" t="n"/>
      <c r="B41" s="4107" t="n"/>
      <c r="D41" s="4107" t="n"/>
      <c r="E41" s="4102" t="n"/>
      <c r="F41" s="4103" t="n"/>
      <c r="G41" s="4104" t="n"/>
      <c r="H41" s="4102" t="n"/>
      <c r="I41" s="4103" t="n"/>
      <c r="J41" s="4103" t="n"/>
      <c r="K41" s="4193" t="n"/>
      <c r="L41" s="4194" t="n"/>
      <c r="M41" s="4103" t="n"/>
      <c r="N41" s="4103" t="n"/>
      <c r="O41" s="4193" t="n"/>
      <c r="P41" s="4102" t="n"/>
      <c r="Q41" s="4104" t="n"/>
      <c r="R41" s="4102" t="n"/>
      <c r="S41" s="4103" t="n"/>
      <c r="T41" s="1810" t="n"/>
      <c r="U41" s="1810" t="n"/>
      <c r="V41" s="4103" t="n"/>
      <c r="W41" s="4103" t="n"/>
      <c r="X41" s="4103" t="n"/>
      <c r="Y41" s="1810" t="n"/>
      <c r="Z41" s="4103" t="n"/>
      <c r="AA41" s="4103" t="n"/>
      <c r="AB41" s="4103" t="n"/>
      <c r="AC41" s="4103" t="n"/>
      <c r="AD41" s="4103" t="n"/>
      <c r="AE41" s="4103" t="n"/>
      <c r="AF41" s="4103" t="n"/>
      <c r="AG41" s="4103" t="n"/>
      <c r="AH41" s="4105" t="n"/>
      <c r="AI41" s="331" t="n"/>
      <c r="AJ41" s="332" t="n"/>
    </row>
    <row r="42" ht="3.95" customHeight="1" s="4080">
      <c r="A42" s="4097" t="n"/>
      <c r="B42" s="4107" t="n"/>
      <c r="D42" s="4107" t="n"/>
      <c r="E42" s="1393" t="inlineStr">
        <is>
          <t>他の職務との兼務の有無及び職種</t>
        </is>
      </c>
      <c r="F42" s="4098" t="n"/>
      <c r="G42" s="4098" t="n"/>
      <c r="H42" s="4098" t="n"/>
      <c r="I42" s="4098" t="n"/>
      <c r="J42" s="4098" t="n"/>
      <c r="K42" s="4098" t="n"/>
      <c r="L42" s="4098" t="n"/>
      <c r="M42" s="4098" t="n"/>
      <c r="N42" s="4098" t="n"/>
      <c r="O42" s="4098" t="n"/>
      <c r="P42" s="4195" t="n"/>
      <c r="Q42" s="4098" t="n"/>
      <c r="R42" s="4098" t="n"/>
      <c r="S42" s="4098" t="n"/>
      <c r="T42" s="4099" t="n"/>
      <c r="U42" s="2163" t="inlineStr">
        <is>
          <t>職　　種</t>
        </is>
      </c>
      <c r="V42" s="4098" t="n"/>
      <c r="W42" s="4099" t="n"/>
      <c r="X42" s="3408" t="inlineStr">
        <is>
          <t xml:space="preserve">　</t>
        </is>
      </c>
      <c r="Y42" s="4098" t="n"/>
      <c r="Z42" s="4098" t="n"/>
      <c r="AA42" s="4098" t="n"/>
      <c r="AB42" s="4098" t="n"/>
      <c r="AC42" s="4098" t="n"/>
      <c r="AD42" s="4098" t="n"/>
      <c r="AE42" s="4098" t="n"/>
      <c r="AF42" s="4098" t="n"/>
      <c r="AG42" s="4098" t="n"/>
      <c r="AH42" s="4101" t="n"/>
      <c r="AI42" s="317" t="n"/>
      <c r="AJ42" s="1457" t="n"/>
    </row>
    <row r="43" ht="9.75" customHeight="1" s="4080">
      <c r="A43" s="4097" t="n"/>
      <c r="B43" s="4107" t="n"/>
      <c r="D43" s="4107" t="n"/>
      <c r="E43" s="4106" t="n"/>
      <c r="P43" s="1354" t="n"/>
      <c r="Q43" s="1325" t="inlineStr">
        <is>
          <t>有</t>
        </is>
      </c>
      <c r="R43" s="1325" t="inlineStr">
        <is>
          <t>・</t>
        </is>
      </c>
      <c r="S43" s="2163" t="inlineStr">
        <is>
          <t>無</t>
        </is>
      </c>
      <c r="T43" s="1332" t="n"/>
      <c r="U43" s="4106" t="n"/>
      <c r="W43" s="4107" t="n"/>
      <c r="X43" s="4106" t="n"/>
      <c r="AH43" s="4109" t="n"/>
      <c r="AI43" s="318" t="n"/>
      <c r="AJ43" s="839" t="n"/>
    </row>
    <row r="44" ht="3.95" customHeight="1" s="4080">
      <c r="A44" s="4097" t="n"/>
      <c r="B44" s="4107" t="n"/>
      <c r="D44" s="4107" t="n"/>
      <c r="E44" s="4102" t="n"/>
      <c r="F44" s="4103" t="n"/>
      <c r="G44" s="4103" t="n"/>
      <c r="H44" s="4103" t="n"/>
      <c r="I44" s="4103" t="n"/>
      <c r="J44" s="4103" t="n"/>
      <c r="K44" s="4103" t="n"/>
      <c r="L44" s="4103" t="n"/>
      <c r="M44" s="4103" t="n"/>
      <c r="N44" s="4103" t="n"/>
      <c r="O44" s="4103" t="n"/>
      <c r="P44" s="4197" t="n"/>
      <c r="Q44" s="4103" t="n"/>
      <c r="R44" s="4103" t="n"/>
      <c r="S44" s="4103" t="n"/>
      <c r="T44" s="4104" t="n"/>
      <c r="U44" s="4102" t="n"/>
      <c r="V44" s="4103" t="n"/>
      <c r="W44" s="4104" t="n"/>
      <c r="X44" s="4102" t="n"/>
      <c r="Y44" s="4103" t="n"/>
      <c r="Z44" s="4103" t="n"/>
      <c r="AA44" s="4103" t="n"/>
      <c r="AB44" s="4103" t="n"/>
      <c r="AC44" s="4103" t="n"/>
      <c r="AD44" s="4103" t="n"/>
      <c r="AE44" s="4103" t="n"/>
      <c r="AF44" s="4103" t="n"/>
      <c r="AG44" s="4103" t="n"/>
      <c r="AH44" s="4105" t="n"/>
      <c r="AI44" s="317" t="n"/>
      <c r="AJ44" s="1457" t="n"/>
    </row>
    <row r="45" ht="17.25" customHeight="1" s="4080">
      <c r="A45" s="4097" t="n"/>
      <c r="B45" s="4107" t="n"/>
      <c r="D45" s="4107" t="n"/>
      <c r="E45" s="2166" t="inlineStr">
        <is>
          <t>他の事業所又は施設を兼務する場合における当該兼務する事業所等の名称等</t>
        </is>
      </c>
      <c r="F45" s="4110" t="n"/>
      <c r="G45" s="4110" t="n"/>
      <c r="H45" s="4110" t="n"/>
      <c r="I45" s="4110" t="n"/>
      <c r="J45" s="4110" t="n"/>
      <c r="K45" s="4110" t="n"/>
      <c r="L45" s="4110" t="n"/>
      <c r="M45" s="4110" t="n"/>
      <c r="N45" s="4110" t="n"/>
      <c r="O45" s="4110" t="n"/>
      <c r="P45" s="4110" t="n"/>
      <c r="Q45" s="4110" t="n"/>
      <c r="R45" s="4110" t="n"/>
      <c r="S45" s="4110" t="n"/>
      <c r="T45" s="4110" t="n"/>
      <c r="U45" s="4110" t="n"/>
      <c r="V45" s="4110" t="n"/>
      <c r="W45" s="4110" t="n"/>
      <c r="X45" s="4110" t="n"/>
      <c r="Y45" s="4110" t="n"/>
      <c r="Z45" s="4110" t="n"/>
      <c r="AA45" s="4110" t="n"/>
      <c r="AB45" s="4110" t="n"/>
      <c r="AC45" s="4110" t="n"/>
      <c r="AD45" s="4110" t="n"/>
      <c r="AE45" s="4110" t="n"/>
      <c r="AF45" s="4110" t="n"/>
      <c r="AG45" s="4110" t="n"/>
      <c r="AH45" s="4113" t="n"/>
      <c r="AI45" s="320" t="n"/>
      <c r="AJ45" s="321" t="n"/>
    </row>
    <row r="46" ht="17.25" customHeight="1" s="4080">
      <c r="A46" s="4097" t="n"/>
      <c r="B46" s="4107" t="n"/>
      <c r="D46" s="4107" t="n"/>
      <c r="E46" s="1303" t="inlineStr">
        <is>
          <t>事　業　所　名</t>
        </is>
      </c>
      <c r="F46" s="4138" t="n"/>
      <c r="G46" s="4138" t="n"/>
      <c r="H46" s="4138" t="n"/>
      <c r="I46" s="4138" t="n"/>
      <c r="J46" s="4138" t="n"/>
      <c r="K46" s="4138" t="n"/>
      <c r="L46" s="4138" t="n"/>
      <c r="M46" s="4138" t="n"/>
      <c r="N46" s="4198" t="n"/>
      <c r="O46" s="1304" t="inlineStr">
        <is>
          <t>サービス種別</t>
        </is>
      </c>
      <c r="P46" s="4138" t="n"/>
      <c r="Q46" s="4138" t="n"/>
      <c r="R46" s="4138" t="n"/>
      <c r="S46" s="4138" t="n"/>
      <c r="T46" s="4138" t="n"/>
      <c r="U46" s="4138" t="n"/>
      <c r="V46" s="4138" t="n"/>
      <c r="W46" s="4138" t="n"/>
      <c r="X46" s="4138" t="n"/>
      <c r="Y46" s="4138" t="n"/>
      <c r="Z46" s="4198" t="n"/>
      <c r="AA46" s="4519" t="inlineStr">
        <is>
          <t>職　　　種</t>
        </is>
      </c>
      <c r="AB46" s="4110" t="n"/>
      <c r="AC46" s="4110" t="n"/>
      <c r="AD46" s="4110" t="n"/>
      <c r="AE46" s="4110" t="n"/>
      <c r="AF46" s="4110" t="n"/>
      <c r="AG46" s="4110" t="n"/>
      <c r="AH46" s="4113" t="n"/>
      <c r="AI46" s="317" t="n"/>
      <c r="AJ46" s="1457" t="n"/>
    </row>
    <row r="47" ht="12.75" customHeight="1" s="4080">
      <c r="A47" s="4097" t="n"/>
      <c r="B47" s="4107" t="n"/>
      <c r="D47" s="4107" t="n"/>
      <c r="E47" s="4243" t="inlineStr">
        <is>
          <t>大阪市障がい福祉サービス</t>
        </is>
      </c>
      <c r="F47" s="4138" t="n"/>
      <c r="G47" s="4138" t="n"/>
      <c r="H47" s="4138" t="n"/>
      <c r="I47" s="4138" t="n"/>
      <c r="J47" s="4138" t="n"/>
      <c r="K47" s="4138" t="n"/>
      <c r="L47" s="4138" t="n"/>
      <c r="M47" s="4138" t="n"/>
      <c r="N47" s="4198" t="n"/>
      <c r="O47" s="4244" t="inlineStr">
        <is>
          <t>就労継続支援B型</t>
        </is>
      </c>
      <c r="P47" s="4138" t="n"/>
      <c r="Q47" s="4138" t="n"/>
      <c r="R47" s="4138" t="n"/>
      <c r="S47" s="4138" t="n"/>
      <c r="T47" s="4138" t="n"/>
      <c r="U47" s="4138" t="n"/>
      <c r="V47" s="4138" t="n"/>
      <c r="W47" s="4138" t="n"/>
      <c r="X47" s="4138" t="n"/>
      <c r="Y47" s="4138" t="n"/>
      <c r="Z47" s="4198" t="n"/>
      <c r="AA47" s="4245" t="inlineStr">
        <is>
          <t>管理者</t>
        </is>
      </c>
      <c r="AB47" s="4138" t="n"/>
      <c r="AC47" s="4138" t="n"/>
      <c r="AD47" s="4138" t="n"/>
      <c r="AE47" s="4138" t="n"/>
      <c r="AF47" s="4138" t="n"/>
      <c r="AG47" s="4138" t="n"/>
      <c r="AH47" s="4246" t="n"/>
      <c r="AI47" s="334" t="n"/>
      <c r="AJ47" s="335" t="n"/>
    </row>
    <row r="48" ht="12.75" customHeight="1" s="4080">
      <c r="A48" s="4097" t="n"/>
      <c r="B48" s="4107" t="n"/>
      <c r="D48" s="4107" t="n"/>
      <c r="E48" s="1339" t="n"/>
      <c r="F48" s="4199" t="n"/>
      <c r="G48" s="4199" t="n"/>
      <c r="H48" s="4199" t="n"/>
      <c r="I48" s="4199" t="n"/>
      <c r="J48" s="4199" t="n"/>
      <c r="K48" s="4199" t="n"/>
      <c r="L48" s="4199" t="n"/>
      <c r="M48" s="4199" t="n"/>
      <c r="N48" s="4200" t="n"/>
      <c r="O48" s="1340" t="n"/>
      <c r="P48" s="4199" t="n"/>
      <c r="Q48" s="4199" t="n"/>
      <c r="R48" s="4199" t="n"/>
      <c r="S48" s="4199" t="n"/>
      <c r="T48" s="4199" t="n"/>
      <c r="U48" s="4199" t="n"/>
      <c r="V48" s="4199" t="n"/>
      <c r="W48" s="4199" t="n"/>
      <c r="X48" s="4199" t="n"/>
      <c r="Y48" s="4199" t="n"/>
      <c r="Z48" s="4200" t="n"/>
      <c r="AA48" s="1342" t="n"/>
      <c r="AB48" s="4199" t="n"/>
      <c r="AC48" s="4199" t="n"/>
      <c r="AD48" s="4199" t="n"/>
      <c r="AE48" s="4199" t="n"/>
      <c r="AF48" s="4199" t="n"/>
      <c r="AG48" s="4199" t="n"/>
      <c r="AH48" s="4247" t="n"/>
      <c r="AI48" s="317" t="n"/>
      <c r="AJ48" s="1457" t="n"/>
    </row>
    <row r="49" ht="12.75" customHeight="1" s="4080">
      <c r="A49" s="4097" t="n"/>
      <c r="B49" s="4107" t="n"/>
      <c r="D49" s="4107" t="n"/>
      <c r="E49" s="1339" t="n"/>
      <c r="F49" s="4199" t="n"/>
      <c r="G49" s="4199" t="n"/>
      <c r="H49" s="4199" t="n"/>
      <c r="I49" s="4199" t="n"/>
      <c r="J49" s="4199" t="n"/>
      <c r="K49" s="4199" t="n"/>
      <c r="L49" s="4199" t="n"/>
      <c r="M49" s="4199" t="n"/>
      <c r="N49" s="4200" t="n"/>
      <c r="O49" s="1340" t="n"/>
      <c r="P49" s="4199" t="n"/>
      <c r="Q49" s="4199" t="n"/>
      <c r="R49" s="4199" t="n"/>
      <c r="S49" s="4199" t="n"/>
      <c r="T49" s="4199" t="n"/>
      <c r="U49" s="4199" t="n"/>
      <c r="V49" s="4199" t="n"/>
      <c r="W49" s="4199" t="n"/>
      <c r="X49" s="4199" t="n"/>
      <c r="Y49" s="4199" t="n"/>
      <c r="Z49" s="4200" t="n"/>
      <c r="AA49" s="1342" t="n"/>
      <c r="AB49" s="4199" t="n"/>
      <c r="AC49" s="4199" t="n"/>
      <c r="AD49" s="4199" t="n"/>
      <c r="AE49" s="4199" t="n"/>
      <c r="AF49" s="4199" t="n"/>
      <c r="AG49" s="4199" t="n"/>
      <c r="AH49" s="4247" t="n"/>
      <c r="AI49" s="317" t="n"/>
      <c r="AJ49" s="1457" t="n"/>
    </row>
    <row r="50" ht="12.75" customHeight="1" s="4080">
      <c r="A50" s="4097" t="n"/>
      <c r="B50" s="4107" t="n"/>
      <c r="D50" s="4107" t="n"/>
      <c r="E50" s="1343" t="n"/>
      <c r="F50" s="4146" t="n"/>
      <c r="G50" s="4146" t="n"/>
      <c r="H50" s="4146" t="n"/>
      <c r="I50" s="4146" t="n"/>
      <c r="J50" s="4146" t="n"/>
      <c r="K50" s="4146" t="n"/>
      <c r="L50" s="4146" t="n"/>
      <c r="M50" s="4146" t="n"/>
      <c r="N50" s="4201" t="n"/>
      <c r="O50" s="1344" t="n"/>
      <c r="P50" s="4146" t="n"/>
      <c r="Q50" s="4146" t="n"/>
      <c r="R50" s="4146" t="n"/>
      <c r="S50" s="4146" t="n"/>
      <c r="T50" s="4146" t="n"/>
      <c r="U50" s="4146" t="n"/>
      <c r="V50" s="4146" t="n"/>
      <c r="W50" s="4146" t="n"/>
      <c r="X50" s="4146" t="n"/>
      <c r="Y50" s="4146" t="n"/>
      <c r="Z50" s="4201" t="n"/>
      <c r="AA50" s="4251" t="n"/>
      <c r="AB50" s="4140" t="n"/>
      <c r="AC50" s="4140" t="n"/>
      <c r="AD50" s="4140" t="n"/>
      <c r="AE50" s="4140" t="n"/>
      <c r="AF50" s="4140" t="n"/>
      <c r="AG50" s="4140" t="n"/>
      <c r="AH50" s="4252" t="n"/>
      <c r="AI50" s="317" t="n"/>
      <c r="AJ50" s="1457" t="n"/>
    </row>
    <row r="51" ht="12" customHeight="1" s="4080">
      <c r="A51" s="4097" t="n"/>
      <c r="B51" s="4107" t="n"/>
      <c r="C51" s="4520" t="inlineStr">
        <is>
          <t>サービス管理
責任者</t>
        </is>
      </c>
      <c r="D51" s="4099" t="n"/>
      <c r="E51" s="4184" t="inlineStr">
        <is>
          <t>ﾌﾘｶﾞﾅ</t>
        </is>
      </c>
      <c r="F51" s="4110" t="n"/>
      <c r="G51" s="4111" t="n"/>
      <c r="H51" s="4435" t="inlineStr">
        <is>
          <t>ﾖﾄﾞﾔﾊﾞｼ</t>
        </is>
      </c>
      <c r="I51" s="4110" t="n"/>
      <c r="J51" s="4110" t="n"/>
      <c r="K51" s="4204" t="n"/>
      <c r="L51" s="4436" t="inlineStr">
        <is>
          <t>ﾊﾅｺ</t>
        </is>
      </c>
      <c r="M51" s="4110" t="n"/>
      <c r="N51" s="4110" t="n"/>
      <c r="O51" s="4111" t="n"/>
      <c r="P51" s="2164" t="inlineStr">
        <is>
          <t>住所</t>
        </is>
      </c>
      <c r="Q51" s="4099" t="n"/>
      <c r="R51" s="1244" t="inlineStr">
        <is>
          <t>郵便番号（</t>
        </is>
      </c>
      <c r="S51" s="4098" t="n"/>
      <c r="T51" s="4098" t="n"/>
      <c r="U51" s="4098" t="n"/>
      <c r="V51" s="1742" t="inlineStr">
        <is>
          <t>５４０－０００８</t>
        </is>
      </c>
      <c r="W51" s="4098" t="n"/>
      <c r="X51" s="4098" t="n"/>
      <c r="Y51" s="4098" t="n"/>
      <c r="Z51" s="4098" t="n"/>
      <c r="AA51" s="1329" t="inlineStr">
        <is>
          <t>）</t>
        </is>
      </c>
      <c r="AB51" s="1017" t="n"/>
      <c r="AC51" s="1017" t="n"/>
      <c r="AD51" s="1017" t="n"/>
      <c r="AE51" s="1017" t="n"/>
      <c r="AF51" s="1017" t="n"/>
      <c r="AG51" s="120" t="n"/>
      <c r="AH51" s="118" t="n"/>
      <c r="AI51" s="322" t="n"/>
      <c r="AJ51" s="323" t="n"/>
    </row>
    <row r="52" ht="9.75" customHeight="1" s="4080">
      <c r="A52" s="4097" t="n"/>
      <c r="B52" s="4107" t="n"/>
      <c r="D52" s="4107" t="n"/>
      <c r="E52" s="4209" t="inlineStr">
        <is>
          <t>氏　　名</t>
        </is>
      </c>
      <c r="F52" s="4098" t="n"/>
      <c r="G52" s="4099" t="n"/>
      <c r="H52" s="4435" t="inlineStr">
        <is>
          <t>淀屋橋</t>
        </is>
      </c>
      <c r="I52" s="4098" t="n"/>
      <c r="J52" s="4098" t="n"/>
      <c r="K52" s="4210" t="n"/>
      <c r="L52" s="4436" t="inlineStr">
        <is>
          <t>花子</t>
        </is>
      </c>
      <c r="M52" s="4098" t="n"/>
      <c r="N52" s="4098" t="n"/>
      <c r="O52" s="4099" t="n"/>
      <c r="P52" s="4106" t="n"/>
      <c r="Q52" s="4107" t="n"/>
      <c r="R52" s="1509" t="inlineStr">
        <is>
          <t>大阪</t>
        </is>
      </c>
      <c r="T52" s="2378" t="inlineStr">
        <is>
          <t>都</t>
        </is>
      </c>
      <c r="U52" s="2378" t="inlineStr">
        <is>
          <t>道</t>
        </is>
      </c>
      <c r="V52" s="2107" t="inlineStr">
        <is>
          <t>大阪</t>
        </is>
      </c>
      <c r="Y52" s="2378" t="inlineStr">
        <is>
          <t>郡</t>
        </is>
      </c>
      <c r="Z52" s="2444" t="inlineStr">
        <is>
          <t>中央区大手前△丁目△番△号</t>
        </is>
      </c>
      <c r="AH52" s="4109" t="n"/>
      <c r="AI52" s="331" t="n"/>
      <c r="AJ52" s="332" t="n"/>
    </row>
    <row r="53" ht="9.75" customHeight="1" s="4080">
      <c r="A53" s="4097" t="n"/>
      <c r="B53" s="4107" t="n"/>
      <c r="D53" s="4107" t="n"/>
      <c r="E53" s="4106" t="n"/>
      <c r="G53" s="4107" t="n"/>
      <c r="H53" s="4106" t="n"/>
      <c r="K53" s="4212" t="n"/>
      <c r="L53" s="4213" t="n"/>
      <c r="O53" s="4107" t="n"/>
      <c r="P53" s="4106" t="n"/>
      <c r="Q53" s="4107" t="n"/>
      <c r="R53" s="4106" t="n"/>
      <c r="T53" s="79" t="inlineStr">
        <is>
          <t>府</t>
        </is>
      </c>
      <c r="U53" s="2378" t="inlineStr">
        <is>
          <t>県</t>
        </is>
      </c>
      <c r="Y53" s="79" t="inlineStr">
        <is>
          <t>市</t>
        </is>
      </c>
      <c r="AH53" s="4109" t="n"/>
      <c r="AI53" s="331" t="n"/>
      <c r="AJ53" s="332" t="n"/>
    </row>
    <row r="54" ht="3" customHeight="1" s="4080">
      <c r="A54" s="4097" t="n"/>
      <c r="B54" s="4107" t="n"/>
      <c r="D54" s="4107" t="n"/>
      <c r="E54" s="4102" t="n"/>
      <c r="F54" s="4103" t="n"/>
      <c r="G54" s="4104" t="n"/>
      <c r="H54" s="4102" t="n"/>
      <c r="I54" s="4103" t="n"/>
      <c r="J54" s="4103" t="n"/>
      <c r="K54" s="4215" t="n"/>
      <c r="L54" s="4216" t="n"/>
      <c r="M54" s="4103" t="n"/>
      <c r="N54" s="4103" t="n"/>
      <c r="O54" s="4104" t="n"/>
      <c r="P54" s="4102" t="n"/>
      <c r="Q54" s="4104" t="n"/>
      <c r="R54" s="4102" t="n"/>
      <c r="S54" s="4103" t="n"/>
      <c r="T54" s="2378" t="n"/>
      <c r="U54" s="2378" t="n"/>
      <c r="V54" s="4103" t="n"/>
      <c r="W54" s="4103" t="n"/>
      <c r="X54" s="4103" t="n"/>
      <c r="Y54" s="63" t="n"/>
      <c r="Z54" s="4103" t="n"/>
      <c r="AA54" s="4103" t="n"/>
      <c r="AB54" s="4103" t="n"/>
      <c r="AC54" s="4103" t="n"/>
      <c r="AD54" s="4103" t="n"/>
      <c r="AE54" s="4103" t="n"/>
      <c r="AF54" s="4103" t="n"/>
      <c r="AG54" s="4103" t="n"/>
      <c r="AH54" s="4105" t="n"/>
      <c r="AI54" s="331" t="n"/>
      <c r="AJ54" s="332" t="n"/>
    </row>
    <row r="55" ht="12" customHeight="1" s="4080">
      <c r="A55" s="4097" t="n"/>
      <c r="B55" s="4107" t="n"/>
      <c r="D55" s="4107" t="n"/>
      <c r="E55" s="4184" t="inlineStr">
        <is>
          <t>ﾌﾘｶﾞﾅ</t>
        </is>
      </c>
      <c r="F55" s="4110" t="n"/>
      <c r="G55" s="4111" t="n"/>
      <c r="H55" s="4203" t="n"/>
      <c r="I55" s="4110" t="n"/>
      <c r="J55" s="4110" t="n"/>
      <c r="K55" s="4204" t="n"/>
      <c r="L55" s="4205" t="n"/>
      <c r="M55" s="4110" t="n"/>
      <c r="N55" s="4110" t="n"/>
      <c r="O55" s="4111" t="n"/>
      <c r="P55" s="2164" t="inlineStr">
        <is>
          <t>住所</t>
        </is>
      </c>
      <c r="Q55" s="4099" t="n"/>
      <c r="R55" s="1244" t="inlineStr">
        <is>
          <t>郵便番号（</t>
        </is>
      </c>
      <c r="S55" s="4098" t="n"/>
      <c r="T55" s="4098" t="n"/>
      <c r="U55" s="4098" t="n"/>
      <c r="V55" s="1287" t="n"/>
      <c r="W55" s="4098" t="n"/>
      <c r="X55" s="4098" t="n"/>
      <c r="Y55" s="4098" t="n"/>
      <c r="Z55" s="4098" t="n"/>
      <c r="AA55" s="1329" t="inlineStr">
        <is>
          <t>）</t>
        </is>
      </c>
      <c r="AB55" s="1017" t="n"/>
      <c r="AC55" s="1017" t="n"/>
      <c r="AD55" s="1017" t="n"/>
      <c r="AE55" s="1017" t="n"/>
      <c r="AF55" s="1017" t="n"/>
      <c r="AG55" s="120" t="n"/>
      <c r="AH55" s="118" t="n"/>
      <c r="AI55" s="322" t="n"/>
      <c r="AJ55" s="323" t="n"/>
    </row>
    <row r="56" ht="9.75" customHeight="1" s="4080">
      <c r="A56" s="4097" t="n"/>
      <c r="B56" s="4107" t="n"/>
      <c r="D56" s="4107" t="n"/>
      <c r="E56" s="4209" t="inlineStr">
        <is>
          <t>氏　　名</t>
        </is>
      </c>
      <c r="F56" s="4098" t="n"/>
      <c r="G56" s="4099" t="n"/>
      <c r="H56" s="4203" t="n"/>
      <c r="I56" s="4098" t="n"/>
      <c r="J56" s="4098" t="n"/>
      <c r="K56" s="4210" t="n"/>
      <c r="L56" s="4205" t="n"/>
      <c r="M56" s="4098" t="n"/>
      <c r="N56" s="4098" t="n"/>
      <c r="O56" s="4099" t="n"/>
      <c r="P56" s="4106" t="n"/>
      <c r="Q56" s="4107" t="n"/>
      <c r="R56" s="1318" t="n"/>
      <c r="T56" s="2378" t="inlineStr">
        <is>
          <t>都</t>
        </is>
      </c>
      <c r="U56" s="2378" t="inlineStr">
        <is>
          <t>道</t>
        </is>
      </c>
      <c r="V56" s="1389" t="n"/>
      <c r="Y56" s="1325" t="inlineStr">
        <is>
          <t>郡</t>
        </is>
      </c>
      <c r="Z56" s="2413" t="n"/>
      <c r="AH56" s="4109" t="n"/>
      <c r="AI56" s="315" t="n"/>
      <c r="AJ56" s="3349" t="n"/>
    </row>
    <row r="57" ht="9.75" customHeight="1" s="4080">
      <c r="A57" s="4097" t="n"/>
      <c r="B57" s="4107" t="n"/>
      <c r="D57" s="4107" t="n"/>
      <c r="E57" s="4106" t="n"/>
      <c r="G57" s="4107" t="n"/>
      <c r="H57" s="4106" t="n"/>
      <c r="K57" s="4212" t="n"/>
      <c r="L57" s="4213" t="n"/>
      <c r="O57" s="4107" t="n"/>
      <c r="P57" s="4106" t="n"/>
      <c r="Q57" s="4107" t="n"/>
      <c r="R57" s="4106" t="n"/>
      <c r="T57" s="2378" t="inlineStr">
        <is>
          <t>府</t>
        </is>
      </c>
      <c r="U57" s="2378" t="inlineStr">
        <is>
          <t>県</t>
        </is>
      </c>
      <c r="Y57" s="2378" t="inlineStr">
        <is>
          <t>市</t>
        </is>
      </c>
      <c r="AH57" s="4109" t="n"/>
      <c r="AI57" s="315" t="n"/>
      <c r="AJ57" s="3349" t="n"/>
    </row>
    <row r="58" ht="3.75" customHeight="1" s="4080">
      <c r="A58" s="4097" t="n"/>
      <c r="B58" s="4107" t="n"/>
      <c r="C58" s="4103" t="n"/>
      <c r="D58" s="4104" t="n"/>
      <c r="E58" s="4102" t="n"/>
      <c r="F58" s="4103" t="n"/>
      <c r="G58" s="4104" t="n"/>
      <c r="H58" s="4102" t="n"/>
      <c r="I58" s="4103" t="n"/>
      <c r="J58" s="4103" t="n"/>
      <c r="K58" s="4215" t="n"/>
      <c r="L58" s="4216" t="n"/>
      <c r="M58" s="4103" t="n"/>
      <c r="N58" s="4103" t="n"/>
      <c r="O58" s="4104" t="n"/>
      <c r="P58" s="4102" t="n"/>
      <c r="Q58" s="4104" t="n"/>
      <c r="R58" s="4102" t="n"/>
      <c r="S58" s="4103" t="n"/>
      <c r="T58" s="1810" t="n"/>
      <c r="U58" s="1810" t="n"/>
      <c r="V58" s="4103" t="n"/>
      <c r="W58" s="4103" t="n"/>
      <c r="X58" s="4103" t="n"/>
      <c r="Y58" s="324" t="n"/>
      <c r="Z58" s="4103" t="n"/>
      <c r="AA58" s="4103" t="n"/>
      <c r="AB58" s="4103" t="n"/>
      <c r="AC58" s="4103" t="n"/>
      <c r="AD58" s="4103" t="n"/>
      <c r="AE58" s="4103" t="n"/>
      <c r="AF58" s="4103" t="n"/>
      <c r="AG58" s="4103" t="n"/>
      <c r="AH58" s="4105" t="n"/>
      <c r="AI58" s="315" t="n"/>
      <c r="AJ58" s="3349" t="n"/>
    </row>
    <row r="59" ht="15.95" customHeight="1" s="4080">
      <c r="A59" s="4097" t="n"/>
      <c r="B59" s="4107" t="n"/>
      <c r="C59" s="4521" t="inlineStr">
        <is>
          <t xml:space="preserve">　　　　　　職種・勤務形態
常勤・非常勤の別</t>
        </is>
      </c>
      <c r="D59" s="4098" t="n"/>
      <c r="E59" s="4098" t="n"/>
      <c r="F59" s="4098" t="n"/>
      <c r="G59" s="4098" t="n"/>
      <c r="H59" s="4098" t="n"/>
      <c r="I59" s="4098" t="n"/>
      <c r="J59" s="4099" t="n"/>
      <c r="K59" s="4185" t="inlineStr">
        <is>
          <t>サービス管理責任者</t>
        </is>
      </c>
      <c r="L59" s="4110" t="n"/>
      <c r="M59" s="4110" t="n"/>
      <c r="N59" s="4110" t="n"/>
      <c r="O59" s="4110" t="n"/>
      <c r="P59" s="4111" t="n"/>
      <c r="Q59" s="4325" t="inlineStr">
        <is>
          <t>医師</t>
        </is>
      </c>
      <c r="R59" s="4098" t="n"/>
      <c r="S59" s="4098" t="n"/>
      <c r="T59" s="4098" t="n"/>
      <c r="U59" s="4098" t="n"/>
      <c r="V59" s="4099" t="n"/>
      <c r="W59" s="4325" t="inlineStr">
        <is>
          <t>看護職員</t>
        </is>
      </c>
      <c r="X59" s="4098" t="n"/>
      <c r="Y59" s="4098" t="n"/>
      <c r="Z59" s="4098" t="n"/>
      <c r="AA59" s="4098" t="n"/>
      <c r="AB59" s="4099" t="n"/>
      <c r="AC59" s="4326" t="inlineStr">
        <is>
          <t>職業指導員</t>
        </is>
      </c>
      <c r="AD59" s="4098" t="n"/>
      <c r="AE59" s="4098" t="n"/>
      <c r="AF59" s="4098" t="n"/>
      <c r="AG59" s="4098" t="n"/>
      <c r="AH59" s="4101" t="n"/>
    </row>
    <row r="60" ht="15.95" customHeight="1" s="4080">
      <c r="A60" s="4097" t="n"/>
      <c r="B60" s="4107" t="n"/>
      <c r="C60" s="4103" t="n"/>
      <c r="D60" s="4103" t="n"/>
      <c r="E60" s="4103" t="n"/>
      <c r="F60" s="4103" t="n"/>
      <c r="G60" s="4103" t="n"/>
      <c r="H60" s="4103" t="n"/>
      <c r="I60" s="4103" t="n"/>
      <c r="J60" s="4104" t="n"/>
      <c r="K60" s="1617" t="inlineStr">
        <is>
          <t>専従</t>
        </is>
      </c>
      <c r="L60" s="4110" t="n"/>
      <c r="M60" s="4189" t="n"/>
      <c r="N60" s="1603" t="inlineStr">
        <is>
          <t>兼務</t>
        </is>
      </c>
      <c r="O60" s="4110" t="n"/>
      <c r="P60" s="4189" t="n"/>
      <c r="Q60" s="1617" t="inlineStr">
        <is>
          <t>専従</t>
        </is>
      </c>
      <c r="R60" s="4110" t="n"/>
      <c r="S60" s="4189" t="n"/>
      <c r="T60" s="1603" t="inlineStr">
        <is>
          <t>兼務</t>
        </is>
      </c>
      <c r="U60" s="4110" t="n"/>
      <c r="V60" s="4189" t="n"/>
      <c r="W60" s="1617" t="inlineStr">
        <is>
          <t>専従</t>
        </is>
      </c>
      <c r="X60" s="4110" t="n"/>
      <c r="Y60" s="4189" t="n"/>
      <c r="Z60" s="1603" t="inlineStr">
        <is>
          <t>兼務</t>
        </is>
      </c>
      <c r="AA60" s="4110" t="n"/>
      <c r="AB60" s="4189" t="n"/>
      <c r="AC60" s="1617" t="inlineStr">
        <is>
          <t>専従</t>
        </is>
      </c>
      <c r="AD60" s="4110" t="n"/>
      <c r="AE60" s="4189" t="n"/>
      <c r="AF60" s="1603" t="inlineStr">
        <is>
          <t>兼務</t>
        </is>
      </c>
      <c r="AG60" s="4110" t="n"/>
      <c r="AH60" s="4189" t="n"/>
    </row>
    <row r="61" ht="15.95" customHeight="1" s="4080">
      <c r="A61" s="4097" t="n"/>
      <c r="B61" s="4107" t="n"/>
      <c r="C61" s="1268" t="inlineStr">
        <is>
          <t>常　　　　　勤（人）</t>
        </is>
      </c>
      <c r="D61" s="4110" t="n"/>
      <c r="E61" s="4110" t="n"/>
      <c r="F61" s="4110" t="n"/>
      <c r="G61" s="4110" t="n"/>
      <c r="H61" s="4110" t="n"/>
      <c r="I61" s="4110" t="n"/>
      <c r="J61" s="4111" t="n"/>
      <c r="K61" s="4275" t="n"/>
      <c r="L61" s="4110" t="n"/>
      <c r="M61" s="4189" t="n"/>
      <c r="N61" s="4299" t="n">
        <v>1</v>
      </c>
      <c r="O61" s="4110" t="n"/>
      <c r="P61" s="4189" t="n"/>
      <c r="Q61" s="4275" t="n"/>
      <c r="R61" s="4110" t="n"/>
      <c r="S61" s="4189" t="n"/>
      <c r="T61" s="4276" t="n"/>
      <c r="U61" s="4110" t="n"/>
      <c r="V61" s="4189" t="n"/>
      <c r="W61" s="4275" t="n"/>
      <c r="X61" s="4110" t="n"/>
      <c r="Y61" s="4189" t="n"/>
      <c r="Z61" s="4276" t="n"/>
      <c r="AA61" s="4110" t="n"/>
      <c r="AB61" s="4189" t="n"/>
      <c r="AC61" s="4275" t="n"/>
      <c r="AD61" s="4110" t="n"/>
      <c r="AE61" s="4189" t="n"/>
      <c r="AF61" s="4276" t="n"/>
      <c r="AG61" s="4110" t="n"/>
      <c r="AH61" s="4189" t="n"/>
    </row>
    <row r="62" ht="15.95" customHeight="1" s="4080">
      <c r="A62" s="4097" t="n"/>
      <c r="B62" s="4107" t="n"/>
      <c r="C62" s="1286" t="inlineStr">
        <is>
          <t>非　　常　　勤（人）</t>
        </is>
      </c>
      <c r="D62" s="4103" t="n"/>
      <c r="E62" s="4103" t="n"/>
      <c r="F62" s="4103" t="n"/>
      <c r="G62" s="4103" t="n"/>
      <c r="H62" s="4103" t="n"/>
      <c r="I62" s="4103" t="n"/>
      <c r="J62" s="4104" t="n"/>
      <c r="K62" s="4275" t="n"/>
      <c r="L62" s="4110" t="n"/>
      <c r="M62" s="4189" t="n"/>
      <c r="N62" s="4276" t="n"/>
      <c r="O62" s="4110" t="n"/>
      <c r="P62" s="4189" t="n"/>
      <c r="Q62" s="4275" t="n"/>
      <c r="R62" s="4110" t="n"/>
      <c r="S62" s="4189" t="n"/>
      <c r="T62" s="4276" t="n"/>
      <c r="U62" s="4110" t="n"/>
      <c r="V62" s="4189" t="n"/>
      <c r="W62" s="4275" t="n"/>
      <c r="X62" s="4110" t="n"/>
      <c r="Y62" s="4189" t="n"/>
      <c r="Z62" s="4276" t="n"/>
      <c r="AA62" s="4110" t="n"/>
      <c r="AB62" s="4189" t="n"/>
      <c r="AC62" s="4275" t="n"/>
      <c r="AD62" s="4110" t="n"/>
      <c r="AE62" s="4189" t="n"/>
      <c r="AF62" s="4276" t="n"/>
      <c r="AG62" s="4110" t="n"/>
      <c r="AH62" s="4189" t="n"/>
    </row>
    <row r="63" ht="15.95" customHeight="1" s="4080">
      <c r="A63" s="4097" t="n"/>
      <c r="B63" s="4107" t="n"/>
      <c r="C63" s="1282" t="inlineStr">
        <is>
          <t>常勤換算後の人数（人）</t>
        </is>
      </c>
      <c r="D63" s="4098" t="n"/>
      <c r="E63" s="4098" t="n"/>
      <c r="F63" s="4098" t="n"/>
      <c r="G63" s="4098" t="n"/>
      <c r="H63" s="4098" t="n"/>
      <c r="I63" s="4098" t="n"/>
      <c r="J63" s="4099" t="n"/>
      <c r="K63" s="4528" t="n">
        <v>1</v>
      </c>
      <c r="L63" s="4098" t="n"/>
      <c r="M63" s="4098" t="n"/>
      <c r="N63" s="4098" t="n"/>
      <c r="O63" s="4098" t="n"/>
      <c r="P63" s="4099" t="n"/>
      <c r="Q63" s="4495" t="n"/>
      <c r="R63" s="4098" t="n"/>
      <c r="S63" s="4098" t="n"/>
      <c r="T63" s="4098" t="n"/>
      <c r="U63" s="4098" t="n"/>
      <c r="V63" s="4099" t="n"/>
      <c r="W63" s="4495" t="n"/>
      <c r="X63" s="4098" t="n"/>
      <c r="Y63" s="4098" t="n"/>
      <c r="Z63" s="4098" t="n"/>
      <c r="AA63" s="4098" t="n"/>
      <c r="AB63" s="4099" t="n"/>
      <c r="AC63" s="4496" t="n"/>
      <c r="AD63" s="4098" t="n"/>
      <c r="AE63" s="4098" t="n"/>
      <c r="AF63" s="4098" t="n"/>
      <c r="AG63" s="4098" t="n"/>
      <c r="AH63" s="4101" t="n"/>
    </row>
    <row r="64" ht="15.95" customHeight="1" s="4080">
      <c r="A64" s="4097" t="n"/>
      <c r="B64" s="4107" t="n"/>
      <c r="C64" s="4521" t="inlineStr">
        <is>
          <t xml:space="preserve">　　　　　　職種・勤務形態
常勤・非常勤の別</t>
        </is>
      </c>
      <c r="D64" s="4098" t="n"/>
      <c r="E64" s="4098" t="n"/>
      <c r="F64" s="4098" t="n"/>
      <c r="G64" s="4098" t="n"/>
      <c r="H64" s="4098" t="n"/>
      <c r="I64" s="4098" t="n"/>
      <c r="J64" s="4099" t="n"/>
      <c r="K64" s="4325" t="inlineStr">
        <is>
          <t>生活支援員</t>
        </is>
      </c>
      <c r="L64" s="4098" t="n"/>
      <c r="M64" s="4098" t="n"/>
      <c r="N64" s="4098" t="n"/>
      <c r="O64" s="4098" t="n"/>
      <c r="P64" s="4099" t="n"/>
      <c r="Q64" s="1281" t="inlineStr">
        <is>
          <t>就労支援員</t>
        </is>
      </c>
      <c r="R64" s="4098" t="n"/>
      <c r="S64" s="4098" t="n"/>
      <c r="T64" s="4098" t="n"/>
      <c r="U64" s="4098" t="n"/>
      <c r="V64" s="4098" t="n"/>
      <c r="W64" s="4185" t="inlineStr">
        <is>
          <t>理学療法士</t>
        </is>
      </c>
      <c r="X64" s="4110" t="n"/>
      <c r="Y64" s="4110" t="n"/>
      <c r="Z64" s="4110" t="n"/>
      <c r="AA64" s="4110" t="n"/>
      <c r="AB64" s="4111" t="n"/>
      <c r="AC64" s="1804" t="inlineStr">
        <is>
          <t>作業療法士</t>
        </is>
      </c>
      <c r="AD64" s="4098" t="n"/>
      <c r="AE64" s="4098" t="n"/>
      <c r="AF64" s="4098" t="n"/>
      <c r="AG64" s="4098" t="n"/>
      <c r="AH64" s="4101" t="n"/>
    </row>
    <row r="65" ht="15.95" customHeight="1" s="4080">
      <c r="A65" s="4097" t="n"/>
      <c r="B65" s="4107" t="n"/>
      <c r="C65" s="4103" t="n"/>
      <c r="D65" s="4103" t="n"/>
      <c r="E65" s="4103" t="n"/>
      <c r="F65" s="4103" t="n"/>
      <c r="G65" s="4103" t="n"/>
      <c r="H65" s="4103" t="n"/>
      <c r="I65" s="4103" t="n"/>
      <c r="J65" s="4104" t="n"/>
      <c r="K65" s="1617" t="inlineStr">
        <is>
          <t>専従</t>
        </is>
      </c>
      <c r="L65" s="4110" t="n"/>
      <c r="M65" s="4189" t="n"/>
      <c r="N65" s="1603" t="inlineStr">
        <is>
          <t>兼務</t>
        </is>
      </c>
      <c r="O65" s="4110" t="n"/>
      <c r="P65" s="4189" t="n"/>
      <c r="Q65" s="1617" t="inlineStr">
        <is>
          <t>専従</t>
        </is>
      </c>
      <c r="R65" s="4110" t="n"/>
      <c r="S65" s="4189" t="n"/>
      <c r="T65" s="1603" t="inlineStr">
        <is>
          <t>兼務</t>
        </is>
      </c>
      <c r="U65" s="4110" t="n"/>
      <c r="V65" s="4189" t="n"/>
      <c r="W65" s="1617" t="inlineStr">
        <is>
          <t>専従</t>
        </is>
      </c>
      <c r="X65" s="4110" t="n"/>
      <c r="Y65" s="4189" t="n"/>
      <c r="Z65" s="1603" t="inlineStr">
        <is>
          <t>兼務</t>
        </is>
      </c>
      <c r="AA65" s="4110" t="n"/>
      <c r="AB65" s="4189" t="n"/>
      <c r="AC65" s="1617" t="inlineStr">
        <is>
          <t>専従</t>
        </is>
      </c>
      <c r="AD65" s="4110" t="n"/>
      <c r="AE65" s="4189" t="n"/>
      <c r="AF65" s="1603" t="inlineStr">
        <is>
          <t>兼務</t>
        </is>
      </c>
      <c r="AG65" s="4110" t="n"/>
      <c r="AH65" s="4189" t="n"/>
    </row>
    <row r="66" ht="15.95" customHeight="1" s="4080">
      <c r="A66" s="4097" t="n"/>
      <c r="B66" s="4107" t="n"/>
      <c r="C66" s="1268" t="inlineStr">
        <is>
          <t>常　　　　　勤（人）</t>
        </is>
      </c>
      <c r="D66" s="4110" t="n"/>
      <c r="E66" s="4110" t="n"/>
      <c r="F66" s="4110" t="n"/>
      <c r="G66" s="4110" t="n"/>
      <c r="H66" s="4110" t="n"/>
      <c r="I66" s="4110" t="n"/>
      <c r="J66" s="4111" t="n"/>
      <c r="K66" s="4529" t="n">
        <v>1</v>
      </c>
      <c r="L66" s="4110" t="n"/>
      <c r="M66" s="4189" t="n"/>
      <c r="N66" s="4276" t="n"/>
      <c r="O66" s="4110" t="n"/>
      <c r="P66" s="4189" t="n"/>
      <c r="Q66" s="4275" t="n"/>
      <c r="R66" s="4110" t="n"/>
      <c r="S66" s="4189" t="n"/>
      <c r="T66" s="4276" t="n"/>
      <c r="U66" s="4110" t="n"/>
      <c r="V66" s="4189" t="n"/>
      <c r="W66" s="4275" t="n"/>
      <c r="X66" s="4110" t="n"/>
      <c r="Y66" s="4189" t="n"/>
      <c r="Z66" s="4276" t="n"/>
      <c r="AA66" s="4110" t="n"/>
      <c r="AB66" s="4189" t="n"/>
      <c r="AC66" s="4275" t="n"/>
      <c r="AD66" s="4110" t="n"/>
      <c r="AE66" s="4189" t="n"/>
      <c r="AF66" s="4276" t="n"/>
      <c r="AG66" s="4110" t="n"/>
      <c r="AH66" s="4189" t="n"/>
    </row>
    <row r="67" ht="15.95" customHeight="1" s="4080">
      <c r="A67" s="4097" t="n"/>
      <c r="B67" s="4107" t="n"/>
      <c r="C67" s="1286" t="inlineStr">
        <is>
          <t>非　　常　　勤（人）</t>
        </is>
      </c>
      <c r="D67" s="4103" t="n"/>
      <c r="E67" s="4103" t="n"/>
      <c r="F67" s="4103" t="n"/>
      <c r="G67" s="4103" t="n"/>
      <c r="H67" s="4103" t="n"/>
      <c r="I67" s="4103" t="n"/>
      <c r="J67" s="4104" t="n"/>
      <c r="K67" s="4529" t="n">
        <v>2</v>
      </c>
      <c r="L67" s="4110" t="n"/>
      <c r="M67" s="4189" t="n"/>
      <c r="N67" s="4276" t="n"/>
      <c r="O67" s="4110" t="n"/>
      <c r="P67" s="4189" t="n"/>
      <c r="Q67" s="4275" t="n"/>
      <c r="R67" s="4110" t="n"/>
      <c r="S67" s="4189" t="n"/>
      <c r="T67" s="4276" t="n"/>
      <c r="U67" s="4110" t="n"/>
      <c r="V67" s="4189" t="n"/>
      <c r="W67" s="4275" t="n"/>
      <c r="X67" s="4110" t="n"/>
      <c r="Y67" s="4189" t="n"/>
      <c r="Z67" s="4276" t="n"/>
      <c r="AA67" s="4110" t="n"/>
      <c r="AB67" s="4189" t="n"/>
      <c r="AC67" s="4275" t="n"/>
      <c r="AD67" s="4110" t="n"/>
      <c r="AE67" s="4189" t="n"/>
      <c r="AF67" s="4276" t="n"/>
      <c r="AG67" s="4110" t="n"/>
      <c r="AH67" s="4189" t="n"/>
    </row>
    <row r="68" ht="15.95" customHeight="1" s="4080">
      <c r="A68" s="4097" t="n"/>
      <c r="B68" s="4107" t="n"/>
      <c r="C68" s="1268" t="inlineStr">
        <is>
          <t>常勤換算後の人数（人）</t>
        </is>
      </c>
      <c r="D68" s="4110" t="n"/>
      <c r="E68" s="4110" t="n"/>
      <c r="F68" s="4110" t="n"/>
      <c r="G68" s="4110" t="n"/>
      <c r="H68" s="4110" t="n"/>
      <c r="I68" s="4110" t="n"/>
      <c r="J68" s="4111" t="n"/>
      <c r="K68" s="4530" t="n">
        <v>1.6</v>
      </c>
      <c r="L68" s="4110" t="n"/>
      <c r="M68" s="4110" t="n"/>
      <c r="N68" s="4110" t="n"/>
      <c r="O68" s="4110" t="n"/>
      <c r="P68" s="4111" t="n"/>
      <c r="Q68" s="4464" t="n"/>
      <c r="R68" s="4110" t="n"/>
      <c r="S68" s="4110" t="n"/>
      <c r="T68" s="4110" t="n"/>
      <c r="U68" s="4110" t="n"/>
      <c r="V68" s="4111" t="n"/>
      <c r="W68" s="4464" t="n"/>
      <c r="X68" s="4110" t="n"/>
      <c r="Y68" s="4110" t="n"/>
      <c r="Z68" s="4110" t="n"/>
      <c r="AA68" s="4110" t="n"/>
      <c r="AB68" s="4111" t="n"/>
      <c r="AC68" s="4465" t="n"/>
      <c r="AD68" s="4110" t="n"/>
      <c r="AE68" s="4110" t="n"/>
      <c r="AF68" s="4110" t="n"/>
      <c r="AG68" s="4110" t="n"/>
      <c r="AH68" s="4113" t="n"/>
    </row>
    <row r="69" ht="15.95" customHeight="1" s="4080">
      <c r="A69" s="4097" t="n"/>
      <c r="B69" s="4107" t="n"/>
      <c r="C69" s="4521" t="inlineStr">
        <is>
          <t xml:space="preserve">　　　　　　職種・勤務形態
常勤・非常勤の別</t>
        </is>
      </c>
      <c r="D69" s="4098" t="n"/>
      <c r="E69" s="4098" t="n"/>
      <c r="F69" s="4098" t="n"/>
      <c r="G69" s="4098" t="n"/>
      <c r="H69" s="4098" t="n"/>
      <c r="I69" s="4098" t="n"/>
      <c r="J69" s="4099" t="n"/>
      <c r="K69" s="4185" t="n"/>
      <c r="L69" s="4110" t="n"/>
      <c r="M69" s="4110" t="n"/>
      <c r="N69" s="4110" t="n"/>
      <c r="O69" s="4110" t="n"/>
      <c r="P69" s="4111" t="n"/>
      <c r="Q69" s="4325" t="n"/>
      <c r="R69" s="4098" t="n"/>
      <c r="S69" s="4098" t="n"/>
      <c r="T69" s="4098" t="n"/>
      <c r="U69" s="4098" t="n"/>
      <c r="V69" s="4099" t="n"/>
      <c r="W69" s="4325" t="n"/>
      <c r="X69" s="4098" t="n"/>
      <c r="Y69" s="4098" t="n"/>
      <c r="Z69" s="4098" t="n"/>
      <c r="AA69" s="4098" t="n"/>
      <c r="AB69" s="4099" t="n"/>
      <c r="AC69" s="4326" t="n"/>
      <c r="AD69" s="4098" t="n"/>
      <c r="AE69" s="4098" t="n"/>
      <c r="AF69" s="4098" t="n"/>
      <c r="AG69" s="4098" t="n"/>
      <c r="AH69" s="4101" t="n"/>
    </row>
    <row r="70" ht="15.95" customHeight="1" s="4080">
      <c r="A70" s="4097" t="n"/>
      <c r="B70" s="4107" t="n"/>
      <c r="C70" s="4103" t="n"/>
      <c r="D70" s="4103" t="n"/>
      <c r="E70" s="4103" t="n"/>
      <c r="F70" s="4103" t="n"/>
      <c r="G70" s="4103" t="n"/>
      <c r="H70" s="4103" t="n"/>
      <c r="I70" s="4103" t="n"/>
      <c r="J70" s="4104" t="n"/>
      <c r="K70" s="1617" t="inlineStr">
        <is>
          <t>専従</t>
        </is>
      </c>
      <c r="L70" s="4110" t="n"/>
      <c r="M70" s="4189" t="n"/>
      <c r="N70" s="1603" t="inlineStr">
        <is>
          <t>兼務</t>
        </is>
      </c>
      <c r="O70" s="4110" t="n"/>
      <c r="P70" s="4189" t="n"/>
      <c r="Q70" s="1617" t="inlineStr">
        <is>
          <t>専従</t>
        </is>
      </c>
      <c r="R70" s="4110" t="n"/>
      <c r="S70" s="4189" t="n"/>
      <c r="T70" s="1603" t="inlineStr">
        <is>
          <t>兼務</t>
        </is>
      </c>
      <c r="U70" s="4110" t="n"/>
      <c r="V70" s="4189" t="n"/>
      <c r="W70" s="1617" t="inlineStr">
        <is>
          <t>専従</t>
        </is>
      </c>
      <c r="X70" s="4110" t="n"/>
      <c r="Y70" s="4189" t="n"/>
      <c r="Z70" s="1603" t="inlineStr">
        <is>
          <t>兼務</t>
        </is>
      </c>
      <c r="AA70" s="4110" t="n"/>
      <c r="AB70" s="4189" t="n"/>
      <c r="AC70" s="1617" t="inlineStr">
        <is>
          <t>専従</t>
        </is>
      </c>
      <c r="AD70" s="4110" t="n"/>
      <c r="AE70" s="4189" t="n"/>
      <c r="AF70" s="1603" t="inlineStr">
        <is>
          <t>兼務</t>
        </is>
      </c>
      <c r="AG70" s="4110" t="n"/>
      <c r="AH70" s="4189" t="n"/>
    </row>
    <row r="71" ht="15.95" customHeight="1" s="4080">
      <c r="A71" s="4097" t="n"/>
      <c r="B71" s="4107" t="n"/>
      <c r="C71" s="1268" t="inlineStr">
        <is>
          <t>常　　　　　勤（人）</t>
        </is>
      </c>
      <c r="D71" s="4110" t="n"/>
      <c r="E71" s="4110" t="n"/>
      <c r="F71" s="4110" t="n"/>
      <c r="G71" s="4110" t="n"/>
      <c r="H71" s="4110" t="n"/>
      <c r="I71" s="4110" t="n"/>
      <c r="J71" s="4111" t="n"/>
      <c r="K71" s="4275" t="n"/>
      <c r="L71" s="4110" t="n"/>
      <c r="M71" s="4189" t="n"/>
      <c r="N71" s="4276" t="n"/>
      <c r="O71" s="4110" t="n"/>
      <c r="P71" s="4189" t="n"/>
      <c r="Q71" s="4275" t="n"/>
      <c r="R71" s="4110" t="n"/>
      <c r="S71" s="4189" t="n"/>
      <c r="T71" s="4276" t="n"/>
      <c r="U71" s="4110" t="n"/>
      <c r="V71" s="4189" t="n"/>
      <c r="W71" s="4275" t="n"/>
      <c r="X71" s="4110" t="n"/>
      <c r="Y71" s="4189" t="n"/>
      <c r="Z71" s="4276" t="n"/>
      <c r="AA71" s="4110" t="n"/>
      <c r="AB71" s="4189" t="n"/>
      <c r="AC71" s="4275" t="n"/>
      <c r="AD71" s="4110" t="n"/>
      <c r="AE71" s="4189" t="n"/>
      <c r="AF71" s="4276" t="n"/>
      <c r="AG71" s="4110" t="n"/>
      <c r="AH71" s="4189" t="n"/>
    </row>
    <row r="72" ht="15.95" customHeight="1" s="4080">
      <c r="A72" s="4097" t="n"/>
      <c r="B72" s="4107" t="n"/>
      <c r="C72" s="1286" t="inlineStr">
        <is>
          <t>非　　常　　勤（人）</t>
        </is>
      </c>
      <c r="D72" s="4103" t="n"/>
      <c r="E72" s="4103" t="n"/>
      <c r="F72" s="4103" t="n"/>
      <c r="G72" s="4103" t="n"/>
      <c r="H72" s="4103" t="n"/>
      <c r="I72" s="4103" t="n"/>
      <c r="J72" s="4104" t="n"/>
      <c r="K72" s="4275" t="n"/>
      <c r="L72" s="4110" t="n"/>
      <c r="M72" s="4189" t="n"/>
      <c r="N72" s="4276" t="n"/>
      <c r="O72" s="4110" t="n"/>
      <c r="P72" s="4189" t="n"/>
      <c r="Q72" s="4275" t="n"/>
      <c r="R72" s="4110" t="n"/>
      <c r="S72" s="4189" t="n"/>
      <c r="T72" s="4276" t="n"/>
      <c r="U72" s="4110" t="n"/>
      <c r="V72" s="4189" t="n"/>
      <c r="W72" s="4275" t="n"/>
      <c r="X72" s="4110" t="n"/>
      <c r="Y72" s="4189" t="n"/>
      <c r="Z72" s="4276" t="n"/>
      <c r="AA72" s="4110" t="n"/>
      <c r="AB72" s="4189" t="n"/>
      <c r="AC72" s="4275" t="n"/>
      <c r="AD72" s="4110" t="n"/>
      <c r="AE72" s="4189" t="n"/>
      <c r="AF72" s="4276" t="n"/>
      <c r="AG72" s="4110" t="n"/>
      <c r="AH72" s="4189" t="n"/>
    </row>
    <row r="73" ht="15.95" customHeight="1" s="4080" thickBot="1">
      <c r="A73" s="4086" t="n"/>
      <c r="B73" s="4410" t="n"/>
      <c r="C73" s="2203" t="inlineStr">
        <is>
          <t>常勤換算後の人数（人）</t>
        </is>
      </c>
      <c r="D73" s="4153" t="n"/>
      <c r="E73" s="4153" t="n"/>
      <c r="F73" s="4153" t="n"/>
      <c r="G73" s="4153" t="n"/>
      <c r="H73" s="4153" t="n"/>
      <c r="I73" s="4153" t="n"/>
      <c r="J73" s="4154" t="n"/>
      <c r="K73" s="4471" t="n"/>
      <c r="L73" s="4153" t="n"/>
      <c r="M73" s="4153" t="n"/>
      <c r="N73" s="4153" t="n"/>
      <c r="O73" s="4153" t="n"/>
      <c r="P73" s="4154" t="n"/>
      <c r="Q73" s="4471" t="n"/>
      <c r="R73" s="4153" t="n"/>
      <c r="S73" s="4153" t="n"/>
      <c r="T73" s="4153" t="n"/>
      <c r="U73" s="4153" t="n"/>
      <c r="V73" s="4154" t="n"/>
      <c r="W73" s="4471" t="n"/>
      <c r="X73" s="4153" t="n"/>
      <c r="Y73" s="4153" t="n"/>
      <c r="Z73" s="4153" t="n"/>
      <c r="AA73" s="4153" t="n"/>
      <c r="AB73" s="4154" t="n"/>
      <c r="AC73" s="4472" t="n"/>
      <c r="AD73" s="4153" t="n"/>
      <c r="AE73" s="4153" t="n"/>
      <c r="AF73" s="4153" t="n"/>
      <c r="AG73" s="4153" t="n"/>
      <c r="AH73" s="4155" t="n"/>
    </row>
  </sheetData>
  <mergeCells count="305">
    <mergeCell ref="J35:J37"/>
    <mergeCell ref="C13:D17"/>
    <mergeCell ref="Q72:S72"/>
    <mergeCell ref="AC68:AH68"/>
    <mergeCell ref="AC67:AE67"/>
    <mergeCell ref="G30:J32"/>
    <mergeCell ref="T71:V71"/>
    <mergeCell ref="V38:Z38"/>
    <mergeCell ref="AB27:AD27"/>
    <mergeCell ref="S30:V32"/>
    <mergeCell ref="F22:AH23"/>
    <mergeCell ref="Z3:Z4"/>
    <mergeCell ref="C21:E21"/>
    <mergeCell ref="W72:Y72"/>
    <mergeCell ref="E30:F33"/>
    <mergeCell ref="N67:P67"/>
    <mergeCell ref="W59:AB59"/>
    <mergeCell ref="O37:R37"/>
    <mergeCell ref="K71:M71"/>
    <mergeCell ref="A21:B37"/>
    <mergeCell ref="AA32:AD32"/>
    <mergeCell ref="AE30:AH32"/>
    <mergeCell ref="C30:D34"/>
    <mergeCell ref="AB11:AD11"/>
    <mergeCell ref="Z67:AB67"/>
    <mergeCell ref="K12:AH12"/>
    <mergeCell ref="W71:Y71"/>
    <mergeCell ref="L52:O54"/>
    <mergeCell ref="Z52:AH54"/>
    <mergeCell ref="O47:Z47"/>
    <mergeCell ref="N60:P60"/>
    <mergeCell ref="T66:V66"/>
    <mergeCell ref="AA49:AH49"/>
    <mergeCell ref="Q70:S70"/>
    <mergeCell ref="Z39:AH41"/>
    <mergeCell ref="K17:M17"/>
    <mergeCell ref="K33:N33"/>
    <mergeCell ref="Z60:AB60"/>
    <mergeCell ref="F25:H26"/>
    <mergeCell ref="AC59:AH59"/>
    <mergeCell ref="C18:C20"/>
    <mergeCell ref="O15:R15"/>
    <mergeCell ref="W15:Z15"/>
    <mergeCell ref="H55:K55"/>
    <mergeCell ref="C69:J70"/>
    <mergeCell ref="W33:Z33"/>
    <mergeCell ref="E34:F34"/>
    <mergeCell ref="W13:AD14"/>
    <mergeCell ref="W60:Y60"/>
    <mergeCell ref="K66:M66"/>
    <mergeCell ref="W18:Z19"/>
    <mergeCell ref="AG3:AG4"/>
    <mergeCell ref="K34:M34"/>
    <mergeCell ref="E56:G58"/>
    <mergeCell ref="AF61:AH61"/>
    <mergeCell ref="D35:I37"/>
    <mergeCell ref="C61:J61"/>
    <mergeCell ref="C35:C37"/>
    <mergeCell ref="AF70:AH70"/>
    <mergeCell ref="O32:R32"/>
    <mergeCell ref="AE33:AH33"/>
    <mergeCell ref="K30:R31"/>
    <mergeCell ref="AA33:AD33"/>
    <mergeCell ref="W34:Y34"/>
    <mergeCell ref="H39:K41"/>
    <mergeCell ref="C24:E26"/>
    <mergeCell ref="C11:E12"/>
    <mergeCell ref="W30:AD31"/>
    <mergeCell ref="R55:U55"/>
    <mergeCell ref="AC66:AE66"/>
    <mergeCell ref="V52:X54"/>
    <mergeCell ref="O16:R16"/>
    <mergeCell ref="Z70:AB70"/>
    <mergeCell ref="L55:O55"/>
    <mergeCell ref="Z1:AA1"/>
    <mergeCell ref="R51:U51"/>
    <mergeCell ref="L38:O38"/>
    <mergeCell ref="AA16:AD16"/>
    <mergeCell ref="AA34:AC34"/>
    <mergeCell ref="S17:U17"/>
    <mergeCell ref="K60:M60"/>
    <mergeCell ref="R56:S58"/>
    <mergeCell ref="E46:N46"/>
    <mergeCell ref="Q64:V64"/>
    <mergeCell ref="C27:E28"/>
    <mergeCell ref="Z72:AB72"/>
    <mergeCell ref="K18:N19"/>
    <mergeCell ref="Q73:V73"/>
    <mergeCell ref="M11:O11"/>
    <mergeCell ref="AB1:AD1"/>
    <mergeCell ref="Q67:S67"/>
    <mergeCell ref="I25:M26"/>
    <mergeCell ref="N71:P71"/>
    <mergeCell ref="Z62:AB62"/>
    <mergeCell ref="Q63:V63"/>
    <mergeCell ref="Z71:AB71"/>
    <mergeCell ref="Q60:S60"/>
    <mergeCell ref="L56:O58"/>
    <mergeCell ref="S20:V20"/>
    <mergeCell ref="W62:Y62"/>
    <mergeCell ref="AC72:AE72"/>
    <mergeCell ref="K37:N37"/>
    <mergeCell ref="C73:J73"/>
    <mergeCell ref="K59:P59"/>
    <mergeCell ref="C6:E7"/>
    <mergeCell ref="O50:Z50"/>
    <mergeCell ref="T27:W27"/>
    <mergeCell ref="J18:J20"/>
    <mergeCell ref="N9:O10"/>
    <mergeCell ref="O35:R36"/>
    <mergeCell ref="W37:Z37"/>
    <mergeCell ref="E47:N47"/>
    <mergeCell ref="C38:D50"/>
    <mergeCell ref="C63:J63"/>
    <mergeCell ref="K70:M70"/>
    <mergeCell ref="O46:Z46"/>
    <mergeCell ref="F27:H27"/>
    <mergeCell ref="J24:N24"/>
    <mergeCell ref="W61:Y61"/>
    <mergeCell ref="T60:V60"/>
    <mergeCell ref="W70:Y70"/>
    <mergeCell ref="Q61:S61"/>
    <mergeCell ref="K15:N15"/>
    <mergeCell ref="AF60:AH60"/>
    <mergeCell ref="O48:Z48"/>
    <mergeCell ref="K65:M65"/>
    <mergeCell ref="K62:M62"/>
    <mergeCell ref="D18:I20"/>
    <mergeCell ref="X27:Z27"/>
    <mergeCell ref="AC70:AE70"/>
    <mergeCell ref="V56:X58"/>
    <mergeCell ref="A1:Y1"/>
    <mergeCell ref="X42:AH44"/>
    <mergeCell ref="AE1:AF1"/>
    <mergeCell ref="K32:N32"/>
    <mergeCell ref="W69:AB69"/>
    <mergeCell ref="AA15:AD15"/>
    <mergeCell ref="F11:H11"/>
    <mergeCell ref="X11:Z11"/>
    <mergeCell ref="W32:Z32"/>
    <mergeCell ref="H56:K58"/>
    <mergeCell ref="F6:AH7"/>
    <mergeCell ref="AA50:AH50"/>
    <mergeCell ref="Q71:S71"/>
    <mergeCell ref="AF67:AH67"/>
    <mergeCell ref="C67:J67"/>
    <mergeCell ref="I27:K27"/>
    <mergeCell ref="H52:K54"/>
    <mergeCell ref="AC62:AE62"/>
    <mergeCell ref="C72:J72"/>
    <mergeCell ref="AC71:AE71"/>
    <mergeCell ref="W65:Y65"/>
    <mergeCell ref="Z61:AB61"/>
    <mergeCell ref="K64:P64"/>
    <mergeCell ref="W16:Z16"/>
    <mergeCell ref="AA47:AH47"/>
    <mergeCell ref="G33:J33"/>
    <mergeCell ref="C59:J60"/>
    <mergeCell ref="G17:I17"/>
    <mergeCell ref="T11:W11"/>
    <mergeCell ref="Y3:Y4"/>
    <mergeCell ref="N72:P72"/>
    <mergeCell ref="T65:V65"/>
    <mergeCell ref="W64:AB64"/>
    <mergeCell ref="P8:AH10"/>
    <mergeCell ref="S33:V33"/>
    <mergeCell ref="R39:S41"/>
    <mergeCell ref="T62:V62"/>
    <mergeCell ref="V55:Z55"/>
    <mergeCell ref="K63:P63"/>
    <mergeCell ref="AF65:AH65"/>
    <mergeCell ref="S18:V19"/>
    <mergeCell ref="O49:Z49"/>
    <mergeCell ref="N62:P62"/>
    <mergeCell ref="AE13:AH15"/>
    <mergeCell ref="AC3:AC4"/>
    <mergeCell ref="AF62:AH62"/>
    <mergeCell ref="W63:AB63"/>
    <mergeCell ref="C62:J62"/>
    <mergeCell ref="AE3:AE4"/>
    <mergeCell ref="AE17:AG17"/>
    <mergeCell ref="G16:J16"/>
    <mergeCell ref="K67:M67"/>
    <mergeCell ref="W66:Y66"/>
    <mergeCell ref="AC64:AH64"/>
    <mergeCell ref="G34:I34"/>
    <mergeCell ref="P44:T44"/>
    <mergeCell ref="AC73:AH73"/>
    <mergeCell ref="Z56:AH58"/>
    <mergeCell ref="E42:O44"/>
    <mergeCell ref="S34:U34"/>
    <mergeCell ref="K35:N36"/>
    <mergeCell ref="AC63:AH63"/>
    <mergeCell ref="T70:V70"/>
    <mergeCell ref="W35:Z36"/>
    <mergeCell ref="Q27:S27"/>
    <mergeCell ref="F12:J12"/>
    <mergeCell ref="AC60:AE60"/>
    <mergeCell ref="K61:M61"/>
    <mergeCell ref="H38:K38"/>
    <mergeCell ref="O17:Q17"/>
    <mergeCell ref="U3:X4"/>
    <mergeCell ref="F5:AH5"/>
    <mergeCell ref="N65:P65"/>
    <mergeCell ref="V51:Z51"/>
    <mergeCell ref="C64:J65"/>
    <mergeCell ref="T67:V67"/>
    <mergeCell ref="C71:J71"/>
    <mergeCell ref="C29:F29"/>
    <mergeCell ref="Z65:AB65"/>
    <mergeCell ref="AC61:AE61"/>
    <mergeCell ref="AF27:AH27"/>
    <mergeCell ref="O20:R20"/>
    <mergeCell ref="K28:AH28"/>
    <mergeCell ref="K69:P69"/>
    <mergeCell ref="G13:J15"/>
    <mergeCell ref="AD3:AD4"/>
    <mergeCell ref="AB3:AB4"/>
    <mergeCell ref="W68:AB68"/>
    <mergeCell ref="P51:Q54"/>
    <mergeCell ref="S37:V37"/>
    <mergeCell ref="N25:O26"/>
    <mergeCell ref="Q68:V68"/>
    <mergeCell ref="F8:I8"/>
    <mergeCell ref="Q62:S62"/>
    <mergeCell ref="R52:S54"/>
    <mergeCell ref="AF3:AF4"/>
    <mergeCell ref="N66:P66"/>
    <mergeCell ref="AH3:AH4"/>
    <mergeCell ref="AF66:AH66"/>
    <mergeCell ref="E39:G41"/>
    <mergeCell ref="C66:J66"/>
    <mergeCell ref="P42:T42"/>
    <mergeCell ref="Z66:AB66"/>
    <mergeCell ref="F9:H10"/>
    <mergeCell ref="E51:G51"/>
    <mergeCell ref="J8:N8"/>
    <mergeCell ref="K72:M72"/>
    <mergeCell ref="E49:N49"/>
    <mergeCell ref="S13:V15"/>
    <mergeCell ref="C68:J68"/>
    <mergeCell ref="AG1:AH1"/>
    <mergeCell ref="N61:P61"/>
    <mergeCell ref="Q69:V69"/>
    <mergeCell ref="E17:F17"/>
    <mergeCell ref="AC69:AH69"/>
    <mergeCell ref="V39:X41"/>
    <mergeCell ref="Q59:V59"/>
    <mergeCell ref="C8:E10"/>
    <mergeCell ref="M27:O27"/>
    <mergeCell ref="AF11:AH11"/>
    <mergeCell ref="AA48:AH48"/>
    <mergeCell ref="Q65:S65"/>
    <mergeCell ref="T61:V61"/>
    <mergeCell ref="E50:N50"/>
    <mergeCell ref="K13:R14"/>
    <mergeCell ref="C51:D58"/>
    <mergeCell ref="S16:V16"/>
    <mergeCell ref="K16:N16"/>
    <mergeCell ref="AC65:AE65"/>
    <mergeCell ref="F21:AH21"/>
    <mergeCell ref="AE16:AH16"/>
    <mergeCell ref="R38:U38"/>
    <mergeCell ref="T72:V72"/>
    <mergeCell ref="AE34:AG34"/>
    <mergeCell ref="K73:P73"/>
    <mergeCell ref="W17:Y17"/>
    <mergeCell ref="O33:R33"/>
    <mergeCell ref="P24:AH26"/>
    <mergeCell ref="E45:AH45"/>
    <mergeCell ref="Q11:S11"/>
    <mergeCell ref="AF72:AH72"/>
    <mergeCell ref="I9:M10"/>
    <mergeCell ref="W73:AB73"/>
    <mergeCell ref="U42:W44"/>
    <mergeCell ref="P55:Q58"/>
    <mergeCell ref="W67:Y67"/>
    <mergeCell ref="E48:N48"/>
    <mergeCell ref="AA3:AA4"/>
    <mergeCell ref="Q66:S66"/>
    <mergeCell ref="F28:J28"/>
    <mergeCell ref="F24:I24"/>
    <mergeCell ref="N70:P70"/>
    <mergeCell ref="AF71:AH71"/>
    <mergeCell ref="K20:N20"/>
    <mergeCell ref="C22:E23"/>
    <mergeCell ref="AA17:AC17"/>
    <mergeCell ref="AA46:AH46"/>
    <mergeCell ref="W20:Z20"/>
    <mergeCell ref="E52:G54"/>
    <mergeCell ref="H51:K51"/>
    <mergeCell ref="O34:Q34"/>
    <mergeCell ref="K68:P68"/>
    <mergeCell ref="E55:G55"/>
    <mergeCell ref="I11:K11"/>
    <mergeCell ref="P38:Q41"/>
    <mergeCell ref="C5:E5"/>
    <mergeCell ref="L39:O41"/>
    <mergeCell ref="A38:B73"/>
    <mergeCell ref="S35:V36"/>
    <mergeCell ref="A5:B20"/>
    <mergeCell ref="L51:O51"/>
    <mergeCell ref="E13:F16"/>
    <mergeCell ref="E38:G38"/>
    <mergeCell ref="O18:R19"/>
  </mergeCells>
  <dataValidations count="6">
    <dataValidation sqref="M11:O11 M27:O27 Q11:S11 Q27:S27 X11:Z11 X27:Z27 AB11:AD11 AB27:AD27 AF11:AH11 AF27:AH27" showDropDown="0" showInputMessage="1" showErrorMessage="1" allowBlank="1" error="全角数字で入力してください" imeMode="fullAlpha"/>
    <dataValidation sqref="G16 G33 K16 K20 K33 K37 O16 O20 O33 O37 S16 S20 S33 S37 W16 W20 W33 W37 AA16 AA33 AD20 AD37 AE16 AE33" showDropDown="0" showInputMessage="1" showErrorMessage="1" allowBlank="1" type="list">
      <formula1>"　,○"</formula1>
    </dataValidation>
    <dataValidation sqref="AI43:AJ43"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K61:AH63 K66:AH68 K71:AH73" showDropDown="0" showInputMessage="1" showErrorMessage="1" allowBlank="1" imeMode="halfAlpha"/>
    <dataValidation sqref="F5:AH5 F21:AH21 H38:O38 H51:O51 H55:O55" showDropDown="0" showInputMessage="1" showErrorMessage="1" allowBlank="1" imeMode="halfKatakana"/>
    <dataValidation sqref="I11:K11 I27:K27 J8:N8 J24:N24 V38:Z38 V51:Z51 V55:Z55 Y3:AH4" showDropDown="0" showInputMessage="1" showErrorMessage="1" allowBlank="1" imeMode="fullAlpha"/>
  </dataValidations>
  <printOptions horizontalCentered="1"/>
  <pageMargins left="0.7086614173228347" right="0.5905511811023623" top="0.35" bottom="0.31" header="0.63" footer="0.37"/>
  <pageSetup orientation="portrait" paperSize="9" scale="96"/>
  <legacyDrawing xmlns:r="http://schemas.openxmlformats.org/officeDocument/2006/relationships" r:id="anysvml"/>
</worksheet>
</file>

<file path=xl/worksheets/sheet17.xml><?xml version="1.0" encoding="utf-8"?>
<worksheet xmlns="http://schemas.openxmlformats.org/spreadsheetml/2006/main">
  <sheetPr codeName="Sheet16">
    <outlinePr summaryBelow="1" summaryRight="1"/>
    <pageSetUpPr/>
  </sheetPr>
  <dimension ref="A1:AN64"/>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20"/>
    <col width="2.875" customWidth="1" style="1667" min="21" max="21"/>
    <col width="2.625" customWidth="1" style="1667" min="22" max="27"/>
    <col width="2.75" customWidth="1" style="1667" min="28" max="28"/>
    <col width="2.625" customWidth="1" style="1667" min="29" max="33"/>
    <col width="4.25" customWidth="1" style="1667" min="34" max="34"/>
    <col width="2.375" customWidth="1" style="1667" min="35" max="35"/>
    <col width="9" customWidth="1" style="1667" min="36" max="16384"/>
  </cols>
  <sheetData>
    <row r="1" ht="18" customHeight="1" s="4080" thickBot="1">
      <c r="A1" s="1213" t="inlineStr">
        <is>
          <t>付表１１　多機能型による事業を実施する場合の記載事項（総括表）</t>
        </is>
      </c>
      <c r="Z1" s="2082" t="n"/>
      <c r="AA1" s="4087" t="n"/>
      <c r="AB1" s="1754" t="inlineStr">
        <is>
          <t>単位／</t>
        </is>
      </c>
      <c r="AC1" s="4087" t="n"/>
      <c r="AD1" s="4087" t="n"/>
      <c r="AE1" s="2082" t="n"/>
      <c r="AF1" s="4087" t="n"/>
      <c r="AG1" s="1755" t="inlineStr">
        <is>
          <t>単位</t>
        </is>
      </c>
      <c r="AH1" s="4087" t="n"/>
      <c r="AN1" s="719">
        <f>HYPERLINK("#目次!A1","目次へ戻る")</f>
        <v/>
      </c>
    </row>
    <row r="2" ht="15" customHeight="1" s="4080">
      <c r="B2" s="45" t="n"/>
      <c r="C2" s="45" t="n"/>
      <c r="D2" s="45" t="n"/>
      <c r="E2" s="1889" t="n"/>
      <c r="F2" s="1889" t="n"/>
      <c r="G2" s="1889" t="n"/>
      <c r="H2" s="2069" t="n"/>
      <c r="I2" s="1889" t="n"/>
      <c r="J2" s="1889" t="n"/>
      <c r="K2" s="1889" t="n"/>
      <c r="L2" s="1889" t="n"/>
      <c r="M2" s="1889" t="n"/>
      <c r="N2" s="2069" t="n"/>
      <c r="O2" s="1889" t="n"/>
      <c r="P2" s="1889" t="n"/>
      <c r="Q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2.75" customHeight="1" s="4080">
      <c r="A4" s="4514" t="inlineStr">
        <is>
          <t>主たる事業所</t>
        </is>
      </c>
      <c r="B4" s="4356" t="n"/>
      <c r="C4" s="4531" t="inlineStr">
        <is>
          <t>ﾌﾘｶﾞﾅ</t>
        </is>
      </c>
      <c r="D4" s="4532" t="n"/>
      <c r="E4" s="4533" t="n"/>
      <c r="F4" s="4534" t="n"/>
      <c r="G4" s="4532" t="n"/>
      <c r="H4" s="4532" t="n"/>
      <c r="I4" s="4532" t="n"/>
      <c r="J4" s="4532" t="n"/>
      <c r="K4" s="4532" t="n"/>
      <c r="L4" s="4532" t="n"/>
      <c r="M4" s="4532" t="n"/>
      <c r="N4" s="4532" t="n"/>
      <c r="O4" s="4532" t="n"/>
      <c r="P4" s="4532" t="n"/>
      <c r="Q4" s="4532" t="n"/>
      <c r="R4" s="4532" t="n"/>
      <c r="S4" s="4532" t="n"/>
      <c r="T4" s="4532" t="n"/>
      <c r="U4" s="4532" t="n"/>
      <c r="V4" s="4532" t="n"/>
      <c r="W4" s="4532" t="n"/>
      <c r="X4" s="4532" t="n"/>
      <c r="Y4" s="4532" t="n"/>
      <c r="Z4" s="4532" t="n"/>
      <c r="AA4" s="4532" t="n"/>
      <c r="AB4" s="4532" t="n"/>
      <c r="AC4" s="4532" t="n"/>
      <c r="AD4" s="4532" t="n"/>
      <c r="AE4" s="4532" t="n"/>
      <c r="AF4" s="4532" t="n"/>
      <c r="AG4" s="4532" t="n"/>
      <c r="AH4" s="4535" t="n"/>
    </row>
    <row r="5" ht="12.75" customHeight="1" s="4080">
      <c r="A5" s="4097" t="n"/>
      <c r="B5" s="4107" t="n"/>
      <c r="C5" s="4536" t="inlineStr">
        <is>
          <t>名　称</t>
        </is>
      </c>
      <c r="E5" s="4107" t="n"/>
      <c r="F5" s="4537" t="n"/>
      <c r="AH5" s="4109" t="n"/>
    </row>
    <row r="6" ht="12.75" customHeight="1" s="4080">
      <c r="A6" s="4097" t="n"/>
      <c r="B6" s="410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B7" s="4107" t="n"/>
      <c r="C7" s="4181" t="inlineStr">
        <is>
          <t>所在地</t>
        </is>
      </c>
      <c r="D7" s="4098" t="n"/>
      <c r="E7" s="4099" t="n"/>
      <c r="F7" s="1244" t="inlineStr">
        <is>
          <t>郵便番号（</t>
        </is>
      </c>
      <c r="G7" s="4098" t="n"/>
      <c r="H7" s="4098" t="n"/>
      <c r="I7" s="4098" t="n"/>
      <c r="J7" s="1287" t="n"/>
      <c r="K7" s="4098" t="n"/>
      <c r="L7" s="4098" t="n"/>
      <c r="M7" s="4098" t="n"/>
      <c r="N7" s="4098" t="n"/>
      <c r="O7" s="1329" t="inlineStr">
        <is>
          <t>）</t>
        </is>
      </c>
      <c r="P7" s="4311"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2" customHeight="1" s="4080">
      <c r="A8" s="4097" t="n"/>
      <c r="B8" s="4107" t="n"/>
      <c r="C8" s="4106" t="n"/>
      <c r="E8" s="4107" t="n"/>
      <c r="F8" s="1255" t="inlineStr">
        <is>
          <t>大阪市</t>
        </is>
      </c>
      <c r="I8" s="986" t="n"/>
      <c r="N8" s="1260" t="inlineStr">
        <is>
          <t>区</t>
        </is>
      </c>
      <c r="AH8" s="4109" t="n"/>
    </row>
    <row r="9" ht="3.95" customHeight="1" s="4080">
      <c r="A9" s="4097" t="n"/>
      <c r="B9" s="410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B10" s="4107" t="n"/>
      <c r="C10" s="4538" t="inlineStr">
        <is>
          <t>連絡先</t>
        </is>
      </c>
      <c r="D10" s="4098" t="n"/>
      <c r="E10" s="4099" t="n"/>
      <c r="F10" s="4354" t="inlineStr">
        <is>
          <t>電話番号</t>
        </is>
      </c>
      <c r="G10" s="4098" t="n"/>
      <c r="H10" s="4099" t="n"/>
      <c r="I10" s="2455" t="n"/>
      <c r="J10" s="4098" t="n"/>
      <c r="K10" s="4098" t="n"/>
      <c r="L10" s="336" t="inlineStr">
        <is>
          <t>－</t>
        </is>
      </c>
      <c r="M10" s="981" t="n"/>
      <c r="N10" s="4098" t="n"/>
      <c r="O10" s="4098" t="n"/>
      <c r="P10" s="336" t="inlineStr">
        <is>
          <t>－</t>
        </is>
      </c>
      <c r="Q10" s="934" t="n"/>
      <c r="R10" s="4098" t="n"/>
      <c r="S10" s="4099" t="n"/>
      <c r="T10" s="4539" t="inlineStr">
        <is>
          <t>ＦＡＸ番号</t>
        </is>
      </c>
      <c r="U10" s="4098" t="n"/>
      <c r="V10" s="4098" t="n"/>
      <c r="W10" s="4099" t="n"/>
      <c r="X10" s="2455" t="n"/>
      <c r="Y10" s="4098" t="n"/>
      <c r="Z10" s="4098" t="n"/>
      <c r="AA10" s="336" t="inlineStr">
        <is>
          <t>－</t>
        </is>
      </c>
      <c r="AB10" s="981" t="n"/>
      <c r="AC10" s="4098" t="n"/>
      <c r="AD10" s="4098" t="n"/>
      <c r="AE10" s="336" t="inlineStr">
        <is>
          <t>－</t>
        </is>
      </c>
      <c r="AF10" s="1419" t="n"/>
      <c r="AG10" s="4098" t="n"/>
      <c r="AH10" s="4101" t="n"/>
    </row>
    <row r="11" ht="15" customHeight="1" s="4080" thickBot="1">
      <c r="A11" s="4097" t="n"/>
      <c r="B11" s="4107" t="n"/>
      <c r="C11" s="4540" t="n"/>
      <c r="D11" s="4541" t="n"/>
      <c r="E11" s="4542" t="n"/>
      <c r="F11" s="4442" t="inlineStr">
        <is>
          <t>メールアドレス</t>
        </is>
      </c>
      <c r="G11" s="4443" t="n"/>
      <c r="H11" s="4443" t="n"/>
      <c r="I11" s="4443" t="n"/>
      <c r="J11" s="4444" t="n"/>
      <c r="K11" s="4543" t="n"/>
      <c r="L11" s="4443" t="n"/>
      <c r="M11" s="4443" t="n"/>
      <c r="N11" s="4443" t="n"/>
      <c r="O11" s="4443" t="n"/>
      <c r="P11" s="4443" t="n"/>
      <c r="Q11" s="4443" t="n"/>
      <c r="R11" s="4443" t="n"/>
      <c r="S11" s="4443" t="n"/>
      <c r="T11" s="4443" t="n"/>
      <c r="U11" s="4443" t="n"/>
      <c r="V11" s="4443" t="n"/>
      <c r="W11" s="4443" t="n"/>
      <c r="X11" s="4443" t="n"/>
      <c r="Y11" s="4443" t="n"/>
      <c r="Z11" s="4443" t="n"/>
      <c r="AA11" s="4443" t="n"/>
      <c r="AB11" s="4443" t="n"/>
      <c r="AC11" s="4443" t="n"/>
      <c r="AD11" s="4443" t="n"/>
      <c r="AE11" s="4443" t="n"/>
      <c r="AF11" s="4443" t="n"/>
      <c r="AG11" s="4443" t="n"/>
      <c r="AH11" s="4447" t="n"/>
    </row>
    <row r="12" ht="25.5" customFormat="1" customHeight="1" s="337" thickTop="1">
      <c r="A12" s="4097" t="n"/>
      <c r="B12" s="4107" t="n"/>
      <c r="C12" s="2480" t="inlineStr">
        <is>
          <t>事　　業　の　種　類</t>
        </is>
      </c>
      <c r="D12" s="4372" t="n"/>
      <c r="E12" s="4372" t="n"/>
      <c r="F12" s="4372" t="n"/>
      <c r="G12" s="4372" t="n"/>
      <c r="H12" s="4372" t="n"/>
      <c r="I12" s="4372" t="n"/>
      <c r="J12" s="4388" t="n"/>
      <c r="K12" s="2482" t="inlineStr">
        <is>
          <t>実施中の事業</t>
        </is>
      </c>
      <c r="L12" s="4103" t="n"/>
      <c r="M12" s="4544" t="inlineStr">
        <is>
          <t>定員</t>
        </is>
      </c>
      <c r="N12" s="4193" t="n"/>
      <c r="O12" s="4545" t="inlineStr">
        <is>
          <t>指定年月日</t>
        </is>
      </c>
      <c r="P12" s="4103" t="n"/>
      <c r="Q12" s="4103" t="n"/>
      <c r="R12" s="4103" t="n"/>
      <c r="S12" s="4103" t="n"/>
      <c r="T12" s="4103" t="n"/>
      <c r="U12" s="4103" t="n"/>
      <c r="V12" s="4104" t="n"/>
      <c r="W12" s="2482" t="inlineStr">
        <is>
          <t>追加・変更</t>
        </is>
      </c>
      <c r="X12" s="4103" t="n"/>
      <c r="Y12" s="4544" t="inlineStr">
        <is>
          <t>定員</t>
        </is>
      </c>
      <c r="Z12" s="4193" t="n"/>
      <c r="AA12" s="4546" t="inlineStr">
        <is>
          <t>追加・変更予定年月日</t>
        </is>
      </c>
      <c r="AB12" s="4103" t="n"/>
      <c r="AC12" s="4103" t="n"/>
      <c r="AD12" s="4103" t="n"/>
      <c r="AE12" s="4103" t="n"/>
      <c r="AF12" s="4103" t="n"/>
      <c r="AG12" s="4103" t="n"/>
      <c r="AH12" s="4105" t="n"/>
    </row>
    <row r="13" ht="15.75" customFormat="1" customHeight="1" s="337">
      <c r="A13" s="4097" t="n"/>
      <c r="B13" s="4107" t="n"/>
      <c r="C13" s="2470" t="inlineStr">
        <is>
          <t>生活介護</t>
        </is>
      </c>
      <c r="D13" s="4110" t="n"/>
      <c r="E13" s="4110" t="n"/>
      <c r="F13" s="4110" t="n"/>
      <c r="G13" s="4110" t="n"/>
      <c r="H13" s="4110" t="n"/>
      <c r="I13" s="4110" t="n"/>
      <c r="J13" s="4111" t="n"/>
      <c r="K13" s="997" t="inlineStr">
        <is>
          <t xml:space="preserve">　</t>
        </is>
      </c>
      <c r="L13" s="4110" t="n"/>
      <c r="M13" s="4547" t="n"/>
      <c r="N13" s="4189" t="n"/>
      <c r="O13" s="2473" t="n"/>
      <c r="P13" s="4548" t="n"/>
      <c r="Q13" s="4548" t="n"/>
      <c r="R13" s="338" t="inlineStr">
        <is>
          <t>年</t>
        </is>
      </c>
      <c r="S13" s="339" t="n"/>
      <c r="T13" s="338" t="inlineStr">
        <is>
          <t>月</t>
        </is>
      </c>
      <c r="U13" s="339" t="n"/>
      <c r="V13" s="340" t="inlineStr">
        <is>
          <t>日</t>
        </is>
      </c>
      <c r="W13" s="997" t="inlineStr">
        <is>
          <t xml:space="preserve">　</t>
        </is>
      </c>
      <c r="X13" s="4110" t="n"/>
      <c r="Y13" s="4547" t="n"/>
      <c r="Z13" s="4189" t="n"/>
      <c r="AA13" s="2478" t="n"/>
      <c r="AB13" s="4110" t="n"/>
      <c r="AC13" s="4110" t="n"/>
      <c r="AD13" s="338" t="inlineStr">
        <is>
          <t>年</t>
        </is>
      </c>
      <c r="AE13" s="339" t="n"/>
      <c r="AF13" s="338" t="inlineStr">
        <is>
          <t>月</t>
        </is>
      </c>
      <c r="AG13" s="339" t="n"/>
      <c r="AH13" s="341" t="inlineStr">
        <is>
          <t>日</t>
        </is>
      </c>
    </row>
    <row r="14" ht="15.75" customFormat="1" customHeight="1" s="337">
      <c r="A14" s="4097" t="n"/>
      <c r="B14" s="4107" t="n"/>
      <c r="C14" s="2469" t="inlineStr">
        <is>
          <t>自立訓練</t>
        </is>
      </c>
      <c r="D14" s="4098" t="n"/>
      <c r="E14" s="4099" t="n"/>
      <c r="F14" s="2470" t="inlineStr">
        <is>
          <t>機能訓練</t>
        </is>
      </c>
      <c r="G14" s="4110" t="n"/>
      <c r="H14" s="4110" t="n"/>
      <c r="I14" s="4110" t="n"/>
      <c r="J14" s="4111" t="n"/>
      <c r="K14" s="997" t="inlineStr">
        <is>
          <t xml:space="preserve">　</t>
        </is>
      </c>
      <c r="L14" s="4110" t="n"/>
      <c r="M14" s="4547" t="n"/>
      <c r="N14" s="4189" t="n"/>
      <c r="O14" s="2473" t="n"/>
      <c r="P14" s="4548" t="n"/>
      <c r="Q14" s="4548" t="n"/>
      <c r="R14" s="338" t="inlineStr">
        <is>
          <t>年</t>
        </is>
      </c>
      <c r="S14" s="339" t="n"/>
      <c r="T14" s="338" t="inlineStr">
        <is>
          <t>月</t>
        </is>
      </c>
      <c r="U14" s="339" t="n"/>
      <c r="V14" s="340" t="inlineStr">
        <is>
          <t>日</t>
        </is>
      </c>
      <c r="W14" s="997" t="inlineStr">
        <is>
          <t xml:space="preserve">　</t>
        </is>
      </c>
      <c r="X14" s="4110" t="n"/>
      <c r="Y14" s="4547" t="n"/>
      <c r="Z14" s="4189" t="n"/>
      <c r="AA14" s="2478" t="n"/>
      <c r="AB14" s="4110" t="n"/>
      <c r="AC14" s="4110" t="n"/>
      <c r="AD14" s="338" t="inlineStr">
        <is>
          <t>年</t>
        </is>
      </c>
      <c r="AE14" s="339" t="n"/>
      <c r="AF14" s="338" t="inlineStr">
        <is>
          <t>月</t>
        </is>
      </c>
      <c r="AG14" s="339" t="n"/>
      <c r="AH14" s="341" t="inlineStr">
        <is>
          <t>日</t>
        </is>
      </c>
    </row>
    <row r="15" ht="15.75" customFormat="1" customHeight="1" s="337">
      <c r="A15" s="4097" t="n"/>
      <c r="B15" s="4107" t="n"/>
      <c r="C15" s="4102" t="n"/>
      <c r="D15" s="4103" t="n"/>
      <c r="E15" s="4104" t="n"/>
      <c r="F15" s="2470" t="inlineStr">
        <is>
          <t>生活訓練</t>
        </is>
      </c>
      <c r="G15" s="4110" t="n"/>
      <c r="H15" s="4110" t="n"/>
      <c r="I15" s="4110" t="n"/>
      <c r="J15" s="4111" t="n"/>
      <c r="K15" s="997" t="inlineStr">
        <is>
          <t xml:space="preserve">　</t>
        </is>
      </c>
      <c r="L15" s="4110" t="n"/>
      <c r="M15" s="4547" t="n"/>
      <c r="N15" s="4189" t="n"/>
      <c r="O15" s="2473" t="n"/>
      <c r="P15" s="4548" t="n"/>
      <c r="Q15" s="4548" t="n"/>
      <c r="R15" s="338" t="inlineStr">
        <is>
          <t>年</t>
        </is>
      </c>
      <c r="S15" s="339" t="n"/>
      <c r="T15" s="338" t="inlineStr">
        <is>
          <t>月</t>
        </is>
      </c>
      <c r="U15" s="339" t="n"/>
      <c r="V15" s="340" t="inlineStr">
        <is>
          <t>日</t>
        </is>
      </c>
      <c r="W15" s="997" t="inlineStr">
        <is>
          <t xml:space="preserve">　</t>
        </is>
      </c>
      <c r="X15" s="4110" t="n"/>
      <c r="Y15" s="4547" t="n"/>
      <c r="Z15" s="4189" t="n"/>
      <c r="AA15" s="2478" t="n"/>
      <c r="AB15" s="4110" t="n"/>
      <c r="AC15" s="4110" t="n"/>
      <c r="AD15" s="338" t="inlineStr">
        <is>
          <t>年</t>
        </is>
      </c>
      <c r="AE15" s="339" t="n"/>
      <c r="AF15" s="338" t="inlineStr">
        <is>
          <t>月</t>
        </is>
      </c>
      <c r="AG15" s="339" t="n"/>
      <c r="AH15" s="341" t="inlineStr">
        <is>
          <t>日</t>
        </is>
      </c>
    </row>
    <row r="16" ht="15.75" customFormat="1" customHeight="1" s="337">
      <c r="A16" s="4097" t="n"/>
      <c r="B16" s="4107" t="n"/>
      <c r="C16" s="2470" t="inlineStr">
        <is>
          <t>就労移行支援</t>
        </is>
      </c>
      <c r="D16" s="4110" t="n"/>
      <c r="E16" s="4110" t="n"/>
      <c r="F16" s="4110" t="n"/>
      <c r="G16" s="4110" t="n"/>
      <c r="H16" s="4110" t="n"/>
      <c r="I16" s="4110" t="n"/>
      <c r="J16" s="4111" t="n"/>
      <c r="K16" s="997" t="inlineStr">
        <is>
          <t xml:space="preserve">　</t>
        </is>
      </c>
      <c r="L16" s="4110" t="n"/>
      <c r="M16" s="4547" t="n"/>
      <c r="N16" s="4189" t="n"/>
      <c r="O16" s="2473" t="n"/>
      <c r="P16" s="4548" t="n"/>
      <c r="Q16" s="4548" t="n"/>
      <c r="R16" s="338" t="inlineStr">
        <is>
          <t>年</t>
        </is>
      </c>
      <c r="S16" s="339" t="n"/>
      <c r="T16" s="338" t="inlineStr">
        <is>
          <t>月</t>
        </is>
      </c>
      <c r="U16" s="339" t="n"/>
      <c r="V16" s="340" t="inlineStr">
        <is>
          <t>日</t>
        </is>
      </c>
      <c r="W16" s="997" t="inlineStr">
        <is>
          <t xml:space="preserve">　</t>
        </is>
      </c>
      <c r="X16" s="4110" t="n"/>
      <c r="Y16" s="4547" t="n"/>
      <c r="Z16" s="4189" t="n"/>
      <c r="AA16" s="2478" t="n"/>
      <c r="AB16" s="4110" t="n"/>
      <c r="AC16" s="4110" t="n"/>
      <c r="AD16" s="338" t="inlineStr">
        <is>
          <t>年</t>
        </is>
      </c>
      <c r="AE16" s="339" t="n"/>
      <c r="AF16" s="338" t="inlineStr">
        <is>
          <t>月</t>
        </is>
      </c>
      <c r="AG16" s="339" t="n"/>
      <c r="AH16" s="341" t="inlineStr">
        <is>
          <t>日</t>
        </is>
      </c>
    </row>
    <row r="17" ht="15.75" customFormat="1" customHeight="1" s="337">
      <c r="A17" s="4097" t="n"/>
      <c r="B17" s="4107" t="n"/>
      <c r="C17" s="2490" t="inlineStr">
        <is>
          <t>就労継続支援</t>
        </is>
      </c>
      <c r="D17" s="4098" t="n"/>
      <c r="E17" s="4099" t="n"/>
      <c r="F17" s="2492" t="inlineStr">
        <is>
          <t>Ａ型（雇 用 型）</t>
        </is>
      </c>
      <c r="G17" s="4098" t="n"/>
      <c r="H17" s="4098" t="n"/>
      <c r="I17" s="4098" t="n"/>
      <c r="J17" s="4099" t="n"/>
      <c r="K17" s="997" t="inlineStr">
        <is>
          <t xml:space="preserve">　</t>
        </is>
      </c>
      <c r="L17" s="4110" t="n"/>
      <c r="M17" s="4547" t="n"/>
      <c r="N17" s="4189" t="n"/>
      <c r="O17" s="2473" t="n"/>
      <c r="P17" s="4548" t="n"/>
      <c r="Q17" s="4548" t="n"/>
      <c r="R17" s="338" t="inlineStr">
        <is>
          <t>年</t>
        </is>
      </c>
      <c r="S17" s="339" t="n"/>
      <c r="T17" s="338" t="inlineStr">
        <is>
          <t>月</t>
        </is>
      </c>
      <c r="U17" s="339" t="n"/>
      <c r="V17" s="340" t="inlineStr">
        <is>
          <t>日</t>
        </is>
      </c>
      <c r="W17" s="997" t="inlineStr">
        <is>
          <t xml:space="preserve">　</t>
        </is>
      </c>
      <c r="X17" s="4110" t="n"/>
      <c r="Y17" s="4547" t="n"/>
      <c r="Z17" s="4189" t="n"/>
      <c r="AA17" s="2478" t="n"/>
      <c r="AB17" s="4110" t="n"/>
      <c r="AC17" s="4110" t="n"/>
      <c r="AD17" s="338" t="inlineStr">
        <is>
          <t>年</t>
        </is>
      </c>
      <c r="AE17" s="339" t="n"/>
      <c r="AF17" s="338" t="inlineStr">
        <is>
          <t>月</t>
        </is>
      </c>
      <c r="AG17" s="339" t="n"/>
      <c r="AH17" s="341" t="inlineStr">
        <is>
          <t>日</t>
        </is>
      </c>
    </row>
    <row r="18" ht="15.75" customFormat="1" customHeight="1" s="337">
      <c r="A18" s="4097" t="n"/>
      <c r="B18" s="4107" t="n"/>
      <c r="C18" s="4102" t="n"/>
      <c r="D18" s="4103" t="n"/>
      <c r="E18" s="4104" t="n"/>
      <c r="F18" s="2493" t="inlineStr">
        <is>
          <t>Ｂ型（非雇用型）</t>
        </is>
      </c>
      <c r="G18" s="4110" t="n"/>
      <c r="H18" s="4110" t="n"/>
      <c r="I18" s="4110" t="n"/>
      <c r="J18" s="4111" t="n"/>
      <c r="K18" s="997" t="inlineStr">
        <is>
          <t xml:space="preserve">　</t>
        </is>
      </c>
      <c r="L18" s="4110" t="n"/>
      <c r="M18" s="4547" t="n"/>
      <c r="N18" s="4189" t="n"/>
      <c r="O18" s="2473" t="n"/>
      <c r="P18" s="4548" t="n"/>
      <c r="Q18" s="4548" t="n"/>
      <c r="R18" s="338" t="inlineStr">
        <is>
          <t>年</t>
        </is>
      </c>
      <c r="S18" s="339" t="n"/>
      <c r="T18" s="338" t="inlineStr">
        <is>
          <t>月</t>
        </is>
      </c>
      <c r="U18" s="339" t="n"/>
      <c r="V18" s="340" t="inlineStr">
        <is>
          <t>日</t>
        </is>
      </c>
      <c r="W18" s="997" t="inlineStr">
        <is>
          <t xml:space="preserve">　</t>
        </is>
      </c>
      <c r="X18" s="4110" t="n"/>
      <c r="Y18" s="4547" t="n"/>
      <c r="Z18" s="4189" t="n"/>
      <c r="AA18" s="2478" t="n"/>
      <c r="AB18" s="4110" t="n"/>
      <c r="AC18" s="4110" t="n"/>
      <c r="AD18" s="338" t="inlineStr">
        <is>
          <t>年</t>
        </is>
      </c>
      <c r="AE18" s="339" t="n"/>
      <c r="AF18" s="338" t="inlineStr">
        <is>
          <t>月</t>
        </is>
      </c>
      <c r="AG18" s="339" t="n"/>
      <c r="AH18" s="341" t="inlineStr">
        <is>
          <t>日</t>
        </is>
      </c>
    </row>
    <row r="19" ht="15.75" customFormat="1" customHeight="1" s="337">
      <c r="A19" s="4097" t="n"/>
      <c r="B19" s="4107" t="n"/>
      <c r="C19" s="2470" t="inlineStr">
        <is>
          <t>放課後等デイサービス</t>
        </is>
      </c>
      <c r="D19" s="4110" t="n"/>
      <c r="E19" s="4110" t="n"/>
      <c r="F19" s="4110" t="n"/>
      <c r="G19" s="4110" t="n"/>
      <c r="H19" s="4110" t="n"/>
      <c r="I19" s="4110" t="n"/>
      <c r="J19" s="4111" t="n"/>
      <c r="K19" s="997" t="inlineStr">
        <is>
          <t xml:space="preserve">　</t>
        </is>
      </c>
      <c r="L19" s="4110" t="n"/>
      <c r="M19" s="4547" t="n"/>
      <c r="N19" s="4189" t="n"/>
      <c r="O19" s="2473" t="n"/>
      <c r="P19" s="4548" t="n"/>
      <c r="Q19" s="4548" t="n"/>
      <c r="R19" s="338" t="inlineStr">
        <is>
          <t>年</t>
        </is>
      </c>
      <c r="S19" s="339" t="n"/>
      <c r="T19" s="338" t="inlineStr">
        <is>
          <t>月</t>
        </is>
      </c>
      <c r="U19" s="339" t="n"/>
      <c r="V19" s="340" t="inlineStr">
        <is>
          <t>日</t>
        </is>
      </c>
      <c r="W19" s="997" t="inlineStr">
        <is>
          <t xml:space="preserve">　</t>
        </is>
      </c>
      <c r="X19" s="4110" t="n"/>
      <c r="Y19" s="4547" t="n"/>
      <c r="Z19" s="4189" t="n"/>
      <c r="AA19" s="2478" t="n"/>
      <c r="AB19" s="4110" t="n"/>
      <c r="AC19" s="4110" t="n"/>
      <c r="AD19" s="338" t="inlineStr">
        <is>
          <t>年</t>
        </is>
      </c>
      <c r="AE19" s="339" t="n"/>
      <c r="AF19" s="338" t="inlineStr">
        <is>
          <t>月</t>
        </is>
      </c>
      <c r="AG19" s="339" t="n"/>
      <c r="AH19" s="341" t="inlineStr">
        <is>
          <t>日</t>
        </is>
      </c>
    </row>
    <row r="20" ht="15.75" customHeight="1" s="4080">
      <c r="A20" s="4097" t="n"/>
      <c r="B20" s="4107" t="n"/>
      <c r="C20" s="4549" t="inlineStr">
        <is>
          <t>児童発達支援</t>
        </is>
      </c>
      <c r="D20" s="4098" t="n"/>
      <c r="E20" s="4098" t="n"/>
      <c r="F20" s="4098" t="n"/>
      <c r="G20" s="4098" t="n"/>
      <c r="H20" s="4098" t="n"/>
      <c r="I20" s="4098" t="n"/>
      <c r="J20" s="4099" t="n"/>
      <c r="K20" s="2497" t="inlineStr">
        <is>
          <t xml:space="preserve">　</t>
        </is>
      </c>
      <c r="L20" s="4098" t="n"/>
      <c r="M20" s="4550" t="n"/>
      <c r="N20" s="4190" t="n"/>
      <c r="O20" s="2473" t="n"/>
      <c r="P20" s="4548" t="n"/>
      <c r="Q20" s="4548" t="n"/>
      <c r="R20" s="342" t="inlineStr">
        <is>
          <t>年</t>
        </is>
      </c>
      <c r="S20" s="343" t="n"/>
      <c r="T20" s="342" t="inlineStr">
        <is>
          <t>月</t>
        </is>
      </c>
      <c r="U20" s="343" t="n"/>
      <c r="V20" s="344" t="inlineStr">
        <is>
          <t>日</t>
        </is>
      </c>
      <c r="W20" s="2497" t="inlineStr">
        <is>
          <t xml:space="preserve">　</t>
        </is>
      </c>
      <c r="X20" s="4098" t="n"/>
      <c r="Y20" s="4550" t="n"/>
      <c r="Z20" s="4190" t="n"/>
      <c r="AA20" s="2500" t="n"/>
      <c r="AB20" s="4098" t="n"/>
      <c r="AC20" s="4098" t="n"/>
      <c r="AD20" s="342" t="inlineStr">
        <is>
          <t>年</t>
        </is>
      </c>
      <c r="AE20" s="343" t="n"/>
      <c r="AF20" s="342" t="inlineStr">
        <is>
          <t>月</t>
        </is>
      </c>
      <c r="AG20" s="343" t="n"/>
      <c r="AH20" s="345" t="inlineStr">
        <is>
          <t>日</t>
        </is>
      </c>
    </row>
    <row r="21" ht="15.75" customHeight="1" s="4080" thickBot="1">
      <c r="A21" s="4086" t="n"/>
      <c r="B21" s="4410" t="n"/>
      <c r="C21" s="4551" t="inlineStr">
        <is>
          <t>保育所等訪問支援</t>
        </is>
      </c>
      <c r="D21" s="4153" t="n"/>
      <c r="E21" s="4153" t="n"/>
      <c r="F21" s="4153" t="n"/>
      <c r="G21" s="4153" t="n"/>
      <c r="H21" s="4153" t="n"/>
      <c r="I21" s="4153" t="n"/>
      <c r="J21" s="4154" t="n"/>
      <c r="K21" s="2517" t="inlineStr">
        <is>
          <t xml:space="preserve">　</t>
        </is>
      </c>
      <c r="L21" s="4153" t="n"/>
      <c r="M21" s="4552" t="n"/>
      <c r="N21" s="4553" t="n"/>
      <c r="O21" s="2473" t="n"/>
      <c r="P21" s="4548" t="n"/>
      <c r="Q21" s="4548" t="n"/>
      <c r="R21" s="346" t="inlineStr">
        <is>
          <t>年</t>
        </is>
      </c>
      <c r="S21" s="347" t="inlineStr">
        <is>
          <t xml:space="preserve">　</t>
        </is>
      </c>
      <c r="T21" s="346" t="inlineStr">
        <is>
          <t>月</t>
        </is>
      </c>
      <c r="U21" s="347" t="n"/>
      <c r="V21" s="348" t="inlineStr">
        <is>
          <t>日</t>
        </is>
      </c>
      <c r="W21" s="2517" t="inlineStr">
        <is>
          <t xml:space="preserve">　</t>
        </is>
      </c>
      <c r="X21" s="4153" t="n"/>
      <c r="Y21" s="4552" t="n"/>
      <c r="Z21" s="4553" t="n"/>
      <c r="AA21" s="2501" t="n"/>
      <c r="AB21" s="4153" t="n"/>
      <c r="AC21" s="4153" t="n"/>
      <c r="AD21" s="346" t="inlineStr">
        <is>
          <t>年</t>
        </is>
      </c>
      <c r="AE21" s="347" t="n"/>
      <c r="AF21" s="346" t="inlineStr">
        <is>
          <t>月</t>
        </is>
      </c>
      <c r="AG21" s="347" t="n"/>
      <c r="AH21" s="349" t="inlineStr">
        <is>
          <t>日</t>
        </is>
      </c>
    </row>
    <row r="22" ht="9" customHeight="1" s="4080" thickBot="1">
      <c r="A22" s="350" t="n"/>
      <c r="B22" s="350" t="n"/>
      <c r="C22" s="351" t="n"/>
      <c r="D22" s="351" t="n"/>
      <c r="E22" s="351" t="n"/>
      <c r="F22" s="351" t="n"/>
      <c r="G22" s="351" t="n"/>
      <c r="H22" s="351" t="n"/>
      <c r="I22" s="351" t="n"/>
      <c r="J22" s="351" t="n"/>
      <c r="K22" s="352" t="n"/>
      <c r="L22" s="352" t="n"/>
      <c r="M22" s="352" t="n"/>
      <c r="N22" s="352" t="n"/>
      <c r="O22" s="353" t="n"/>
      <c r="P22" s="353" t="n"/>
      <c r="Q22" s="353" t="n"/>
      <c r="R22" s="354" t="n"/>
      <c r="S22" s="355" t="n"/>
      <c r="T22" s="354" t="n"/>
      <c r="U22" s="355" t="n"/>
      <c r="V22" s="354" t="n"/>
      <c r="W22" s="352" t="n"/>
      <c r="X22" s="352" t="n"/>
      <c r="Y22" s="352" t="n"/>
      <c r="Z22" s="352" t="n"/>
      <c r="AA22" s="353" t="n"/>
      <c r="AB22" s="353" t="n"/>
      <c r="AC22" s="353" t="n"/>
      <c r="AD22" s="354" t="n"/>
      <c r="AE22" s="355" t="n"/>
      <c r="AF22" s="354" t="n"/>
      <c r="AG22" s="355" t="n"/>
      <c r="AH22" s="354" t="n"/>
    </row>
    <row r="23" ht="12" customHeight="1" s="4080">
      <c r="A23" s="4554" t="inlineStr">
        <is>
          <t>従　　　　た　　　　る　　　　事　　　　業　　　　所</t>
        </is>
      </c>
      <c r="B23" s="2506" t="inlineStr">
        <is>
          <t>１</t>
        </is>
      </c>
      <c r="C23" s="4180" t="inlineStr">
        <is>
          <t>ﾌﾘｶﾞﾅ</t>
        </is>
      </c>
      <c r="D23" s="4093" t="n"/>
      <c r="E23" s="4094" t="n"/>
      <c r="F23" s="4555" t="n"/>
      <c r="G23" s="4532" t="n"/>
      <c r="H23" s="4532" t="n"/>
      <c r="I23" s="4532" t="n"/>
      <c r="J23" s="4532" t="n"/>
      <c r="K23" s="4532" t="n"/>
      <c r="L23" s="4532" t="n"/>
      <c r="M23" s="4532" t="n"/>
      <c r="N23" s="4532" t="n"/>
      <c r="O23" s="4532" t="n"/>
      <c r="P23" s="4532" t="n"/>
      <c r="Q23" s="4532" t="n"/>
      <c r="R23" s="4532" t="n"/>
      <c r="S23" s="4532" t="n"/>
      <c r="T23" s="4532" t="n"/>
      <c r="U23" s="4532" t="n"/>
      <c r="V23" s="4532" t="n"/>
      <c r="W23" s="4532" t="n"/>
      <c r="X23" s="4532" t="n"/>
      <c r="Y23" s="4532" t="n"/>
      <c r="Z23" s="4532" t="n"/>
      <c r="AA23" s="4532" t="n"/>
      <c r="AB23" s="4532" t="n"/>
      <c r="AC23" s="4532" t="n"/>
      <c r="AD23" s="4532" t="n"/>
      <c r="AE23" s="4532" t="n"/>
      <c r="AF23" s="4532" t="n"/>
      <c r="AG23" s="4532" t="n"/>
      <c r="AH23" s="4535" t="n"/>
    </row>
    <row r="24" ht="29.25" customHeight="1" s="4080">
      <c r="A24" s="4556" t="n"/>
      <c r="B24" s="4208" t="n"/>
      <c r="C24" s="4268" t="inlineStr">
        <is>
          <t>名　称</t>
        </is>
      </c>
      <c r="D24" s="4098" t="n"/>
      <c r="E24" s="4099" t="n"/>
      <c r="F24" s="4557" t="n"/>
      <c r="AH24" s="4109" t="n"/>
    </row>
    <row r="25" ht="13.5" customHeight="1" s="4080">
      <c r="A25" s="4556" t="n"/>
      <c r="B25" s="4208" t="n"/>
      <c r="C25" s="4181" t="inlineStr">
        <is>
          <t>所在地</t>
        </is>
      </c>
      <c r="D25" s="4098" t="n"/>
      <c r="E25" s="4099" t="n"/>
      <c r="F25" s="1244" t="inlineStr">
        <is>
          <t>郵便番号（</t>
        </is>
      </c>
      <c r="G25" s="4098" t="n"/>
      <c r="H25" s="4098" t="n"/>
      <c r="I25" s="4098" t="n"/>
      <c r="J25" s="1287" t="n"/>
      <c r="K25" s="4098" t="n"/>
      <c r="L25" s="4098" t="n"/>
      <c r="M25" s="4098" t="n"/>
      <c r="N25" s="4098" t="n"/>
      <c r="O25" s="1329" t="inlineStr">
        <is>
          <t>）</t>
        </is>
      </c>
      <c r="P25" s="4311" t="n"/>
      <c r="Q25" s="4098" t="n"/>
      <c r="R25" s="4098" t="n"/>
      <c r="S25" s="4098" t="n"/>
      <c r="T25" s="4098" t="n"/>
      <c r="U25" s="4098" t="n"/>
      <c r="V25" s="4098" t="n"/>
      <c r="W25" s="4098" t="n"/>
      <c r="X25" s="4098" t="n"/>
      <c r="Y25" s="4098" t="n"/>
      <c r="Z25" s="4098" t="n"/>
      <c r="AA25" s="4098" t="n"/>
      <c r="AB25" s="4098" t="n"/>
      <c r="AC25" s="4098" t="n"/>
      <c r="AD25" s="4098" t="n"/>
      <c r="AE25" s="4098" t="n"/>
      <c r="AF25" s="4098" t="n"/>
      <c r="AG25" s="4098" t="n"/>
      <c r="AH25" s="4101" t="n"/>
    </row>
    <row r="26" ht="10.5" customHeight="1" s="4080">
      <c r="A26" s="4556" t="n"/>
      <c r="B26" s="4208" t="n"/>
      <c r="C26" s="4106" t="n"/>
      <c r="E26" s="4107" t="n"/>
      <c r="F26" s="1255" t="inlineStr">
        <is>
          <t>大阪市</t>
        </is>
      </c>
      <c r="I26" s="986" t="n"/>
      <c r="N26" s="1260" t="inlineStr">
        <is>
          <t>区</t>
        </is>
      </c>
      <c r="AH26" s="4109" t="n"/>
    </row>
    <row r="27" ht="10.5" customHeight="1" s="4080">
      <c r="A27" s="4556" t="n"/>
      <c r="B27" s="4208" t="n"/>
      <c r="C27" s="4102" t="n"/>
      <c r="D27" s="4103" t="n"/>
      <c r="E27" s="4104" t="n"/>
      <c r="F27" s="4102" t="n"/>
      <c r="G27" s="4103" t="n"/>
      <c r="H27" s="4103" t="n"/>
      <c r="I27" s="4103" t="n"/>
      <c r="J27" s="4103" t="n"/>
      <c r="K27" s="4103" t="n"/>
      <c r="L27" s="4103" t="n"/>
      <c r="M27" s="4103" t="n"/>
      <c r="N27" s="4103" t="n"/>
      <c r="O27" s="4103" t="n"/>
      <c r="P27" s="4103" t="n"/>
      <c r="Q27" s="4103" t="n"/>
      <c r="R27" s="4103" t="n"/>
      <c r="S27" s="4103" t="n"/>
      <c r="T27" s="4103" t="n"/>
      <c r="U27" s="4103" t="n"/>
      <c r="V27" s="4103" t="n"/>
      <c r="W27" s="4103" t="n"/>
      <c r="X27" s="4103" t="n"/>
      <c r="Y27" s="4103" t="n"/>
      <c r="Z27" s="4103" t="n"/>
      <c r="AA27" s="4103" t="n"/>
      <c r="AB27" s="4103" t="n"/>
      <c r="AC27" s="4103" t="n"/>
      <c r="AD27" s="4103" t="n"/>
      <c r="AE27" s="4103" t="n"/>
      <c r="AF27" s="4103" t="n"/>
      <c r="AG27" s="4103" t="n"/>
      <c r="AH27" s="4105" t="n"/>
    </row>
    <row r="28" ht="14.25" customHeight="1" s="4080">
      <c r="A28" s="4556" t="n"/>
      <c r="B28" s="4208" t="n"/>
      <c r="C28" s="4558" t="inlineStr">
        <is>
          <t>連絡先</t>
        </is>
      </c>
      <c r="D28" s="4098" t="n"/>
      <c r="E28" s="4098" t="n"/>
      <c r="F28" s="4354" t="inlineStr">
        <is>
          <t>電話番号</t>
        </is>
      </c>
      <c r="G28" s="4098" t="n"/>
      <c r="H28" s="4099" t="n"/>
      <c r="I28" s="2521" t="n"/>
      <c r="J28" s="4098" t="n"/>
      <c r="K28" s="4098" t="n"/>
      <c r="L28" s="336" t="inlineStr">
        <is>
          <t>－</t>
        </is>
      </c>
      <c r="M28" s="1153" t="n"/>
      <c r="N28" s="4098" t="n"/>
      <c r="O28" s="4098" t="n"/>
      <c r="P28" s="336" t="inlineStr">
        <is>
          <t>－</t>
        </is>
      </c>
      <c r="Q28" s="1717" t="n"/>
      <c r="R28" s="4098" t="n"/>
      <c r="S28" s="4099" t="n"/>
      <c r="T28" s="4539" t="inlineStr">
        <is>
          <t>ＦＡＸ番号</t>
        </is>
      </c>
      <c r="U28" s="4098" t="n"/>
      <c r="V28" s="4098" t="n"/>
      <c r="W28" s="4099" t="n"/>
      <c r="X28" s="2521" t="n"/>
      <c r="Y28" s="4098" t="n"/>
      <c r="Z28" s="4098" t="n"/>
      <c r="AA28" s="336" t="inlineStr">
        <is>
          <t>－</t>
        </is>
      </c>
      <c r="AB28" s="1153" t="n"/>
      <c r="AC28" s="4098" t="n"/>
      <c r="AD28" s="4098" t="n"/>
      <c r="AE28" s="336" t="inlineStr">
        <is>
          <t>－</t>
        </is>
      </c>
      <c r="AF28" s="1572" t="n"/>
      <c r="AG28" s="4098" t="n"/>
      <c r="AH28" s="4101" t="n"/>
    </row>
    <row r="29" ht="14.25" customHeight="1" s="4080" thickBot="1">
      <c r="A29" s="4556" t="n"/>
      <c r="B29" s="4208" t="n"/>
      <c r="C29" s="4540" t="n"/>
      <c r="D29" s="4541" t="n"/>
      <c r="E29" s="4541" t="n"/>
      <c r="F29" s="4442" t="inlineStr">
        <is>
          <t>メールアドレス</t>
        </is>
      </c>
      <c r="G29" s="4443" t="n"/>
      <c r="H29" s="4443" t="n"/>
      <c r="I29" s="4443" t="n"/>
      <c r="J29" s="4444" t="n"/>
      <c r="K29" s="4543" t="n"/>
      <c r="L29" s="4443" t="n"/>
      <c r="M29" s="4443" t="n"/>
      <c r="N29" s="4443" t="n"/>
      <c r="O29" s="4443" t="n"/>
      <c r="P29" s="4443" t="n"/>
      <c r="Q29" s="4443" t="n"/>
      <c r="R29" s="4443" t="n"/>
      <c r="S29" s="4443" t="n"/>
      <c r="T29" s="4443" t="n"/>
      <c r="U29" s="4443" t="n"/>
      <c r="V29" s="4443" t="n"/>
      <c r="W29" s="4443" t="n"/>
      <c r="X29" s="4443" t="n"/>
      <c r="Y29" s="4443" t="n"/>
      <c r="Z29" s="4443" t="n"/>
      <c r="AA29" s="4443" t="n"/>
      <c r="AB29" s="4443" t="n"/>
      <c r="AC29" s="4443" t="n"/>
      <c r="AD29" s="4443" t="n"/>
      <c r="AE29" s="4443" t="n"/>
      <c r="AF29" s="4443" t="n"/>
      <c r="AG29" s="4443" t="n"/>
      <c r="AH29" s="4447" t="n"/>
    </row>
    <row r="30" ht="12" customHeight="1" s="4080" thickTop="1">
      <c r="A30" s="4556" t="n"/>
      <c r="B30" s="4208" t="n"/>
      <c r="C30" s="4559" t="inlineStr">
        <is>
          <t>サービス種別</t>
        </is>
      </c>
      <c r="D30" s="4369" t="n"/>
      <c r="E30" s="4369" t="n"/>
      <c r="F30" s="4369" t="n"/>
      <c r="G30" s="4369" t="n"/>
      <c r="H30" s="4369" t="n"/>
      <c r="I30" s="4369" t="n"/>
      <c r="J30" s="4369" t="n"/>
      <c r="K30" s="4369" t="n"/>
      <c r="L30" s="4370" t="n"/>
      <c r="M30" s="4560" t="inlineStr">
        <is>
          <t>生活介護</t>
        </is>
      </c>
      <c r="N30" s="4369" t="n"/>
      <c r="O30" s="4370" t="n"/>
      <c r="P30" s="4561" t="inlineStr">
        <is>
          <t>自立訓練</t>
        </is>
      </c>
      <c r="Q30" s="4369" t="n"/>
      <c r="R30" s="4369" t="n"/>
      <c r="S30" s="4369" t="n"/>
      <c r="T30" s="4369" t="n"/>
      <c r="U30" s="4370" t="n"/>
      <c r="V30" s="4559" t="inlineStr">
        <is>
          <t>就労移行
支　　援</t>
        </is>
      </c>
      <c r="W30" s="4369" t="n"/>
      <c r="X30" s="4370" t="n"/>
      <c r="Y30" s="4561" t="inlineStr">
        <is>
          <t>就労継続支援</t>
        </is>
      </c>
      <c r="Z30" s="4369" t="n"/>
      <c r="AA30" s="4369" t="n"/>
      <c r="AB30" s="4369" t="n"/>
      <c r="AC30" s="4369" t="n"/>
      <c r="AD30" s="4370" t="n"/>
      <c r="AE30" s="4562" t="inlineStr">
        <is>
          <t>放課後等デイサービス
児童発達支援</t>
        </is>
      </c>
      <c r="AF30" s="4369" t="n"/>
      <c r="AG30" s="4369" t="n"/>
      <c r="AH30" s="4391" t="n"/>
    </row>
    <row r="31" ht="12" customHeight="1" s="4080">
      <c r="A31" s="4556" t="n"/>
      <c r="B31" s="4208" t="n"/>
      <c r="C31" s="4106" t="n"/>
      <c r="L31" s="4107" t="n"/>
      <c r="M31" s="4106" t="n"/>
      <c r="O31" s="4107" t="n"/>
      <c r="P31" s="4102" t="n"/>
      <c r="Q31" s="4103" t="n"/>
      <c r="R31" s="4103" t="n"/>
      <c r="S31" s="4103" t="n"/>
      <c r="T31" s="4103" t="n"/>
      <c r="U31" s="4104" t="n"/>
      <c r="V31" s="4106" t="n"/>
      <c r="X31" s="4107" t="n"/>
      <c r="Y31" s="4102" t="n"/>
      <c r="Z31" s="4103" t="n"/>
      <c r="AA31" s="4103" t="n"/>
      <c r="AB31" s="4103" t="n"/>
      <c r="AC31" s="4103" t="n"/>
      <c r="AD31" s="4104" t="n"/>
      <c r="AE31" s="4106" t="n"/>
      <c r="AH31" s="4109" t="n"/>
    </row>
    <row r="32" ht="12" customHeight="1" s="4080">
      <c r="A32" s="4556" t="n"/>
      <c r="B32" s="4208" t="n"/>
      <c r="C32" s="4102" t="n"/>
      <c r="D32" s="4103" t="n"/>
      <c r="E32" s="4103" t="n"/>
      <c r="F32" s="4103" t="n"/>
      <c r="G32" s="4103" t="n"/>
      <c r="H32" s="4103" t="n"/>
      <c r="I32" s="4103" t="n"/>
      <c r="J32" s="4103" t="n"/>
      <c r="K32" s="4103" t="n"/>
      <c r="L32" s="4104" t="n"/>
      <c r="M32" s="4102" t="n"/>
      <c r="N32" s="4103" t="n"/>
      <c r="O32" s="4104" t="n"/>
      <c r="P32" s="2542" t="inlineStr">
        <is>
          <t>機能訓練</t>
        </is>
      </c>
      <c r="Q32" s="4110" t="n"/>
      <c r="R32" s="4111" t="n"/>
      <c r="S32" s="2542" t="inlineStr">
        <is>
          <t>生活訓練</t>
        </is>
      </c>
      <c r="T32" s="4110" t="n"/>
      <c r="U32" s="4111" t="n"/>
      <c r="V32" s="4102" t="n"/>
      <c r="W32" s="4103" t="n"/>
      <c r="X32" s="4104" t="n"/>
      <c r="Y32" s="2542" t="inlineStr">
        <is>
          <t>Ａ　型</t>
        </is>
      </c>
      <c r="Z32" s="4110" t="n"/>
      <c r="AA32" s="4111" t="n"/>
      <c r="AB32" s="2542" t="inlineStr">
        <is>
          <t>Ｂ　型</t>
        </is>
      </c>
      <c r="AC32" s="4110" t="n"/>
      <c r="AD32" s="4111" t="n"/>
      <c r="AE32" s="4102" t="n"/>
      <c r="AF32" s="4103" t="n"/>
      <c r="AG32" s="4103" t="n"/>
      <c r="AH32" s="4105" t="n"/>
    </row>
    <row r="33" ht="16.5" customHeight="1" s="4080">
      <c r="A33" s="4556" t="n"/>
      <c r="B33" s="4208" t="n"/>
      <c r="C33" s="1437" t="inlineStr">
        <is>
          <t>実施中の事業</t>
        </is>
      </c>
      <c r="D33" s="4098" t="n"/>
      <c r="E33" s="4098" t="n"/>
      <c r="F33" s="4098" t="n"/>
      <c r="G33" s="4098" t="n"/>
      <c r="H33" s="4098" t="n"/>
      <c r="I33" s="356" t="n"/>
      <c r="J33" s="356" t="n"/>
      <c r="K33" s="356" t="n"/>
      <c r="L33" s="356" t="n"/>
      <c r="M33" s="4563" t="n"/>
      <c r="N33" s="4110" t="n"/>
      <c r="O33" s="4111" t="n"/>
      <c r="P33" s="4563" t="n"/>
      <c r="Q33" s="4110" t="n"/>
      <c r="R33" s="4111" t="n"/>
      <c r="S33" s="4115" t="n"/>
      <c r="T33" s="4110" t="n"/>
      <c r="U33" s="4111" t="n"/>
      <c r="V33" s="4115" t="n"/>
      <c r="W33" s="4110" t="n"/>
      <c r="X33" s="4111" t="n"/>
      <c r="Y33" s="4563" t="n"/>
      <c r="Z33" s="4110" t="n"/>
      <c r="AA33" s="4111" t="n"/>
      <c r="AB33" s="4115" t="n"/>
      <c r="AC33" s="4110" t="n"/>
      <c r="AD33" s="4111" t="n"/>
      <c r="AE33" s="4509" t="n"/>
      <c r="AF33" s="4110" t="n"/>
      <c r="AG33" s="4110" t="n"/>
      <c r="AH33" s="4113" t="n"/>
    </row>
    <row r="34" ht="16.5" customHeight="1" s="4080">
      <c r="A34" s="4556" t="n"/>
      <c r="B34" s="4208" t="n"/>
      <c r="C34" s="4102" t="n"/>
      <c r="D34" s="4103" t="n"/>
      <c r="E34" s="4103" t="n"/>
      <c r="F34" s="4103" t="n"/>
      <c r="G34" s="4103" t="n"/>
      <c r="H34" s="4103" t="n"/>
      <c r="I34" s="2542" t="inlineStr">
        <is>
          <t>定員</t>
        </is>
      </c>
      <c r="J34" s="4110" t="n"/>
      <c r="K34" s="4110" t="n"/>
      <c r="L34" s="4111" t="n"/>
      <c r="M34" s="2539" t="n"/>
      <c r="N34" s="4110" t="n"/>
      <c r="O34" s="1268" t="inlineStr">
        <is>
          <t>人</t>
        </is>
      </c>
      <c r="P34" s="2539" t="n"/>
      <c r="Q34" s="4110" t="n"/>
      <c r="R34" s="1268" t="inlineStr">
        <is>
          <t>人</t>
        </is>
      </c>
      <c r="S34" s="997" t="n"/>
      <c r="T34" s="4110" t="n"/>
      <c r="U34" s="1268" t="inlineStr">
        <is>
          <t>人</t>
        </is>
      </c>
      <c r="V34" s="997" t="n"/>
      <c r="W34" s="4110" t="n"/>
      <c r="X34" s="1268" t="inlineStr">
        <is>
          <t>人</t>
        </is>
      </c>
      <c r="Y34" s="2539" t="n"/>
      <c r="Z34" s="4110" t="n"/>
      <c r="AA34" s="1268" t="inlineStr">
        <is>
          <t>人</t>
        </is>
      </c>
      <c r="AB34" s="997" t="n"/>
      <c r="AC34" s="4110" t="n"/>
      <c r="AD34" s="1268" t="inlineStr">
        <is>
          <t>人</t>
        </is>
      </c>
      <c r="AE34" s="2386" t="inlineStr">
        <is>
          <t xml:space="preserve">　</t>
        </is>
      </c>
      <c r="AF34" s="4110" t="n"/>
      <c r="AG34" s="4110" t="n"/>
      <c r="AH34" s="1902" t="inlineStr">
        <is>
          <t>人</t>
        </is>
      </c>
    </row>
    <row r="35" ht="16.5" customHeight="1" s="4080">
      <c r="A35" s="4556" t="n"/>
      <c r="B35" s="4208" t="n"/>
      <c r="C35" s="1437" t="inlineStr">
        <is>
          <t>追加・変更する事業</t>
        </is>
      </c>
      <c r="D35" s="4098" t="n"/>
      <c r="E35" s="4098" t="n"/>
      <c r="F35" s="4098" t="n"/>
      <c r="G35" s="4098" t="n"/>
      <c r="H35" s="4098" t="n"/>
      <c r="I35" s="357" t="n"/>
      <c r="J35" s="357" t="n"/>
      <c r="K35" s="357" t="n"/>
      <c r="L35" s="357" t="n"/>
      <c r="M35" s="4563" t="n"/>
      <c r="N35" s="4110" t="n"/>
      <c r="O35" s="4111" t="n"/>
      <c r="P35" s="4563" t="n"/>
      <c r="Q35" s="4110" t="n"/>
      <c r="R35" s="4111" t="n"/>
      <c r="S35" s="4115" t="n"/>
      <c r="T35" s="4110" t="n"/>
      <c r="U35" s="4111" t="n"/>
      <c r="V35" s="4115" t="n"/>
      <c r="W35" s="4110" t="n"/>
      <c r="X35" s="4111" t="n"/>
      <c r="Y35" s="4563" t="n"/>
      <c r="Z35" s="4110" t="n"/>
      <c r="AA35" s="4111" t="n"/>
      <c r="AB35" s="4115" t="n"/>
      <c r="AC35" s="4110" t="n"/>
      <c r="AD35" s="4111" t="n"/>
      <c r="AE35" s="4509" t="n"/>
      <c r="AF35" s="4110" t="n"/>
      <c r="AG35" s="4110" t="n"/>
      <c r="AH35" s="4113" t="n"/>
    </row>
    <row r="36" ht="16.5" customHeight="1" s="4080" thickBot="1">
      <c r="A36" s="4556" t="n"/>
      <c r="B36" s="4208" t="n"/>
      <c r="C36" s="4102" t="n"/>
      <c r="D36" s="4103" t="n"/>
      <c r="E36" s="4103" t="n"/>
      <c r="F36" s="4103" t="n"/>
      <c r="G36" s="4103" t="n"/>
      <c r="H36" s="4103" t="n"/>
      <c r="I36" s="2542" t="inlineStr">
        <is>
          <t>定員</t>
        </is>
      </c>
      <c r="J36" s="4110" t="n"/>
      <c r="K36" s="4110" t="n"/>
      <c r="L36" s="4111" t="n"/>
      <c r="M36" s="2539" t="n"/>
      <c r="N36" s="4110" t="n"/>
      <c r="O36" s="1268" t="inlineStr">
        <is>
          <t>人</t>
        </is>
      </c>
      <c r="P36" s="2539" t="n"/>
      <c r="Q36" s="4110" t="n"/>
      <c r="R36" s="1268" t="inlineStr">
        <is>
          <t>人</t>
        </is>
      </c>
      <c r="S36" s="997" t="n"/>
      <c r="T36" s="4110" t="n"/>
      <c r="U36" s="1268" t="inlineStr">
        <is>
          <t>人</t>
        </is>
      </c>
      <c r="V36" s="997" t="n"/>
      <c r="W36" s="4110" t="n"/>
      <c r="X36" s="1268" t="inlineStr">
        <is>
          <t>人</t>
        </is>
      </c>
      <c r="Y36" s="2539" t="n"/>
      <c r="Z36" s="4110" t="n"/>
      <c r="AA36" s="1268" t="inlineStr">
        <is>
          <t>人</t>
        </is>
      </c>
      <c r="AB36" s="997" t="n"/>
      <c r="AC36" s="4110" t="n"/>
      <c r="AD36" s="1268" t="inlineStr">
        <is>
          <t>人</t>
        </is>
      </c>
      <c r="AE36" s="2386" t="inlineStr">
        <is>
          <t xml:space="preserve">　</t>
        </is>
      </c>
      <c r="AF36" s="4110" t="n"/>
      <c r="AG36" s="4110" t="n"/>
      <c r="AH36" s="1902" t="inlineStr">
        <is>
          <t>人</t>
        </is>
      </c>
    </row>
    <row r="37" ht="12" customHeight="1" s="4080">
      <c r="A37" s="4556" t="n"/>
      <c r="B37" s="4514" t="inlineStr">
        <is>
          <t>２</t>
        </is>
      </c>
      <c r="C37" s="4531" t="inlineStr">
        <is>
          <t>ﾌﾘｶﾞﾅ</t>
        </is>
      </c>
      <c r="D37" s="4532" t="n"/>
      <c r="E37" s="4533" t="n"/>
      <c r="F37" s="4555" t="n"/>
      <c r="G37" s="4532" t="n"/>
      <c r="H37" s="4532" t="n"/>
      <c r="I37" s="4532" t="n"/>
      <c r="J37" s="4532" t="n"/>
      <c r="K37" s="4532" t="n"/>
      <c r="L37" s="4532" t="n"/>
      <c r="M37" s="4532" t="n"/>
      <c r="N37" s="4532" t="n"/>
      <c r="O37" s="4532" t="n"/>
      <c r="P37" s="4532" t="n"/>
      <c r="Q37" s="4532" t="n"/>
      <c r="R37" s="4532" t="n"/>
      <c r="S37" s="4532" t="n"/>
      <c r="T37" s="4532" t="n"/>
      <c r="U37" s="4532" t="n"/>
      <c r="V37" s="4532" t="n"/>
      <c r="W37" s="4532" t="n"/>
      <c r="X37" s="4532" t="n"/>
      <c r="Y37" s="4532" t="n"/>
      <c r="Z37" s="4532" t="n"/>
      <c r="AA37" s="4532" t="n"/>
      <c r="AB37" s="4532" t="n"/>
      <c r="AC37" s="4532" t="n"/>
      <c r="AD37" s="4532" t="n"/>
      <c r="AE37" s="4532" t="n"/>
      <c r="AF37" s="4532" t="n"/>
      <c r="AG37" s="4532" t="n"/>
      <c r="AH37" s="4535" t="n"/>
    </row>
    <row r="38" ht="24" customHeight="1" s="4080">
      <c r="A38" s="4556" t="n"/>
      <c r="B38" s="4208" t="n"/>
      <c r="C38" s="4564" t="inlineStr">
        <is>
          <t>名　称</t>
        </is>
      </c>
      <c r="E38" s="4107" t="n"/>
      <c r="F38" s="4557" t="n"/>
      <c r="AH38" s="4109" t="n"/>
    </row>
    <row r="39" ht="13.5" customHeight="1" s="4080">
      <c r="A39" s="4556" t="n"/>
      <c r="B39" s="4208" t="n"/>
      <c r="C39" s="4181" t="inlineStr">
        <is>
          <t>所在地</t>
        </is>
      </c>
      <c r="D39" s="4098" t="n"/>
      <c r="E39" s="4099" t="n"/>
      <c r="F39" s="1244" t="inlineStr">
        <is>
          <t>郵便番号（</t>
        </is>
      </c>
      <c r="G39" s="4098" t="n"/>
      <c r="H39" s="4098" t="n"/>
      <c r="I39" s="4098" t="n"/>
      <c r="J39" s="1287" t="n"/>
      <c r="K39" s="4098" t="n"/>
      <c r="L39" s="4098" t="n"/>
      <c r="M39" s="4098" t="n"/>
      <c r="N39" s="4098" t="n"/>
      <c r="O39" s="1329" t="inlineStr">
        <is>
          <t>）</t>
        </is>
      </c>
      <c r="P39" s="4311" t="n"/>
      <c r="Q39" s="4098" t="n"/>
      <c r="R39" s="4098" t="n"/>
      <c r="S39" s="4098" t="n"/>
      <c r="T39" s="4098" t="n"/>
      <c r="U39" s="4098" t="n"/>
      <c r="V39" s="4098" t="n"/>
      <c r="W39" s="4098" t="n"/>
      <c r="X39" s="4098" t="n"/>
      <c r="Y39" s="4098" t="n"/>
      <c r="Z39" s="4098" t="n"/>
      <c r="AA39" s="4098" t="n"/>
      <c r="AB39" s="4098" t="n"/>
      <c r="AC39" s="4098" t="n"/>
      <c r="AD39" s="4098" t="n"/>
      <c r="AE39" s="4098" t="n"/>
      <c r="AF39" s="4098" t="n"/>
      <c r="AG39" s="4098" t="n"/>
      <c r="AH39" s="4101" t="n"/>
    </row>
    <row r="40" ht="10.5" customHeight="1" s="4080">
      <c r="A40" s="4556" t="n"/>
      <c r="B40" s="4208" t="n"/>
      <c r="C40" s="4106" t="n"/>
      <c r="E40" s="4107" t="n"/>
      <c r="F40" s="1255" t="inlineStr">
        <is>
          <t>大阪市</t>
        </is>
      </c>
      <c r="I40" s="986" t="n"/>
      <c r="N40" s="1260" t="inlineStr">
        <is>
          <t>区</t>
        </is>
      </c>
      <c r="AH40" s="4109" t="n"/>
    </row>
    <row r="41" ht="10.5" customHeight="1" s="4080">
      <c r="A41" s="4556" t="n"/>
      <c r="B41" s="4208" t="n"/>
      <c r="C41" s="4102" t="n"/>
      <c r="D41" s="4103" t="n"/>
      <c r="E41" s="4104" t="n"/>
      <c r="F41" s="4102" t="n"/>
      <c r="G41" s="4103" t="n"/>
      <c r="H41" s="4103" t="n"/>
      <c r="I41" s="4103" t="n"/>
      <c r="J41" s="4103" t="n"/>
      <c r="K41" s="4103" t="n"/>
      <c r="L41" s="4103" t="n"/>
      <c r="M41" s="4103" t="n"/>
      <c r="N41" s="4103" t="n"/>
      <c r="O41" s="4103" t="n"/>
      <c r="P41" s="4103" t="n"/>
      <c r="Q41" s="4103" t="n"/>
      <c r="R41" s="4103" t="n"/>
      <c r="S41" s="4103" t="n"/>
      <c r="T41" s="4103" t="n"/>
      <c r="U41" s="4103" t="n"/>
      <c r="V41" s="4103" t="n"/>
      <c r="W41" s="4103" t="n"/>
      <c r="X41" s="4103" t="n"/>
      <c r="Y41" s="4103" t="n"/>
      <c r="Z41" s="4103" t="n"/>
      <c r="AA41" s="4103" t="n"/>
      <c r="AB41" s="4103" t="n"/>
      <c r="AC41" s="4103" t="n"/>
      <c r="AD41" s="4103" t="n"/>
      <c r="AE41" s="4103" t="n"/>
      <c r="AF41" s="4103" t="n"/>
      <c r="AG41" s="4103" t="n"/>
      <c r="AH41" s="4105" t="n"/>
    </row>
    <row r="42" ht="14.25" customHeight="1" s="4080">
      <c r="A42" s="4556" t="n"/>
      <c r="B42" s="4208" t="n"/>
      <c r="C42" s="4558" t="inlineStr">
        <is>
          <t>連絡先</t>
        </is>
      </c>
      <c r="D42" s="4098" t="n"/>
      <c r="E42" s="4098" t="n"/>
      <c r="F42" s="4354" t="inlineStr">
        <is>
          <t>電話番号</t>
        </is>
      </c>
      <c r="G42" s="4098" t="n"/>
      <c r="H42" s="4099" t="n"/>
      <c r="I42" s="2521" t="n"/>
      <c r="J42" s="4098" t="n"/>
      <c r="K42" s="4098" t="n"/>
      <c r="L42" s="336" t="inlineStr">
        <is>
          <t>－</t>
        </is>
      </c>
      <c r="M42" s="1153" t="n"/>
      <c r="N42" s="4098" t="n"/>
      <c r="O42" s="4098" t="n"/>
      <c r="P42" s="336" t="inlineStr">
        <is>
          <t>－</t>
        </is>
      </c>
      <c r="Q42" s="1717" t="n"/>
      <c r="R42" s="4098" t="n"/>
      <c r="S42" s="4099" t="n"/>
      <c r="T42" s="4539" t="inlineStr">
        <is>
          <t>ＦＡＸ番号</t>
        </is>
      </c>
      <c r="U42" s="4098" t="n"/>
      <c r="V42" s="4098" t="n"/>
      <c r="W42" s="4099" t="n"/>
      <c r="X42" s="2521" t="n"/>
      <c r="Y42" s="4098" t="n"/>
      <c r="Z42" s="4098" t="n"/>
      <c r="AA42" s="336" t="inlineStr">
        <is>
          <t>－</t>
        </is>
      </c>
      <c r="AB42" s="1153" t="n"/>
      <c r="AC42" s="4098" t="n"/>
      <c r="AD42" s="4098" t="n"/>
      <c r="AE42" s="336" t="inlineStr">
        <is>
          <t>－</t>
        </is>
      </c>
      <c r="AF42" s="1572" t="n"/>
      <c r="AG42" s="4098" t="n"/>
      <c r="AH42" s="4101" t="n"/>
    </row>
    <row r="43" ht="14.25" customHeight="1" s="4080" thickBot="1">
      <c r="A43" s="4556" t="n"/>
      <c r="B43" s="4208" t="n"/>
      <c r="C43" s="4540" t="n"/>
      <c r="D43" s="4541" t="n"/>
      <c r="E43" s="4541" t="n"/>
      <c r="F43" s="4442" t="inlineStr">
        <is>
          <t>メールアドレス</t>
        </is>
      </c>
      <c r="G43" s="4443" t="n"/>
      <c r="H43" s="4443" t="n"/>
      <c r="I43" s="4443" t="n"/>
      <c r="J43" s="4444" t="n"/>
      <c r="K43" s="4543" t="n"/>
      <c r="L43" s="4443" t="n"/>
      <c r="M43" s="4443" t="n"/>
      <c r="N43" s="4443" t="n"/>
      <c r="O43" s="4443" t="n"/>
      <c r="P43" s="4443" t="n"/>
      <c r="Q43" s="4443" t="n"/>
      <c r="R43" s="4443" t="n"/>
      <c r="S43" s="4443" t="n"/>
      <c r="T43" s="4443" t="n"/>
      <c r="U43" s="4443" t="n"/>
      <c r="V43" s="4443" t="n"/>
      <c r="W43" s="4443" t="n"/>
      <c r="X43" s="4443" t="n"/>
      <c r="Y43" s="4443" t="n"/>
      <c r="Z43" s="4443" t="n"/>
      <c r="AA43" s="4443" t="n"/>
      <c r="AB43" s="4443" t="n"/>
      <c r="AC43" s="4443" t="n"/>
      <c r="AD43" s="4443" t="n"/>
      <c r="AE43" s="4443" t="n"/>
      <c r="AF43" s="4443" t="n"/>
      <c r="AG43" s="4443" t="n"/>
      <c r="AH43" s="4447" t="n"/>
    </row>
    <row r="44" ht="12" customHeight="1" s="4080" thickTop="1">
      <c r="A44" s="4556" t="n"/>
      <c r="B44" s="4208" t="n"/>
      <c r="C44" s="4559" t="inlineStr">
        <is>
          <t>サービス種別</t>
        </is>
      </c>
      <c r="D44" s="4369" t="n"/>
      <c r="E44" s="4369" t="n"/>
      <c r="F44" s="4369" t="n"/>
      <c r="G44" s="4369" t="n"/>
      <c r="H44" s="4369" t="n"/>
      <c r="I44" s="4369" t="n"/>
      <c r="J44" s="4369" t="n"/>
      <c r="K44" s="4369" t="n"/>
      <c r="L44" s="4370" t="n"/>
      <c r="M44" s="4560" t="inlineStr">
        <is>
          <t>生活介護</t>
        </is>
      </c>
      <c r="N44" s="4369" t="n"/>
      <c r="O44" s="4370" t="n"/>
      <c r="P44" s="4561" t="inlineStr">
        <is>
          <t>自立訓練</t>
        </is>
      </c>
      <c r="Q44" s="4369" t="n"/>
      <c r="R44" s="4369" t="n"/>
      <c r="S44" s="4369" t="n"/>
      <c r="T44" s="4369" t="n"/>
      <c r="U44" s="4370" t="n"/>
      <c r="V44" s="4559" t="inlineStr">
        <is>
          <t>就労移行
支　　援</t>
        </is>
      </c>
      <c r="W44" s="4369" t="n"/>
      <c r="X44" s="4370" t="n"/>
      <c r="Y44" s="4561" t="inlineStr">
        <is>
          <t>就労継続支援</t>
        </is>
      </c>
      <c r="Z44" s="4369" t="n"/>
      <c r="AA44" s="4369" t="n"/>
      <c r="AB44" s="4369" t="n"/>
      <c r="AC44" s="4369" t="n"/>
      <c r="AD44" s="4370" t="n"/>
      <c r="AE44" s="4562" t="inlineStr">
        <is>
          <t>放課後等デイサービス
児童発達支援</t>
        </is>
      </c>
      <c r="AF44" s="4369" t="n"/>
      <c r="AG44" s="4369" t="n"/>
      <c r="AH44" s="4391" t="n"/>
    </row>
    <row r="45" ht="12" customHeight="1" s="4080">
      <c r="A45" s="4556" t="n"/>
      <c r="B45" s="4208" t="n"/>
      <c r="C45" s="4106" t="n"/>
      <c r="L45" s="4107" t="n"/>
      <c r="M45" s="4106" t="n"/>
      <c r="O45" s="4107" t="n"/>
      <c r="P45" s="4102" t="n"/>
      <c r="Q45" s="4103" t="n"/>
      <c r="R45" s="4103" t="n"/>
      <c r="S45" s="4103" t="n"/>
      <c r="T45" s="4103" t="n"/>
      <c r="U45" s="4104" t="n"/>
      <c r="V45" s="4106" t="n"/>
      <c r="X45" s="4107" t="n"/>
      <c r="Y45" s="4102" t="n"/>
      <c r="Z45" s="4103" t="n"/>
      <c r="AA45" s="4103" t="n"/>
      <c r="AB45" s="4103" t="n"/>
      <c r="AC45" s="4103" t="n"/>
      <c r="AD45" s="4104" t="n"/>
      <c r="AE45" s="4106" t="n"/>
      <c r="AH45" s="4109" t="n"/>
    </row>
    <row r="46" ht="12" customHeight="1" s="4080">
      <c r="A46" s="4556" t="n"/>
      <c r="B46" s="4208" t="n"/>
      <c r="C46" s="4102" t="n"/>
      <c r="D46" s="4103" t="n"/>
      <c r="E46" s="4103" t="n"/>
      <c r="F46" s="4103" t="n"/>
      <c r="G46" s="4103" t="n"/>
      <c r="H46" s="4103" t="n"/>
      <c r="I46" s="4103" t="n"/>
      <c r="J46" s="4103" t="n"/>
      <c r="K46" s="4103" t="n"/>
      <c r="L46" s="4104" t="n"/>
      <c r="M46" s="4102" t="n"/>
      <c r="N46" s="4103" t="n"/>
      <c r="O46" s="4104" t="n"/>
      <c r="P46" s="2542" t="inlineStr">
        <is>
          <t>機能訓練</t>
        </is>
      </c>
      <c r="Q46" s="4110" t="n"/>
      <c r="R46" s="4111" t="n"/>
      <c r="S46" s="2542" t="inlineStr">
        <is>
          <t>生活訓練</t>
        </is>
      </c>
      <c r="T46" s="4110" t="n"/>
      <c r="U46" s="4111" t="n"/>
      <c r="V46" s="4102" t="n"/>
      <c r="W46" s="4103" t="n"/>
      <c r="X46" s="4104" t="n"/>
      <c r="Y46" s="2542" t="inlineStr">
        <is>
          <t>Ａ　型</t>
        </is>
      </c>
      <c r="Z46" s="4110" t="n"/>
      <c r="AA46" s="4111" t="n"/>
      <c r="AB46" s="2542" t="inlineStr">
        <is>
          <t>Ｂ　型</t>
        </is>
      </c>
      <c r="AC46" s="4110" t="n"/>
      <c r="AD46" s="4111" t="n"/>
      <c r="AE46" s="4102" t="n"/>
      <c r="AF46" s="4103" t="n"/>
      <c r="AG46" s="4103" t="n"/>
      <c r="AH46" s="4105" t="n"/>
    </row>
    <row r="47" ht="16.5" customHeight="1" s="4080">
      <c r="A47" s="4556" t="n"/>
      <c r="B47" s="4208" t="n"/>
      <c r="C47" s="1437" t="inlineStr">
        <is>
          <t>実施中の事業</t>
        </is>
      </c>
      <c r="D47" s="4098" t="n"/>
      <c r="E47" s="4098" t="n"/>
      <c r="F47" s="4098" t="n"/>
      <c r="G47" s="4098" t="n"/>
      <c r="H47" s="4098" t="n"/>
      <c r="I47" s="356" t="n"/>
      <c r="J47" s="356" t="n"/>
      <c r="K47" s="356" t="n"/>
      <c r="L47" s="356" t="n"/>
      <c r="M47" s="4563" t="n"/>
      <c r="N47" s="4110" t="n"/>
      <c r="O47" s="4111" t="n"/>
      <c r="P47" s="4563" t="n"/>
      <c r="Q47" s="4110" t="n"/>
      <c r="R47" s="4111" t="n"/>
      <c r="S47" s="4115" t="n"/>
      <c r="T47" s="4110" t="n"/>
      <c r="U47" s="4111" t="n"/>
      <c r="V47" s="4115" t="n"/>
      <c r="W47" s="4110" t="n"/>
      <c r="X47" s="4111" t="n"/>
      <c r="Y47" s="4563" t="n"/>
      <c r="Z47" s="4110" t="n"/>
      <c r="AA47" s="4111" t="n"/>
      <c r="AB47" s="4115" t="n"/>
      <c r="AC47" s="4110" t="n"/>
      <c r="AD47" s="4111" t="n"/>
      <c r="AE47" s="4509" t="n"/>
      <c r="AF47" s="4110" t="n"/>
      <c r="AG47" s="4110" t="n"/>
      <c r="AH47" s="4113" t="n"/>
    </row>
    <row r="48" ht="16.5" customHeight="1" s="4080">
      <c r="A48" s="4556" t="n"/>
      <c r="B48" s="4208" t="n"/>
      <c r="C48" s="4102" t="n"/>
      <c r="D48" s="4103" t="n"/>
      <c r="E48" s="4103" t="n"/>
      <c r="F48" s="4103" t="n"/>
      <c r="G48" s="4103" t="n"/>
      <c r="H48" s="4103" t="n"/>
      <c r="I48" s="2542" t="inlineStr">
        <is>
          <t>定員</t>
        </is>
      </c>
      <c r="J48" s="4110" t="n"/>
      <c r="K48" s="4110" t="n"/>
      <c r="L48" s="4111" t="n"/>
      <c r="M48" s="2539" t="n"/>
      <c r="N48" s="4110" t="n"/>
      <c r="O48" s="1268" t="inlineStr">
        <is>
          <t>人</t>
        </is>
      </c>
      <c r="P48" s="2539" t="n"/>
      <c r="Q48" s="4110" t="n"/>
      <c r="R48" s="1268" t="inlineStr">
        <is>
          <t>人</t>
        </is>
      </c>
      <c r="S48" s="997" t="n"/>
      <c r="T48" s="4110" t="n"/>
      <c r="U48" s="1268" t="inlineStr">
        <is>
          <t>人</t>
        </is>
      </c>
      <c r="V48" s="997" t="n"/>
      <c r="W48" s="4110" t="n"/>
      <c r="X48" s="1268" t="inlineStr">
        <is>
          <t>人</t>
        </is>
      </c>
      <c r="Y48" s="2539" t="n"/>
      <c r="Z48" s="4110" t="n"/>
      <c r="AA48" s="1268" t="inlineStr">
        <is>
          <t>人</t>
        </is>
      </c>
      <c r="AB48" s="997" t="n"/>
      <c r="AC48" s="4110" t="n"/>
      <c r="AD48" s="1268" t="inlineStr">
        <is>
          <t>人</t>
        </is>
      </c>
      <c r="AE48" s="2386" t="inlineStr">
        <is>
          <t xml:space="preserve">　</t>
        </is>
      </c>
      <c r="AF48" s="4110" t="n"/>
      <c r="AG48" s="4110" t="n"/>
      <c r="AH48" s="1902" t="inlineStr">
        <is>
          <t>人</t>
        </is>
      </c>
    </row>
    <row r="49" ht="16.5" customHeight="1" s="4080">
      <c r="A49" s="4556" t="n"/>
      <c r="B49" s="4208" t="n"/>
      <c r="C49" s="2544" t="inlineStr">
        <is>
          <t>追加・変更する事業</t>
        </is>
      </c>
      <c r="D49" s="4098" t="n"/>
      <c r="E49" s="4098" t="n"/>
      <c r="F49" s="4098" t="n"/>
      <c r="G49" s="4098" t="n"/>
      <c r="H49" s="4098" t="n"/>
      <c r="I49" s="357" t="n"/>
      <c r="J49" s="357" t="n"/>
      <c r="K49" s="357" t="n"/>
      <c r="L49" s="357" t="n"/>
      <c r="M49" s="4563" t="n"/>
      <c r="N49" s="4110" t="n"/>
      <c r="O49" s="4111" t="n"/>
      <c r="P49" s="4563" t="n"/>
      <c r="Q49" s="4110" t="n"/>
      <c r="R49" s="4111" t="n"/>
      <c r="S49" s="4115" t="n"/>
      <c r="T49" s="4110" t="n"/>
      <c r="U49" s="4111" t="n"/>
      <c r="V49" s="4115" t="n"/>
      <c r="W49" s="4110" t="n"/>
      <c r="X49" s="4111" t="n"/>
      <c r="Y49" s="4563" t="n"/>
      <c r="Z49" s="4110" t="n"/>
      <c r="AA49" s="4111" t="n"/>
      <c r="AB49" s="4115" t="n"/>
      <c r="AC49" s="4110" t="n"/>
      <c r="AD49" s="4111" t="n"/>
      <c r="AE49" s="4509" t="n"/>
      <c r="AF49" s="4110" t="n"/>
      <c r="AG49" s="4110" t="n"/>
      <c r="AH49" s="4113" t="n"/>
    </row>
    <row r="50" ht="16.5" customHeight="1" s="4080" thickBot="1">
      <c r="A50" s="4556" t="n"/>
      <c r="B50" s="4565" t="n"/>
      <c r="C50" s="4420" t="n"/>
      <c r="D50" s="4087" t="n"/>
      <c r="E50" s="4087" t="n"/>
      <c r="F50" s="4087" t="n"/>
      <c r="G50" s="4087" t="n"/>
      <c r="H50" s="4087" t="n"/>
      <c r="I50" s="4566" t="inlineStr">
        <is>
          <t>定員</t>
        </is>
      </c>
      <c r="J50" s="4153" t="n"/>
      <c r="K50" s="4153" t="n"/>
      <c r="L50" s="4154" t="n"/>
      <c r="M50" s="2547" t="n"/>
      <c r="N50" s="4153" t="n"/>
      <c r="O50" s="2203" t="inlineStr">
        <is>
          <t>人</t>
        </is>
      </c>
      <c r="P50" s="2547" t="n"/>
      <c r="Q50" s="4153" t="n"/>
      <c r="R50" s="2203" t="inlineStr">
        <is>
          <t>人</t>
        </is>
      </c>
      <c r="S50" s="2517" t="n"/>
      <c r="T50" s="4153" t="n"/>
      <c r="U50" s="2203" t="inlineStr">
        <is>
          <t>人</t>
        </is>
      </c>
      <c r="V50" s="2517" t="n"/>
      <c r="W50" s="4153" t="n"/>
      <c r="X50" s="2203" t="inlineStr">
        <is>
          <t>人</t>
        </is>
      </c>
      <c r="Y50" s="2547" t="n"/>
      <c r="Z50" s="4153" t="n"/>
      <c r="AA50" s="2203" t="inlineStr">
        <is>
          <t>人</t>
        </is>
      </c>
      <c r="AB50" s="2517" t="n"/>
      <c r="AC50" s="4153" t="n"/>
      <c r="AD50" s="2203" t="inlineStr">
        <is>
          <t>人</t>
        </is>
      </c>
      <c r="AE50" s="2549" t="inlineStr">
        <is>
          <t xml:space="preserve">　</t>
        </is>
      </c>
      <c r="AF50" s="4153" t="n"/>
      <c r="AG50" s="4153" t="n"/>
      <c r="AH50" s="359" t="inlineStr">
        <is>
          <t>人</t>
        </is>
      </c>
    </row>
    <row r="51" ht="12" customHeight="1" s="4080">
      <c r="A51" s="4556" t="n"/>
      <c r="B51" s="4514" t="inlineStr">
        <is>
          <t>３</t>
        </is>
      </c>
      <c r="C51" s="4531" t="inlineStr">
        <is>
          <t>ﾌﾘｶﾞﾅ</t>
        </is>
      </c>
      <c r="D51" s="4532" t="n"/>
      <c r="E51" s="4533" t="n"/>
      <c r="F51" s="4555" t="n"/>
      <c r="G51" s="4532" t="n"/>
      <c r="H51" s="4532" t="n"/>
      <c r="I51" s="4532" t="n"/>
      <c r="J51" s="4532" t="n"/>
      <c r="K51" s="4532" t="n"/>
      <c r="L51" s="4532" t="n"/>
      <c r="M51" s="4532" t="n"/>
      <c r="N51" s="4532" t="n"/>
      <c r="O51" s="4532" t="n"/>
      <c r="P51" s="4532" t="n"/>
      <c r="Q51" s="4532" t="n"/>
      <c r="R51" s="4532" t="n"/>
      <c r="S51" s="4532" t="n"/>
      <c r="T51" s="4532" t="n"/>
      <c r="U51" s="4532" t="n"/>
      <c r="V51" s="4532" t="n"/>
      <c r="W51" s="4532" t="n"/>
      <c r="X51" s="4532" t="n"/>
      <c r="Y51" s="4532" t="n"/>
      <c r="Z51" s="4532" t="n"/>
      <c r="AA51" s="4532" t="n"/>
      <c r="AB51" s="4532" t="n"/>
      <c r="AC51" s="4532" t="n"/>
      <c r="AD51" s="4532" t="n"/>
      <c r="AE51" s="4532" t="n"/>
      <c r="AF51" s="4532" t="n"/>
      <c r="AG51" s="4532" t="n"/>
      <c r="AH51" s="4535" t="n"/>
    </row>
    <row r="52" ht="18" customHeight="1" s="4080">
      <c r="A52" s="4556" t="n"/>
      <c r="B52" s="4208" t="n"/>
      <c r="C52" s="4564" t="inlineStr">
        <is>
          <t>名　称</t>
        </is>
      </c>
      <c r="E52" s="4107" t="n"/>
      <c r="F52" s="4557" t="n"/>
      <c r="AH52" s="4109" t="n"/>
    </row>
    <row r="53" ht="13.5" customHeight="1" s="4080">
      <c r="A53" s="4556" t="n"/>
      <c r="B53" s="4208" t="n"/>
      <c r="C53" s="4181" t="inlineStr">
        <is>
          <t>所在地</t>
        </is>
      </c>
      <c r="D53" s="4098" t="n"/>
      <c r="E53" s="4099" t="n"/>
      <c r="F53" s="1244" t="inlineStr">
        <is>
          <t>郵便番号（</t>
        </is>
      </c>
      <c r="G53" s="4098" t="n"/>
      <c r="H53" s="4098" t="n"/>
      <c r="I53" s="4098" t="n"/>
      <c r="J53" s="1287" t="n"/>
      <c r="K53" s="4098" t="n"/>
      <c r="L53" s="4098" t="n"/>
      <c r="M53" s="4098" t="n"/>
      <c r="N53" s="4098" t="n"/>
      <c r="O53" s="1329" t="inlineStr">
        <is>
          <t>）</t>
        </is>
      </c>
      <c r="P53" s="4311" t="n"/>
      <c r="Q53" s="4098" t="n"/>
      <c r="R53" s="4098" t="n"/>
      <c r="S53" s="4098" t="n"/>
      <c r="T53" s="4098" t="n"/>
      <c r="U53" s="4098" t="n"/>
      <c r="V53" s="4098" t="n"/>
      <c r="W53" s="4098" t="n"/>
      <c r="X53" s="4098" t="n"/>
      <c r="Y53" s="4098" t="n"/>
      <c r="Z53" s="4098" t="n"/>
      <c r="AA53" s="4098" t="n"/>
      <c r="AB53" s="4098" t="n"/>
      <c r="AC53" s="4098" t="n"/>
      <c r="AD53" s="4098" t="n"/>
      <c r="AE53" s="4098" t="n"/>
      <c r="AF53" s="4098" t="n"/>
      <c r="AG53" s="4098" t="n"/>
      <c r="AH53" s="4101" t="n"/>
    </row>
    <row r="54" ht="9" customHeight="1" s="4080">
      <c r="A54" s="4556" t="n"/>
      <c r="B54" s="4208" t="n"/>
      <c r="C54" s="4106" t="n"/>
      <c r="E54" s="4107" t="n"/>
      <c r="F54" s="1255" t="inlineStr">
        <is>
          <t>大阪市</t>
        </is>
      </c>
      <c r="I54" s="986" t="n"/>
      <c r="N54" s="1260" t="inlineStr">
        <is>
          <t>区</t>
        </is>
      </c>
      <c r="AH54" s="4109" t="n"/>
    </row>
    <row r="55" ht="9" customHeight="1" s="4080">
      <c r="A55" s="4556" t="n"/>
      <c r="B55" s="4208" t="n"/>
      <c r="C55" s="4102" t="n"/>
      <c r="D55" s="4103" t="n"/>
      <c r="E55" s="4104" t="n"/>
      <c r="F55" s="4102" t="n"/>
      <c r="G55" s="4103" t="n"/>
      <c r="H55" s="4103" t="n"/>
      <c r="I55" s="4103" t="n"/>
      <c r="J55" s="4103" t="n"/>
      <c r="K55" s="4103" t="n"/>
      <c r="L55" s="4103" t="n"/>
      <c r="M55" s="4103" t="n"/>
      <c r="N55" s="4103" t="n"/>
      <c r="O55" s="4103" t="n"/>
      <c r="P55" s="4103" t="n"/>
      <c r="Q55" s="4103" t="n"/>
      <c r="R55" s="4103" t="n"/>
      <c r="S55" s="4103" t="n"/>
      <c r="T55" s="4103" t="n"/>
      <c r="U55" s="4103" t="n"/>
      <c r="V55" s="4103" t="n"/>
      <c r="W55" s="4103" t="n"/>
      <c r="X55" s="4103" t="n"/>
      <c r="Y55" s="4103" t="n"/>
      <c r="Z55" s="4103" t="n"/>
      <c r="AA55" s="4103" t="n"/>
      <c r="AB55" s="4103" t="n"/>
      <c r="AC55" s="4103" t="n"/>
      <c r="AD55" s="4103" t="n"/>
      <c r="AE55" s="4103" t="n"/>
      <c r="AF55" s="4103" t="n"/>
      <c r="AG55" s="4103" t="n"/>
      <c r="AH55" s="4105" t="n"/>
    </row>
    <row r="56" ht="14.25" customHeight="1" s="4080">
      <c r="A56" s="4556" t="n"/>
      <c r="B56" s="4208" t="n"/>
      <c r="C56" s="4558" t="inlineStr">
        <is>
          <t>連絡先</t>
        </is>
      </c>
      <c r="D56" s="4098" t="n"/>
      <c r="E56" s="4098" t="n"/>
      <c r="F56" s="4354" t="inlineStr">
        <is>
          <t>電話番号</t>
        </is>
      </c>
      <c r="G56" s="4098" t="n"/>
      <c r="H56" s="4099" t="n"/>
      <c r="I56" s="2521" t="n"/>
      <c r="J56" s="4098" t="n"/>
      <c r="K56" s="4098" t="n"/>
      <c r="L56" s="336" t="inlineStr">
        <is>
          <t>－</t>
        </is>
      </c>
      <c r="M56" s="1153" t="n"/>
      <c r="N56" s="4098" t="n"/>
      <c r="O56" s="4098" t="n"/>
      <c r="P56" s="336" t="inlineStr">
        <is>
          <t>－</t>
        </is>
      </c>
      <c r="Q56" s="1717" t="n"/>
      <c r="R56" s="4098" t="n"/>
      <c r="S56" s="4099" t="n"/>
      <c r="T56" s="4539" t="inlineStr">
        <is>
          <t>ＦＡＸ番号</t>
        </is>
      </c>
      <c r="U56" s="4098" t="n"/>
      <c r="V56" s="4098" t="n"/>
      <c r="W56" s="4099" t="n"/>
      <c r="X56" s="2521" t="n"/>
      <c r="Y56" s="4098" t="n"/>
      <c r="Z56" s="4098" t="n"/>
      <c r="AA56" s="336" t="inlineStr">
        <is>
          <t>－</t>
        </is>
      </c>
      <c r="AB56" s="1153" t="n"/>
      <c r="AC56" s="4098" t="n"/>
      <c r="AD56" s="4098" t="n"/>
      <c r="AE56" s="336" t="inlineStr">
        <is>
          <t>－</t>
        </is>
      </c>
      <c r="AF56" s="1572" t="n"/>
      <c r="AG56" s="4098" t="n"/>
      <c r="AH56" s="4101" t="n"/>
    </row>
    <row r="57" ht="14.25" customHeight="1" s="4080" thickBot="1">
      <c r="A57" s="4556" t="n"/>
      <c r="B57" s="4208" t="n"/>
      <c r="C57" s="4540" t="n"/>
      <c r="D57" s="4541" t="n"/>
      <c r="E57" s="4541" t="n"/>
      <c r="F57" s="4442" t="inlineStr">
        <is>
          <t>メールアドレス</t>
        </is>
      </c>
      <c r="G57" s="4443" t="n"/>
      <c r="H57" s="4443" t="n"/>
      <c r="I57" s="4443" t="n"/>
      <c r="J57" s="4444" t="n"/>
      <c r="K57" s="4543" t="n"/>
      <c r="L57" s="4443" t="n"/>
      <c r="M57" s="4443" t="n"/>
      <c r="N57" s="4443" t="n"/>
      <c r="O57" s="4443" t="n"/>
      <c r="P57" s="4443" t="n"/>
      <c r="Q57" s="4443" t="n"/>
      <c r="R57" s="4443" t="n"/>
      <c r="S57" s="4443" t="n"/>
      <c r="T57" s="4443" t="n"/>
      <c r="U57" s="4443" t="n"/>
      <c r="V57" s="4443" t="n"/>
      <c r="W57" s="4443" t="n"/>
      <c r="X57" s="4443" t="n"/>
      <c r="Y57" s="4443" t="n"/>
      <c r="Z57" s="4443" t="n"/>
      <c r="AA57" s="4443" t="n"/>
      <c r="AB57" s="4443" t="n"/>
      <c r="AC57" s="4443" t="n"/>
      <c r="AD57" s="4443" t="n"/>
      <c r="AE57" s="4443" t="n"/>
      <c r="AF57" s="4443" t="n"/>
      <c r="AG57" s="4443" t="n"/>
      <c r="AH57" s="4447" t="n"/>
    </row>
    <row r="58" ht="12" customHeight="1" s="4080" thickTop="1">
      <c r="A58" s="4556" t="n"/>
      <c r="B58" s="4208" t="n"/>
      <c r="C58" s="4559" t="inlineStr">
        <is>
          <t>サービス種別</t>
        </is>
      </c>
      <c r="D58" s="4369" t="n"/>
      <c r="E58" s="4369" t="n"/>
      <c r="F58" s="4369" t="n"/>
      <c r="G58" s="4369" t="n"/>
      <c r="H58" s="4369" t="n"/>
      <c r="I58" s="4369" t="n"/>
      <c r="J58" s="4369" t="n"/>
      <c r="K58" s="4369" t="n"/>
      <c r="L58" s="4370" t="n"/>
      <c r="M58" s="4560" t="inlineStr">
        <is>
          <t>生活介護</t>
        </is>
      </c>
      <c r="N58" s="4369" t="n"/>
      <c r="O58" s="4370" t="n"/>
      <c r="P58" s="4561" t="inlineStr">
        <is>
          <t>自立訓練</t>
        </is>
      </c>
      <c r="Q58" s="4369" t="n"/>
      <c r="R58" s="4369" t="n"/>
      <c r="S58" s="4369" t="n"/>
      <c r="T58" s="4369" t="n"/>
      <c r="U58" s="4370" t="n"/>
      <c r="V58" s="4559" t="inlineStr">
        <is>
          <t>就労移行
支　　援</t>
        </is>
      </c>
      <c r="W58" s="4369" t="n"/>
      <c r="X58" s="4370" t="n"/>
      <c r="Y58" s="4561" t="inlineStr">
        <is>
          <t>就労継続支援</t>
        </is>
      </c>
      <c r="Z58" s="4369" t="n"/>
      <c r="AA58" s="4369" t="n"/>
      <c r="AB58" s="4369" t="n"/>
      <c r="AC58" s="4369" t="n"/>
      <c r="AD58" s="4370" t="n"/>
      <c r="AE58" s="4562" t="inlineStr">
        <is>
          <t>放課後等デイサービス
児童発達支援</t>
        </is>
      </c>
      <c r="AF58" s="4369" t="n"/>
      <c r="AG58" s="4369" t="n"/>
      <c r="AH58" s="4391" t="n"/>
    </row>
    <row r="59" ht="12" customHeight="1" s="4080">
      <c r="A59" s="4556" t="n"/>
      <c r="B59" s="4208" t="n"/>
      <c r="C59" s="4106" t="n"/>
      <c r="L59" s="4107" t="n"/>
      <c r="M59" s="4106" t="n"/>
      <c r="O59" s="4107" t="n"/>
      <c r="P59" s="4102" t="n"/>
      <c r="Q59" s="4103" t="n"/>
      <c r="R59" s="4103" t="n"/>
      <c r="S59" s="4103" t="n"/>
      <c r="T59" s="4103" t="n"/>
      <c r="U59" s="4104" t="n"/>
      <c r="V59" s="4106" t="n"/>
      <c r="X59" s="4107" t="n"/>
      <c r="Y59" s="4102" t="n"/>
      <c r="Z59" s="4103" t="n"/>
      <c r="AA59" s="4103" t="n"/>
      <c r="AB59" s="4103" t="n"/>
      <c r="AC59" s="4103" t="n"/>
      <c r="AD59" s="4104" t="n"/>
      <c r="AE59" s="4106" t="n"/>
      <c r="AH59" s="4109" t="n"/>
    </row>
    <row r="60" ht="12" customHeight="1" s="4080">
      <c r="A60" s="4556" t="n"/>
      <c r="B60" s="4208" t="n"/>
      <c r="C60" s="4102" t="n"/>
      <c r="D60" s="4103" t="n"/>
      <c r="E60" s="4103" t="n"/>
      <c r="F60" s="4103" t="n"/>
      <c r="G60" s="4103" t="n"/>
      <c r="H60" s="4103" t="n"/>
      <c r="I60" s="4103" t="n"/>
      <c r="J60" s="4103" t="n"/>
      <c r="K60" s="4103" t="n"/>
      <c r="L60" s="4104" t="n"/>
      <c r="M60" s="4102" t="n"/>
      <c r="N60" s="4103" t="n"/>
      <c r="O60" s="4104" t="n"/>
      <c r="P60" s="2542" t="inlineStr">
        <is>
          <t>機能訓練</t>
        </is>
      </c>
      <c r="Q60" s="4110" t="n"/>
      <c r="R60" s="4111" t="n"/>
      <c r="S60" s="2542" t="inlineStr">
        <is>
          <t>生活訓練</t>
        </is>
      </c>
      <c r="T60" s="4110" t="n"/>
      <c r="U60" s="4111" t="n"/>
      <c r="V60" s="4102" t="n"/>
      <c r="W60" s="4103" t="n"/>
      <c r="X60" s="4104" t="n"/>
      <c r="Y60" s="2542" t="inlineStr">
        <is>
          <t>Ａ　型</t>
        </is>
      </c>
      <c r="Z60" s="4110" t="n"/>
      <c r="AA60" s="4111" t="n"/>
      <c r="AB60" s="2542" t="inlineStr">
        <is>
          <t>Ｂ　型</t>
        </is>
      </c>
      <c r="AC60" s="4110" t="n"/>
      <c r="AD60" s="4111" t="n"/>
      <c r="AE60" s="4102" t="n"/>
      <c r="AF60" s="4103" t="n"/>
      <c r="AG60" s="4103" t="n"/>
      <c r="AH60" s="4105" t="n"/>
    </row>
    <row r="61" ht="16.5" customHeight="1" s="4080">
      <c r="A61" s="4556" t="n"/>
      <c r="B61" s="4208" t="n"/>
      <c r="C61" s="1437" t="inlineStr">
        <is>
          <t>実施中の事業</t>
        </is>
      </c>
      <c r="D61" s="4098" t="n"/>
      <c r="E61" s="4098" t="n"/>
      <c r="F61" s="4098" t="n"/>
      <c r="G61" s="4098" t="n"/>
      <c r="H61" s="4098" t="n"/>
      <c r="I61" s="356" t="n"/>
      <c r="J61" s="356" t="n"/>
      <c r="K61" s="356" t="n"/>
      <c r="L61" s="356" t="n"/>
      <c r="M61" s="4563" t="n"/>
      <c r="N61" s="4110" t="n"/>
      <c r="O61" s="4111" t="n"/>
      <c r="P61" s="4563" t="n"/>
      <c r="Q61" s="4110" t="n"/>
      <c r="R61" s="4111" t="n"/>
      <c r="S61" s="4115" t="n"/>
      <c r="T61" s="4110" t="n"/>
      <c r="U61" s="4111" t="n"/>
      <c r="V61" s="4115" t="n"/>
      <c r="W61" s="4110" t="n"/>
      <c r="X61" s="4111" t="n"/>
      <c r="Y61" s="4563" t="n"/>
      <c r="Z61" s="4110" t="n"/>
      <c r="AA61" s="4111" t="n"/>
      <c r="AB61" s="4115" t="n"/>
      <c r="AC61" s="4110" t="n"/>
      <c r="AD61" s="4111" t="n"/>
      <c r="AE61" s="4509" t="n"/>
      <c r="AF61" s="4110" t="n"/>
      <c r="AG61" s="4110" t="n"/>
      <c r="AH61" s="4113" t="n"/>
    </row>
    <row r="62" ht="16.5" customHeight="1" s="4080">
      <c r="A62" s="4556" t="n"/>
      <c r="B62" s="4208" t="n"/>
      <c r="C62" s="4102" t="n"/>
      <c r="D62" s="4103" t="n"/>
      <c r="E62" s="4103" t="n"/>
      <c r="F62" s="4103" t="n"/>
      <c r="G62" s="4103" t="n"/>
      <c r="H62" s="4103" t="n"/>
      <c r="I62" s="2542" t="inlineStr">
        <is>
          <t>定員</t>
        </is>
      </c>
      <c r="J62" s="4110" t="n"/>
      <c r="K62" s="4110" t="n"/>
      <c r="L62" s="4111" t="n"/>
      <c r="M62" s="2539" t="n"/>
      <c r="N62" s="4110" t="n"/>
      <c r="O62" s="1268" t="inlineStr">
        <is>
          <t>人</t>
        </is>
      </c>
      <c r="P62" s="2539" t="n"/>
      <c r="Q62" s="4110" t="n"/>
      <c r="R62" s="1268" t="inlineStr">
        <is>
          <t>人</t>
        </is>
      </c>
      <c r="S62" s="997" t="n"/>
      <c r="T62" s="4110" t="n"/>
      <c r="U62" s="1268" t="inlineStr">
        <is>
          <t>人</t>
        </is>
      </c>
      <c r="V62" s="997" t="n"/>
      <c r="W62" s="4110" t="n"/>
      <c r="X62" s="1268" t="inlineStr">
        <is>
          <t>人</t>
        </is>
      </c>
      <c r="Y62" s="2539" t="n"/>
      <c r="Z62" s="4110" t="n"/>
      <c r="AA62" s="1268" t="inlineStr">
        <is>
          <t>人</t>
        </is>
      </c>
      <c r="AB62" s="997" t="n"/>
      <c r="AC62" s="4110" t="n"/>
      <c r="AD62" s="1268" t="inlineStr">
        <is>
          <t>人</t>
        </is>
      </c>
      <c r="AE62" s="2386" t="inlineStr">
        <is>
          <t xml:space="preserve">　</t>
        </is>
      </c>
      <c r="AF62" s="4110" t="n"/>
      <c r="AG62" s="4110" t="n"/>
      <c r="AH62" s="1902" t="inlineStr">
        <is>
          <t>人</t>
        </is>
      </c>
    </row>
    <row r="63" ht="16.5" customHeight="1" s="4080">
      <c r="A63" s="4556" t="n"/>
      <c r="B63" s="4208" t="n"/>
      <c r="C63" s="2544" t="inlineStr">
        <is>
          <t>追加・変更する事業</t>
        </is>
      </c>
      <c r="D63" s="4098" t="n"/>
      <c r="E63" s="4098" t="n"/>
      <c r="F63" s="4098" t="n"/>
      <c r="G63" s="4098" t="n"/>
      <c r="H63" s="4098" t="n"/>
      <c r="I63" s="357" t="n"/>
      <c r="J63" s="357" t="n"/>
      <c r="K63" s="357" t="n"/>
      <c r="L63" s="357" t="n"/>
      <c r="M63" s="4563" t="n"/>
      <c r="N63" s="4110" t="n"/>
      <c r="O63" s="4111" t="n"/>
      <c r="P63" s="4563" t="n"/>
      <c r="Q63" s="4110" t="n"/>
      <c r="R63" s="4111" t="n"/>
      <c r="S63" s="4115" t="n"/>
      <c r="T63" s="4110" t="n"/>
      <c r="U63" s="4111" t="n"/>
      <c r="V63" s="4115" t="n"/>
      <c r="W63" s="4110" t="n"/>
      <c r="X63" s="4111" t="n"/>
      <c r="Y63" s="4563" t="n"/>
      <c r="Z63" s="4110" t="n"/>
      <c r="AA63" s="4111" t="n"/>
      <c r="AB63" s="4115" t="n"/>
      <c r="AC63" s="4110" t="n"/>
      <c r="AD63" s="4111" t="n"/>
      <c r="AE63" s="4509" t="n"/>
      <c r="AF63" s="4110" t="n"/>
      <c r="AG63" s="4110" t="n"/>
      <c r="AH63" s="4113" t="n"/>
    </row>
    <row r="64" ht="16.5" customHeight="1" s="4080" thickBot="1">
      <c r="A64" s="4567" t="n"/>
      <c r="B64" s="4565" t="n"/>
      <c r="C64" s="4420" t="n"/>
      <c r="D64" s="4087" t="n"/>
      <c r="E64" s="4087" t="n"/>
      <c r="F64" s="4087" t="n"/>
      <c r="G64" s="4087" t="n"/>
      <c r="H64" s="4087" t="n"/>
      <c r="I64" s="4566" t="inlineStr">
        <is>
          <t>定員</t>
        </is>
      </c>
      <c r="J64" s="4153" t="n"/>
      <c r="K64" s="4153" t="n"/>
      <c r="L64" s="4154" t="n"/>
      <c r="M64" s="2547" t="n"/>
      <c r="N64" s="4153" t="n"/>
      <c r="O64" s="2203" t="inlineStr">
        <is>
          <t>人</t>
        </is>
      </c>
      <c r="P64" s="2547" t="n"/>
      <c r="Q64" s="4153" t="n"/>
      <c r="R64" s="2203" t="inlineStr">
        <is>
          <t>人</t>
        </is>
      </c>
      <c r="S64" s="2517" t="n"/>
      <c r="T64" s="4153" t="n"/>
      <c r="U64" s="2203" t="inlineStr">
        <is>
          <t>人</t>
        </is>
      </c>
      <c r="V64" s="2517" t="n"/>
      <c r="W64" s="4153" t="n"/>
      <c r="X64" s="2203" t="inlineStr">
        <is>
          <t>人</t>
        </is>
      </c>
      <c r="Y64" s="2547" t="n"/>
      <c r="Z64" s="4153" t="n"/>
      <c r="AA64" s="2203" t="inlineStr">
        <is>
          <t>人</t>
        </is>
      </c>
      <c r="AB64" s="2517" t="n"/>
      <c r="AC64" s="4153" t="n"/>
      <c r="AD64" s="2203" t="inlineStr">
        <is>
          <t>人</t>
        </is>
      </c>
      <c r="AE64" s="2549" t="inlineStr">
        <is>
          <t xml:space="preserve">　</t>
        </is>
      </c>
      <c r="AF64" s="4153" t="n"/>
      <c r="AG64" s="4153" t="n"/>
      <c r="AH64" s="359" t="inlineStr">
        <is>
          <t>人</t>
        </is>
      </c>
    </row>
  </sheetData>
  <mergeCells count="307">
    <mergeCell ref="K11:AH11"/>
    <mergeCell ref="I56:K56"/>
    <mergeCell ref="P53:AH55"/>
    <mergeCell ref="Y21:Z21"/>
    <mergeCell ref="C23:E23"/>
    <mergeCell ref="F25:I25"/>
    <mergeCell ref="Y50:Z50"/>
    <mergeCell ref="C10:E11"/>
    <mergeCell ref="AE47:AH47"/>
    <mergeCell ref="Y16:Z16"/>
    <mergeCell ref="T42:W42"/>
    <mergeCell ref="AB48:AC48"/>
    <mergeCell ref="N54:O55"/>
    <mergeCell ref="AA2:AA3"/>
    <mergeCell ref="C47:H48"/>
    <mergeCell ref="AC2:AC3"/>
    <mergeCell ref="Y18:Z18"/>
    <mergeCell ref="F23:AH23"/>
    <mergeCell ref="C44:L46"/>
    <mergeCell ref="AA12:AH12"/>
    <mergeCell ref="F52:AH52"/>
    <mergeCell ref="M50:N50"/>
    <mergeCell ref="W14:X14"/>
    <mergeCell ref="F37:AH37"/>
    <mergeCell ref="AB56:AD56"/>
    <mergeCell ref="Y46:AA46"/>
    <mergeCell ref="Y58:AD59"/>
    <mergeCell ref="C33:H34"/>
    <mergeCell ref="Y61:AA61"/>
    <mergeCell ref="AB36:AC36"/>
    <mergeCell ref="M13:N13"/>
    <mergeCell ref="C35:H36"/>
    <mergeCell ref="AB42:AD42"/>
    <mergeCell ref="AA14:AC14"/>
    <mergeCell ref="A1:Y1"/>
    <mergeCell ref="AE1:AF1"/>
    <mergeCell ref="C56:E57"/>
    <mergeCell ref="C24:E24"/>
    <mergeCell ref="AB62:AC62"/>
    <mergeCell ref="F14:J14"/>
    <mergeCell ref="AB64:AC64"/>
    <mergeCell ref="F39:I39"/>
    <mergeCell ref="Z2:Z3"/>
    <mergeCell ref="C42:E43"/>
    <mergeCell ref="AB2:AB3"/>
    <mergeCell ref="AD2:AD3"/>
    <mergeCell ref="P33:R33"/>
    <mergeCell ref="C37:E37"/>
    <mergeCell ref="W21:X21"/>
    <mergeCell ref="V36:W36"/>
    <mergeCell ref="P35:R35"/>
    <mergeCell ref="AE61:AH61"/>
    <mergeCell ref="AA13:AC13"/>
    <mergeCell ref="C61:H62"/>
    <mergeCell ref="AB60:AD60"/>
    <mergeCell ref="AA15:AC15"/>
    <mergeCell ref="P46:R46"/>
    <mergeCell ref="P58:U59"/>
    <mergeCell ref="P61:R61"/>
    <mergeCell ref="S49:U49"/>
    <mergeCell ref="O16:Q16"/>
    <mergeCell ref="I8:M9"/>
    <mergeCell ref="F28:H28"/>
    <mergeCell ref="F51:AH51"/>
    <mergeCell ref="Y33:AA33"/>
    <mergeCell ref="M47:O47"/>
    <mergeCell ref="S34:T34"/>
    <mergeCell ref="K12:L12"/>
    <mergeCell ref="V47:X47"/>
    <mergeCell ref="S36:T36"/>
    <mergeCell ref="K14:L14"/>
    <mergeCell ref="V63:X63"/>
    <mergeCell ref="I48:L48"/>
    <mergeCell ref="P49:R49"/>
    <mergeCell ref="S62:T62"/>
    <mergeCell ref="C51:E51"/>
    <mergeCell ref="AE30:AH32"/>
    <mergeCell ref="F53:I53"/>
    <mergeCell ref="AF42:AH42"/>
    <mergeCell ref="F24:AH24"/>
    <mergeCell ref="M16:N16"/>
    <mergeCell ref="P48:Q48"/>
    <mergeCell ref="I10:K10"/>
    <mergeCell ref="S63:U63"/>
    <mergeCell ref="J25:N25"/>
    <mergeCell ref="C7:E9"/>
    <mergeCell ref="M18:N18"/>
    <mergeCell ref="F26:H27"/>
    <mergeCell ref="V61:X61"/>
    <mergeCell ref="O12:V12"/>
    <mergeCell ref="M17:N17"/>
    <mergeCell ref="O19:Q19"/>
    <mergeCell ref="I26:M27"/>
    <mergeCell ref="M19:N19"/>
    <mergeCell ref="K13:L13"/>
    <mergeCell ref="N8:O9"/>
    <mergeCell ref="I28:K28"/>
    <mergeCell ref="AF10:AH10"/>
    <mergeCell ref="K15:L15"/>
    <mergeCell ref="V48:W48"/>
    <mergeCell ref="P30:U31"/>
    <mergeCell ref="P34:Q34"/>
    <mergeCell ref="C28:E29"/>
    <mergeCell ref="C16:J16"/>
    <mergeCell ref="P36:Q36"/>
    <mergeCell ref="O14:Q14"/>
    <mergeCell ref="AB28:AD28"/>
    <mergeCell ref="M56:O56"/>
    <mergeCell ref="O13:Q13"/>
    <mergeCell ref="Y44:AD45"/>
    <mergeCell ref="O15:Q15"/>
    <mergeCell ref="P62:Q62"/>
    <mergeCell ref="S50:T50"/>
    <mergeCell ref="B23:B36"/>
    <mergeCell ref="Y35:AA35"/>
    <mergeCell ref="P64:Q64"/>
    <mergeCell ref="F29:J29"/>
    <mergeCell ref="Q10:S10"/>
    <mergeCell ref="F4:AH4"/>
    <mergeCell ref="U2:X3"/>
    <mergeCell ref="M48:N48"/>
    <mergeCell ref="V30:X32"/>
    <mergeCell ref="M33:O33"/>
    <mergeCell ref="W20:X20"/>
    <mergeCell ref="B51:B64"/>
    <mergeCell ref="Y20:Z20"/>
    <mergeCell ref="C5:E6"/>
    <mergeCell ref="Y14:Z14"/>
    <mergeCell ref="M30:O32"/>
    <mergeCell ref="AE35:AH35"/>
    <mergeCell ref="F7:I7"/>
    <mergeCell ref="N26:O27"/>
    <mergeCell ref="S46:U46"/>
    <mergeCell ref="AB34:AC34"/>
    <mergeCell ref="P60:R60"/>
    <mergeCell ref="C4:E4"/>
    <mergeCell ref="C19:J19"/>
    <mergeCell ref="K18:L18"/>
    <mergeCell ref="A4:B21"/>
    <mergeCell ref="AG1:AH1"/>
    <mergeCell ref="I50:L50"/>
    <mergeCell ref="I42:K42"/>
    <mergeCell ref="K43:AH43"/>
    <mergeCell ref="Y49:AA49"/>
    <mergeCell ref="F56:H56"/>
    <mergeCell ref="P44:U45"/>
    <mergeCell ref="Y17:Z17"/>
    <mergeCell ref="C12:J12"/>
    <mergeCell ref="AB49:AD49"/>
    <mergeCell ref="Q28:S28"/>
    <mergeCell ref="AE58:AH60"/>
    <mergeCell ref="Y12:Z12"/>
    <mergeCell ref="M49:O49"/>
    <mergeCell ref="Y48:Z48"/>
    <mergeCell ref="AB32:AD32"/>
    <mergeCell ref="AB63:AD63"/>
    <mergeCell ref="K29:AH29"/>
    <mergeCell ref="B37:B50"/>
    <mergeCell ref="AE48:AG48"/>
    <mergeCell ref="C20:J20"/>
    <mergeCell ref="C39:E41"/>
    <mergeCell ref="F18:J18"/>
    <mergeCell ref="A23:A64"/>
    <mergeCell ref="Y30:AD31"/>
    <mergeCell ref="F17:J17"/>
    <mergeCell ref="Y34:Z34"/>
    <mergeCell ref="I54:M55"/>
    <mergeCell ref="K57:AH57"/>
    <mergeCell ref="Y36:Z36"/>
    <mergeCell ref="F38:AH38"/>
    <mergeCell ref="Q42:S42"/>
    <mergeCell ref="Z1:AA1"/>
    <mergeCell ref="C13:J13"/>
    <mergeCell ref="J39:N39"/>
    <mergeCell ref="F5:AH6"/>
    <mergeCell ref="Y62:Z62"/>
    <mergeCell ref="AB50:AC50"/>
    <mergeCell ref="K21:L21"/>
    <mergeCell ref="C14:E15"/>
    <mergeCell ref="C49:H50"/>
    <mergeCell ref="Y64:Z64"/>
    <mergeCell ref="AF2:AF3"/>
    <mergeCell ref="AA21:AC21"/>
    <mergeCell ref="AH2:AH3"/>
    <mergeCell ref="C38:E38"/>
    <mergeCell ref="W16:X16"/>
    <mergeCell ref="Y32:AA32"/>
    <mergeCell ref="J7:N7"/>
    <mergeCell ref="S32:U32"/>
    <mergeCell ref="T10:W10"/>
    <mergeCell ref="W18:X18"/>
    <mergeCell ref="W17:X17"/>
    <mergeCell ref="M58:O60"/>
    <mergeCell ref="M35:O35"/>
    <mergeCell ref="W19:X19"/>
    <mergeCell ref="K16:L16"/>
    <mergeCell ref="AB46:AD46"/>
    <mergeCell ref="Y60:AA60"/>
    <mergeCell ref="AB61:AD61"/>
    <mergeCell ref="P7:AH9"/>
    <mergeCell ref="C25:E27"/>
    <mergeCell ref="F54:H55"/>
    <mergeCell ref="J53:N53"/>
    <mergeCell ref="AA18:AC18"/>
    <mergeCell ref="M61:O61"/>
    <mergeCell ref="F40:H41"/>
    <mergeCell ref="X10:Z10"/>
    <mergeCell ref="M15:N15"/>
    <mergeCell ref="AB10:AD10"/>
    <mergeCell ref="M12:N12"/>
    <mergeCell ref="W12:X12"/>
    <mergeCell ref="C53:E55"/>
    <mergeCell ref="M44:O46"/>
    <mergeCell ref="V33:X33"/>
    <mergeCell ref="V58:X60"/>
    <mergeCell ref="V35:X35"/>
    <mergeCell ref="I62:L62"/>
    <mergeCell ref="F57:J57"/>
    <mergeCell ref="AE62:AG62"/>
    <mergeCell ref="F42:H42"/>
    <mergeCell ref="X28:Z28"/>
    <mergeCell ref="I64:L64"/>
    <mergeCell ref="AE64:AG64"/>
    <mergeCell ref="AE2:AE3"/>
    <mergeCell ref="AG2:AG3"/>
    <mergeCell ref="Y2:Y3"/>
    <mergeCell ref="X42:Z42"/>
    <mergeCell ref="S33:U33"/>
    <mergeCell ref="P32:R32"/>
    <mergeCell ref="AE63:AH63"/>
    <mergeCell ref="P47:R47"/>
    <mergeCell ref="S35:U35"/>
    <mergeCell ref="C63:H64"/>
    <mergeCell ref="AA17:AC17"/>
    <mergeCell ref="AF56:AH56"/>
    <mergeCell ref="X56:Z56"/>
    <mergeCell ref="S47:U47"/>
    <mergeCell ref="F10:H10"/>
    <mergeCell ref="AA19:AC19"/>
    <mergeCell ref="P63:R63"/>
    <mergeCell ref="M14:N14"/>
    <mergeCell ref="S61:U61"/>
    <mergeCell ref="W13:X13"/>
    <mergeCell ref="AE44:AH46"/>
    <mergeCell ref="W15:X15"/>
    <mergeCell ref="Y15:Z15"/>
    <mergeCell ref="V49:X49"/>
    <mergeCell ref="O21:Q21"/>
    <mergeCell ref="V34:W34"/>
    <mergeCell ref="C58:L60"/>
    <mergeCell ref="AF28:AH28"/>
    <mergeCell ref="M36:N36"/>
    <mergeCell ref="I40:M41"/>
    <mergeCell ref="Q56:S56"/>
    <mergeCell ref="AE33:AH33"/>
    <mergeCell ref="Y63:AA63"/>
    <mergeCell ref="M62:N62"/>
    <mergeCell ref="V62:W62"/>
    <mergeCell ref="AB1:AD1"/>
    <mergeCell ref="T56:W56"/>
    <mergeCell ref="P50:Q50"/>
    <mergeCell ref="AA20:AC20"/>
    <mergeCell ref="M28:O28"/>
    <mergeCell ref="M64:N64"/>
    <mergeCell ref="S48:T48"/>
    <mergeCell ref="C52:E52"/>
    <mergeCell ref="M21:N21"/>
    <mergeCell ref="K17:L17"/>
    <mergeCell ref="V50:W50"/>
    <mergeCell ref="O18:Q18"/>
    <mergeCell ref="K19:L19"/>
    <mergeCell ref="C17:E18"/>
    <mergeCell ref="V44:X46"/>
    <mergeCell ref="M34:N34"/>
    <mergeCell ref="F11:J11"/>
    <mergeCell ref="V64:W64"/>
    <mergeCell ref="AE49:AH49"/>
    <mergeCell ref="F15:J15"/>
    <mergeCell ref="M42:O42"/>
    <mergeCell ref="N40:O41"/>
    <mergeCell ref="O17:Q17"/>
    <mergeCell ref="C30:L32"/>
    <mergeCell ref="AB33:AD33"/>
    <mergeCell ref="F8:H9"/>
    <mergeCell ref="Y13:Z13"/>
    <mergeCell ref="Y47:AA47"/>
    <mergeCell ref="S64:T64"/>
    <mergeCell ref="AB47:AD47"/>
    <mergeCell ref="M10:O10"/>
    <mergeCell ref="P39:AH41"/>
    <mergeCell ref="T28:W28"/>
    <mergeCell ref="AA16:AC16"/>
    <mergeCell ref="K20:L20"/>
    <mergeCell ref="M20:N20"/>
    <mergeCell ref="I34:L34"/>
    <mergeCell ref="Y19:Z19"/>
    <mergeCell ref="AE34:AG34"/>
    <mergeCell ref="I36:L36"/>
    <mergeCell ref="M63:O63"/>
    <mergeCell ref="C21:J21"/>
    <mergeCell ref="AE36:AG36"/>
    <mergeCell ref="S60:U60"/>
    <mergeCell ref="P25:AH27"/>
    <mergeCell ref="F43:J43"/>
    <mergeCell ref="AE50:AG50"/>
    <mergeCell ref="AB35:AD35"/>
    <mergeCell ref="O20:Q20"/>
  </mergeCells>
  <dataValidations count="8">
    <dataValidation sqref="O22:Q22" showDropDown="0" showInputMessage="1" showErrorMessage="1" allowBlank="1" type="list">
      <formula1>"　,平成１８,平成１９,平成２０,平成２１,平成２２,平成２３,平成２４,平成２５"</formula1>
    </dataValidation>
    <dataValidation sqref="S13:S22 AE13:AE22" showDropDown="0" showInputMessage="1" showErrorMessage="1" allowBlank="1" type="list">
      <formula1>"　,４,５,６,７,８,９,１０,１１,１２,１,２,３"</formula1>
    </dataValidation>
    <dataValidation sqref="U13:U22 AG13:AG22" showDropDown="0" showInputMessage="1" showErrorMessage="1" allowBlank="1" type="list" errorStyle="warning" operator="equal">
      <formula1>"　,1"</formula1>
    </dataValidation>
    <dataValidation sqref="O13:Q21 AA13:AC22" showDropDown="0" showInputMessage="1" showErrorMessage="1" allowBlank="1" type="list">
      <formula1>"　,平成２３,平成２４,平成２５,平成２６,平成２７,平成２８,平成２９,平成３０"</formula1>
    </dataValidation>
    <dataValidation sqref="F4:AH4 F23:AH23 F37:AH37 F51:AH51" showDropDown="0" showInputMessage="1" showErrorMessage="1" allowBlank="1" imeMode="halfKatakana"/>
    <dataValidation sqref="M10:O10 M28:O28 M42:O42 M56:O56 Q10:S10 Q28:S28 Q42:S42 Q56:S56 X10:Z10 AB10:AD10 AB28:AD28 AB42:AD42 AB56:AD56 AF10:AH10 AF28:AH28 AF42:AH42 AF56:AH56" showDropDown="0" showInputMessage="1" showErrorMessage="1" allowBlank="1" error="全角数字で入力してください" imeMode="fullAlpha"/>
    <dataValidation sqref="I10:K10 I28:K28 I42:K42 I56:K56 J7:N7 J25:N25 J39:N39 J53:N53 X28:Z28 X42:Z42 X56:Z56 Y2:AH3" showDropDown="0" showInputMessage="1" showErrorMessage="1" allowBlank="1" imeMode="fullAlpha"/>
    <dataValidation sqref="K13:K22 M33 M35 M47 M49 M61 M63 P33 P35 P47 P49 P61 P63 S33 S35 S47 S49 S61 S63 V33 V35 V47 V49 V61 V63 W13:W22 Y33 Y35 Y47 Y49 Y61 Y63 AB33 AB35 AB47 AB49 AB61 AB63 AE33 AE35 AE47 AE49 AE61 AE63" showDropDown="0" showInputMessage="1" showErrorMessage="1" allowBlank="1" type="list">
      <formula1>"　,○"</formula1>
    </dataValidation>
  </dataValidations>
  <printOptions horizontalCentered="1"/>
  <pageMargins left="0.5905511811023623" right="0.3543307086614174" top="0.3937007874015748" bottom="0.3937007874015748" header="0.5118110236220472" footer="0.5118110236220472"/>
  <pageSetup orientation="portrait" paperSize="9" scale="95"/>
  <legacyDrawing xmlns:r="http://schemas.openxmlformats.org/officeDocument/2006/relationships" r:id="anysvml"/>
</worksheet>
</file>

<file path=xl/worksheets/sheet18.xml><?xml version="1.0" encoding="utf-8"?>
<worksheet xmlns="http://schemas.openxmlformats.org/spreadsheetml/2006/main">
  <sheetPr codeName="Sheet17">
    <outlinePr summaryBelow="1" summaryRight="1"/>
    <pageSetUpPr/>
  </sheetPr>
  <dimension ref="A1:AN63"/>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20"/>
    <col width="2.875" customWidth="1" style="1667" min="21" max="21"/>
    <col width="2.625" customWidth="1" style="1667" min="22" max="27"/>
    <col width="2.75" customWidth="1" style="1667" min="28" max="28"/>
    <col width="2.625" customWidth="1" style="1667" min="29" max="33"/>
    <col width="4.25" customWidth="1" style="1667" min="34" max="34"/>
    <col width="2.375" customWidth="1" style="1667" min="35" max="35"/>
    <col width="9" customWidth="1" style="1667" min="36" max="16384"/>
  </cols>
  <sheetData>
    <row r="1" ht="18" customHeight="1" s="4080" thickBot="1">
      <c r="A1" s="1213" t="inlineStr">
        <is>
          <t>付表１１　多機能型による事業を実施する場合の記載事項（総括表）</t>
        </is>
      </c>
      <c r="Z1" s="2552" t="n"/>
      <c r="AB1" s="1290" t="inlineStr">
        <is>
          <t>単位／</t>
        </is>
      </c>
      <c r="AE1" s="2552" t="n"/>
      <c r="AG1" s="1355" t="inlineStr">
        <is>
          <t>単位</t>
        </is>
      </c>
      <c r="AN1" s="719">
        <f>HYPERLINK("#目次!A1","目次へ戻る")</f>
        <v/>
      </c>
    </row>
    <row r="2" ht="15" customHeight="1" s="4080">
      <c r="B2" s="45" t="n"/>
      <c r="C2" s="45" t="n"/>
      <c r="D2" s="45" t="n"/>
      <c r="E2" s="1889" t="n"/>
      <c r="F2" s="1889" t="n"/>
      <c r="G2" s="1889" t="n"/>
      <c r="H2" s="2069" t="n"/>
      <c r="I2" s="1889" t="n"/>
      <c r="J2" s="1889" t="n"/>
      <c r="K2" s="1889" t="n"/>
      <c r="L2" s="1889" t="n"/>
      <c r="M2" s="1889" t="n"/>
      <c r="N2" s="2069" t="n"/>
      <c r="O2" s="1889" t="n"/>
      <c r="P2" s="1889" t="n"/>
      <c r="Q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4514" t="inlineStr">
        <is>
          <t>主たる事業所</t>
        </is>
      </c>
      <c r="B4" s="4356" t="n"/>
      <c r="C4" s="4531" t="inlineStr">
        <is>
          <t>ﾌﾘｶﾞﾅ</t>
        </is>
      </c>
      <c r="D4" s="4532" t="n"/>
      <c r="E4" s="4533" t="n"/>
      <c r="F4" s="4236" t="inlineStr">
        <is>
          <t>ﾅｶﾉｼﾏｼｮｳｶﾞｲﾌｸｼｻｰﾋﾞｽｾﾝﾀｰ</t>
        </is>
      </c>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B5" s="4107" t="n"/>
      <c r="C5" s="4536" t="inlineStr">
        <is>
          <t>名　称</t>
        </is>
      </c>
      <c r="E5" s="4107" t="n"/>
      <c r="F5" s="4237" t="inlineStr">
        <is>
          <t>中之島障がい福祉サービスセンター</t>
        </is>
      </c>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B6" s="410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B7" s="4107" t="n"/>
      <c r="C7" s="4181" t="inlineStr">
        <is>
          <t>所在地</t>
        </is>
      </c>
      <c r="D7" s="4098" t="n"/>
      <c r="E7" s="4099" t="n"/>
      <c r="F7" s="1244" t="inlineStr">
        <is>
          <t>郵便番号（</t>
        </is>
      </c>
      <c r="G7" s="4098" t="n"/>
      <c r="H7" s="4098" t="n"/>
      <c r="I7" s="4098" t="n"/>
      <c r="J7" s="2423" t="inlineStr">
        <is>
          <t>５３０－８２０１</t>
        </is>
      </c>
      <c r="K7" s="4098" t="n"/>
      <c r="L7" s="4098" t="n"/>
      <c r="M7" s="4098" t="n"/>
      <c r="N7" s="4098" t="n"/>
      <c r="O7" s="1329" t="inlineStr">
        <is>
          <t>）</t>
        </is>
      </c>
      <c r="P7" s="4434" t="inlineStr">
        <is>
          <t>中之島１－３－２０</t>
        </is>
      </c>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2" customHeight="1" s="4080">
      <c r="A8" s="4097" t="n"/>
      <c r="B8" s="4107" t="n"/>
      <c r="C8" s="4106" t="n"/>
      <c r="E8" s="4107" t="n"/>
      <c r="F8" s="1255" t="inlineStr">
        <is>
          <t>大阪市</t>
        </is>
      </c>
      <c r="I8" s="2093" t="inlineStr">
        <is>
          <t>北</t>
        </is>
      </c>
      <c r="N8" s="1260" t="inlineStr">
        <is>
          <t>区</t>
        </is>
      </c>
      <c r="AH8" s="4109" t="n"/>
    </row>
    <row r="9" ht="3.95" customHeight="1" s="4080">
      <c r="A9" s="4097" t="n"/>
      <c r="B9" s="410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B10" s="4107" t="n"/>
      <c r="C10" s="4538" t="inlineStr">
        <is>
          <t>連絡先</t>
        </is>
      </c>
      <c r="D10" s="4098" t="n"/>
      <c r="E10" s="4099" t="n"/>
      <c r="F10" s="4274" t="inlineStr">
        <is>
          <t>電話番号</t>
        </is>
      </c>
      <c r="G10" s="4110" t="n"/>
      <c r="H10" s="4111" t="n"/>
      <c r="I10" s="1479" t="inlineStr">
        <is>
          <t>０６</t>
        </is>
      </c>
      <c r="J10" s="4110" t="n"/>
      <c r="K10" s="4110" t="n"/>
      <c r="L10" s="53" t="inlineStr">
        <is>
          <t>－</t>
        </is>
      </c>
      <c r="M10" s="1150" t="inlineStr">
        <is>
          <t>６２４１</t>
        </is>
      </c>
      <c r="N10" s="4110" t="n"/>
      <c r="O10" s="4110" t="n"/>
      <c r="P10" s="53" t="inlineStr">
        <is>
          <t>－</t>
        </is>
      </c>
      <c r="Q10" s="1482" t="inlineStr">
        <is>
          <t>６５２０</t>
        </is>
      </c>
      <c r="R10" s="4110" t="n"/>
      <c r="S10" s="4111" t="n"/>
      <c r="T10" s="4184" t="inlineStr">
        <is>
          <t>ＦＡＸ番号</t>
        </is>
      </c>
      <c r="U10" s="4110" t="n"/>
      <c r="V10" s="4110" t="n"/>
      <c r="W10" s="4111" t="n"/>
      <c r="X10" s="1479" t="inlineStr">
        <is>
          <t>０６</t>
        </is>
      </c>
      <c r="Y10" s="4110" t="n"/>
      <c r="Z10" s="4110" t="n"/>
      <c r="AA10" s="53" t="inlineStr">
        <is>
          <t>－</t>
        </is>
      </c>
      <c r="AB10" s="1150" t="inlineStr">
        <is>
          <t>６２４１</t>
        </is>
      </c>
      <c r="AC10" s="4110" t="n"/>
      <c r="AD10" s="4110" t="n"/>
      <c r="AE10" s="53" t="inlineStr">
        <is>
          <t>－</t>
        </is>
      </c>
      <c r="AF10" s="1483" t="inlineStr">
        <is>
          <t>６６０８</t>
        </is>
      </c>
      <c r="AG10" s="4110" t="n"/>
      <c r="AH10" s="4113" t="n"/>
    </row>
    <row r="11" ht="15" customHeight="1" s="4080" thickBot="1">
      <c r="A11" s="4097" t="n"/>
      <c r="B11" s="4107" t="n"/>
      <c r="C11" s="4540" t="n"/>
      <c r="D11" s="4541" t="n"/>
      <c r="E11" s="4542" t="n"/>
      <c r="F11" s="4442" t="inlineStr">
        <is>
          <t>メールアドレス</t>
        </is>
      </c>
      <c r="G11" s="4443" t="n"/>
      <c r="H11" s="4443" t="n"/>
      <c r="I11" s="4443" t="n"/>
      <c r="J11" s="4444" t="n"/>
      <c r="K11" s="4568" t="inlineStr">
        <is>
          <t>fa0260@city.osaka.lg.jp</t>
        </is>
      </c>
      <c r="L11" s="4443" t="n"/>
      <c r="M11" s="4443" t="n"/>
      <c r="N11" s="4443" t="n"/>
      <c r="O11" s="4443" t="n"/>
      <c r="P11" s="4443" t="n"/>
      <c r="Q11" s="4443" t="n"/>
      <c r="R11" s="4443" t="n"/>
      <c r="S11" s="4443" t="n"/>
      <c r="T11" s="4443" t="n"/>
      <c r="U11" s="4443" t="n"/>
      <c r="V11" s="4443" t="n"/>
      <c r="W11" s="4443" t="n"/>
      <c r="X11" s="4443" t="n"/>
      <c r="Y11" s="4443" t="n"/>
      <c r="Z11" s="4443" t="n"/>
      <c r="AA11" s="4443" t="n"/>
      <c r="AB11" s="4443" t="n"/>
      <c r="AC11" s="4443" t="n"/>
      <c r="AD11" s="4443" t="n"/>
      <c r="AE11" s="4443" t="n"/>
      <c r="AF11" s="4443" t="n"/>
      <c r="AG11" s="4443" t="n"/>
      <c r="AH11" s="4447" t="n"/>
    </row>
    <row r="12" ht="25.5" customFormat="1" customHeight="1" s="337" thickTop="1">
      <c r="A12" s="4097" t="n"/>
      <c r="B12" s="4107" t="n"/>
      <c r="C12" s="2480" t="inlineStr">
        <is>
          <t>事　　業　の　種　類</t>
        </is>
      </c>
      <c r="D12" s="4372" t="n"/>
      <c r="E12" s="4372" t="n"/>
      <c r="F12" s="4372" t="n"/>
      <c r="G12" s="4372" t="n"/>
      <c r="H12" s="4372" t="n"/>
      <c r="I12" s="4372" t="n"/>
      <c r="J12" s="4388" t="n"/>
      <c r="K12" s="2482" t="inlineStr">
        <is>
          <t>実施中の事業</t>
        </is>
      </c>
      <c r="L12" s="4103" t="n"/>
      <c r="M12" s="4544" t="inlineStr">
        <is>
          <t>定員</t>
        </is>
      </c>
      <c r="N12" s="4193" t="n"/>
      <c r="O12" s="4545" t="inlineStr">
        <is>
          <t>指定年月日</t>
        </is>
      </c>
      <c r="P12" s="4103" t="n"/>
      <c r="Q12" s="4103" t="n"/>
      <c r="R12" s="4103" t="n"/>
      <c r="S12" s="4103" t="n"/>
      <c r="T12" s="4103" t="n"/>
      <c r="U12" s="4103" t="n"/>
      <c r="V12" s="4104" t="n"/>
      <c r="W12" s="2482" t="inlineStr">
        <is>
          <t>追加・変更</t>
        </is>
      </c>
      <c r="X12" s="4103" t="n"/>
      <c r="Y12" s="4544" t="inlineStr">
        <is>
          <t>定員</t>
        </is>
      </c>
      <c r="Z12" s="4193" t="n"/>
      <c r="AA12" s="4546" t="inlineStr">
        <is>
          <t>追加・変更予定年月日</t>
        </is>
      </c>
      <c r="AB12" s="4103" t="n"/>
      <c r="AC12" s="4103" t="n"/>
      <c r="AD12" s="4103" t="n"/>
      <c r="AE12" s="4103" t="n"/>
      <c r="AF12" s="4103" t="n"/>
      <c r="AG12" s="4103" t="n"/>
      <c r="AH12" s="4105" t="n"/>
    </row>
    <row r="13" ht="17.25" customFormat="1" customHeight="1" s="337">
      <c r="A13" s="4097" t="n"/>
      <c r="B13" s="4107" t="n"/>
      <c r="C13" s="2470" t="inlineStr">
        <is>
          <t>生活介護</t>
        </is>
      </c>
      <c r="D13" s="4110" t="n"/>
      <c r="E13" s="4110" t="n"/>
      <c r="F13" s="4110" t="n"/>
      <c r="G13" s="4110" t="n"/>
      <c r="H13" s="4110" t="n"/>
      <c r="I13" s="4110" t="n"/>
      <c r="J13" s="4111" t="n"/>
      <c r="K13" s="2556" t="inlineStr">
        <is>
          <t>○</t>
        </is>
      </c>
      <c r="L13" s="4110" t="n"/>
      <c r="M13" s="4569" t="inlineStr">
        <is>
          <t>１０</t>
        </is>
      </c>
      <c r="N13" s="4189" t="n"/>
      <c r="O13" s="2560" t="inlineStr">
        <is>
          <t>平成２０</t>
        </is>
      </c>
      <c r="P13" s="4110" t="n"/>
      <c r="Q13" s="4110" t="n"/>
      <c r="R13" s="338" t="inlineStr">
        <is>
          <t>年</t>
        </is>
      </c>
      <c r="S13" s="360" t="inlineStr">
        <is>
          <t>４</t>
        </is>
      </c>
      <c r="T13" s="338" t="inlineStr">
        <is>
          <t>月</t>
        </is>
      </c>
      <c r="U13" s="360" t="inlineStr">
        <is>
          <t>1</t>
        </is>
      </c>
      <c r="V13" s="340" t="inlineStr">
        <is>
          <t>日</t>
        </is>
      </c>
      <c r="W13" s="2556" t="inlineStr">
        <is>
          <t>○</t>
        </is>
      </c>
      <c r="X13" s="4110" t="n"/>
      <c r="Y13" s="4569" t="inlineStr">
        <is>
          <t>１５</t>
        </is>
      </c>
      <c r="Z13" s="4189" t="n"/>
      <c r="AA13" s="2560" t="inlineStr">
        <is>
          <t>平成２４</t>
        </is>
      </c>
      <c r="AB13" s="4110" t="n"/>
      <c r="AC13" s="4110" t="n"/>
      <c r="AD13" s="338" t="inlineStr">
        <is>
          <t>年</t>
        </is>
      </c>
      <c r="AE13" s="360" t="inlineStr">
        <is>
          <t>４</t>
        </is>
      </c>
      <c r="AF13" s="338" t="inlineStr">
        <is>
          <t>月</t>
        </is>
      </c>
      <c r="AG13" s="360" t="inlineStr">
        <is>
          <t>１</t>
        </is>
      </c>
      <c r="AH13" s="341" t="inlineStr">
        <is>
          <t>日</t>
        </is>
      </c>
    </row>
    <row r="14" ht="17.25" customFormat="1" customHeight="1" s="337">
      <c r="A14" s="4097" t="n"/>
      <c r="B14" s="4107" t="n"/>
      <c r="C14" s="2469" t="inlineStr">
        <is>
          <t>自立訓練</t>
        </is>
      </c>
      <c r="D14" s="4098" t="n"/>
      <c r="E14" s="4099" t="n"/>
      <c r="F14" s="2470" t="inlineStr">
        <is>
          <t>機能訓練</t>
        </is>
      </c>
      <c r="G14" s="4110" t="n"/>
      <c r="H14" s="4110" t="n"/>
      <c r="I14" s="4110" t="n"/>
      <c r="J14" s="4111" t="n"/>
      <c r="K14" s="997" t="inlineStr">
        <is>
          <t xml:space="preserve">　</t>
        </is>
      </c>
      <c r="L14" s="4110" t="n"/>
      <c r="M14" s="4547" t="n"/>
      <c r="N14" s="4189" t="n"/>
      <c r="O14" s="2478" t="n"/>
      <c r="P14" s="4110" t="n"/>
      <c r="Q14" s="4110" t="n"/>
      <c r="R14" s="338" t="inlineStr">
        <is>
          <t>年</t>
        </is>
      </c>
      <c r="S14" s="339" t="n"/>
      <c r="T14" s="338" t="inlineStr">
        <is>
          <t>月</t>
        </is>
      </c>
      <c r="U14" s="339" t="n"/>
      <c r="V14" s="340" t="inlineStr">
        <is>
          <t>日</t>
        </is>
      </c>
      <c r="W14" s="997" t="inlineStr">
        <is>
          <t xml:space="preserve">　</t>
        </is>
      </c>
      <c r="X14" s="4110" t="n"/>
      <c r="Y14" s="4547" t="n"/>
      <c r="Z14" s="4189" t="n"/>
      <c r="AA14" s="2478" t="n"/>
      <c r="AB14" s="4110" t="n"/>
      <c r="AC14" s="4110" t="n"/>
      <c r="AD14" s="338" t="inlineStr">
        <is>
          <t>年</t>
        </is>
      </c>
      <c r="AE14" s="339" t="n"/>
      <c r="AF14" s="338" t="inlineStr">
        <is>
          <t>月</t>
        </is>
      </c>
      <c r="AG14" s="339" t="n"/>
      <c r="AH14" s="341" t="inlineStr">
        <is>
          <t>日</t>
        </is>
      </c>
    </row>
    <row r="15" ht="17.25" customFormat="1" customHeight="1" s="337">
      <c r="A15" s="4097" t="n"/>
      <c r="B15" s="4107" t="n"/>
      <c r="C15" s="4102" t="n"/>
      <c r="D15" s="4103" t="n"/>
      <c r="E15" s="4104" t="n"/>
      <c r="F15" s="2470" t="inlineStr">
        <is>
          <t>生活訓練</t>
        </is>
      </c>
      <c r="G15" s="4110" t="n"/>
      <c r="H15" s="4110" t="n"/>
      <c r="I15" s="4110" t="n"/>
      <c r="J15" s="4111" t="n"/>
      <c r="K15" s="997" t="inlineStr">
        <is>
          <t xml:space="preserve">　</t>
        </is>
      </c>
      <c r="L15" s="4110" t="n"/>
      <c r="M15" s="4547" t="n"/>
      <c r="N15" s="4189" t="n"/>
      <c r="O15" s="2478" t="n"/>
      <c r="P15" s="4110" t="n"/>
      <c r="Q15" s="4110" t="n"/>
      <c r="R15" s="338" t="inlineStr">
        <is>
          <t>年</t>
        </is>
      </c>
      <c r="S15" s="339" t="n"/>
      <c r="T15" s="338" t="inlineStr">
        <is>
          <t>月</t>
        </is>
      </c>
      <c r="U15" s="339" t="n"/>
      <c r="V15" s="340" t="inlineStr">
        <is>
          <t>日</t>
        </is>
      </c>
      <c r="W15" s="997" t="inlineStr">
        <is>
          <t xml:space="preserve">　</t>
        </is>
      </c>
      <c r="X15" s="4110" t="n"/>
      <c r="Y15" s="4547" t="n"/>
      <c r="Z15" s="4189" t="n"/>
      <c r="AA15" s="2478" t="n"/>
      <c r="AB15" s="4110" t="n"/>
      <c r="AC15" s="4110" t="n"/>
      <c r="AD15" s="338" t="inlineStr">
        <is>
          <t>年</t>
        </is>
      </c>
      <c r="AE15" s="339" t="n"/>
      <c r="AF15" s="338" t="inlineStr">
        <is>
          <t>月</t>
        </is>
      </c>
      <c r="AG15" s="339" t="n"/>
      <c r="AH15" s="341" t="inlineStr">
        <is>
          <t>日</t>
        </is>
      </c>
    </row>
    <row r="16" ht="17.25" customFormat="1" customHeight="1" s="337">
      <c r="A16" s="4097" t="n"/>
      <c r="B16" s="4107" t="n"/>
      <c r="C16" s="2493" t="inlineStr">
        <is>
          <t>就労移行支援</t>
        </is>
      </c>
      <c r="D16" s="4110" t="n"/>
      <c r="E16" s="4110" t="n"/>
      <c r="F16" s="4110" t="n"/>
      <c r="G16" s="4110" t="n"/>
      <c r="H16" s="4110" t="n"/>
      <c r="I16" s="4110" t="n"/>
      <c r="J16" s="4111" t="n"/>
      <c r="K16" s="997" t="inlineStr">
        <is>
          <t xml:space="preserve">　</t>
        </is>
      </c>
      <c r="L16" s="4110" t="n"/>
      <c r="M16" s="4547" t="n"/>
      <c r="N16" s="4189" t="n"/>
      <c r="O16" s="2478" t="n"/>
      <c r="P16" s="4110" t="n"/>
      <c r="Q16" s="4110" t="n"/>
      <c r="R16" s="338" t="inlineStr">
        <is>
          <t>年</t>
        </is>
      </c>
      <c r="S16" s="339" t="n"/>
      <c r="T16" s="338" t="inlineStr">
        <is>
          <t>月</t>
        </is>
      </c>
      <c r="U16" s="339" t="n"/>
      <c r="V16" s="340" t="inlineStr">
        <is>
          <t>日</t>
        </is>
      </c>
      <c r="W16" s="997" t="inlineStr">
        <is>
          <t xml:space="preserve">　</t>
        </is>
      </c>
      <c r="X16" s="4110" t="n"/>
      <c r="Y16" s="4547" t="n"/>
      <c r="Z16" s="4189" t="n"/>
      <c r="AA16" s="2478" t="n"/>
      <c r="AB16" s="4110" t="n"/>
      <c r="AC16" s="4110" t="n"/>
      <c r="AD16" s="338" t="inlineStr">
        <is>
          <t>年</t>
        </is>
      </c>
      <c r="AE16" s="339" t="n"/>
      <c r="AF16" s="338" t="inlineStr">
        <is>
          <t>月</t>
        </is>
      </c>
      <c r="AG16" s="339" t="n"/>
      <c r="AH16" s="341" t="inlineStr">
        <is>
          <t>日</t>
        </is>
      </c>
    </row>
    <row r="17" ht="17.25" customFormat="1" customHeight="1" s="337">
      <c r="A17" s="4097" t="n"/>
      <c r="B17" s="4107" t="n"/>
      <c r="C17" s="2490" t="inlineStr">
        <is>
          <t>就労継続支援</t>
        </is>
      </c>
      <c r="D17" s="4098" t="n"/>
      <c r="E17" s="4099" t="n"/>
      <c r="F17" s="2492" t="inlineStr">
        <is>
          <t>Ａ型（雇 用 型）</t>
        </is>
      </c>
      <c r="G17" s="4098" t="n"/>
      <c r="H17" s="4098" t="n"/>
      <c r="I17" s="4098" t="n"/>
      <c r="J17" s="4099" t="n"/>
      <c r="K17" s="997" t="inlineStr">
        <is>
          <t xml:space="preserve">　</t>
        </is>
      </c>
      <c r="L17" s="4110" t="n"/>
      <c r="M17" s="4547" t="n"/>
      <c r="N17" s="4189" t="n"/>
      <c r="O17" s="2478" t="n"/>
      <c r="P17" s="4110" t="n"/>
      <c r="Q17" s="4110" t="n"/>
      <c r="R17" s="338" t="inlineStr">
        <is>
          <t>年</t>
        </is>
      </c>
      <c r="S17" s="339" t="n"/>
      <c r="T17" s="338" t="inlineStr">
        <is>
          <t>月</t>
        </is>
      </c>
      <c r="U17" s="339" t="n"/>
      <c r="V17" s="340" t="inlineStr">
        <is>
          <t>日</t>
        </is>
      </c>
      <c r="W17" s="997" t="inlineStr">
        <is>
          <t xml:space="preserve">　</t>
        </is>
      </c>
      <c r="X17" s="4110" t="n"/>
      <c r="Y17" s="4547" t="n"/>
      <c r="Z17" s="4189" t="n"/>
      <c r="AA17" s="2478" t="n"/>
      <c r="AB17" s="4110" t="n"/>
      <c r="AC17" s="4110" t="n"/>
      <c r="AD17" s="338" t="inlineStr">
        <is>
          <t>年</t>
        </is>
      </c>
      <c r="AE17" s="339" t="n"/>
      <c r="AF17" s="338" t="inlineStr">
        <is>
          <t>月</t>
        </is>
      </c>
      <c r="AG17" s="339" t="n"/>
      <c r="AH17" s="341" t="inlineStr">
        <is>
          <t>日</t>
        </is>
      </c>
    </row>
    <row r="18" ht="17.25" customFormat="1" customHeight="1" s="337">
      <c r="A18" s="4097" t="n"/>
      <c r="B18" s="4107" t="n"/>
      <c r="C18" s="4102" t="n"/>
      <c r="D18" s="4103" t="n"/>
      <c r="E18" s="4104" t="n"/>
      <c r="F18" s="2493" t="inlineStr">
        <is>
          <t>Ｂ型（非雇用型）</t>
        </is>
      </c>
      <c r="G18" s="4110" t="n"/>
      <c r="H18" s="4110" t="n"/>
      <c r="I18" s="4110" t="n"/>
      <c r="J18" s="4111" t="n"/>
      <c r="K18" s="2556" t="inlineStr">
        <is>
          <t>○</t>
        </is>
      </c>
      <c r="L18" s="4110" t="n"/>
      <c r="M18" s="4569" t="inlineStr">
        <is>
          <t>２０</t>
        </is>
      </c>
      <c r="N18" s="4189" t="n"/>
      <c r="O18" s="2560" t="inlineStr">
        <is>
          <t>平成２０</t>
        </is>
      </c>
      <c r="P18" s="4110" t="n"/>
      <c r="Q18" s="4110" t="n"/>
      <c r="R18" s="338" t="inlineStr">
        <is>
          <t>年</t>
        </is>
      </c>
      <c r="S18" s="360" t="inlineStr">
        <is>
          <t>４</t>
        </is>
      </c>
      <c r="T18" s="338" t="inlineStr">
        <is>
          <t>月</t>
        </is>
      </c>
      <c r="U18" s="360" t="inlineStr">
        <is>
          <t>1</t>
        </is>
      </c>
      <c r="V18" s="340" t="inlineStr">
        <is>
          <t>日</t>
        </is>
      </c>
      <c r="W18" s="997" t="inlineStr">
        <is>
          <t xml:space="preserve">　</t>
        </is>
      </c>
      <c r="X18" s="4110" t="n"/>
      <c r="Y18" s="4547" t="n"/>
      <c r="Z18" s="4189" t="n"/>
      <c r="AA18" s="2478" t="n"/>
      <c r="AB18" s="4110" t="n"/>
      <c r="AC18" s="4110" t="n"/>
      <c r="AD18" s="338" t="inlineStr">
        <is>
          <t>年</t>
        </is>
      </c>
      <c r="AE18" s="339" t="n"/>
      <c r="AF18" s="338" t="inlineStr">
        <is>
          <t>月</t>
        </is>
      </c>
      <c r="AG18" s="339" t="n"/>
      <c r="AH18" s="341" t="inlineStr">
        <is>
          <t>日</t>
        </is>
      </c>
    </row>
    <row r="19" ht="17.25" customFormat="1" customHeight="1" s="337">
      <c r="A19" s="4097" t="n"/>
      <c r="B19" s="4107" t="n"/>
      <c r="C19" s="2470" t="inlineStr">
        <is>
          <t>放課後等デイサービス</t>
        </is>
      </c>
      <c r="D19" s="4110" t="n"/>
      <c r="E19" s="4110" t="n"/>
      <c r="F19" s="4110" t="n"/>
      <c r="G19" s="4110" t="n"/>
      <c r="H19" s="4110" t="n"/>
      <c r="I19" s="4110" t="n"/>
      <c r="J19" s="4111" t="n"/>
      <c r="K19" s="997" t="inlineStr">
        <is>
          <t xml:space="preserve">　</t>
        </is>
      </c>
      <c r="L19" s="4110" t="n"/>
      <c r="M19" s="4547" t="n"/>
      <c r="N19" s="4189" t="n"/>
      <c r="O19" s="2478" t="n"/>
      <c r="P19" s="4110" t="n"/>
      <c r="Q19" s="4110" t="n"/>
      <c r="R19" s="338" t="inlineStr">
        <is>
          <t>年</t>
        </is>
      </c>
      <c r="S19" s="339" t="n"/>
      <c r="T19" s="338" t="inlineStr">
        <is>
          <t>月</t>
        </is>
      </c>
      <c r="U19" s="339" t="n"/>
      <c r="V19" s="340" t="inlineStr">
        <is>
          <t>日</t>
        </is>
      </c>
      <c r="W19" s="997" t="inlineStr">
        <is>
          <t xml:space="preserve">　</t>
        </is>
      </c>
      <c r="X19" s="4110" t="n"/>
      <c r="Y19" s="4547" t="n"/>
      <c r="Z19" s="4189" t="n"/>
      <c r="AA19" s="2478" t="n"/>
      <c r="AB19" s="4110" t="n"/>
      <c r="AC19" s="4110" t="n"/>
      <c r="AD19" s="338" t="inlineStr">
        <is>
          <t>年</t>
        </is>
      </c>
      <c r="AE19" s="339" t="n"/>
      <c r="AF19" s="338" t="inlineStr">
        <is>
          <t>月</t>
        </is>
      </c>
      <c r="AG19" s="339" t="n"/>
      <c r="AH19" s="341" t="inlineStr">
        <is>
          <t>日</t>
        </is>
      </c>
    </row>
    <row r="20" ht="15" customHeight="1" s="4080" thickBot="1">
      <c r="A20" s="4086" t="n"/>
      <c r="B20" s="4410" t="n"/>
      <c r="C20" s="4551" t="inlineStr">
        <is>
          <t>児童発達支援</t>
        </is>
      </c>
      <c r="D20" s="4153" t="n"/>
      <c r="E20" s="4153" t="n"/>
      <c r="F20" s="4153" t="n"/>
      <c r="G20" s="4153" t="n"/>
      <c r="H20" s="4153" t="n"/>
      <c r="I20" s="4153" t="n"/>
      <c r="J20" s="4154" t="n"/>
      <c r="K20" s="2517" t="inlineStr">
        <is>
          <t xml:space="preserve">　</t>
        </is>
      </c>
      <c r="L20" s="4153" t="n"/>
      <c r="M20" s="4552" t="n"/>
      <c r="N20" s="4553" t="n"/>
      <c r="O20" s="2501" t="n"/>
      <c r="P20" s="4153" t="n"/>
      <c r="Q20" s="4153" t="n"/>
      <c r="R20" s="346" t="inlineStr">
        <is>
          <t>年</t>
        </is>
      </c>
      <c r="S20" s="347" t="n"/>
      <c r="T20" s="346" t="inlineStr">
        <is>
          <t>月</t>
        </is>
      </c>
      <c r="U20" s="347" t="n"/>
      <c r="V20" s="348" t="inlineStr">
        <is>
          <t>日</t>
        </is>
      </c>
      <c r="W20" s="2517" t="inlineStr">
        <is>
          <t xml:space="preserve">　</t>
        </is>
      </c>
      <c r="X20" s="4153" t="n"/>
      <c r="Y20" s="4552" t="n"/>
      <c r="Z20" s="4553" t="n"/>
      <c r="AA20" s="2501" t="n"/>
      <c r="AB20" s="4153" t="n"/>
      <c r="AC20" s="4153" t="n"/>
      <c r="AD20" s="346" t="inlineStr">
        <is>
          <t>年</t>
        </is>
      </c>
      <c r="AE20" s="347" t="n"/>
      <c r="AF20" s="346" t="inlineStr">
        <is>
          <t>月</t>
        </is>
      </c>
      <c r="AG20" s="347" t="n"/>
      <c r="AH20" s="349" t="inlineStr">
        <is>
          <t>日</t>
        </is>
      </c>
    </row>
    <row r="21" ht="9" customHeight="1" s="4080" thickBot="1">
      <c r="A21" s="350" t="n"/>
      <c r="B21" s="350" t="n"/>
      <c r="C21" s="351" t="n"/>
      <c r="D21" s="351" t="n"/>
      <c r="E21" s="351" t="n"/>
      <c r="F21" s="351" t="n"/>
      <c r="G21" s="351" t="n"/>
      <c r="H21" s="351" t="n"/>
      <c r="I21" s="351" t="n"/>
      <c r="J21" s="351" t="n"/>
      <c r="K21" s="352" t="n"/>
      <c r="L21" s="352" t="n"/>
      <c r="M21" s="352" t="n"/>
      <c r="N21" s="352" t="n"/>
      <c r="O21" s="353" t="n"/>
      <c r="P21" s="353" t="n"/>
      <c r="Q21" s="353" t="n"/>
      <c r="R21" s="354" t="n"/>
      <c r="S21" s="355" t="n"/>
      <c r="T21" s="354" t="n"/>
      <c r="U21" s="355" t="n"/>
      <c r="V21" s="354" t="n"/>
      <c r="W21" s="352" t="n"/>
      <c r="X21" s="352" t="n"/>
      <c r="Y21" s="352" t="n"/>
      <c r="Z21" s="352" t="n"/>
      <c r="AA21" s="353" t="n"/>
      <c r="AB21" s="353" t="n"/>
      <c r="AC21" s="353" t="n"/>
      <c r="AD21" s="354" t="n"/>
      <c r="AE21" s="355" t="n"/>
      <c r="AF21" s="354" t="n"/>
      <c r="AG21" s="355" t="n"/>
      <c r="AH21" s="354" t="n"/>
    </row>
    <row r="22" ht="12" customHeight="1" s="4080">
      <c r="A22" s="4554" t="inlineStr">
        <is>
          <t>従　　　　た　　　　る　　　　事　　　　業　　　　所</t>
        </is>
      </c>
      <c r="B22" s="2506" t="inlineStr">
        <is>
          <t>１</t>
        </is>
      </c>
      <c r="C22" s="4180" t="inlineStr">
        <is>
          <t>ﾌﾘｶﾞﾅ</t>
        </is>
      </c>
      <c r="D22" s="4093" t="n"/>
      <c r="E22" s="4094" t="n"/>
      <c r="F22" s="4570" t="inlineStr">
        <is>
          <t>ｵｵｻｶｶﾞｲﾌｸｼｻｰﾋﾞｽｾﾝﾀｰ</t>
        </is>
      </c>
      <c r="G22" s="4093" t="n"/>
      <c r="H22" s="4093" t="n"/>
      <c r="I22" s="4093" t="n"/>
      <c r="J22" s="4093" t="n"/>
      <c r="K22" s="4093" t="n"/>
      <c r="L22" s="4093" t="n"/>
      <c r="M22" s="4093" t="n"/>
      <c r="N22" s="4093" t="n"/>
      <c r="O22" s="4093" t="n"/>
      <c r="P22" s="4093" t="n"/>
      <c r="Q22" s="4093" t="n"/>
      <c r="R22" s="4093" t="n"/>
      <c r="S22" s="4093" t="n"/>
      <c r="T22" s="4093" t="n"/>
      <c r="U22" s="4093" t="n"/>
      <c r="V22" s="4093" t="n"/>
      <c r="W22" s="4093" t="n"/>
      <c r="X22" s="4093" t="n"/>
      <c r="Y22" s="4093" t="n"/>
      <c r="Z22" s="4093" t="n"/>
      <c r="AA22" s="4093" t="n"/>
      <c r="AB22" s="4093" t="n"/>
      <c r="AC22" s="4093" t="n"/>
      <c r="AD22" s="4093" t="n"/>
      <c r="AE22" s="4093" t="n"/>
      <c r="AF22" s="4093" t="n"/>
      <c r="AG22" s="4093" t="n"/>
      <c r="AH22" s="4096" t="n"/>
    </row>
    <row r="23" ht="29.25" customHeight="1" s="4080">
      <c r="A23" s="4556" t="n"/>
      <c r="B23" s="4208" t="n"/>
      <c r="C23" s="4268" t="inlineStr">
        <is>
          <t>名　称</t>
        </is>
      </c>
      <c r="D23" s="4098" t="n"/>
      <c r="E23" s="4099" t="n"/>
      <c r="F23" s="4557" t="inlineStr">
        <is>
          <t>大阪障がい福祉サービスセンター</t>
        </is>
      </c>
      <c r="AH23" s="4109" t="n"/>
    </row>
    <row r="24" ht="13.5" customHeight="1" s="4080">
      <c r="A24" s="4556" t="n"/>
      <c r="B24" s="4208" t="n"/>
      <c r="C24" s="4181" t="inlineStr">
        <is>
          <t>所在地</t>
        </is>
      </c>
      <c r="D24" s="4098" t="n"/>
      <c r="E24" s="4099" t="n"/>
      <c r="F24" s="1244" t="inlineStr">
        <is>
          <t>郵便番号（</t>
        </is>
      </c>
      <c r="G24" s="4098" t="n"/>
      <c r="H24" s="4098" t="n"/>
      <c r="I24" s="4098" t="n"/>
      <c r="J24" s="2094" t="inlineStr">
        <is>
          <t>５３０－８２０１</t>
        </is>
      </c>
      <c r="K24" s="4098" t="n"/>
      <c r="L24" s="4098" t="n"/>
      <c r="M24" s="4098" t="n"/>
      <c r="N24" s="4098" t="n"/>
      <c r="O24" s="1329" t="inlineStr">
        <is>
          <t>）</t>
        </is>
      </c>
      <c r="P24" s="4571" t="inlineStr">
        <is>
          <t>大手前２－１－２２</t>
        </is>
      </c>
      <c r="Q24" s="4098" t="n"/>
      <c r="R24" s="4098" t="n"/>
      <c r="S24" s="4098" t="n"/>
      <c r="T24" s="4098" t="n"/>
      <c r="U24" s="4098" t="n"/>
      <c r="V24" s="4098" t="n"/>
      <c r="W24" s="4098" t="n"/>
      <c r="X24" s="4098" t="n"/>
      <c r="Y24" s="4098" t="n"/>
      <c r="Z24" s="4098" t="n"/>
      <c r="AA24" s="4098" t="n"/>
      <c r="AB24" s="4098" t="n"/>
      <c r="AC24" s="4098" t="n"/>
      <c r="AD24" s="4098" t="n"/>
      <c r="AE24" s="4098" t="n"/>
      <c r="AF24" s="4098" t="n"/>
      <c r="AG24" s="4098" t="n"/>
      <c r="AH24" s="4101" t="n"/>
    </row>
    <row r="25" ht="10.5" customHeight="1" s="4080">
      <c r="A25" s="4556" t="n"/>
      <c r="B25" s="4208" t="n"/>
      <c r="C25" s="4106" t="n"/>
      <c r="E25" s="4107" t="n"/>
      <c r="F25" s="1255" t="inlineStr">
        <is>
          <t>大阪市</t>
        </is>
      </c>
      <c r="I25" s="2575" t="inlineStr">
        <is>
          <t>中央</t>
        </is>
      </c>
      <c r="N25" s="1260" t="inlineStr">
        <is>
          <t>区</t>
        </is>
      </c>
      <c r="AH25" s="4109" t="n"/>
    </row>
    <row r="26" ht="10.5" customHeight="1" s="4080">
      <c r="A26" s="4556" t="n"/>
      <c r="B26" s="4208" t="n"/>
      <c r="C26" s="4102" t="n"/>
      <c r="D26" s="4103" t="n"/>
      <c r="E26" s="4104" t="n"/>
      <c r="F26" s="4102" t="n"/>
      <c r="G26" s="4103" t="n"/>
      <c r="H26" s="4103" t="n"/>
      <c r="I26" s="4103" t="n"/>
      <c r="J26" s="4103" t="n"/>
      <c r="K26" s="4103" t="n"/>
      <c r="L26" s="4103" t="n"/>
      <c r="M26" s="4103" t="n"/>
      <c r="N26" s="4103" t="n"/>
      <c r="O26" s="4103" t="n"/>
      <c r="P26" s="4103" t="n"/>
      <c r="Q26" s="4103" t="n"/>
      <c r="R26" s="4103" t="n"/>
      <c r="S26" s="4103" t="n"/>
      <c r="T26" s="4103" t="n"/>
      <c r="U26" s="4103" t="n"/>
      <c r="V26" s="4103" t="n"/>
      <c r="W26" s="4103" t="n"/>
      <c r="X26" s="4103" t="n"/>
      <c r="Y26" s="4103" t="n"/>
      <c r="Z26" s="4103" t="n"/>
      <c r="AA26" s="4103" t="n"/>
      <c r="AB26" s="4103" t="n"/>
      <c r="AC26" s="4103" t="n"/>
      <c r="AD26" s="4103" t="n"/>
      <c r="AE26" s="4103" t="n"/>
      <c r="AF26" s="4103" t="n"/>
      <c r="AG26" s="4103" t="n"/>
      <c r="AH26" s="4105" t="n"/>
    </row>
    <row r="27" ht="14.25" customHeight="1" s="4080">
      <c r="A27" s="4556" t="n"/>
      <c r="B27" s="4208" t="n"/>
      <c r="C27" s="4558" t="inlineStr">
        <is>
          <t>連絡先</t>
        </is>
      </c>
      <c r="D27" s="4098" t="n"/>
      <c r="E27" s="4098" t="n"/>
      <c r="F27" s="4274" t="inlineStr">
        <is>
          <t>電話番号</t>
        </is>
      </c>
      <c r="G27" s="4110" t="n"/>
      <c r="H27" s="4111" t="n"/>
      <c r="I27" s="1479" t="inlineStr">
        <is>
          <t>０６</t>
        </is>
      </c>
      <c r="J27" s="4110" t="n"/>
      <c r="K27" s="4110" t="n"/>
      <c r="L27" s="53" t="inlineStr">
        <is>
          <t>－</t>
        </is>
      </c>
      <c r="M27" s="1150" t="inlineStr">
        <is>
          <t>６２４１</t>
        </is>
      </c>
      <c r="N27" s="4110" t="n"/>
      <c r="O27" s="4110" t="n"/>
      <c r="P27" s="53" t="inlineStr">
        <is>
          <t>－</t>
        </is>
      </c>
      <c r="Q27" s="1482" t="inlineStr">
        <is>
          <t>６５２１</t>
        </is>
      </c>
      <c r="R27" s="4110" t="n"/>
      <c r="S27" s="4111" t="n"/>
      <c r="T27" s="4184" t="inlineStr">
        <is>
          <t>ＦＡＸ番号</t>
        </is>
      </c>
      <c r="U27" s="4110" t="n"/>
      <c r="V27" s="4110" t="n"/>
      <c r="W27" s="4111" t="n"/>
      <c r="X27" s="1479" t="inlineStr">
        <is>
          <t>０６</t>
        </is>
      </c>
      <c r="Y27" s="4110" t="n"/>
      <c r="Z27" s="4110" t="n"/>
      <c r="AA27" s="53" t="inlineStr">
        <is>
          <t>－</t>
        </is>
      </c>
      <c r="AB27" s="1150" t="inlineStr">
        <is>
          <t>６２４１</t>
        </is>
      </c>
      <c r="AC27" s="4110" t="n"/>
      <c r="AD27" s="4110" t="n"/>
      <c r="AE27" s="53" t="inlineStr">
        <is>
          <t>－</t>
        </is>
      </c>
      <c r="AF27" s="1483" t="inlineStr">
        <is>
          <t>６６０９</t>
        </is>
      </c>
      <c r="AG27" s="4110" t="n"/>
      <c r="AH27" s="4113" t="n"/>
    </row>
    <row r="28" ht="14.25" customHeight="1" s="4080" thickBot="1">
      <c r="A28" s="4556" t="n"/>
      <c r="B28" s="4208" t="n"/>
      <c r="C28" s="4540" t="n"/>
      <c r="D28" s="4541" t="n"/>
      <c r="E28" s="4541" t="n"/>
      <c r="F28" s="4442" t="inlineStr">
        <is>
          <t>メールアドレス</t>
        </is>
      </c>
      <c r="G28" s="4443" t="n"/>
      <c r="H28" s="4443" t="n"/>
      <c r="I28" s="4443" t="n"/>
      <c r="J28" s="4444" t="n"/>
      <c r="K28" s="4568" t="inlineStr">
        <is>
          <t>fa0260@city.osaka.lg.jp</t>
        </is>
      </c>
      <c r="L28" s="4443" t="n"/>
      <c r="M28" s="4443" t="n"/>
      <c r="N28" s="4443" t="n"/>
      <c r="O28" s="4443" t="n"/>
      <c r="P28" s="4443" t="n"/>
      <c r="Q28" s="4443" t="n"/>
      <c r="R28" s="4443" t="n"/>
      <c r="S28" s="4443" t="n"/>
      <c r="T28" s="4443" t="n"/>
      <c r="U28" s="4443" t="n"/>
      <c r="V28" s="4443" t="n"/>
      <c r="W28" s="4443" t="n"/>
      <c r="X28" s="4443" t="n"/>
      <c r="Y28" s="4443" t="n"/>
      <c r="Z28" s="4443" t="n"/>
      <c r="AA28" s="4443" t="n"/>
      <c r="AB28" s="4443" t="n"/>
      <c r="AC28" s="4443" t="n"/>
      <c r="AD28" s="4443" t="n"/>
      <c r="AE28" s="4443" t="n"/>
      <c r="AF28" s="4443" t="n"/>
      <c r="AG28" s="4443" t="n"/>
      <c r="AH28" s="4447" t="n"/>
    </row>
    <row r="29" ht="12" customHeight="1" s="4080" thickTop="1">
      <c r="A29" s="4556" t="n"/>
      <c r="B29" s="4208" t="n"/>
      <c r="C29" s="4559" t="inlineStr">
        <is>
          <t>サービス種別</t>
        </is>
      </c>
      <c r="D29" s="4369" t="n"/>
      <c r="E29" s="4369" t="n"/>
      <c r="F29" s="4369" t="n"/>
      <c r="G29" s="4369" t="n"/>
      <c r="H29" s="4369" t="n"/>
      <c r="I29" s="4369" t="n"/>
      <c r="J29" s="4369" t="n"/>
      <c r="K29" s="4369" t="n"/>
      <c r="L29" s="4370" t="n"/>
      <c r="M29" s="4560" t="inlineStr">
        <is>
          <t>生活介護</t>
        </is>
      </c>
      <c r="N29" s="4369" t="n"/>
      <c r="O29" s="4370" t="n"/>
      <c r="P29" s="4561" t="inlineStr">
        <is>
          <t>自立訓練</t>
        </is>
      </c>
      <c r="Q29" s="4369" t="n"/>
      <c r="R29" s="4369" t="n"/>
      <c r="S29" s="4369" t="n"/>
      <c r="T29" s="4369" t="n"/>
      <c r="U29" s="4370" t="n"/>
      <c r="V29" s="4559" t="inlineStr">
        <is>
          <t>就労移行
支　　援</t>
        </is>
      </c>
      <c r="W29" s="4369" t="n"/>
      <c r="X29" s="4370" t="n"/>
      <c r="Y29" s="4561" t="inlineStr">
        <is>
          <t>就労継続支援</t>
        </is>
      </c>
      <c r="Z29" s="4369" t="n"/>
      <c r="AA29" s="4369" t="n"/>
      <c r="AB29" s="4369" t="n"/>
      <c r="AC29" s="4369" t="n"/>
      <c r="AD29" s="4370" t="n"/>
      <c r="AE29" s="4562" t="inlineStr">
        <is>
          <t>放課後等デイサービス
児童発達支援</t>
        </is>
      </c>
      <c r="AF29" s="4369" t="n"/>
      <c r="AG29" s="4369" t="n"/>
      <c r="AH29" s="4391" t="n"/>
    </row>
    <row r="30" ht="12" customHeight="1" s="4080">
      <c r="A30" s="4556" t="n"/>
      <c r="B30" s="4208" t="n"/>
      <c r="C30" s="4106" t="n"/>
      <c r="L30" s="4107" t="n"/>
      <c r="M30" s="4106" t="n"/>
      <c r="O30" s="4107" t="n"/>
      <c r="P30" s="4102" t="n"/>
      <c r="Q30" s="4103" t="n"/>
      <c r="R30" s="4103" t="n"/>
      <c r="S30" s="4103" t="n"/>
      <c r="T30" s="4103" t="n"/>
      <c r="U30" s="4104" t="n"/>
      <c r="V30" s="4106" t="n"/>
      <c r="X30" s="4107" t="n"/>
      <c r="Y30" s="4102" t="n"/>
      <c r="Z30" s="4103" t="n"/>
      <c r="AA30" s="4103" t="n"/>
      <c r="AB30" s="4103" t="n"/>
      <c r="AC30" s="4103" t="n"/>
      <c r="AD30" s="4104" t="n"/>
      <c r="AE30" s="4106" t="n"/>
      <c r="AH30" s="4109" t="n"/>
    </row>
    <row r="31" ht="12" customHeight="1" s="4080">
      <c r="A31" s="4556" t="n"/>
      <c r="B31" s="4208" t="n"/>
      <c r="C31" s="4102" t="n"/>
      <c r="D31" s="4103" t="n"/>
      <c r="E31" s="4103" t="n"/>
      <c r="F31" s="4103" t="n"/>
      <c r="G31" s="4103" t="n"/>
      <c r="H31" s="4103" t="n"/>
      <c r="I31" s="4103" t="n"/>
      <c r="J31" s="4103" t="n"/>
      <c r="K31" s="4103" t="n"/>
      <c r="L31" s="4104" t="n"/>
      <c r="M31" s="4102" t="n"/>
      <c r="N31" s="4103" t="n"/>
      <c r="O31" s="4104" t="n"/>
      <c r="P31" s="2542" t="inlineStr">
        <is>
          <t>機能訓練</t>
        </is>
      </c>
      <c r="Q31" s="4110" t="n"/>
      <c r="R31" s="4111" t="n"/>
      <c r="S31" s="2542" t="inlineStr">
        <is>
          <t>生活訓練</t>
        </is>
      </c>
      <c r="T31" s="4110" t="n"/>
      <c r="U31" s="4111" t="n"/>
      <c r="V31" s="4102" t="n"/>
      <c r="W31" s="4103" t="n"/>
      <c r="X31" s="4104" t="n"/>
      <c r="Y31" s="2542" t="inlineStr">
        <is>
          <t>Ａ　型</t>
        </is>
      </c>
      <c r="Z31" s="4110" t="n"/>
      <c r="AA31" s="4111" t="n"/>
      <c r="AB31" s="2542" t="inlineStr">
        <is>
          <t>Ｂ　型</t>
        </is>
      </c>
      <c r="AC31" s="4110" t="n"/>
      <c r="AD31" s="4111" t="n"/>
      <c r="AE31" s="4102" t="n"/>
      <c r="AF31" s="4103" t="n"/>
      <c r="AG31" s="4103" t="n"/>
      <c r="AH31" s="4105" t="n"/>
    </row>
    <row r="32" ht="16.5" customHeight="1" s="4080">
      <c r="A32" s="4556" t="n"/>
      <c r="B32" s="4208" t="n"/>
      <c r="C32" s="1437" t="inlineStr">
        <is>
          <t>実施中の事業</t>
        </is>
      </c>
      <c r="D32" s="4098" t="n"/>
      <c r="E32" s="4098" t="n"/>
      <c r="F32" s="4098" t="n"/>
      <c r="G32" s="4098" t="n"/>
      <c r="H32" s="4098" t="n"/>
      <c r="I32" s="356" t="n"/>
      <c r="J32" s="356" t="n"/>
      <c r="K32" s="356" t="n"/>
      <c r="L32" s="356" t="n"/>
      <c r="M32" s="4563" t="n"/>
      <c r="N32" s="4110" t="n"/>
      <c r="O32" s="4111" t="n"/>
      <c r="P32" s="4563" t="n"/>
      <c r="Q32" s="4110" t="n"/>
      <c r="R32" s="4111" t="n"/>
      <c r="S32" s="4115" t="n"/>
      <c r="T32" s="4110" t="n"/>
      <c r="U32" s="4111" t="n"/>
      <c r="V32" s="4115" t="n"/>
      <c r="W32" s="4110" t="n"/>
      <c r="X32" s="4111" t="n"/>
      <c r="Y32" s="4563" t="n"/>
      <c r="Z32" s="4110" t="n"/>
      <c r="AA32" s="4111" t="n"/>
      <c r="AB32" s="4572" t="inlineStr">
        <is>
          <t>○</t>
        </is>
      </c>
      <c r="AC32" s="4110" t="n"/>
      <c r="AD32" s="4111" t="n"/>
      <c r="AE32" s="4509" t="n"/>
      <c r="AF32" s="4110" t="n"/>
      <c r="AG32" s="4110" t="n"/>
      <c r="AH32" s="4113" t="n"/>
    </row>
    <row r="33" ht="16.5" customHeight="1" s="4080">
      <c r="A33" s="4556" t="n"/>
      <c r="B33" s="4208" t="n"/>
      <c r="C33" s="4102" t="n"/>
      <c r="D33" s="4103" t="n"/>
      <c r="E33" s="4103" t="n"/>
      <c r="F33" s="4103" t="n"/>
      <c r="G33" s="4103" t="n"/>
      <c r="H33" s="4103" t="n"/>
      <c r="I33" s="2542" t="inlineStr">
        <is>
          <t>定員</t>
        </is>
      </c>
      <c r="J33" s="4110" t="n"/>
      <c r="K33" s="4110" t="n"/>
      <c r="L33" s="4111" t="n"/>
      <c r="M33" s="2539" t="n"/>
      <c r="N33" s="4110" t="n"/>
      <c r="O33" s="1268" t="inlineStr">
        <is>
          <t>人</t>
        </is>
      </c>
      <c r="P33" s="2539" t="n"/>
      <c r="Q33" s="4110" t="n"/>
      <c r="R33" s="1268" t="inlineStr">
        <is>
          <t>人</t>
        </is>
      </c>
      <c r="S33" s="997" t="n"/>
      <c r="T33" s="4110" t="n"/>
      <c r="U33" s="1268" t="inlineStr">
        <is>
          <t>人</t>
        </is>
      </c>
      <c r="V33" s="997" t="n"/>
      <c r="W33" s="4110" t="n"/>
      <c r="X33" s="1268" t="inlineStr">
        <is>
          <t>人</t>
        </is>
      </c>
      <c r="Y33" s="2539" t="n"/>
      <c r="Z33" s="4110" t="n"/>
      <c r="AA33" s="1268" t="inlineStr">
        <is>
          <t>人</t>
        </is>
      </c>
      <c r="AB33" s="2556" t="inlineStr">
        <is>
          <t>１０</t>
        </is>
      </c>
      <c r="AC33" s="4110" t="n"/>
      <c r="AD33" s="1268" t="inlineStr">
        <is>
          <t>人</t>
        </is>
      </c>
      <c r="AE33" s="2386" t="inlineStr">
        <is>
          <t xml:space="preserve">　</t>
        </is>
      </c>
      <c r="AF33" s="4110" t="n"/>
      <c r="AG33" s="4110" t="n"/>
      <c r="AH33" s="1902" t="inlineStr">
        <is>
          <t>人</t>
        </is>
      </c>
    </row>
    <row r="34" ht="16.5" customHeight="1" s="4080">
      <c r="A34" s="4556" t="n"/>
      <c r="B34" s="4208" t="n"/>
      <c r="C34" s="1437" t="inlineStr">
        <is>
          <t>追加・変更する事業</t>
        </is>
      </c>
      <c r="D34" s="4098" t="n"/>
      <c r="E34" s="4098" t="n"/>
      <c r="F34" s="4098" t="n"/>
      <c r="G34" s="4098" t="n"/>
      <c r="H34" s="4098" t="n"/>
      <c r="I34" s="357" t="n"/>
      <c r="J34" s="357" t="n"/>
      <c r="K34" s="357" t="n"/>
      <c r="L34" s="357" t="n"/>
      <c r="M34" s="4563" t="n"/>
      <c r="N34" s="4110" t="n"/>
      <c r="O34" s="4111" t="n"/>
      <c r="P34" s="4563" t="n"/>
      <c r="Q34" s="4110" t="n"/>
      <c r="R34" s="4111" t="n"/>
      <c r="S34" s="4115" t="n"/>
      <c r="T34" s="4110" t="n"/>
      <c r="U34" s="4111" t="n"/>
      <c r="V34" s="4115" t="n"/>
      <c r="W34" s="4110" t="n"/>
      <c r="X34" s="4111" t="n"/>
      <c r="Y34" s="4563" t="n"/>
      <c r="Z34" s="4110" t="n"/>
      <c r="AA34" s="4111" t="n"/>
      <c r="AB34" s="4572" t="inlineStr">
        <is>
          <t>○</t>
        </is>
      </c>
      <c r="AC34" s="4110" t="n"/>
      <c r="AD34" s="4111" t="n"/>
      <c r="AE34" s="4509" t="n"/>
      <c r="AF34" s="4110" t="n"/>
      <c r="AG34" s="4110" t="n"/>
      <c r="AH34" s="4113" t="n"/>
    </row>
    <row r="35" ht="16.5" customHeight="1" s="4080" thickBot="1">
      <c r="A35" s="4556" t="n"/>
      <c r="B35" s="4208" t="n"/>
      <c r="C35" s="4102" t="n"/>
      <c r="D35" s="4103" t="n"/>
      <c r="E35" s="4103" t="n"/>
      <c r="F35" s="4103" t="n"/>
      <c r="G35" s="4103" t="n"/>
      <c r="H35" s="4103" t="n"/>
      <c r="I35" s="2542" t="inlineStr">
        <is>
          <t>定員</t>
        </is>
      </c>
      <c r="J35" s="4110" t="n"/>
      <c r="K35" s="4110" t="n"/>
      <c r="L35" s="4111" t="n"/>
      <c r="M35" s="2539" t="n"/>
      <c r="N35" s="4110" t="n"/>
      <c r="O35" s="1268" t="inlineStr">
        <is>
          <t>人</t>
        </is>
      </c>
      <c r="P35" s="2539" t="n"/>
      <c r="Q35" s="4110" t="n"/>
      <c r="R35" s="1268" t="inlineStr">
        <is>
          <t>人</t>
        </is>
      </c>
      <c r="S35" s="997" t="n"/>
      <c r="T35" s="4110" t="n"/>
      <c r="U35" s="1268" t="inlineStr">
        <is>
          <t>人</t>
        </is>
      </c>
      <c r="V35" s="997" t="n"/>
      <c r="W35" s="4110" t="n"/>
      <c r="X35" s="1268" t="inlineStr">
        <is>
          <t>人</t>
        </is>
      </c>
      <c r="Y35" s="2539" t="n"/>
      <c r="Z35" s="4110" t="n"/>
      <c r="AA35" s="1268" t="inlineStr">
        <is>
          <t>人</t>
        </is>
      </c>
      <c r="AB35" s="2556" t="inlineStr">
        <is>
          <t>１５</t>
        </is>
      </c>
      <c r="AC35" s="4110" t="n"/>
      <c r="AD35" s="1268" t="inlineStr">
        <is>
          <t>人</t>
        </is>
      </c>
      <c r="AE35" s="2386" t="inlineStr">
        <is>
          <t xml:space="preserve">　</t>
        </is>
      </c>
      <c r="AF35" s="4110" t="n"/>
      <c r="AG35" s="4110" t="n"/>
      <c r="AH35" s="1902" t="inlineStr">
        <is>
          <t>人</t>
        </is>
      </c>
    </row>
    <row r="36" ht="12" customHeight="1" s="4080">
      <c r="A36" s="4556" t="n"/>
      <c r="B36" s="4514" t="inlineStr">
        <is>
          <t>２</t>
        </is>
      </c>
      <c r="C36" s="4531" t="inlineStr">
        <is>
          <t>ﾌﾘｶﾞﾅ</t>
        </is>
      </c>
      <c r="D36" s="4532" t="n"/>
      <c r="E36" s="4533" t="n"/>
      <c r="F36" s="4555" t="n"/>
      <c r="G36" s="4532" t="n"/>
      <c r="H36" s="4532" t="n"/>
      <c r="I36" s="4532" t="n"/>
      <c r="J36" s="4532" t="n"/>
      <c r="K36" s="4532" t="n"/>
      <c r="L36" s="4532" t="n"/>
      <c r="M36" s="4532" t="n"/>
      <c r="N36" s="4532" t="n"/>
      <c r="O36" s="4532" t="n"/>
      <c r="P36" s="4532" t="n"/>
      <c r="Q36" s="4532" t="n"/>
      <c r="R36" s="4532" t="n"/>
      <c r="S36" s="4532" t="n"/>
      <c r="T36" s="4532" t="n"/>
      <c r="U36" s="4532" t="n"/>
      <c r="V36" s="4532" t="n"/>
      <c r="W36" s="4532" t="n"/>
      <c r="X36" s="4532" t="n"/>
      <c r="Y36" s="4532" t="n"/>
      <c r="Z36" s="4532" t="n"/>
      <c r="AA36" s="4532" t="n"/>
      <c r="AB36" s="4532" t="n"/>
      <c r="AC36" s="4532" t="n"/>
      <c r="AD36" s="4532" t="n"/>
      <c r="AE36" s="4532" t="n"/>
      <c r="AF36" s="4532" t="n"/>
      <c r="AG36" s="4532" t="n"/>
      <c r="AH36" s="4535" t="n"/>
    </row>
    <row r="37" ht="24" customHeight="1" s="4080">
      <c r="A37" s="4556" t="n"/>
      <c r="B37" s="4208" t="n"/>
      <c r="C37" s="4564" t="inlineStr">
        <is>
          <t>名　称</t>
        </is>
      </c>
      <c r="E37" s="4107" t="n"/>
      <c r="F37" s="4557" t="n"/>
      <c r="AH37" s="4109" t="n"/>
    </row>
    <row r="38" ht="13.5" customHeight="1" s="4080">
      <c r="A38" s="4556" t="n"/>
      <c r="B38" s="4208" t="n"/>
      <c r="C38" s="4181" t="inlineStr">
        <is>
          <t>所在地</t>
        </is>
      </c>
      <c r="D38" s="4098" t="n"/>
      <c r="E38" s="4099" t="n"/>
      <c r="F38" s="1244" t="inlineStr">
        <is>
          <t>郵便番号（</t>
        </is>
      </c>
      <c r="G38" s="4098" t="n"/>
      <c r="H38" s="4098" t="n"/>
      <c r="I38" s="4098" t="n"/>
      <c r="J38" s="1287" t="n"/>
      <c r="K38" s="4098" t="n"/>
      <c r="L38" s="4098" t="n"/>
      <c r="M38" s="4098" t="n"/>
      <c r="N38" s="4098" t="n"/>
      <c r="O38" s="1329" t="inlineStr">
        <is>
          <t>）</t>
        </is>
      </c>
      <c r="P38" s="4311" t="n"/>
      <c r="Q38" s="4098" t="n"/>
      <c r="R38" s="4098" t="n"/>
      <c r="S38" s="4098" t="n"/>
      <c r="T38" s="4098" t="n"/>
      <c r="U38" s="4098" t="n"/>
      <c r="V38" s="4098" t="n"/>
      <c r="W38" s="4098" t="n"/>
      <c r="X38" s="4098" t="n"/>
      <c r="Y38" s="4098" t="n"/>
      <c r="Z38" s="4098" t="n"/>
      <c r="AA38" s="4098" t="n"/>
      <c r="AB38" s="4098" t="n"/>
      <c r="AC38" s="4098" t="n"/>
      <c r="AD38" s="4098" t="n"/>
      <c r="AE38" s="4098" t="n"/>
      <c r="AF38" s="4098" t="n"/>
      <c r="AG38" s="4098" t="n"/>
      <c r="AH38" s="4101" t="n"/>
    </row>
    <row r="39" ht="10.5" customHeight="1" s="4080">
      <c r="A39" s="4556" t="n"/>
      <c r="B39" s="4208" t="n"/>
      <c r="C39" s="4106" t="n"/>
      <c r="E39" s="4107" t="n"/>
      <c r="F39" s="1255" t="inlineStr">
        <is>
          <t>大阪市</t>
        </is>
      </c>
      <c r="I39" s="986" t="n"/>
      <c r="N39" s="1260" t="inlineStr">
        <is>
          <t>区</t>
        </is>
      </c>
      <c r="AH39" s="4109" t="n"/>
    </row>
    <row r="40" ht="10.5" customHeight="1" s="4080">
      <c r="A40" s="4556" t="n"/>
      <c r="B40" s="4208" t="n"/>
      <c r="C40" s="4102" t="n"/>
      <c r="D40" s="4103" t="n"/>
      <c r="E40" s="4104" t="n"/>
      <c r="F40" s="4102" t="n"/>
      <c r="G40" s="4103" t="n"/>
      <c r="H40" s="4103" t="n"/>
      <c r="I40" s="4103" t="n"/>
      <c r="J40" s="4103" t="n"/>
      <c r="K40" s="4103" t="n"/>
      <c r="L40" s="4103" t="n"/>
      <c r="M40" s="4103" t="n"/>
      <c r="N40" s="4103" t="n"/>
      <c r="O40" s="4103" t="n"/>
      <c r="P40" s="4103" t="n"/>
      <c r="Q40" s="4103" t="n"/>
      <c r="R40" s="4103" t="n"/>
      <c r="S40" s="4103" t="n"/>
      <c r="T40" s="4103" t="n"/>
      <c r="U40" s="4103" t="n"/>
      <c r="V40" s="4103" t="n"/>
      <c r="W40" s="4103" t="n"/>
      <c r="X40" s="4103" t="n"/>
      <c r="Y40" s="4103" t="n"/>
      <c r="Z40" s="4103" t="n"/>
      <c r="AA40" s="4103" t="n"/>
      <c r="AB40" s="4103" t="n"/>
      <c r="AC40" s="4103" t="n"/>
      <c r="AD40" s="4103" t="n"/>
      <c r="AE40" s="4103" t="n"/>
      <c r="AF40" s="4103" t="n"/>
      <c r="AG40" s="4103" t="n"/>
      <c r="AH40" s="4105" t="n"/>
    </row>
    <row r="41" ht="14.25" customHeight="1" s="4080">
      <c r="A41" s="4556" t="n"/>
      <c r="B41" s="4208" t="n"/>
      <c r="C41" s="4558" t="inlineStr">
        <is>
          <t>連絡先</t>
        </is>
      </c>
      <c r="D41" s="4098" t="n"/>
      <c r="E41" s="4098" t="n"/>
      <c r="F41" s="4354" t="inlineStr">
        <is>
          <t>電話番号</t>
        </is>
      </c>
      <c r="G41" s="4098" t="n"/>
      <c r="H41" s="4099" t="n"/>
      <c r="I41" s="2521" t="n"/>
      <c r="J41" s="4098" t="n"/>
      <c r="K41" s="4098" t="n"/>
      <c r="L41" s="336" t="inlineStr">
        <is>
          <t>－</t>
        </is>
      </c>
      <c r="M41" s="1153" t="n"/>
      <c r="N41" s="4098" t="n"/>
      <c r="O41" s="4098" t="n"/>
      <c r="P41" s="336" t="inlineStr">
        <is>
          <t>－</t>
        </is>
      </c>
      <c r="Q41" s="1717" t="n"/>
      <c r="R41" s="4098" t="n"/>
      <c r="S41" s="4099" t="n"/>
      <c r="T41" s="4539" t="inlineStr">
        <is>
          <t>ＦＡＸ番号</t>
        </is>
      </c>
      <c r="U41" s="4098" t="n"/>
      <c r="V41" s="4098" t="n"/>
      <c r="W41" s="4099" t="n"/>
      <c r="X41" s="2521" t="n"/>
      <c r="Y41" s="4098" t="n"/>
      <c r="Z41" s="4098" t="n"/>
      <c r="AA41" s="336" t="inlineStr">
        <is>
          <t>－</t>
        </is>
      </c>
      <c r="AB41" s="1153" t="n"/>
      <c r="AC41" s="4098" t="n"/>
      <c r="AD41" s="4098" t="n"/>
      <c r="AE41" s="336" t="inlineStr">
        <is>
          <t>－</t>
        </is>
      </c>
      <c r="AF41" s="1572" t="n"/>
      <c r="AG41" s="4098" t="n"/>
      <c r="AH41" s="4101" t="n"/>
    </row>
    <row r="42" ht="14.25" customHeight="1" s="4080" thickBot="1">
      <c r="A42" s="4556" t="n"/>
      <c r="B42" s="4208" t="n"/>
      <c r="C42" s="4540" t="n"/>
      <c r="D42" s="4541" t="n"/>
      <c r="E42" s="4541" t="n"/>
      <c r="F42" s="4442" t="inlineStr">
        <is>
          <t>メールアドレス</t>
        </is>
      </c>
      <c r="G42" s="4443" t="n"/>
      <c r="H42" s="4443" t="n"/>
      <c r="I42" s="4443" t="n"/>
      <c r="J42" s="4444" t="n"/>
      <c r="K42" s="4568" t="n"/>
      <c r="L42" s="4443" t="n"/>
      <c r="M42" s="4443" t="n"/>
      <c r="N42" s="4443" t="n"/>
      <c r="O42" s="4443" t="n"/>
      <c r="P42" s="4443" t="n"/>
      <c r="Q42" s="4443" t="n"/>
      <c r="R42" s="4443" t="n"/>
      <c r="S42" s="4443" t="n"/>
      <c r="T42" s="4443" t="n"/>
      <c r="U42" s="4443" t="n"/>
      <c r="V42" s="4443" t="n"/>
      <c r="W42" s="4443" t="n"/>
      <c r="X42" s="4443" t="n"/>
      <c r="Y42" s="4443" t="n"/>
      <c r="Z42" s="4443" t="n"/>
      <c r="AA42" s="4443" t="n"/>
      <c r="AB42" s="4443" t="n"/>
      <c r="AC42" s="4443" t="n"/>
      <c r="AD42" s="4443" t="n"/>
      <c r="AE42" s="4443" t="n"/>
      <c r="AF42" s="4443" t="n"/>
      <c r="AG42" s="4443" t="n"/>
      <c r="AH42" s="4447" t="n"/>
    </row>
    <row r="43" ht="12" customHeight="1" s="4080" thickTop="1">
      <c r="A43" s="4556" t="n"/>
      <c r="B43" s="4208" t="n"/>
      <c r="C43" s="4559" t="inlineStr">
        <is>
          <t>サービス種別</t>
        </is>
      </c>
      <c r="D43" s="4369" t="n"/>
      <c r="E43" s="4369" t="n"/>
      <c r="F43" s="4369" t="n"/>
      <c r="G43" s="4369" t="n"/>
      <c r="H43" s="4369" t="n"/>
      <c r="I43" s="4369" t="n"/>
      <c r="J43" s="4369" t="n"/>
      <c r="K43" s="4369" t="n"/>
      <c r="L43" s="4370" t="n"/>
      <c r="M43" s="4560" t="inlineStr">
        <is>
          <t>生活介護</t>
        </is>
      </c>
      <c r="N43" s="4369" t="n"/>
      <c r="O43" s="4370" t="n"/>
      <c r="P43" s="4561" t="inlineStr">
        <is>
          <t>自立訓練</t>
        </is>
      </c>
      <c r="Q43" s="4369" t="n"/>
      <c r="R43" s="4369" t="n"/>
      <c r="S43" s="4369" t="n"/>
      <c r="T43" s="4369" t="n"/>
      <c r="U43" s="4370" t="n"/>
      <c r="V43" s="4559" t="inlineStr">
        <is>
          <t>就労移行
支　　援</t>
        </is>
      </c>
      <c r="W43" s="4369" t="n"/>
      <c r="X43" s="4370" t="n"/>
      <c r="Y43" s="4561" t="inlineStr">
        <is>
          <t>就労継続支援</t>
        </is>
      </c>
      <c r="Z43" s="4369" t="n"/>
      <c r="AA43" s="4369" t="n"/>
      <c r="AB43" s="4369" t="n"/>
      <c r="AC43" s="4369" t="n"/>
      <c r="AD43" s="4370" t="n"/>
      <c r="AE43" s="4562" t="inlineStr">
        <is>
          <t>放課後等デイサービス
児童発達支援</t>
        </is>
      </c>
      <c r="AF43" s="4369" t="n"/>
      <c r="AG43" s="4369" t="n"/>
      <c r="AH43" s="4391" t="n"/>
    </row>
    <row r="44" ht="12" customHeight="1" s="4080">
      <c r="A44" s="4556" t="n"/>
      <c r="B44" s="4208" t="n"/>
      <c r="C44" s="4106" t="n"/>
      <c r="L44" s="4107" t="n"/>
      <c r="M44" s="4106" t="n"/>
      <c r="O44" s="4107" t="n"/>
      <c r="P44" s="4102" t="n"/>
      <c r="Q44" s="4103" t="n"/>
      <c r="R44" s="4103" t="n"/>
      <c r="S44" s="4103" t="n"/>
      <c r="T44" s="4103" t="n"/>
      <c r="U44" s="4104" t="n"/>
      <c r="V44" s="4106" t="n"/>
      <c r="X44" s="4107" t="n"/>
      <c r="Y44" s="4102" t="n"/>
      <c r="Z44" s="4103" t="n"/>
      <c r="AA44" s="4103" t="n"/>
      <c r="AB44" s="4103" t="n"/>
      <c r="AC44" s="4103" t="n"/>
      <c r="AD44" s="4104" t="n"/>
      <c r="AE44" s="4106" t="n"/>
      <c r="AH44" s="4109" t="n"/>
    </row>
    <row r="45" ht="12" customHeight="1" s="4080">
      <c r="A45" s="4556" t="n"/>
      <c r="B45" s="4208" t="n"/>
      <c r="C45" s="4102" t="n"/>
      <c r="D45" s="4103" t="n"/>
      <c r="E45" s="4103" t="n"/>
      <c r="F45" s="4103" t="n"/>
      <c r="G45" s="4103" t="n"/>
      <c r="H45" s="4103" t="n"/>
      <c r="I45" s="4103" t="n"/>
      <c r="J45" s="4103" t="n"/>
      <c r="K45" s="4103" t="n"/>
      <c r="L45" s="4104" t="n"/>
      <c r="M45" s="4102" t="n"/>
      <c r="N45" s="4103" t="n"/>
      <c r="O45" s="4104" t="n"/>
      <c r="P45" s="2542" t="inlineStr">
        <is>
          <t>機能訓練</t>
        </is>
      </c>
      <c r="Q45" s="4110" t="n"/>
      <c r="R45" s="4111" t="n"/>
      <c r="S45" s="2542" t="inlineStr">
        <is>
          <t>生活訓練</t>
        </is>
      </c>
      <c r="T45" s="4110" t="n"/>
      <c r="U45" s="4111" t="n"/>
      <c r="V45" s="4102" t="n"/>
      <c r="W45" s="4103" t="n"/>
      <c r="X45" s="4104" t="n"/>
      <c r="Y45" s="2542" t="inlineStr">
        <is>
          <t>Ａ　型</t>
        </is>
      </c>
      <c r="Z45" s="4110" t="n"/>
      <c r="AA45" s="4111" t="n"/>
      <c r="AB45" s="2542" t="inlineStr">
        <is>
          <t>Ｂ　型</t>
        </is>
      </c>
      <c r="AC45" s="4110" t="n"/>
      <c r="AD45" s="4111" t="n"/>
      <c r="AE45" s="4102" t="n"/>
      <c r="AF45" s="4103" t="n"/>
      <c r="AG45" s="4103" t="n"/>
      <c r="AH45" s="4105" t="n"/>
    </row>
    <row r="46" ht="16.5" customHeight="1" s="4080">
      <c r="A46" s="4556" t="n"/>
      <c r="B46" s="4208" t="n"/>
      <c r="C46" s="1437" t="inlineStr">
        <is>
          <t>実施中の事業</t>
        </is>
      </c>
      <c r="D46" s="4098" t="n"/>
      <c r="E46" s="4098" t="n"/>
      <c r="F46" s="4098" t="n"/>
      <c r="G46" s="4098" t="n"/>
      <c r="H46" s="4098" t="n"/>
      <c r="I46" s="356" t="n"/>
      <c r="J46" s="356" t="n"/>
      <c r="K46" s="356" t="n"/>
      <c r="L46" s="356" t="n"/>
      <c r="M46" s="4563" t="n"/>
      <c r="N46" s="4110" t="n"/>
      <c r="O46" s="4111" t="n"/>
      <c r="P46" s="4563" t="n"/>
      <c r="Q46" s="4110" t="n"/>
      <c r="R46" s="4111" t="n"/>
      <c r="S46" s="4115" t="n"/>
      <c r="T46" s="4110" t="n"/>
      <c r="U46" s="4111" t="n"/>
      <c r="V46" s="4115" t="n"/>
      <c r="W46" s="4110" t="n"/>
      <c r="X46" s="4111" t="n"/>
      <c r="Y46" s="4563" t="n"/>
      <c r="Z46" s="4110" t="n"/>
      <c r="AA46" s="4111" t="n"/>
      <c r="AB46" s="4115" t="n"/>
      <c r="AC46" s="4110" t="n"/>
      <c r="AD46" s="4111" t="n"/>
      <c r="AE46" s="4509" t="n"/>
      <c r="AF46" s="4110" t="n"/>
      <c r="AG46" s="4110" t="n"/>
      <c r="AH46" s="4113" t="n"/>
    </row>
    <row r="47" ht="16.5" customHeight="1" s="4080">
      <c r="A47" s="4556" t="n"/>
      <c r="B47" s="4208" t="n"/>
      <c r="C47" s="4102" t="n"/>
      <c r="D47" s="4103" t="n"/>
      <c r="E47" s="4103" t="n"/>
      <c r="F47" s="4103" t="n"/>
      <c r="G47" s="4103" t="n"/>
      <c r="H47" s="4103" t="n"/>
      <c r="I47" s="2542" t="inlineStr">
        <is>
          <t>定員</t>
        </is>
      </c>
      <c r="J47" s="4110" t="n"/>
      <c r="K47" s="4110" t="n"/>
      <c r="L47" s="4111" t="n"/>
      <c r="M47" s="2539" t="n"/>
      <c r="N47" s="4110" t="n"/>
      <c r="O47" s="1268" t="inlineStr">
        <is>
          <t>人</t>
        </is>
      </c>
      <c r="P47" s="2539" t="n"/>
      <c r="Q47" s="4110" t="n"/>
      <c r="R47" s="1268" t="inlineStr">
        <is>
          <t>人</t>
        </is>
      </c>
      <c r="S47" s="997" t="n"/>
      <c r="T47" s="4110" t="n"/>
      <c r="U47" s="1268" t="inlineStr">
        <is>
          <t>人</t>
        </is>
      </c>
      <c r="V47" s="997" t="n"/>
      <c r="W47" s="4110" t="n"/>
      <c r="X47" s="1268" t="inlineStr">
        <is>
          <t>人</t>
        </is>
      </c>
      <c r="Y47" s="2539" t="n"/>
      <c r="Z47" s="4110" t="n"/>
      <c r="AA47" s="1268" t="inlineStr">
        <is>
          <t>人</t>
        </is>
      </c>
      <c r="AB47" s="997" t="n"/>
      <c r="AC47" s="4110" t="n"/>
      <c r="AD47" s="1268" t="inlineStr">
        <is>
          <t>人</t>
        </is>
      </c>
      <c r="AE47" s="2386" t="inlineStr">
        <is>
          <t xml:space="preserve">　</t>
        </is>
      </c>
      <c r="AF47" s="4110" t="n"/>
      <c r="AG47" s="4110" t="n"/>
      <c r="AH47" s="1902" t="inlineStr">
        <is>
          <t>人</t>
        </is>
      </c>
    </row>
    <row r="48" ht="16.5" customHeight="1" s="4080">
      <c r="A48" s="4556" t="n"/>
      <c r="B48" s="4208" t="n"/>
      <c r="C48" s="2544" t="inlineStr">
        <is>
          <t>追加・変更する事業</t>
        </is>
      </c>
      <c r="D48" s="4098" t="n"/>
      <c r="E48" s="4098" t="n"/>
      <c r="F48" s="4098" t="n"/>
      <c r="G48" s="4098" t="n"/>
      <c r="H48" s="4098" t="n"/>
      <c r="I48" s="357" t="n"/>
      <c r="J48" s="357" t="n"/>
      <c r="K48" s="357" t="n"/>
      <c r="L48" s="357" t="n"/>
      <c r="M48" s="4563" t="n"/>
      <c r="N48" s="4110" t="n"/>
      <c r="O48" s="4111" t="n"/>
      <c r="P48" s="4563" t="n"/>
      <c r="Q48" s="4110" t="n"/>
      <c r="R48" s="4111" t="n"/>
      <c r="S48" s="4115" t="n"/>
      <c r="T48" s="4110" t="n"/>
      <c r="U48" s="4111" t="n"/>
      <c r="V48" s="4115" t="n"/>
      <c r="W48" s="4110" t="n"/>
      <c r="X48" s="4111" t="n"/>
      <c r="Y48" s="4563" t="n"/>
      <c r="Z48" s="4110" t="n"/>
      <c r="AA48" s="4111" t="n"/>
      <c r="AB48" s="4115" t="n"/>
      <c r="AC48" s="4110" t="n"/>
      <c r="AD48" s="4111" t="n"/>
      <c r="AE48" s="4509" t="n"/>
      <c r="AF48" s="4110" t="n"/>
      <c r="AG48" s="4110" t="n"/>
      <c r="AH48" s="4113" t="n"/>
    </row>
    <row r="49" ht="16.5" customHeight="1" s="4080" thickBot="1">
      <c r="A49" s="4556" t="n"/>
      <c r="B49" s="4565" t="n"/>
      <c r="C49" s="4420" t="n"/>
      <c r="D49" s="4087" t="n"/>
      <c r="E49" s="4087" t="n"/>
      <c r="F49" s="4087" t="n"/>
      <c r="G49" s="4087" t="n"/>
      <c r="H49" s="4087" t="n"/>
      <c r="I49" s="4566" t="inlineStr">
        <is>
          <t>定員</t>
        </is>
      </c>
      <c r="J49" s="4153" t="n"/>
      <c r="K49" s="4153" t="n"/>
      <c r="L49" s="4154" t="n"/>
      <c r="M49" s="2547" t="n"/>
      <c r="N49" s="4153" t="n"/>
      <c r="O49" s="2203" t="inlineStr">
        <is>
          <t>人</t>
        </is>
      </c>
      <c r="P49" s="2547" t="n"/>
      <c r="Q49" s="4153" t="n"/>
      <c r="R49" s="2203" t="inlineStr">
        <is>
          <t>人</t>
        </is>
      </c>
      <c r="S49" s="2517" t="n"/>
      <c r="T49" s="4153" t="n"/>
      <c r="U49" s="2203" t="inlineStr">
        <is>
          <t>人</t>
        </is>
      </c>
      <c r="V49" s="2517" t="n"/>
      <c r="W49" s="4153" t="n"/>
      <c r="X49" s="2203" t="inlineStr">
        <is>
          <t>人</t>
        </is>
      </c>
      <c r="Y49" s="2547" t="n"/>
      <c r="Z49" s="4153" t="n"/>
      <c r="AA49" s="2203" t="inlineStr">
        <is>
          <t>人</t>
        </is>
      </c>
      <c r="AB49" s="2517" t="n"/>
      <c r="AC49" s="4153" t="n"/>
      <c r="AD49" s="2203" t="inlineStr">
        <is>
          <t>人</t>
        </is>
      </c>
      <c r="AE49" s="2549" t="inlineStr">
        <is>
          <t xml:space="preserve">　</t>
        </is>
      </c>
      <c r="AF49" s="4153" t="n"/>
      <c r="AG49" s="4153" t="n"/>
      <c r="AH49" s="359" t="inlineStr">
        <is>
          <t>人</t>
        </is>
      </c>
    </row>
    <row r="50" ht="12" customHeight="1" s="4080">
      <c r="A50" s="4556" t="n"/>
      <c r="B50" s="4514" t="inlineStr">
        <is>
          <t>３</t>
        </is>
      </c>
      <c r="C50" s="4531" t="inlineStr">
        <is>
          <t>ﾌﾘｶﾞﾅ</t>
        </is>
      </c>
      <c r="D50" s="4532" t="n"/>
      <c r="E50" s="4533" t="n"/>
      <c r="F50" s="4555" t="n"/>
      <c r="G50" s="4532" t="n"/>
      <c r="H50" s="4532" t="n"/>
      <c r="I50" s="4532" t="n"/>
      <c r="J50" s="4532" t="n"/>
      <c r="K50" s="4532" t="n"/>
      <c r="L50" s="4532" t="n"/>
      <c r="M50" s="4532" t="n"/>
      <c r="N50" s="4532" t="n"/>
      <c r="O50" s="4532" t="n"/>
      <c r="P50" s="4532" t="n"/>
      <c r="Q50" s="4532" t="n"/>
      <c r="R50" s="4532" t="n"/>
      <c r="S50" s="4532" t="n"/>
      <c r="T50" s="4532" t="n"/>
      <c r="U50" s="4532" t="n"/>
      <c r="V50" s="4532" t="n"/>
      <c r="W50" s="4532" t="n"/>
      <c r="X50" s="4532" t="n"/>
      <c r="Y50" s="4532" t="n"/>
      <c r="Z50" s="4532" t="n"/>
      <c r="AA50" s="4532" t="n"/>
      <c r="AB50" s="4532" t="n"/>
      <c r="AC50" s="4532" t="n"/>
      <c r="AD50" s="4532" t="n"/>
      <c r="AE50" s="4532" t="n"/>
      <c r="AF50" s="4532" t="n"/>
      <c r="AG50" s="4532" t="n"/>
      <c r="AH50" s="4535" t="n"/>
    </row>
    <row r="51" ht="18" customHeight="1" s="4080">
      <c r="A51" s="4556" t="n"/>
      <c r="B51" s="4208" t="n"/>
      <c r="C51" s="4564" t="inlineStr">
        <is>
          <t>名　称</t>
        </is>
      </c>
      <c r="E51" s="4107" t="n"/>
      <c r="F51" s="4557" t="n"/>
      <c r="AH51" s="4109" t="n"/>
    </row>
    <row r="52" ht="13.5" customHeight="1" s="4080">
      <c r="A52" s="4556" t="n"/>
      <c r="B52" s="4208" t="n"/>
      <c r="C52" s="4181" t="inlineStr">
        <is>
          <t>所在地</t>
        </is>
      </c>
      <c r="D52" s="4098" t="n"/>
      <c r="E52" s="4099" t="n"/>
      <c r="F52" s="1244" t="inlineStr">
        <is>
          <t>郵便番号（</t>
        </is>
      </c>
      <c r="G52" s="4098" t="n"/>
      <c r="H52" s="4098" t="n"/>
      <c r="I52" s="4098" t="n"/>
      <c r="J52" s="1287" t="n"/>
      <c r="K52" s="4098" t="n"/>
      <c r="L52" s="4098" t="n"/>
      <c r="M52" s="4098" t="n"/>
      <c r="N52" s="4098" t="n"/>
      <c r="O52" s="1329" t="inlineStr">
        <is>
          <t>）</t>
        </is>
      </c>
      <c r="P52" s="4311" t="n"/>
      <c r="Q52" s="4098" t="n"/>
      <c r="R52" s="4098" t="n"/>
      <c r="S52" s="4098" t="n"/>
      <c r="T52" s="4098" t="n"/>
      <c r="U52" s="4098" t="n"/>
      <c r="V52" s="4098" t="n"/>
      <c r="W52" s="4098" t="n"/>
      <c r="X52" s="4098" t="n"/>
      <c r="Y52" s="4098" t="n"/>
      <c r="Z52" s="4098" t="n"/>
      <c r="AA52" s="4098" t="n"/>
      <c r="AB52" s="4098" t="n"/>
      <c r="AC52" s="4098" t="n"/>
      <c r="AD52" s="4098" t="n"/>
      <c r="AE52" s="4098" t="n"/>
      <c r="AF52" s="4098" t="n"/>
      <c r="AG52" s="4098" t="n"/>
      <c r="AH52" s="4101" t="n"/>
    </row>
    <row r="53" ht="9" customHeight="1" s="4080">
      <c r="A53" s="4556" t="n"/>
      <c r="B53" s="4208" t="n"/>
      <c r="C53" s="4106" t="n"/>
      <c r="E53" s="4107" t="n"/>
      <c r="F53" s="1255" t="inlineStr">
        <is>
          <t>大阪市</t>
        </is>
      </c>
      <c r="I53" s="986" t="n"/>
      <c r="N53" s="1260" t="inlineStr">
        <is>
          <t>区</t>
        </is>
      </c>
      <c r="AH53" s="4109" t="n"/>
    </row>
    <row r="54" ht="9" customHeight="1" s="4080">
      <c r="A54" s="4556" t="n"/>
      <c r="B54" s="4208" t="n"/>
      <c r="C54" s="4102" t="n"/>
      <c r="D54" s="4103" t="n"/>
      <c r="E54" s="4104" t="n"/>
      <c r="F54" s="4102" t="n"/>
      <c r="G54" s="4103" t="n"/>
      <c r="H54" s="4103" t="n"/>
      <c r="I54" s="4103" t="n"/>
      <c r="J54" s="4103" t="n"/>
      <c r="K54" s="4103" t="n"/>
      <c r="L54" s="4103" t="n"/>
      <c r="M54" s="4103" t="n"/>
      <c r="N54" s="4103" t="n"/>
      <c r="O54" s="4103" t="n"/>
      <c r="P54" s="4103" t="n"/>
      <c r="Q54" s="4103" t="n"/>
      <c r="R54" s="4103" t="n"/>
      <c r="S54" s="4103" t="n"/>
      <c r="T54" s="4103" t="n"/>
      <c r="U54" s="4103" t="n"/>
      <c r="V54" s="4103" t="n"/>
      <c r="W54" s="4103" t="n"/>
      <c r="X54" s="4103" t="n"/>
      <c r="Y54" s="4103" t="n"/>
      <c r="Z54" s="4103" t="n"/>
      <c r="AA54" s="4103" t="n"/>
      <c r="AB54" s="4103" t="n"/>
      <c r="AC54" s="4103" t="n"/>
      <c r="AD54" s="4103" t="n"/>
      <c r="AE54" s="4103" t="n"/>
      <c r="AF54" s="4103" t="n"/>
      <c r="AG54" s="4103" t="n"/>
      <c r="AH54" s="4105" t="n"/>
    </row>
    <row r="55" ht="14.25" customHeight="1" s="4080">
      <c r="A55" s="4556" t="n"/>
      <c r="B55" s="4208" t="n"/>
      <c r="C55" s="4558" t="inlineStr">
        <is>
          <t>連絡先</t>
        </is>
      </c>
      <c r="D55" s="4098" t="n"/>
      <c r="E55" s="4098" t="n"/>
      <c r="F55" s="4354" t="inlineStr">
        <is>
          <t>電話番号</t>
        </is>
      </c>
      <c r="G55" s="4098" t="n"/>
      <c r="H55" s="4099" t="n"/>
      <c r="I55" s="2521" t="n"/>
      <c r="J55" s="4098" t="n"/>
      <c r="K55" s="4098" t="n"/>
      <c r="L55" s="336" t="inlineStr">
        <is>
          <t>－</t>
        </is>
      </c>
      <c r="M55" s="1153" t="n"/>
      <c r="N55" s="4098" t="n"/>
      <c r="O55" s="4098" t="n"/>
      <c r="P55" s="336" t="inlineStr">
        <is>
          <t>－</t>
        </is>
      </c>
      <c r="Q55" s="1717" t="n"/>
      <c r="R55" s="4098" t="n"/>
      <c r="S55" s="4099" t="n"/>
      <c r="T55" s="4539" t="inlineStr">
        <is>
          <t>ＦＡＸ番号</t>
        </is>
      </c>
      <c r="U55" s="4098" t="n"/>
      <c r="V55" s="4098" t="n"/>
      <c r="W55" s="4099" t="n"/>
      <c r="X55" s="2521" t="n"/>
      <c r="Y55" s="4098" t="n"/>
      <c r="Z55" s="4098" t="n"/>
      <c r="AA55" s="336" t="inlineStr">
        <is>
          <t>－</t>
        </is>
      </c>
      <c r="AB55" s="1153" t="n"/>
      <c r="AC55" s="4098" t="n"/>
      <c r="AD55" s="4098" t="n"/>
      <c r="AE55" s="336" t="inlineStr">
        <is>
          <t>－</t>
        </is>
      </c>
      <c r="AF55" s="1572" t="n"/>
      <c r="AG55" s="4098" t="n"/>
      <c r="AH55" s="4101" t="n"/>
    </row>
    <row r="56" ht="14.25" customHeight="1" s="4080" thickBot="1">
      <c r="A56" s="4556" t="n"/>
      <c r="B56" s="4208" t="n"/>
      <c r="C56" s="4540" t="n"/>
      <c r="D56" s="4541" t="n"/>
      <c r="E56" s="4541" t="n"/>
      <c r="F56" s="4442" t="inlineStr">
        <is>
          <t>メールアドレス</t>
        </is>
      </c>
      <c r="G56" s="4443" t="n"/>
      <c r="H56" s="4443" t="n"/>
      <c r="I56" s="4443" t="n"/>
      <c r="J56" s="4444" t="n"/>
      <c r="K56" s="4568" t="n"/>
      <c r="L56" s="4443" t="n"/>
      <c r="M56" s="4443" t="n"/>
      <c r="N56" s="4443" t="n"/>
      <c r="O56" s="4443" t="n"/>
      <c r="P56" s="4443" t="n"/>
      <c r="Q56" s="4443" t="n"/>
      <c r="R56" s="4443" t="n"/>
      <c r="S56" s="4443" t="n"/>
      <c r="T56" s="4443" t="n"/>
      <c r="U56" s="4443" t="n"/>
      <c r="V56" s="4443" t="n"/>
      <c r="W56" s="4443" t="n"/>
      <c r="X56" s="4443" t="n"/>
      <c r="Y56" s="4443" t="n"/>
      <c r="Z56" s="4443" t="n"/>
      <c r="AA56" s="4443" t="n"/>
      <c r="AB56" s="4443" t="n"/>
      <c r="AC56" s="4443" t="n"/>
      <c r="AD56" s="4443" t="n"/>
      <c r="AE56" s="4443" t="n"/>
      <c r="AF56" s="4443" t="n"/>
      <c r="AG56" s="4443" t="n"/>
      <c r="AH56" s="4447" t="n"/>
    </row>
    <row r="57" ht="12" customHeight="1" s="4080" thickTop="1">
      <c r="A57" s="4556" t="n"/>
      <c r="B57" s="4208" t="n"/>
      <c r="C57" s="4559" t="inlineStr">
        <is>
          <t>サービス種別</t>
        </is>
      </c>
      <c r="D57" s="4369" t="n"/>
      <c r="E57" s="4369" t="n"/>
      <c r="F57" s="4369" t="n"/>
      <c r="G57" s="4369" t="n"/>
      <c r="H57" s="4369" t="n"/>
      <c r="I57" s="4369" t="n"/>
      <c r="J57" s="4369" t="n"/>
      <c r="K57" s="4369" t="n"/>
      <c r="L57" s="4370" t="n"/>
      <c r="M57" s="4560" t="inlineStr">
        <is>
          <t>生活介護</t>
        </is>
      </c>
      <c r="N57" s="4369" t="n"/>
      <c r="O57" s="4370" t="n"/>
      <c r="P57" s="4561" t="inlineStr">
        <is>
          <t>自立訓練</t>
        </is>
      </c>
      <c r="Q57" s="4369" t="n"/>
      <c r="R57" s="4369" t="n"/>
      <c r="S57" s="4369" t="n"/>
      <c r="T57" s="4369" t="n"/>
      <c r="U57" s="4370" t="n"/>
      <c r="V57" s="4559" t="inlineStr">
        <is>
          <t>就労移行
支　　援</t>
        </is>
      </c>
      <c r="W57" s="4369" t="n"/>
      <c r="X57" s="4370" t="n"/>
      <c r="Y57" s="4561" t="inlineStr">
        <is>
          <t>就労継続支援</t>
        </is>
      </c>
      <c r="Z57" s="4369" t="n"/>
      <c r="AA57" s="4369" t="n"/>
      <c r="AB57" s="4369" t="n"/>
      <c r="AC57" s="4369" t="n"/>
      <c r="AD57" s="4370" t="n"/>
      <c r="AE57" s="4562" t="inlineStr">
        <is>
          <t>放課後等デイサービス
児童発達支援</t>
        </is>
      </c>
      <c r="AF57" s="4369" t="n"/>
      <c r="AG57" s="4369" t="n"/>
      <c r="AH57" s="4391" t="n"/>
    </row>
    <row r="58" ht="12" customHeight="1" s="4080">
      <c r="A58" s="4556" t="n"/>
      <c r="B58" s="4208" t="n"/>
      <c r="C58" s="4106" t="n"/>
      <c r="L58" s="4107" t="n"/>
      <c r="M58" s="4106" t="n"/>
      <c r="O58" s="4107" t="n"/>
      <c r="P58" s="4102" t="n"/>
      <c r="Q58" s="4103" t="n"/>
      <c r="R58" s="4103" t="n"/>
      <c r="S58" s="4103" t="n"/>
      <c r="T58" s="4103" t="n"/>
      <c r="U58" s="4104" t="n"/>
      <c r="V58" s="4106" t="n"/>
      <c r="X58" s="4107" t="n"/>
      <c r="Y58" s="4102" t="n"/>
      <c r="Z58" s="4103" t="n"/>
      <c r="AA58" s="4103" t="n"/>
      <c r="AB58" s="4103" t="n"/>
      <c r="AC58" s="4103" t="n"/>
      <c r="AD58" s="4104" t="n"/>
      <c r="AE58" s="4106" t="n"/>
      <c r="AH58" s="4109" t="n"/>
    </row>
    <row r="59" ht="12" customHeight="1" s="4080">
      <c r="A59" s="4556" t="n"/>
      <c r="B59" s="4208" t="n"/>
      <c r="C59" s="4102" t="n"/>
      <c r="D59" s="4103" t="n"/>
      <c r="E59" s="4103" t="n"/>
      <c r="F59" s="4103" t="n"/>
      <c r="G59" s="4103" t="n"/>
      <c r="H59" s="4103" t="n"/>
      <c r="I59" s="4103" t="n"/>
      <c r="J59" s="4103" t="n"/>
      <c r="K59" s="4103" t="n"/>
      <c r="L59" s="4104" t="n"/>
      <c r="M59" s="4102" t="n"/>
      <c r="N59" s="4103" t="n"/>
      <c r="O59" s="4104" t="n"/>
      <c r="P59" s="2542" t="inlineStr">
        <is>
          <t>機能訓練</t>
        </is>
      </c>
      <c r="Q59" s="4110" t="n"/>
      <c r="R59" s="4111" t="n"/>
      <c r="S59" s="2542" t="inlineStr">
        <is>
          <t>生活訓練</t>
        </is>
      </c>
      <c r="T59" s="4110" t="n"/>
      <c r="U59" s="4111" t="n"/>
      <c r="V59" s="4102" t="n"/>
      <c r="W59" s="4103" t="n"/>
      <c r="X59" s="4104" t="n"/>
      <c r="Y59" s="2542" t="inlineStr">
        <is>
          <t>Ａ　型</t>
        </is>
      </c>
      <c r="Z59" s="4110" t="n"/>
      <c r="AA59" s="4111" t="n"/>
      <c r="AB59" s="2542" t="inlineStr">
        <is>
          <t>Ｂ　型</t>
        </is>
      </c>
      <c r="AC59" s="4110" t="n"/>
      <c r="AD59" s="4111" t="n"/>
      <c r="AE59" s="4102" t="n"/>
      <c r="AF59" s="4103" t="n"/>
      <c r="AG59" s="4103" t="n"/>
      <c r="AH59" s="4105" t="n"/>
    </row>
    <row r="60" ht="16.5" customHeight="1" s="4080">
      <c r="A60" s="4556" t="n"/>
      <c r="B60" s="4208" t="n"/>
      <c r="C60" s="1437" t="inlineStr">
        <is>
          <t>実施中の事業</t>
        </is>
      </c>
      <c r="D60" s="4098" t="n"/>
      <c r="E60" s="4098" t="n"/>
      <c r="F60" s="4098" t="n"/>
      <c r="G60" s="4098" t="n"/>
      <c r="H60" s="4098" t="n"/>
      <c r="I60" s="356" t="n"/>
      <c r="J60" s="356" t="n"/>
      <c r="K60" s="356" t="n"/>
      <c r="L60" s="356" t="n"/>
      <c r="M60" s="4563" t="n"/>
      <c r="N60" s="4110" t="n"/>
      <c r="O60" s="4111" t="n"/>
      <c r="P60" s="4563" t="n"/>
      <c r="Q60" s="4110" t="n"/>
      <c r="R60" s="4111" t="n"/>
      <c r="S60" s="4115" t="n"/>
      <c r="T60" s="4110" t="n"/>
      <c r="U60" s="4111" t="n"/>
      <c r="V60" s="4115" t="n"/>
      <c r="W60" s="4110" t="n"/>
      <c r="X60" s="4111" t="n"/>
      <c r="Y60" s="4563" t="n"/>
      <c r="Z60" s="4110" t="n"/>
      <c r="AA60" s="4111" t="n"/>
      <c r="AB60" s="4115" t="n"/>
      <c r="AC60" s="4110" t="n"/>
      <c r="AD60" s="4111" t="n"/>
      <c r="AE60" s="4509" t="n"/>
      <c r="AF60" s="4110" t="n"/>
      <c r="AG60" s="4110" t="n"/>
      <c r="AH60" s="4113" t="n"/>
    </row>
    <row r="61" ht="16.5" customHeight="1" s="4080">
      <c r="A61" s="4556" t="n"/>
      <c r="B61" s="4208" t="n"/>
      <c r="C61" s="4102" t="n"/>
      <c r="D61" s="4103" t="n"/>
      <c r="E61" s="4103" t="n"/>
      <c r="F61" s="4103" t="n"/>
      <c r="G61" s="4103" t="n"/>
      <c r="H61" s="4103" t="n"/>
      <c r="I61" s="2542" t="inlineStr">
        <is>
          <t>定員</t>
        </is>
      </c>
      <c r="J61" s="4110" t="n"/>
      <c r="K61" s="4110" t="n"/>
      <c r="L61" s="4111" t="n"/>
      <c r="M61" s="2539" t="n"/>
      <c r="N61" s="4110" t="n"/>
      <c r="O61" s="1268" t="inlineStr">
        <is>
          <t>人</t>
        </is>
      </c>
      <c r="P61" s="2539" t="n"/>
      <c r="Q61" s="4110" t="n"/>
      <c r="R61" s="1268" t="inlineStr">
        <is>
          <t>人</t>
        </is>
      </c>
      <c r="S61" s="997" t="n"/>
      <c r="T61" s="4110" t="n"/>
      <c r="U61" s="1268" t="inlineStr">
        <is>
          <t>人</t>
        </is>
      </c>
      <c r="V61" s="997" t="n"/>
      <c r="W61" s="4110" t="n"/>
      <c r="X61" s="1268" t="inlineStr">
        <is>
          <t>人</t>
        </is>
      </c>
      <c r="Y61" s="2539" t="n"/>
      <c r="Z61" s="4110" t="n"/>
      <c r="AA61" s="1268" t="inlineStr">
        <is>
          <t>人</t>
        </is>
      </c>
      <c r="AB61" s="997" t="n"/>
      <c r="AC61" s="4110" t="n"/>
      <c r="AD61" s="1268" t="inlineStr">
        <is>
          <t>人</t>
        </is>
      </c>
      <c r="AE61" s="2386" t="inlineStr">
        <is>
          <t xml:space="preserve">　</t>
        </is>
      </c>
      <c r="AF61" s="4110" t="n"/>
      <c r="AG61" s="4110" t="n"/>
      <c r="AH61" s="1902" t="inlineStr">
        <is>
          <t>人</t>
        </is>
      </c>
    </row>
    <row r="62" ht="16.5" customHeight="1" s="4080">
      <c r="A62" s="4556" t="n"/>
      <c r="B62" s="4208" t="n"/>
      <c r="C62" s="2544" t="inlineStr">
        <is>
          <t>追加・変更する事業</t>
        </is>
      </c>
      <c r="D62" s="4098" t="n"/>
      <c r="E62" s="4098" t="n"/>
      <c r="F62" s="4098" t="n"/>
      <c r="G62" s="4098" t="n"/>
      <c r="H62" s="4098" t="n"/>
      <c r="I62" s="357" t="n"/>
      <c r="J62" s="357" t="n"/>
      <c r="K62" s="357" t="n"/>
      <c r="L62" s="357" t="n"/>
      <c r="M62" s="4563" t="n"/>
      <c r="N62" s="4110" t="n"/>
      <c r="O62" s="4111" t="n"/>
      <c r="P62" s="4563" t="n"/>
      <c r="Q62" s="4110" t="n"/>
      <c r="R62" s="4111" t="n"/>
      <c r="S62" s="4115" t="n"/>
      <c r="T62" s="4110" t="n"/>
      <c r="U62" s="4111" t="n"/>
      <c r="V62" s="4115" t="n"/>
      <c r="W62" s="4110" t="n"/>
      <c r="X62" s="4111" t="n"/>
      <c r="Y62" s="4563" t="n"/>
      <c r="Z62" s="4110" t="n"/>
      <c r="AA62" s="4111" t="n"/>
      <c r="AB62" s="4115" t="n"/>
      <c r="AC62" s="4110" t="n"/>
      <c r="AD62" s="4111" t="n"/>
      <c r="AE62" s="4509" t="n"/>
      <c r="AF62" s="4110" t="n"/>
      <c r="AG62" s="4110" t="n"/>
      <c r="AH62" s="4113" t="n"/>
    </row>
    <row r="63" ht="16.5" customHeight="1" s="4080" thickBot="1">
      <c r="A63" s="4567" t="n"/>
      <c r="B63" s="4565" t="n"/>
      <c r="C63" s="4420" t="n"/>
      <c r="D63" s="4087" t="n"/>
      <c r="E63" s="4087" t="n"/>
      <c r="F63" s="4087" t="n"/>
      <c r="G63" s="4087" t="n"/>
      <c r="H63" s="4087" t="n"/>
      <c r="I63" s="4566" t="inlineStr">
        <is>
          <t>定員</t>
        </is>
      </c>
      <c r="J63" s="4153" t="n"/>
      <c r="K63" s="4153" t="n"/>
      <c r="L63" s="4154" t="n"/>
      <c r="M63" s="2547" t="n"/>
      <c r="N63" s="4153" t="n"/>
      <c r="O63" s="2203" t="inlineStr">
        <is>
          <t>人</t>
        </is>
      </c>
      <c r="P63" s="2547" t="n"/>
      <c r="Q63" s="4153" t="n"/>
      <c r="R63" s="2203" t="inlineStr">
        <is>
          <t>人</t>
        </is>
      </c>
      <c r="S63" s="2517" t="n"/>
      <c r="T63" s="4153" t="n"/>
      <c r="U63" s="2203" t="inlineStr">
        <is>
          <t>人</t>
        </is>
      </c>
      <c r="V63" s="2517" t="n"/>
      <c r="W63" s="4153" t="n"/>
      <c r="X63" s="2203" t="inlineStr">
        <is>
          <t>人</t>
        </is>
      </c>
      <c r="Y63" s="2547" t="n"/>
      <c r="Z63" s="4153" t="n"/>
      <c r="AA63" s="2203" t="inlineStr">
        <is>
          <t>人</t>
        </is>
      </c>
      <c r="AB63" s="2517" t="n"/>
      <c r="AC63" s="4153" t="n"/>
      <c r="AD63" s="2203" t="inlineStr">
        <is>
          <t>人</t>
        </is>
      </c>
      <c r="AE63" s="2549" t="inlineStr">
        <is>
          <t xml:space="preserve">　</t>
        </is>
      </c>
      <c r="AF63" s="4153" t="n"/>
      <c r="AG63" s="4153" t="n"/>
      <c r="AH63" s="359" t="inlineStr">
        <is>
          <t>人</t>
        </is>
      </c>
    </row>
  </sheetData>
  <mergeCells count="300">
    <mergeCell ref="Y47:Z47"/>
    <mergeCell ref="K11:AH11"/>
    <mergeCell ref="W15:X15"/>
    <mergeCell ref="AB27:AD27"/>
    <mergeCell ref="Y15:Z15"/>
    <mergeCell ref="C51:E51"/>
    <mergeCell ref="M35:N35"/>
    <mergeCell ref="C20:J20"/>
    <mergeCell ref="AB47:AC47"/>
    <mergeCell ref="F53:H54"/>
    <mergeCell ref="C23:E23"/>
    <mergeCell ref="M41:O41"/>
    <mergeCell ref="F18:J18"/>
    <mergeCell ref="F25:H26"/>
    <mergeCell ref="AE32:AH32"/>
    <mergeCell ref="M57:O59"/>
    <mergeCell ref="P61:Q61"/>
    <mergeCell ref="M16:N16"/>
    <mergeCell ref="F17:J17"/>
    <mergeCell ref="S49:T49"/>
    <mergeCell ref="C10:E11"/>
    <mergeCell ref="C38:E40"/>
    <mergeCell ref="AB61:AC61"/>
    <mergeCell ref="I10:K10"/>
    <mergeCell ref="Q41:S41"/>
    <mergeCell ref="P62:R62"/>
    <mergeCell ref="P38:AH40"/>
    <mergeCell ref="Y16:Z16"/>
    <mergeCell ref="C7:E9"/>
    <mergeCell ref="M18:N18"/>
    <mergeCell ref="Y49:Z49"/>
    <mergeCell ref="M33:N33"/>
    <mergeCell ref="AA2:AA3"/>
    <mergeCell ref="AC2:AC3"/>
    <mergeCell ref="C41:E42"/>
    <mergeCell ref="M43:O45"/>
    <mergeCell ref="P47:Q47"/>
    <mergeCell ref="F23:AH23"/>
    <mergeCell ref="Y18:Z18"/>
    <mergeCell ref="O12:V12"/>
    <mergeCell ref="M17:N17"/>
    <mergeCell ref="AB55:AD55"/>
    <mergeCell ref="S35:T35"/>
    <mergeCell ref="O19:Q19"/>
    <mergeCell ref="C46:H47"/>
    <mergeCell ref="M55:O55"/>
    <mergeCell ref="C24:E26"/>
    <mergeCell ref="AA12:AH12"/>
    <mergeCell ref="M47:N47"/>
    <mergeCell ref="Z1:AA1"/>
    <mergeCell ref="P33:Q33"/>
    <mergeCell ref="M19:N19"/>
    <mergeCell ref="W14:X14"/>
    <mergeCell ref="V47:W47"/>
    <mergeCell ref="J52:N52"/>
    <mergeCell ref="F37:AH37"/>
    <mergeCell ref="K13:L13"/>
    <mergeCell ref="C60:H61"/>
    <mergeCell ref="C27:E28"/>
    <mergeCell ref="AB49:AC49"/>
    <mergeCell ref="C13:J13"/>
    <mergeCell ref="N8:O9"/>
    <mergeCell ref="AB1:AD1"/>
    <mergeCell ref="V29:X31"/>
    <mergeCell ref="S47:T47"/>
    <mergeCell ref="AE57:AH59"/>
    <mergeCell ref="T41:W41"/>
    <mergeCell ref="C32:H33"/>
    <mergeCell ref="P35:Q35"/>
    <mergeCell ref="I25:M26"/>
    <mergeCell ref="F5:AH6"/>
    <mergeCell ref="AE60:AH60"/>
    <mergeCell ref="AF10:AH10"/>
    <mergeCell ref="F41:H41"/>
    <mergeCell ref="P63:Q63"/>
    <mergeCell ref="J38:N38"/>
    <mergeCell ref="F52:I52"/>
    <mergeCell ref="V33:W33"/>
    <mergeCell ref="C22:E22"/>
    <mergeCell ref="AE61:AG61"/>
    <mergeCell ref="K15:L15"/>
    <mergeCell ref="AB63:AC63"/>
    <mergeCell ref="AA20:AC20"/>
    <mergeCell ref="C34:H35"/>
    <mergeCell ref="AB35:AC35"/>
    <mergeCell ref="C52:E54"/>
    <mergeCell ref="Y31:AA31"/>
    <mergeCell ref="S61:T61"/>
    <mergeCell ref="V35:W35"/>
    <mergeCell ref="T27:W27"/>
    <mergeCell ref="Y46:AA46"/>
    <mergeCell ref="C14:E15"/>
    <mergeCell ref="F27:H27"/>
    <mergeCell ref="J24:N24"/>
    <mergeCell ref="X41:Z41"/>
    <mergeCell ref="B36:B49"/>
    <mergeCell ref="C16:J16"/>
    <mergeCell ref="V57:X59"/>
    <mergeCell ref="AF2:AF3"/>
    <mergeCell ref="Y48:AA48"/>
    <mergeCell ref="AH2:AH3"/>
    <mergeCell ref="M13:N13"/>
    <mergeCell ref="I61:L61"/>
    <mergeCell ref="AE46:AH46"/>
    <mergeCell ref="AB34:AD34"/>
    <mergeCell ref="W16:X16"/>
    <mergeCell ref="Y32:AA32"/>
    <mergeCell ref="Y29:AD30"/>
    <mergeCell ref="O14:Q14"/>
    <mergeCell ref="J7:N7"/>
    <mergeCell ref="AA14:AC14"/>
    <mergeCell ref="S32:U32"/>
    <mergeCell ref="X27:Z27"/>
    <mergeCell ref="O13:Q13"/>
    <mergeCell ref="T10:W10"/>
    <mergeCell ref="A1:Y1"/>
    <mergeCell ref="AE1:AF1"/>
    <mergeCell ref="P45:R45"/>
    <mergeCell ref="S33:T33"/>
    <mergeCell ref="V43:X45"/>
    <mergeCell ref="M29:O31"/>
    <mergeCell ref="W18:X18"/>
    <mergeCell ref="AE62:AH62"/>
    <mergeCell ref="T55:W55"/>
    <mergeCell ref="K17:L17"/>
    <mergeCell ref="AE63:AG63"/>
    <mergeCell ref="O15:Q15"/>
    <mergeCell ref="W17:X17"/>
    <mergeCell ref="I27:K27"/>
    <mergeCell ref="O18:Q18"/>
    <mergeCell ref="S63:T63"/>
    <mergeCell ref="N53:O54"/>
    <mergeCell ref="Y33:Z33"/>
    <mergeCell ref="K19:L19"/>
    <mergeCell ref="P31:R31"/>
    <mergeCell ref="M63:N63"/>
    <mergeCell ref="C17:E18"/>
    <mergeCell ref="AE29:AH31"/>
    <mergeCell ref="F14:J14"/>
    <mergeCell ref="I33:L33"/>
    <mergeCell ref="AE48:AH48"/>
    <mergeCell ref="F55:H55"/>
    <mergeCell ref="W19:X19"/>
    <mergeCell ref="V61:W61"/>
    <mergeCell ref="K16:L16"/>
    <mergeCell ref="AB59:AD59"/>
    <mergeCell ref="C50:E50"/>
    <mergeCell ref="AE33:AG33"/>
    <mergeCell ref="F11:J11"/>
    <mergeCell ref="AB46:AD46"/>
    <mergeCell ref="C48:H49"/>
    <mergeCell ref="Q10:S10"/>
    <mergeCell ref="C62:H63"/>
    <mergeCell ref="I35:L35"/>
    <mergeCell ref="Y59:AA59"/>
    <mergeCell ref="F4:AH4"/>
    <mergeCell ref="AE34:AH34"/>
    <mergeCell ref="P48:R48"/>
    <mergeCell ref="M49:N49"/>
    <mergeCell ref="U2:X3"/>
    <mergeCell ref="Y60:AA60"/>
    <mergeCell ref="Y57:AD58"/>
    <mergeCell ref="P7:AH9"/>
    <mergeCell ref="AF55:AH55"/>
    <mergeCell ref="AB48:AD48"/>
    <mergeCell ref="S34:U34"/>
    <mergeCell ref="X55:Z55"/>
    <mergeCell ref="I55:K55"/>
    <mergeCell ref="V60:X60"/>
    <mergeCell ref="M46:O46"/>
    <mergeCell ref="C36:E36"/>
    <mergeCell ref="W20:X20"/>
    <mergeCell ref="F15:J15"/>
    <mergeCell ref="Y20:Z20"/>
    <mergeCell ref="Q27:S27"/>
    <mergeCell ref="C5:E6"/>
    <mergeCell ref="Y14:Z14"/>
    <mergeCell ref="V63:W63"/>
    <mergeCell ref="V32:X32"/>
    <mergeCell ref="Y45:AA45"/>
    <mergeCell ref="AA18:AC18"/>
    <mergeCell ref="Z2:Z3"/>
    <mergeCell ref="AF41:AH41"/>
    <mergeCell ref="P49:Q49"/>
    <mergeCell ref="O17:Q17"/>
    <mergeCell ref="S45:U45"/>
    <mergeCell ref="K42:AH42"/>
    <mergeCell ref="Y43:AD44"/>
    <mergeCell ref="AD2:AD3"/>
    <mergeCell ref="B50:B63"/>
    <mergeCell ref="AB2:AB3"/>
    <mergeCell ref="M62:O62"/>
    <mergeCell ref="B22:B35"/>
    <mergeCell ref="A4:B20"/>
    <mergeCell ref="X10:Z10"/>
    <mergeCell ref="F36:AH36"/>
    <mergeCell ref="M32:O32"/>
    <mergeCell ref="M15:N15"/>
    <mergeCell ref="AB10:AD10"/>
    <mergeCell ref="C37:E37"/>
    <mergeCell ref="V62:X62"/>
    <mergeCell ref="M12:N12"/>
    <mergeCell ref="W12:X12"/>
    <mergeCell ref="F7:I7"/>
    <mergeCell ref="V49:W49"/>
    <mergeCell ref="I47:L47"/>
    <mergeCell ref="AF27:AH27"/>
    <mergeCell ref="F8:H9"/>
    <mergeCell ref="C29:L31"/>
    <mergeCell ref="S31:U31"/>
    <mergeCell ref="K28:AH28"/>
    <mergeCell ref="Y13:Z13"/>
    <mergeCell ref="S46:U46"/>
    <mergeCell ref="F22:AH22"/>
    <mergeCell ref="N25:O26"/>
    <mergeCell ref="Y62:AA62"/>
    <mergeCell ref="AA13:AC13"/>
    <mergeCell ref="S62:U62"/>
    <mergeCell ref="AB45:AD45"/>
    <mergeCell ref="P60:R60"/>
    <mergeCell ref="P57:U58"/>
    <mergeCell ref="C4:E4"/>
    <mergeCell ref="S48:U48"/>
    <mergeCell ref="AE47:AG47"/>
    <mergeCell ref="C19:J19"/>
    <mergeCell ref="AB60:AD60"/>
    <mergeCell ref="Q55:S55"/>
    <mergeCell ref="I53:M54"/>
    <mergeCell ref="M60:O60"/>
    <mergeCell ref="F39:H40"/>
    <mergeCell ref="AA15:AC15"/>
    <mergeCell ref="I41:K41"/>
    <mergeCell ref="P59:R59"/>
    <mergeCell ref="V34:X34"/>
    <mergeCell ref="K18:L18"/>
    <mergeCell ref="M10:O10"/>
    <mergeCell ref="P46:R46"/>
    <mergeCell ref="C43:L45"/>
    <mergeCell ref="AG1:AH1"/>
    <mergeCell ref="C57:L59"/>
    <mergeCell ref="AB31:AD31"/>
    <mergeCell ref="Y63:Z63"/>
    <mergeCell ref="P43:U44"/>
    <mergeCell ref="N39:O40"/>
    <mergeCell ref="AE2:AE3"/>
    <mergeCell ref="AG2:AG3"/>
    <mergeCell ref="I63:L63"/>
    <mergeCell ref="I39:M40"/>
    <mergeCell ref="O16:Q16"/>
    <mergeCell ref="I8:M9"/>
    <mergeCell ref="Y34:AA34"/>
    <mergeCell ref="Y2:Y3"/>
    <mergeCell ref="AA16:AC16"/>
    <mergeCell ref="K20:L20"/>
    <mergeCell ref="K56:AH56"/>
    <mergeCell ref="Y35:Z35"/>
    <mergeCell ref="P32:R32"/>
    <mergeCell ref="P29:U30"/>
    <mergeCell ref="M27:O27"/>
    <mergeCell ref="M20:N20"/>
    <mergeCell ref="A22:A63"/>
    <mergeCell ref="F42:J42"/>
    <mergeCell ref="Y19:Z19"/>
    <mergeCell ref="I49:L49"/>
    <mergeCell ref="F51:AH51"/>
    <mergeCell ref="P24:AH26"/>
    <mergeCell ref="Y17:Z17"/>
    <mergeCell ref="C12:J12"/>
    <mergeCell ref="V46:X46"/>
    <mergeCell ref="K12:L12"/>
    <mergeCell ref="AE49:AG49"/>
    <mergeCell ref="AB62:AD62"/>
    <mergeCell ref="F50:AH50"/>
    <mergeCell ref="F24:I24"/>
    <mergeCell ref="F28:J28"/>
    <mergeCell ref="S60:U60"/>
    <mergeCell ref="AA17:AC17"/>
    <mergeCell ref="AE43:AH45"/>
    <mergeCell ref="M34:O34"/>
    <mergeCell ref="M61:N61"/>
    <mergeCell ref="K14:L14"/>
    <mergeCell ref="C55:E56"/>
    <mergeCell ref="F56:J56"/>
    <mergeCell ref="F10:H10"/>
    <mergeCell ref="S59:U59"/>
    <mergeCell ref="Y61:Z61"/>
    <mergeCell ref="AA19:AC19"/>
    <mergeCell ref="Y12:Z12"/>
    <mergeCell ref="AE35:AG35"/>
    <mergeCell ref="AB32:AD32"/>
    <mergeCell ref="M48:O48"/>
    <mergeCell ref="M14:N14"/>
    <mergeCell ref="V48:X48"/>
    <mergeCell ref="AB41:AD41"/>
    <mergeCell ref="F38:I38"/>
    <mergeCell ref="AB33:AC33"/>
    <mergeCell ref="P52:AH54"/>
    <mergeCell ref="P34:R34"/>
    <mergeCell ref="W13:X13"/>
    <mergeCell ref="O20:Q20"/>
  </mergeCells>
  <dataValidations count="8">
    <dataValidation sqref="O13:Q21" showDropDown="0" showInputMessage="1" showErrorMessage="1" allowBlank="1" type="list">
      <formula1>"　,平成１８,平成１９,平成２０,平成２１,平成２２,平成２３,平成２４,平成２５"</formula1>
    </dataValidation>
    <dataValidation sqref="S13:S21 AE13:AE21" showDropDown="0" showInputMessage="1" showErrorMessage="1" allowBlank="1" type="list">
      <formula1>"　,４,５,６,７,８,９,１０,１１,１２,１,２,３"</formula1>
    </dataValidation>
    <dataValidation sqref="U13:U21 AG13:AG21" showDropDown="0" showInputMessage="1" showErrorMessage="1" allowBlank="1" type="list" errorStyle="warning" operator="equal">
      <formula1>"　,1"</formula1>
    </dataValidation>
    <dataValidation sqref="AA13:AC21" showDropDown="0" showInputMessage="1" showErrorMessage="1" allowBlank="1" type="list">
      <formula1>"　,平成２３,平成２４,平成２５,平成２６,平成２７,平成２８,平成２９,平成３０"</formula1>
    </dataValidation>
    <dataValidation sqref="F4:AH4 F22:AH22 F36:AH36 F50:AH50" showDropDown="0" showInputMessage="1" showErrorMessage="1" allowBlank="1" imeMode="halfKatakana"/>
    <dataValidation sqref="M10:O10 M27:O27 M41:O41 M55:O55 Q10:S10 Q27:S27 Q41:S41 Q55:S55 X10:Z10 X27:Z27 AB10:AD10 AB27:AD27 AB41:AD41 AB55:AD55 AF10:AH10 AF27:AH27 AF41:AH41 AF55:AH55" showDropDown="0" showInputMessage="1" showErrorMessage="1" allowBlank="1" error="全角数字で入力してください" imeMode="fullAlpha"/>
    <dataValidation sqref="I10:K10 I27:K27 I41:K41 I55:K55 J7:N7 J24:N24 J38:N38 J52:N52 X41:Z41 X55:Z55 Y2:AH3" showDropDown="0" showInputMessage="1" showErrorMessage="1" allowBlank="1" imeMode="fullAlpha"/>
    <dataValidation sqref="K13:K21 M32 M34 M46 M48 M60 M62 P32 P34 P46 P48 P60 P62 S32 S34 S46 S48 S60 S62 V32 V34 V46 V48 V60 V62 W13:W21 Y32 Y34 Y46 Y48 Y60 Y62 AB32 AB34 AB46 AB48 AB60 AB62 AE32 AE34 AE46 AE48 AE60 AE62" showDropDown="0" showInputMessage="1" showErrorMessage="1" allowBlank="1" type="list">
      <formula1>"　,○"</formula1>
    </dataValidation>
  </dataValidations>
  <printOptions horizontalCentered="1"/>
  <pageMargins left="0.58" right="0.37" top="0.3937007874015748" bottom="0.3937007874015748" header="0.5118110236220472" footer="0.5118110236220472"/>
  <pageSetup orientation="portrait" paperSize="9" scale="95"/>
  <legacyDrawing xmlns:r="http://schemas.openxmlformats.org/officeDocument/2006/relationships" r:id="anysvml"/>
</worksheet>
</file>

<file path=xl/worksheets/sheet19.xml><?xml version="1.0" encoding="utf-8"?>
<worksheet xmlns="http://schemas.openxmlformats.org/spreadsheetml/2006/main">
  <sheetPr codeName="Sheet18">
    <outlinePr summaryBelow="1" summaryRight="1"/>
    <pageSetUpPr/>
  </sheetPr>
  <dimension ref="A1:AO96"/>
  <sheetViews>
    <sheetView showGridLines="0" view="pageBreakPreview" zoomScaleNormal="100" workbookViewId="0">
      <selection activeCell="G15" sqref="G15"/>
    </sheetView>
  </sheetViews>
  <sheetFormatPr baseColWidth="8" defaultRowHeight="13.5"/>
  <cols>
    <col width="2.625" customWidth="1" style="4080" min="1" max="29"/>
    <col width="2.25" customWidth="1" style="4080" min="30" max="30"/>
    <col width="2.625" customWidth="1" style="4080" min="31" max="33"/>
    <col width="3.625" customWidth="1" style="4080" min="34" max="34"/>
  </cols>
  <sheetData>
    <row r="1" ht="17.1" customFormat="1" customHeight="1" s="1667" thickBot="1">
      <c r="A1" s="1213" t="inlineStr">
        <is>
          <t>付表１２　短期入所事業所の指定に係る記載事項</t>
        </is>
      </c>
      <c r="AM1" s="719">
        <f>HYPERLINK("#目次!A1","目次へ戻る")</f>
        <v/>
      </c>
    </row>
    <row r="2" ht="15" customFormat="1" customHeight="1" s="1667">
      <c r="B2" s="45" t="n"/>
      <c r="C2" s="45" t="n"/>
      <c r="D2" s="45" t="n"/>
      <c r="E2" s="1889" t="n"/>
      <c r="F2" s="1889" t="n"/>
      <c r="G2" s="1889" t="n"/>
      <c r="H2" s="2069" t="n"/>
      <c r="I2" s="1889" t="n"/>
      <c r="J2" s="1889" t="n"/>
      <c r="K2" s="1889" t="n"/>
      <c r="L2" s="1889" t="n"/>
      <c r="M2" s="1889" t="n"/>
      <c r="N2" s="2069" t="n"/>
      <c r="O2" s="1889" t="n"/>
      <c r="P2" s="1889" t="n"/>
      <c r="Q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Format="1" customHeight="1" s="1667"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2" customFormat="1" customHeight="1" s="1667">
      <c r="A4" s="4179" t="inlineStr">
        <is>
          <t>事業所</t>
        </is>
      </c>
      <c r="B4" s="4082"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2" customFormat="1" customHeight="1" s="1667">
      <c r="A5" s="4097" t="n"/>
      <c r="C5" s="4181" t="inlineStr">
        <is>
          <t>名　称</t>
        </is>
      </c>
      <c r="D5" s="4098" t="n"/>
      <c r="E5" s="4099" t="n"/>
      <c r="F5" s="4182"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2" customFormat="1" customHeight="1" s="1667">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Format="1" customHeight="1" s="1667">
      <c r="A7" s="4097" t="n"/>
      <c r="C7" s="4268" t="inlineStr">
        <is>
          <t>所在地</t>
        </is>
      </c>
      <c r="D7" s="4098" t="n"/>
      <c r="E7" s="4099" t="n"/>
      <c r="F7" s="1244" t="inlineStr">
        <is>
          <t>郵便番号（</t>
        </is>
      </c>
      <c r="G7" s="4098" t="n"/>
      <c r="H7" s="4098" t="n"/>
      <c r="I7" s="4098" t="n"/>
      <c r="J7" s="1287" t="n"/>
      <c r="K7" s="4098" t="n"/>
      <c r="L7" s="4098" t="n"/>
      <c r="M7" s="4098" t="n"/>
      <c r="N7" s="4098" t="n"/>
      <c r="O7" s="1329" t="inlineStr">
        <is>
          <t>）</t>
        </is>
      </c>
      <c r="P7" s="4311"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Format="1" customHeight="1" s="1667">
      <c r="A8" s="4097" t="n"/>
      <c r="C8" s="4106" t="n"/>
      <c r="E8" s="4107" t="n"/>
      <c r="F8" s="1255" t="inlineStr">
        <is>
          <t>大阪市</t>
        </is>
      </c>
      <c r="I8" s="986" t="n"/>
      <c r="N8" s="1260" t="inlineStr">
        <is>
          <t>区</t>
        </is>
      </c>
      <c r="AH8" s="4109" t="n"/>
    </row>
    <row r="9" ht="3.95" customFormat="1" customHeight="1" s="1667">
      <c r="A9" s="4097" t="n"/>
      <c r="C9" s="4106" t="n"/>
      <c r="E9" s="4107"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Format="1" customHeight="1" s="1667">
      <c r="A10" s="4097" t="n"/>
      <c r="C10" s="4181" t="inlineStr">
        <is>
          <t>連絡先</t>
        </is>
      </c>
      <c r="D10" s="4098" t="n"/>
      <c r="E10" s="4099" t="n"/>
      <c r="F10" s="1262" t="inlineStr">
        <is>
          <t>電話番号</t>
        </is>
      </c>
      <c r="G10" s="4110" t="n"/>
      <c r="H10" s="4111" t="n"/>
      <c r="I10" s="882" t="n"/>
      <c r="J10" s="4110" t="n"/>
      <c r="K10" s="4110" t="n"/>
      <c r="L10" s="53" t="inlineStr">
        <is>
          <t>－</t>
        </is>
      </c>
      <c r="M10" s="920" t="n"/>
      <c r="N10" s="4110" t="n"/>
      <c r="O10" s="4110" t="n"/>
      <c r="P10" s="53" t="inlineStr">
        <is>
          <t>－</t>
        </is>
      </c>
      <c r="Q10" s="878" t="n"/>
      <c r="R10" s="4110" t="n"/>
      <c r="S10" s="4111" t="n"/>
      <c r="T10" s="4184" t="inlineStr">
        <is>
          <t>ＦＡＸ番号</t>
        </is>
      </c>
      <c r="U10" s="4110" t="n"/>
      <c r="V10" s="4110" t="n"/>
      <c r="W10" s="4111" t="n"/>
      <c r="X10" s="882" t="n"/>
      <c r="Y10" s="4110" t="n"/>
      <c r="Z10" s="4110" t="n"/>
      <c r="AA10" s="53" t="inlineStr">
        <is>
          <t>－</t>
        </is>
      </c>
      <c r="AB10" s="920" t="n"/>
      <c r="AC10" s="4110" t="n"/>
      <c r="AD10" s="4110" t="n"/>
      <c r="AE10" s="53" t="inlineStr">
        <is>
          <t>－</t>
        </is>
      </c>
      <c r="AF10" s="955" t="n"/>
      <c r="AG10" s="4110" t="n"/>
      <c r="AH10" s="4113" t="n"/>
    </row>
    <row r="11" ht="15" customFormat="1" customHeight="1" s="1667">
      <c r="A11" s="4114" t="n"/>
      <c r="B11" s="4103" t="n"/>
      <c r="C11" s="4102" t="n"/>
      <c r="D11" s="4103" t="n"/>
      <c r="E11" s="4104" t="n"/>
      <c r="F11" s="4185" t="inlineStr">
        <is>
          <t>メールアドレス</t>
        </is>
      </c>
      <c r="G11" s="4110" t="n"/>
      <c r="H11" s="4110" t="n"/>
      <c r="I11" s="4110" t="n"/>
      <c r="J11" s="4111" t="n"/>
      <c r="K11" s="418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4.1" customFormat="1" customHeight="1" s="1667">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20" t="n"/>
      <c r="V12" s="4110" t="n"/>
      <c r="W12" s="1264" t="inlineStr">
        <is>
          <t>条第</t>
        </is>
      </c>
      <c r="X12" s="4110" t="n"/>
      <c r="Y12" s="920" t="n"/>
      <c r="Z12" s="4110" t="n"/>
      <c r="AA12" s="1264" t="inlineStr">
        <is>
          <t>項第</t>
        </is>
      </c>
      <c r="AB12" s="4110" t="n"/>
      <c r="AC12" s="920" t="n"/>
      <c r="AD12" s="4110" t="n"/>
      <c r="AE12" s="1264" t="inlineStr">
        <is>
          <t>号（</t>
        </is>
      </c>
      <c r="AF12" s="4110" t="n"/>
      <c r="AG12" s="920" t="n"/>
      <c r="AH12" s="2827" t="inlineStr">
        <is>
          <t>）</t>
        </is>
      </c>
    </row>
    <row r="13" ht="15.95" customFormat="1" customHeight="1" s="1667">
      <c r="A13" s="4188" t="inlineStr">
        <is>
          <t>管　　理　　者</t>
        </is>
      </c>
      <c r="B13" s="4099" t="n"/>
      <c r="C13" s="4184" t="inlineStr">
        <is>
          <t>ﾌﾘｶﾞﾅ</t>
        </is>
      </c>
      <c r="D13" s="4110" t="n"/>
      <c r="E13" s="4111" t="n"/>
      <c r="F13" s="1278" t="n"/>
      <c r="G13" s="4110" t="n"/>
      <c r="H13" s="4110" t="n"/>
      <c r="I13" s="4189" t="n"/>
      <c r="J13" s="1279" t="n"/>
      <c r="K13" s="4110" t="n"/>
      <c r="L13" s="4110" t="n"/>
      <c r="M13" s="4189" t="n"/>
      <c r="N13" s="4185" t="inlineStr">
        <is>
          <t>住所</t>
        </is>
      </c>
      <c r="O13" s="4099" t="n"/>
      <c r="P13" s="1244" t="inlineStr">
        <is>
          <t>郵便番号（</t>
        </is>
      </c>
      <c r="Q13" s="4098" t="n"/>
      <c r="R13" s="4098" t="n"/>
      <c r="S13" s="4098" t="n"/>
      <c r="T13" s="1246" t="n"/>
      <c r="U13" s="4098" t="n"/>
      <c r="V13" s="4098" t="n"/>
      <c r="W13" s="4098" t="n"/>
      <c r="X13" s="4098" t="n"/>
      <c r="Y13" s="1329" t="inlineStr">
        <is>
          <t>）</t>
        </is>
      </c>
      <c r="Z13" s="1017" t="n"/>
      <c r="AA13" s="1017" t="n"/>
      <c r="AB13" s="1017" t="n"/>
      <c r="AC13" s="1017" t="n"/>
      <c r="AD13" s="1017" t="n"/>
      <c r="AE13" s="1017" t="n"/>
      <c r="AF13" s="1017" t="n"/>
      <c r="AG13" s="1017" t="n"/>
      <c r="AH13" s="1424" t="n"/>
    </row>
    <row r="14" ht="14.1" customFormat="1" customHeight="1" s="1667">
      <c r="A14" s="4097" t="n"/>
      <c r="B14" s="4107" t="n"/>
      <c r="C14" s="4184" t="inlineStr">
        <is>
          <t>氏名</t>
        </is>
      </c>
      <c r="D14" s="4098" t="n"/>
      <c r="E14" s="4099" t="n"/>
      <c r="F14" s="1278" t="n"/>
      <c r="G14" s="4098" t="n"/>
      <c r="H14" s="4098" t="n"/>
      <c r="I14" s="4190" t="n"/>
      <c r="J14" s="1279" t="n"/>
      <c r="K14" s="4098" t="n"/>
      <c r="L14" s="4098" t="n"/>
      <c r="M14" s="4190" t="n"/>
      <c r="N14" s="4106" t="n"/>
      <c r="O14" s="4107" t="n"/>
      <c r="P14" s="1318" t="n"/>
      <c r="R14" s="2378" t="inlineStr">
        <is>
          <t>都</t>
        </is>
      </c>
      <c r="S14" s="2378" t="inlineStr">
        <is>
          <t>道</t>
        </is>
      </c>
      <c r="T14" s="1319" t="n"/>
      <c r="W14" s="2378" t="inlineStr">
        <is>
          <t>郡</t>
        </is>
      </c>
      <c r="X14" s="1321" t="n"/>
      <c r="AH14" s="4109" t="n"/>
    </row>
    <row r="15" ht="14.1" customFormat="1" customHeight="1" s="1667">
      <c r="A15" s="4097" t="n"/>
      <c r="B15" s="4107" t="n"/>
      <c r="C15" s="4106" t="n"/>
      <c r="E15" s="4107" t="n"/>
      <c r="F15" s="4106" t="n"/>
      <c r="I15" s="4191" t="n"/>
      <c r="J15" s="4192" t="n"/>
      <c r="M15" s="4191" t="n"/>
      <c r="N15" s="4106" t="n"/>
      <c r="O15" s="4107" t="n"/>
      <c r="P15" s="4106" t="n"/>
      <c r="R15" s="2378" t="inlineStr">
        <is>
          <t>府</t>
        </is>
      </c>
      <c r="S15" s="2378" t="inlineStr">
        <is>
          <t>県</t>
        </is>
      </c>
      <c r="W15" s="2378" t="inlineStr">
        <is>
          <t>市</t>
        </is>
      </c>
      <c r="AH15" s="4109" t="n"/>
    </row>
    <row r="16" ht="3.95" customFormat="1" customHeight="1" s="1667">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Format="1" customHeight="1" s="1667">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Format="1" customHeight="1" s="1667">
      <c r="A18" s="4097" t="n"/>
      <c r="B18" s="4107" t="n"/>
      <c r="C18" s="4106" t="n"/>
      <c r="N18" s="1354" t="n"/>
      <c r="O18" s="1325" t="inlineStr">
        <is>
          <t>有</t>
        </is>
      </c>
      <c r="P18" s="1325" t="inlineStr">
        <is>
          <t>・</t>
        </is>
      </c>
      <c r="Q18" s="1325" t="inlineStr">
        <is>
          <t>無</t>
        </is>
      </c>
      <c r="R18" s="1332" t="n"/>
      <c r="S18" s="4106" t="n"/>
      <c r="U18" s="4107" t="n"/>
      <c r="V18" s="4312" t="n"/>
      <c r="AH18" s="4109" t="n"/>
    </row>
    <row r="19" ht="3.95" customFormat="1" customHeight="1" s="1667">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7.25" customFormat="1" customHeight="1" s="1667">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Format="1" customHeight="1" s="1667">
      <c r="A21" s="4097" t="n"/>
      <c r="B21" s="4107" t="n"/>
      <c r="C21" s="1303" t="inlineStr">
        <is>
          <t>事　業　所　名</t>
        </is>
      </c>
      <c r="D21" s="4138" t="n"/>
      <c r="E21" s="4138" t="n"/>
      <c r="F21" s="4138" t="n"/>
      <c r="G21" s="4138" t="n"/>
      <c r="H21" s="4138" t="n"/>
      <c r="I21" s="4138" t="n"/>
      <c r="J21" s="4138" t="n"/>
      <c r="K21" s="4138" t="n"/>
      <c r="L21" s="4198" t="n"/>
      <c r="M21" s="1304" t="inlineStr">
        <is>
          <t>サービス種別</t>
        </is>
      </c>
      <c r="N21" s="4138" t="n"/>
      <c r="O21" s="4138" t="n"/>
      <c r="P21" s="4138" t="n"/>
      <c r="Q21" s="4138" t="n"/>
      <c r="R21" s="4138" t="n"/>
      <c r="S21" s="4138" t="n"/>
      <c r="T21" s="4138" t="n"/>
      <c r="U21" s="4138" t="n"/>
      <c r="V21" s="4138" t="n"/>
      <c r="W21" s="4138" t="n"/>
      <c r="X21" s="4198" t="n"/>
      <c r="Y21" s="1641" t="inlineStr">
        <is>
          <t>職　　　種</t>
        </is>
      </c>
      <c r="Z21" s="4138" t="n"/>
      <c r="AA21" s="4138" t="n"/>
      <c r="AB21" s="4138" t="n"/>
      <c r="AC21" s="4138" t="n"/>
      <c r="AD21" s="4138" t="n"/>
      <c r="AE21" s="4138" t="n"/>
      <c r="AF21" s="4138" t="n"/>
      <c r="AG21" s="4138" t="n"/>
      <c r="AH21" s="4198" t="n"/>
    </row>
    <row r="22" ht="15" customFormat="1" customHeight="1" s="1667">
      <c r="A22" s="4097" t="n"/>
      <c r="B22" s="4107" t="n"/>
      <c r="C22" s="1347" t="n"/>
      <c r="D22" s="4098" t="n"/>
      <c r="E22" s="4098" t="n"/>
      <c r="F22" s="4098" t="n"/>
      <c r="G22" s="4098" t="n"/>
      <c r="H22" s="4098" t="n"/>
      <c r="I22" s="4098" t="n"/>
      <c r="J22" s="4098" t="n"/>
      <c r="K22" s="4098" t="n"/>
      <c r="L22" s="4190" t="n"/>
      <c r="M22" s="1348" t="n"/>
      <c r="N22" s="4098" t="n"/>
      <c r="O22" s="4098" t="n"/>
      <c r="P22" s="4098" t="n"/>
      <c r="Q22" s="4098" t="n"/>
      <c r="R22" s="4098" t="n"/>
      <c r="S22" s="4098" t="n"/>
      <c r="T22" s="4098" t="n"/>
      <c r="U22" s="4098" t="n"/>
      <c r="V22" s="4098" t="n"/>
      <c r="W22" s="4098" t="n"/>
      <c r="X22" s="4190" t="n"/>
      <c r="Y22" s="1349" t="n"/>
      <c r="Z22" s="4098" t="n"/>
      <c r="AA22" s="4098" t="n"/>
      <c r="AB22" s="4098" t="n"/>
      <c r="AC22" s="4098" t="n"/>
      <c r="AD22" s="4098" t="n"/>
      <c r="AE22" s="4098" t="n"/>
      <c r="AF22" s="4098" t="n"/>
      <c r="AG22" s="4098" t="n"/>
      <c r="AH22" s="4190" t="n"/>
    </row>
    <row r="23" ht="15" customFormat="1" customHeight="1" s="1667">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1" t="n"/>
      <c r="Z23" s="4199" t="n"/>
      <c r="AA23" s="4199" t="n"/>
      <c r="AB23" s="4199" t="n"/>
      <c r="AC23" s="4199" t="n"/>
      <c r="AD23" s="4199" t="n"/>
      <c r="AE23" s="4199" t="n"/>
      <c r="AF23" s="4199" t="n"/>
      <c r="AG23" s="4199" t="n"/>
      <c r="AH23" s="4200" t="n"/>
    </row>
    <row r="24" ht="15" customFormat="1" customHeight="1" s="1667">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1" t="n"/>
      <c r="Z24" s="4199" t="n"/>
      <c r="AA24" s="4199" t="n"/>
      <c r="AB24" s="4199" t="n"/>
      <c r="AC24" s="4199" t="n"/>
      <c r="AD24" s="4199" t="n"/>
      <c r="AE24" s="4199" t="n"/>
      <c r="AF24" s="4199" t="n"/>
      <c r="AG24" s="4199" t="n"/>
      <c r="AH24" s="4200" t="n"/>
    </row>
    <row r="25" ht="15" customFormat="1" customHeight="1" s="1667">
      <c r="A25" s="4097" t="n"/>
      <c r="B25" s="4107" t="n"/>
      <c r="C25" s="1343" t="n"/>
      <c r="D25" s="4146" t="n"/>
      <c r="E25" s="4146" t="n"/>
      <c r="F25" s="4146" t="n"/>
      <c r="G25" s="4146" t="n"/>
      <c r="H25" s="4146" t="n"/>
      <c r="I25" s="4146" t="n"/>
      <c r="J25" s="4146" t="n"/>
      <c r="K25" s="4146" t="n"/>
      <c r="L25" s="4201" t="n"/>
      <c r="M25" s="1344" t="n"/>
      <c r="N25" s="4146" t="n"/>
      <c r="O25" s="4146" t="n"/>
      <c r="P25" s="4146" t="n"/>
      <c r="Q25" s="4146" t="n"/>
      <c r="R25" s="4146" t="n"/>
      <c r="S25" s="4146" t="n"/>
      <c r="T25" s="4146" t="n"/>
      <c r="U25" s="4146" t="n"/>
      <c r="V25" s="4146" t="n"/>
      <c r="W25" s="4146" t="n"/>
      <c r="X25" s="4201" t="n"/>
      <c r="Y25" s="1345" t="n"/>
      <c r="Z25" s="4146" t="n"/>
      <c r="AA25" s="4146" t="n"/>
      <c r="AB25" s="4146" t="n"/>
      <c r="AC25" s="4146" t="n"/>
      <c r="AD25" s="4146" t="n"/>
      <c r="AE25" s="4146" t="n"/>
      <c r="AF25" s="4146" t="n"/>
      <c r="AG25" s="4146" t="n"/>
      <c r="AH25" s="4201" t="n"/>
    </row>
    <row r="26" ht="14.1" customFormat="1" customHeight="1" s="1667" thickBot="1">
      <c r="A26" s="4573" t="inlineStr">
        <is>
          <t>職　員　の　職　種　・　員　数</t>
        </is>
      </c>
      <c r="B26" s="4099" t="n"/>
      <c r="C26" s="4362" t="inlineStr">
        <is>
          <t xml:space="preserve">　　　　　　　　　職種・勤務形態
常勤・非常勤の別</t>
        </is>
      </c>
      <c r="D26" s="4098" t="n"/>
      <c r="E26" s="4098" t="n"/>
      <c r="F26" s="4098" t="n"/>
      <c r="G26" s="4098" t="n"/>
      <c r="H26" s="4098" t="n"/>
      <c r="I26" s="4098" t="n"/>
      <c r="J26" s="4099" t="n"/>
      <c r="K26" s="4440" t="inlineStr">
        <is>
          <t>医　　　師</t>
        </is>
      </c>
      <c r="L26" s="4110" t="n"/>
      <c r="M26" s="4110" t="n"/>
      <c r="N26" s="4110" t="n"/>
      <c r="O26" s="4110" t="n"/>
      <c r="P26" s="4111" t="n"/>
      <c r="Q26" s="4440" t="inlineStr">
        <is>
          <t>生活支援員</t>
        </is>
      </c>
      <c r="R26" s="4110" t="n"/>
      <c r="S26" s="4110" t="n"/>
      <c r="T26" s="4110" t="n"/>
      <c r="U26" s="4110" t="n"/>
      <c r="V26" s="4111" t="n"/>
      <c r="W26" s="4440" t="inlineStr">
        <is>
          <t>介護職員</t>
        </is>
      </c>
      <c r="X26" s="4110" t="n"/>
      <c r="Y26" s="4110" t="n"/>
      <c r="Z26" s="4110" t="n"/>
      <c r="AA26" s="4110" t="n"/>
      <c r="AB26" s="4111" t="n"/>
      <c r="AC26" s="4441" t="inlineStr">
        <is>
          <t>職業指導員</t>
        </is>
      </c>
      <c r="AD26" s="4110" t="n"/>
      <c r="AE26" s="4110" t="n"/>
      <c r="AF26" s="4110" t="n"/>
      <c r="AG26" s="4110" t="n"/>
      <c r="AH26" s="4113" t="n"/>
    </row>
    <row r="27" ht="14.1" customFormat="1" customHeight="1" s="1667" thickBot="1">
      <c r="A27" s="4097" t="n"/>
      <c r="B27" s="4107" t="n"/>
      <c r="C27" s="4102" t="n"/>
      <c r="D27" s="4103" t="n"/>
      <c r="E27" s="4103" t="n"/>
      <c r="F27" s="4103" t="n"/>
      <c r="G27" s="4103" t="n"/>
      <c r="H27" s="4103" t="n"/>
      <c r="I27" s="4103" t="n"/>
      <c r="J27" s="4104" t="n"/>
      <c r="K27" s="4440" t="inlineStr">
        <is>
          <t>専従</t>
        </is>
      </c>
      <c r="L27" s="4110" t="n"/>
      <c r="M27" s="4111" t="n"/>
      <c r="N27" s="4440" t="inlineStr">
        <is>
          <t>兼務</t>
        </is>
      </c>
      <c r="O27" s="4110" t="n"/>
      <c r="P27" s="4111" t="n"/>
      <c r="Q27" s="4440" t="inlineStr">
        <is>
          <t>専従</t>
        </is>
      </c>
      <c r="R27" s="4110" t="n"/>
      <c r="S27" s="4111" t="n"/>
      <c r="T27" s="4440" t="inlineStr">
        <is>
          <t>兼務</t>
        </is>
      </c>
      <c r="U27" s="4110" t="n"/>
      <c r="V27" s="4111" t="n"/>
      <c r="W27" s="4440" t="inlineStr">
        <is>
          <t>専従</t>
        </is>
      </c>
      <c r="X27" s="4110" t="n"/>
      <c r="Y27" s="4111" t="n"/>
      <c r="Z27" s="4440" t="inlineStr">
        <is>
          <t>兼務</t>
        </is>
      </c>
      <c r="AA27" s="4110" t="n"/>
      <c r="AB27" s="4111" t="n"/>
      <c r="AC27" s="4440" t="inlineStr">
        <is>
          <t>専従</t>
        </is>
      </c>
      <c r="AD27" s="4110" t="n"/>
      <c r="AE27" s="4111" t="n"/>
      <c r="AF27" s="4441" t="inlineStr">
        <is>
          <t>兼務</t>
        </is>
      </c>
      <c r="AG27" s="4110" t="n"/>
      <c r="AH27" s="4113" t="n"/>
    </row>
    <row r="28" ht="12" customFormat="1" customHeight="1" s="1667" thickBot="1">
      <c r="A28" s="4097" t="n"/>
      <c r="B28" s="4107" t="n"/>
      <c r="C28" s="1268" t="inlineStr">
        <is>
          <t>常　　　　　勤（人）</t>
        </is>
      </c>
      <c r="D28" s="4110" t="n"/>
      <c r="E28" s="4110" t="n"/>
      <c r="F28" s="4110" t="n"/>
      <c r="G28" s="4110" t="n"/>
      <c r="H28" s="4110" t="n"/>
      <c r="I28" s="4110" t="n"/>
      <c r="J28" s="4111" t="n"/>
      <c r="K28" s="4574" t="n"/>
      <c r="L28" s="4110" t="n"/>
      <c r="M28" s="4111" t="n"/>
      <c r="N28" s="4574" t="n"/>
      <c r="O28" s="4110" t="n"/>
      <c r="P28" s="4111" t="n"/>
      <c r="Q28" s="4574" t="n"/>
      <c r="R28" s="4110" t="n"/>
      <c r="S28" s="4111" t="n"/>
      <c r="T28" s="4574" t="n"/>
      <c r="U28" s="4110" t="n"/>
      <c r="V28" s="4111" t="n"/>
      <c r="W28" s="4574" t="n"/>
      <c r="X28" s="4110" t="n"/>
      <c r="Y28" s="4111" t="n"/>
      <c r="Z28" s="4574" t="n"/>
      <c r="AA28" s="4110" t="n"/>
      <c r="AB28" s="4111" t="n"/>
      <c r="AC28" s="4574" t="n"/>
      <c r="AD28" s="4110" t="n"/>
      <c r="AE28" s="4111" t="n"/>
      <c r="AF28" s="4575" t="n"/>
      <c r="AG28" s="4110" t="n"/>
      <c r="AH28" s="4113" t="n"/>
    </row>
    <row r="29" ht="12" customFormat="1" customHeight="1" s="1667" thickBot="1">
      <c r="A29" s="4097" t="n"/>
      <c r="B29" s="4107" t="n"/>
      <c r="C29" s="1286" t="inlineStr">
        <is>
          <t>非　　常　　勤（人）</t>
        </is>
      </c>
      <c r="D29" s="4103" t="n"/>
      <c r="E29" s="4103" t="n"/>
      <c r="F29" s="4103" t="n"/>
      <c r="G29" s="4103" t="n"/>
      <c r="H29" s="4103" t="n"/>
      <c r="I29" s="4103" t="n"/>
      <c r="J29" s="4104" t="n"/>
      <c r="K29" s="4574" t="n"/>
      <c r="L29" s="4110" t="n"/>
      <c r="M29" s="4111" t="n"/>
      <c r="N29" s="4574" t="n"/>
      <c r="O29" s="4110" t="n"/>
      <c r="P29" s="4111" t="n"/>
      <c r="Q29" s="4574" t="n"/>
      <c r="R29" s="4110" t="n"/>
      <c r="S29" s="4111" t="n"/>
      <c r="T29" s="4574" t="n"/>
      <c r="U29" s="4110" t="n"/>
      <c r="V29" s="4111" t="n"/>
      <c r="W29" s="4574" t="n"/>
      <c r="X29" s="4110" t="n"/>
      <c r="Y29" s="4111" t="n"/>
      <c r="Z29" s="4574" t="n"/>
      <c r="AA29" s="4110" t="n"/>
      <c r="AB29" s="4111" t="n"/>
      <c r="AC29" s="4574" t="n"/>
      <c r="AD29" s="4110" t="n"/>
      <c r="AE29" s="4111" t="n"/>
      <c r="AF29" s="4575" t="n"/>
      <c r="AG29" s="4110" t="n"/>
      <c r="AH29" s="4113" t="n"/>
    </row>
    <row r="30" ht="14.1" customFormat="1" customHeight="1" s="1667" thickBot="1">
      <c r="A30" s="4097" t="n"/>
      <c r="B30" s="4107" t="n"/>
      <c r="C30" s="1268" t="inlineStr">
        <is>
          <t>常勤換算後の人数（人）</t>
        </is>
      </c>
      <c r="D30" s="4110" t="n"/>
      <c r="E30" s="4110" t="n"/>
      <c r="F30" s="4110" t="n"/>
      <c r="G30" s="4110" t="n"/>
      <c r="H30" s="4110" t="n"/>
      <c r="I30" s="4110" t="n"/>
      <c r="J30" s="4111" t="n"/>
      <c r="K30" s="4330" t="n"/>
      <c r="L30" s="4110" t="n"/>
      <c r="M30" s="4110" t="n"/>
      <c r="N30" s="4110" t="n"/>
      <c r="O30" s="4110" t="n"/>
      <c r="P30" s="4111" t="n"/>
      <c r="Q30" s="4330" t="n"/>
      <c r="R30" s="4110" t="n"/>
      <c r="S30" s="4110" t="n"/>
      <c r="T30" s="4110" t="n"/>
      <c r="U30" s="4110" t="n"/>
      <c r="V30" s="4111" t="n"/>
      <c r="W30" s="4330" t="n"/>
      <c r="X30" s="4110" t="n"/>
      <c r="Y30" s="4110" t="n"/>
      <c r="Z30" s="4110" t="n"/>
      <c r="AA30" s="4110" t="n"/>
      <c r="AB30" s="4111" t="n"/>
      <c r="AC30" s="4331" t="n"/>
      <c r="AD30" s="4110" t="n"/>
      <c r="AE30" s="4110" t="n"/>
      <c r="AF30" s="4110" t="n"/>
      <c r="AG30" s="4110" t="n"/>
      <c r="AH30" s="4113" t="n"/>
    </row>
    <row r="31" ht="14.1" customFormat="1" customHeight="1" s="1667" thickBot="1">
      <c r="A31" s="4097" t="n"/>
      <c r="B31" s="4107" t="n"/>
      <c r="C31" s="4362" t="inlineStr">
        <is>
          <t xml:space="preserve">　　　　　　　　　職種・勤務形態
常勤・非常勤の別</t>
        </is>
      </c>
      <c r="D31" s="4098" t="n"/>
      <c r="E31" s="4098" t="n"/>
      <c r="F31" s="4098" t="n"/>
      <c r="G31" s="4098" t="n"/>
      <c r="H31" s="4098" t="n"/>
      <c r="I31" s="4098" t="n"/>
      <c r="J31" s="4099" t="n"/>
      <c r="K31" s="4441" t="inlineStr">
        <is>
          <t>看　　　　　　　護　　　　　　　職　　　　　　　員</t>
        </is>
      </c>
      <c r="L31" s="4110" t="n"/>
      <c r="M31" s="4110" t="n"/>
      <c r="N31" s="4110" t="n"/>
      <c r="O31" s="4110" t="n"/>
      <c r="P31" s="4110" t="n"/>
      <c r="Q31" s="4110" t="n"/>
      <c r="R31" s="4110" t="n"/>
      <c r="S31" s="4110" t="n"/>
      <c r="T31" s="4110" t="n"/>
      <c r="U31" s="4110" t="n"/>
      <c r="V31" s="4110" t="n"/>
      <c r="W31" s="4110" t="n"/>
      <c r="X31" s="4110" t="n"/>
      <c r="Y31" s="4110" t="n"/>
      <c r="Z31" s="4110" t="n"/>
      <c r="AA31" s="4110" t="n"/>
      <c r="AB31" s="4110" t="n"/>
      <c r="AC31" s="4110" t="n"/>
      <c r="AD31" s="4110" t="n"/>
      <c r="AE31" s="4110" t="n"/>
      <c r="AF31" s="4110" t="n"/>
      <c r="AG31" s="4110" t="n"/>
      <c r="AH31" s="4113" t="n"/>
    </row>
    <row r="32" ht="14.1" customFormat="1" customHeight="1" s="1667" thickBot="1">
      <c r="A32" s="4097" t="n"/>
      <c r="B32" s="4107" t="n"/>
      <c r="C32" s="4106" t="n"/>
      <c r="J32" s="4107" t="n"/>
      <c r="K32" s="4440" t="inlineStr">
        <is>
          <t>保　健　師</t>
        </is>
      </c>
      <c r="L32" s="4110" t="n"/>
      <c r="M32" s="4110" t="n"/>
      <c r="N32" s="4110" t="n"/>
      <c r="O32" s="4110" t="n"/>
      <c r="P32" s="4111" t="n"/>
      <c r="Q32" s="4440" t="inlineStr">
        <is>
          <t>看　護　師</t>
        </is>
      </c>
      <c r="R32" s="4110" t="n"/>
      <c r="S32" s="4110" t="n"/>
      <c r="T32" s="4110" t="n"/>
      <c r="U32" s="4110" t="n"/>
      <c r="V32" s="4111" t="n"/>
      <c r="W32" s="4440" t="inlineStr">
        <is>
          <t>准看護師</t>
        </is>
      </c>
      <c r="X32" s="4110" t="n"/>
      <c r="Y32" s="4110" t="n"/>
      <c r="Z32" s="4110" t="n"/>
      <c r="AA32" s="4110" t="n"/>
      <c r="AB32" s="4111" t="n"/>
      <c r="AC32" s="4441" t="inlineStr">
        <is>
          <t>看護職員計</t>
        </is>
      </c>
      <c r="AD32" s="4110" t="n"/>
      <c r="AE32" s="4110" t="n"/>
      <c r="AF32" s="4110" t="n"/>
      <c r="AG32" s="4110" t="n"/>
      <c r="AH32" s="4113" t="n"/>
    </row>
    <row r="33" ht="14.1" customFormat="1" customHeight="1" s="1667" thickBot="1">
      <c r="A33" s="4097" t="n"/>
      <c r="B33" s="4107" t="n"/>
      <c r="C33" s="4102" t="n"/>
      <c r="D33" s="4103" t="n"/>
      <c r="E33" s="4103" t="n"/>
      <c r="F33" s="4103" t="n"/>
      <c r="G33" s="4103" t="n"/>
      <c r="H33" s="4103" t="n"/>
      <c r="I33" s="4103" t="n"/>
      <c r="J33" s="4104" t="n"/>
      <c r="K33" s="4440" t="inlineStr">
        <is>
          <t>専従</t>
        </is>
      </c>
      <c r="L33" s="4110" t="n"/>
      <c r="M33" s="4111" t="n"/>
      <c r="N33" s="4440" t="inlineStr">
        <is>
          <t>兼務</t>
        </is>
      </c>
      <c r="O33" s="4110" t="n"/>
      <c r="P33" s="4111" t="n"/>
      <c r="Q33" s="4440" t="inlineStr">
        <is>
          <t>専従</t>
        </is>
      </c>
      <c r="R33" s="4110" t="n"/>
      <c r="S33" s="4111" t="n"/>
      <c r="T33" s="4440" t="inlineStr">
        <is>
          <t>兼務</t>
        </is>
      </c>
      <c r="U33" s="4110" t="n"/>
      <c r="V33" s="4111" t="n"/>
      <c r="W33" s="4440" t="inlineStr">
        <is>
          <t>専従</t>
        </is>
      </c>
      <c r="X33" s="4110" t="n"/>
      <c r="Y33" s="4111" t="n"/>
      <c r="Z33" s="4440" t="inlineStr">
        <is>
          <t>兼務</t>
        </is>
      </c>
      <c r="AA33" s="4110" t="n"/>
      <c r="AB33" s="4111" t="n"/>
      <c r="AC33" s="4440" t="inlineStr">
        <is>
          <t>専従</t>
        </is>
      </c>
      <c r="AD33" s="4110" t="n"/>
      <c r="AE33" s="4111" t="n"/>
      <c r="AF33" s="4441" t="inlineStr">
        <is>
          <t>兼務</t>
        </is>
      </c>
      <c r="AG33" s="4110" t="n"/>
      <c r="AH33" s="4113" t="n"/>
    </row>
    <row r="34" ht="12" customFormat="1" customHeight="1" s="1667" thickBot="1">
      <c r="A34" s="4097" t="n"/>
      <c r="B34" s="4107" t="n"/>
      <c r="C34" s="1268" t="inlineStr">
        <is>
          <t>常　　　　　勤（人）</t>
        </is>
      </c>
      <c r="D34" s="4110" t="n"/>
      <c r="E34" s="4110" t="n"/>
      <c r="F34" s="4110" t="n"/>
      <c r="G34" s="4110" t="n"/>
      <c r="H34" s="4110" t="n"/>
      <c r="I34" s="4110" t="n"/>
      <c r="J34" s="4111" t="n"/>
      <c r="K34" s="4574" t="n"/>
      <c r="L34" s="4110" t="n"/>
      <c r="M34" s="4111" t="n"/>
      <c r="N34" s="4574" t="n"/>
      <c r="O34" s="4110" t="n"/>
      <c r="P34" s="4111" t="n"/>
      <c r="Q34" s="4574" t="n"/>
      <c r="R34" s="4110" t="n"/>
      <c r="S34" s="4111" t="n"/>
      <c r="T34" s="4574" t="n"/>
      <c r="U34" s="4110" t="n"/>
      <c r="V34" s="4111" t="n"/>
      <c r="W34" s="4574" t="n"/>
      <c r="X34" s="4110" t="n"/>
      <c r="Y34" s="4111" t="n"/>
      <c r="Z34" s="4574" t="n"/>
      <c r="AA34" s="4110" t="n"/>
      <c r="AB34" s="4111" t="n"/>
      <c r="AC34" s="4574">
        <f>+W34+Q34+K34</f>
        <v/>
      </c>
      <c r="AD34" s="4110" t="n"/>
      <c r="AE34" s="4111" t="n"/>
      <c r="AF34" s="4575">
        <f>+Z34+T34+N34</f>
        <v/>
      </c>
      <c r="AG34" s="4110" t="n"/>
      <c r="AH34" s="4113" t="n"/>
    </row>
    <row r="35" ht="12" customFormat="1" customHeight="1" s="1667" thickBot="1">
      <c r="A35" s="4097" t="n"/>
      <c r="B35" s="4107" t="n"/>
      <c r="C35" s="1286" t="inlineStr">
        <is>
          <t>非　　常　　勤（人）</t>
        </is>
      </c>
      <c r="D35" s="4103" t="n"/>
      <c r="E35" s="4103" t="n"/>
      <c r="F35" s="4103" t="n"/>
      <c r="G35" s="4103" t="n"/>
      <c r="H35" s="4103" t="n"/>
      <c r="I35" s="4103" t="n"/>
      <c r="J35" s="4104" t="n"/>
      <c r="K35" s="4574" t="n"/>
      <c r="L35" s="4110" t="n"/>
      <c r="M35" s="4111" t="n"/>
      <c r="N35" s="4574" t="n"/>
      <c r="O35" s="4110" t="n"/>
      <c r="P35" s="4111" t="n"/>
      <c r="Q35" s="4574" t="n"/>
      <c r="R35" s="4110" t="n"/>
      <c r="S35" s="4111" t="n"/>
      <c r="T35" s="4574" t="n"/>
      <c r="U35" s="4110" t="n"/>
      <c r="V35" s="4111" t="n"/>
      <c r="W35" s="4574" t="n"/>
      <c r="X35" s="4110" t="n"/>
      <c r="Y35" s="4111" t="n"/>
      <c r="Z35" s="4574" t="n"/>
      <c r="AA35" s="4110" t="n"/>
      <c r="AB35" s="4111" t="n"/>
      <c r="AC35" s="4574">
        <f>+W35+Q35+K35</f>
        <v/>
      </c>
      <c r="AD35" s="4110" t="n"/>
      <c r="AE35" s="4111" t="n"/>
      <c r="AF35" s="4575">
        <f>+Z35+T35+N35</f>
        <v/>
      </c>
      <c r="AG35" s="4110" t="n"/>
      <c r="AH35" s="4113" t="n"/>
    </row>
    <row r="36" ht="14.1" customFormat="1" customHeight="1" s="1667" thickBot="1">
      <c r="A36" s="4097" t="n"/>
      <c r="B36" s="4107" t="n"/>
      <c r="C36" s="1268" t="inlineStr">
        <is>
          <t>常勤換算後の人数（人）</t>
        </is>
      </c>
      <c r="D36" s="4110" t="n"/>
      <c r="E36" s="4110" t="n"/>
      <c r="F36" s="4110" t="n"/>
      <c r="G36" s="4110" t="n"/>
      <c r="H36" s="4110" t="n"/>
      <c r="I36" s="4110" t="n"/>
      <c r="J36" s="4111" t="n"/>
      <c r="K36" s="4330" t="n"/>
      <c r="L36" s="4110" t="n"/>
      <c r="M36" s="4110" t="n"/>
      <c r="N36" s="4110" t="n"/>
      <c r="O36" s="4110" t="n"/>
      <c r="P36" s="4111" t="n"/>
      <c r="Q36" s="4330" t="n"/>
      <c r="R36" s="4110" t="n"/>
      <c r="S36" s="4110" t="n"/>
      <c r="T36" s="4110" t="n"/>
      <c r="U36" s="4110" t="n"/>
      <c r="V36" s="4111" t="n"/>
      <c r="W36" s="4330" t="n"/>
      <c r="X36" s="4110" t="n"/>
      <c r="Y36" s="4110" t="n"/>
      <c r="Z36" s="4110" t="n"/>
      <c r="AA36" s="4110" t="n"/>
      <c r="AB36" s="4111" t="n"/>
      <c r="AC36" s="4331">
        <f>SUM(K36:AB36)</f>
        <v/>
      </c>
      <c r="AD36" s="4110" t="n"/>
      <c r="AE36" s="4110" t="n"/>
      <c r="AF36" s="4110" t="n"/>
      <c r="AG36" s="4110" t="n"/>
      <c r="AH36" s="4113" t="n"/>
    </row>
    <row r="37" ht="14.1" customFormat="1" customHeight="1" s="1667" thickBot="1">
      <c r="A37" s="4097" t="n"/>
      <c r="B37" s="4107" t="n"/>
      <c r="C37" s="4362" t="inlineStr">
        <is>
          <t xml:space="preserve">　　　　　　　　　職種・勤務形態
常勤・非常勤の別</t>
        </is>
      </c>
      <c r="D37" s="4098" t="n"/>
      <c r="E37" s="4098" t="n"/>
      <c r="F37" s="4098" t="n"/>
      <c r="G37" s="4098" t="n"/>
      <c r="H37" s="4098" t="n"/>
      <c r="I37" s="4098" t="n"/>
      <c r="J37" s="4099" t="n"/>
      <c r="K37" s="4441" t="inlineStr">
        <is>
          <t>理　　　　学　　　　療　　　　法　　　　士　　　　等</t>
        </is>
      </c>
      <c r="L37" s="4110" t="n"/>
      <c r="M37" s="4110" t="n"/>
      <c r="N37" s="4110" t="n"/>
      <c r="O37" s="4110" t="n"/>
      <c r="P37" s="4110" t="n"/>
      <c r="Q37" s="4110" t="n"/>
      <c r="R37" s="4110" t="n"/>
      <c r="S37" s="4110" t="n"/>
      <c r="T37" s="4110" t="n"/>
      <c r="U37" s="4110" t="n"/>
      <c r="V37" s="4110" t="n"/>
      <c r="W37" s="4110" t="n"/>
      <c r="X37" s="4110" t="n"/>
      <c r="Y37" s="4110" t="n"/>
      <c r="Z37" s="4110" t="n"/>
      <c r="AA37" s="4110" t="n"/>
      <c r="AB37" s="4110" t="n"/>
      <c r="AC37" s="4110" t="n"/>
      <c r="AD37" s="4110" t="n"/>
      <c r="AE37" s="4110" t="n"/>
      <c r="AF37" s="4110" t="n"/>
      <c r="AG37" s="4110" t="n"/>
      <c r="AH37" s="4113" t="n"/>
    </row>
    <row r="38" ht="14.1" customFormat="1" customHeight="1" s="1667" thickBot="1">
      <c r="A38" s="4097" t="n"/>
      <c r="B38" s="4107" t="n"/>
      <c r="C38" s="4106" t="n"/>
      <c r="J38" s="4107" t="n"/>
      <c r="K38" s="4440" t="inlineStr">
        <is>
          <t>理学療法士</t>
        </is>
      </c>
      <c r="L38" s="4110" t="n"/>
      <c r="M38" s="4110" t="n"/>
      <c r="N38" s="4110" t="n"/>
      <c r="O38" s="4110" t="n"/>
      <c r="P38" s="4111" t="n"/>
      <c r="Q38" s="4440" t="inlineStr">
        <is>
          <t>作業療法士</t>
        </is>
      </c>
      <c r="R38" s="4110" t="n"/>
      <c r="S38" s="4110" t="n"/>
      <c r="T38" s="4110" t="n"/>
      <c r="U38" s="4110" t="n"/>
      <c r="V38" s="4111" t="n"/>
      <c r="W38" s="4440" t="inlineStr">
        <is>
          <t>機能訓練指導員</t>
        </is>
      </c>
      <c r="X38" s="4110" t="n"/>
      <c r="Y38" s="4110" t="n"/>
      <c r="Z38" s="4110" t="n"/>
      <c r="AA38" s="4110" t="n"/>
      <c r="AB38" s="4111" t="n"/>
      <c r="AC38" s="4441" t="inlineStr">
        <is>
          <t>理学療法士等計</t>
        </is>
      </c>
      <c r="AD38" s="4110" t="n"/>
      <c r="AE38" s="4110" t="n"/>
      <c r="AF38" s="4110" t="n"/>
      <c r="AG38" s="4110" t="n"/>
      <c r="AH38" s="4113" t="n"/>
    </row>
    <row r="39" ht="14.1" customFormat="1" customHeight="1" s="1667" thickBot="1">
      <c r="A39" s="4097" t="n"/>
      <c r="B39" s="4107" t="n"/>
      <c r="C39" s="4102" t="n"/>
      <c r="D39" s="4103" t="n"/>
      <c r="E39" s="4103" t="n"/>
      <c r="F39" s="4103" t="n"/>
      <c r="G39" s="4103" t="n"/>
      <c r="H39" s="4103" t="n"/>
      <c r="I39" s="4103" t="n"/>
      <c r="J39" s="4104" t="n"/>
      <c r="K39" s="4440" t="inlineStr">
        <is>
          <t>専従</t>
        </is>
      </c>
      <c r="L39" s="4110" t="n"/>
      <c r="M39" s="4111" t="n"/>
      <c r="N39" s="4440" t="inlineStr">
        <is>
          <t>兼務</t>
        </is>
      </c>
      <c r="O39" s="4110" t="n"/>
      <c r="P39" s="4111" t="n"/>
      <c r="Q39" s="4440" t="inlineStr">
        <is>
          <t>専従</t>
        </is>
      </c>
      <c r="R39" s="4110" t="n"/>
      <c r="S39" s="4111" t="n"/>
      <c r="T39" s="4440" t="inlineStr">
        <is>
          <t>兼務</t>
        </is>
      </c>
      <c r="U39" s="4110" t="n"/>
      <c r="V39" s="4111" t="n"/>
      <c r="W39" s="4440" t="inlineStr">
        <is>
          <t>専従</t>
        </is>
      </c>
      <c r="X39" s="4110" t="n"/>
      <c r="Y39" s="4111" t="n"/>
      <c r="Z39" s="4440" t="inlineStr">
        <is>
          <t>兼務</t>
        </is>
      </c>
      <c r="AA39" s="4110" t="n"/>
      <c r="AB39" s="4111" t="n"/>
      <c r="AC39" s="4440" t="inlineStr">
        <is>
          <t>専従</t>
        </is>
      </c>
      <c r="AD39" s="4110" t="n"/>
      <c r="AE39" s="4111" t="n"/>
      <c r="AF39" s="4441" t="inlineStr">
        <is>
          <t>兼務</t>
        </is>
      </c>
      <c r="AG39" s="4110" t="n"/>
      <c r="AH39" s="4113" t="n"/>
    </row>
    <row r="40" ht="12" customFormat="1" customHeight="1" s="1667" thickBot="1">
      <c r="A40" s="4097" t="n"/>
      <c r="B40" s="4107" t="n"/>
      <c r="C40" s="1268" t="inlineStr">
        <is>
          <t>常　　　　　勤（人）</t>
        </is>
      </c>
      <c r="D40" s="4110" t="n"/>
      <c r="E40" s="4110" t="n"/>
      <c r="F40" s="4110" t="n"/>
      <c r="G40" s="4110" t="n"/>
      <c r="H40" s="4110" t="n"/>
      <c r="I40" s="4110" t="n"/>
      <c r="J40" s="4111" t="n"/>
      <c r="K40" s="4574" t="n"/>
      <c r="L40" s="4110" t="n"/>
      <c r="M40" s="4111" t="n"/>
      <c r="N40" s="4574" t="n"/>
      <c r="O40" s="4110" t="n"/>
      <c r="P40" s="4111" t="n"/>
      <c r="Q40" s="4574" t="n"/>
      <c r="R40" s="4110" t="n"/>
      <c r="S40" s="4111" t="n"/>
      <c r="T40" s="4574" t="n"/>
      <c r="U40" s="4110" t="n"/>
      <c r="V40" s="4111" t="n"/>
      <c r="W40" s="4574" t="n"/>
      <c r="X40" s="4110" t="n"/>
      <c r="Y40" s="4111" t="n"/>
      <c r="Z40" s="4574" t="n"/>
      <c r="AA40" s="4110" t="n"/>
      <c r="AB40" s="4111" t="n"/>
      <c r="AC40" s="4574">
        <f>+W40+Q40+K40</f>
        <v/>
      </c>
      <c r="AD40" s="4110" t="n"/>
      <c r="AE40" s="4111" t="n"/>
      <c r="AF40" s="4575">
        <f>+Z40+T40+N40</f>
        <v/>
      </c>
      <c r="AG40" s="4110" t="n"/>
      <c r="AH40" s="4113" t="n"/>
    </row>
    <row r="41" ht="12" customFormat="1" customHeight="1" s="1667" thickBot="1">
      <c r="A41" s="4097" t="n"/>
      <c r="B41" s="4107" t="n"/>
      <c r="C41" s="1286" t="inlineStr">
        <is>
          <t>非　　常　　勤（人）</t>
        </is>
      </c>
      <c r="D41" s="4103" t="n"/>
      <c r="E41" s="4103" t="n"/>
      <c r="F41" s="4103" t="n"/>
      <c r="G41" s="4103" t="n"/>
      <c r="H41" s="4103" t="n"/>
      <c r="I41" s="4103" t="n"/>
      <c r="J41" s="4104" t="n"/>
      <c r="K41" s="4574" t="n"/>
      <c r="L41" s="4110" t="n"/>
      <c r="M41" s="4111" t="n"/>
      <c r="N41" s="4574" t="n"/>
      <c r="O41" s="4110" t="n"/>
      <c r="P41" s="4111" t="n"/>
      <c r="Q41" s="4574" t="n"/>
      <c r="R41" s="4110" t="n"/>
      <c r="S41" s="4111" t="n"/>
      <c r="T41" s="4574" t="n"/>
      <c r="U41" s="4110" t="n"/>
      <c r="V41" s="4111" t="n"/>
      <c r="W41" s="4574" t="n"/>
      <c r="X41" s="4110" t="n"/>
      <c r="Y41" s="4111" t="n"/>
      <c r="Z41" s="4574" t="n"/>
      <c r="AA41" s="4110" t="n"/>
      <c r="AB41" s="4111" t="n"/>
      <c r="AC41" s="4574">
        <f>+W41+Q41+K41</f>
        <v/>
      </c>
      <c r="AD41" s="4110" t="n"/>
      <c r="AE41" s="4111" t="n"/>
      <c r="AF41" s="4575">
        <f>+Z41+T41+N41</f>
        <v/>
      </c>
      <c r="AG41" s="4110" t="n"/>
      <c r="AH41" s="4113" t="n"/>
    </row>
    <row r="42" ht="14.1" customFormat="1" customHeight="1" s="1667" thickBot="1">
      <c r="A42" s="4097" t="n"/>
      <c r="B42" s="4107" t="n"/>
      <c r="C42" s="1268" t="inlineStr">
        <is>
          <t>常勤換算後の人数（人）</t>
        </is>
      </c>
      <c r="D42" s="4110" t="n"/>
      <c r="E42" s="4110" t="n"/>
      <c r="F42" s="4110" t="n"/>
      <c r="G42" s="4110" t="n"/>
      <c r="H42" s="4110" t="n"/>
      <c r="I42" s="4110" t="n"/>
      <c r="J42" s="4111" t="n"/>
      <c r="K42" s="4330" t="n"/>
      <c r="L42" s="4110" t="n"/>
      <c r="M42" s="4110" t="n"/>
      <c r="N42" s="4110" t="n"/>
      <c r="O42" s="4110" t="n"/>
      <c r="P42" s="4111" t="n"/>
      <c r="Q42" s="4330" t="n"/>
      <c r="R42" s="4110" t="n"/>
      <c r="S42" s="4110" t="n"/>
      <c r="T42" s="4110" t="n"/>
      <c r="U42" s="4110" t="n"/>
      <c r="V42" s="4111" t="n"/>
      <c r="W42" s="4330" t="n"/>
      <c r="X42" s="4110" t="n"/>
      <c r="Y42" s="4110" t="n"/>
      <c r="Z42" s="4110" t="n"/>
      <c r="AA42" s="4110" t="n"/>
      <c r="AB42" s="4111" t="n"/>
      <c r="AC42" s="4331">
        <f>SUM(K42:AB42)</f>
        <v/>
      </c>
      <c r="AD42" s="4110" t="n"/>
      <c r="AE42" s="4110" t="n"/>
      <c r="AF42" s="4110" t="n"/>
      <c r="AG42" s="4110" t="n"/>
      <c r="AH42" s="4113" t="n"/>
    </row>
    <row r="43" ht="14.1" customFormat="1" customHeight="1" s="1667" thickBot="1">
      <c r="A43" s="4097" t="n"/>
      <c r="B43" s="4107" t="n"/>
      <c r="C43" s="4362" t="inlineStr">
        <is>
          <t xml:space="preserve">　　　　　　　　　職種・勤務形態
常勤・非常勤の別</t>
        </is>
      </c>
      <c r="D43" s="4098" t="n"/>
      <c r="E43" s="4098" t="n"/>
      <c r="F43" s="4098" t="n"/>
      <c r="G43" s="4098" t="n"/>
      <c r="H43" s="4098" t="n"/>
      <c r="I43" s="4098" t="n"/>
      <c r="J43" s="4099" t="n"/>
      <c r="K43" s="4403" t="inlineStr">
        <is>
          <t>あん摩ﾏｯｻｰｼﾞ指圧師</t>
        </is>
      </c>
      <c r="L43" s="4110" t="n"/>
      <c r="M43" s="4110" t="n"/>
      <c r="N43" s="4110" t="n"/>
      <c r="O43" s="4110" t="n"/>
      <c r="P43" s="4111" t="n"/>
      <c r="Q43" s="4440" t="inlineStr">
        <is>
          <t>心理判定員</t>
        </is>
      </c>
      <c r="R43" s="4110" t="n"/>
      <c r="S43" s="4110" t="n"/>
      <c r="T43" s="4110" t="n"/>
      <c r="U43" s="4110" t="n"/>
      <c r="V43" s="4111" t="n"/>
      <c r="W43" s="4440" t="inlineStr">
        <is>
          <t>就労支援員</t>
        </is>
      </c>
      <c r="X43" s="4110" t="n"/>
      <c r="Y43" s="4110" t="n"/>
      <c r="Z43" s="4110" t="n"/>
      <c r="AA43" s="4110" t="n"/>
      <c r="AB43" s="4111" t="n"/>
      <c r="AC43" s="4441" t="inlineStr">
        <is>
          <t>職能判定員</t>
        </is>
      </c>
      <c r="AD43" s="4110" t="n"/>
      <c r="AE43" s="4110" t="n"/>
      <c r="AF43" s="4110" t="n"/>
      <c r="AG43" s="4110" t="n"/>
      <c r="AH43" s="4113" t="n"/>
      <c r="AI43" s="196" t="n"/>
      <c r="AJ43" s="2587" t="n"/>
    </row>
    <row r="44" ht="14.1" customFormat="1" customHeight="1" s="1667" thickBot="1">
      <c r="A44" s="4097" t="n"/>
      <c r="B44" s="4107" t="n"/>
      <c r="C44" s="4102" t="n"/>
      <c r="D44" s="4103" t="n"/>
      <c r="E44" s="4103" t="n"/>
      <c r="F44" s="4103" t="n"/>
      <c r="G44" s="4103" t="n"/>
      <c r="H44" s="4103" t="n"/>
      <c r="I44" s="4103" t="n"/>
      <c r="J44" s="4104" t="n"/>
      <c r="K44" s="4440" t="inlineStr">
        <is>
          <t>専従</t>
        </is>
      </c>
      <c r="L44" s="4110" t="n"/>
      <c r="M44" s="4111" t="n"/>
      <c r="N44" s="4440" t="inlineStr">
        <is>
          <t>兼務</t>
        </is>
      </c>
      <c r="O44" s="4110" t="n"/>
      <c r="P44" s="4111" t="n"/>
      <c r="Q44" s="4440" t="inlineStr">
        <is>
          <t>専従</t>
        </is>
      </c>
      <c r="R44" s="4110" t="n"/>
      <c r="S44" s="4111" t="n"/>
      <c r="T44" s="4440" t="inlineStr">
        <is>
          <t>兼務</t>
        </is>
      </c>
      <c r="U44" s="4110" t="n"/>
      <c r="V44" s="4111" t="n"/>
      <c r="W44" s="4440" t="inlineStr">
        <is>
          <t>専従</t>
        </is>
      </c>
      <c r="X44" s="4110" t="n"/>
      <c r="Y44" s="4111" t="n"/>
      <c r="Z44" s="4440" t="inlineStr">
        <is>
          <t>兼務</t>
        </is>
      </c>
      <c r="AA44" s="4110" t="n"/>
      <c r="AB44" s="4111" t="n"/>
      <c r="AC44" s="4440" t="inlineStr">
        <is>
          <t>専従</t>
        </is>
      </c>
      <c r="AD44" s="4110" t="n"/>
      <c r="AE44" s="4111" t="n"/>
      <c r="AF44" s="4441" t="inlineStr">
        <is>
          <t>兼務</t>
        </is>
      </c>
      <c r="AG44" s="4110" t="n"/>
      <c r="AH44" s="4113" t="n"/>
    </row>
    <row r="45" ht="12" customFormat="1" customHeight="1" s="1667" thickBot="1">
      <c r="A45" s="4097" t="n"/>
      <c r="B45" s="4107" t="n"/>
      <c r="C45" s="1268" t="inlineStr">
        <is>
          <t>常　　　　　勤（人）</t>
        </is>
      </c>
      <c r="D45" s="4110" t="n"/>
      <c r="E45" s="4110" t="n"/>
      <c r="F45" s="4110" t="n"/>
      <c r="G45" s="4110" t="n"/>
      <c r="H45" s="4110" t="n"/>
      <c r="I45" s="4110" t="n"/>
      <c r="J45" s="4111" t="n"/>
      <c r="K45" s="4574" t="n"/>
      <c r="L45" s="4110" t="n"/>
      <c r="M45" s="4111" t="n"/>
      <c r="N45" s="4574" t="n"/>
      <c r="O45" s="4110" t="n"/>
      <c r="P45" s="4111" t="n"/>
      <c r="Q45" s="4574" t="n"/>
      <c r="R45" s="4110" t="n"/>
      <c r="S45" s="4111" t="n"/>
      <c r="T45" s="4574" t="n"/>
      <c r="U45" s="4110" t="n"/>
      <c r="V45" s="4111" t="n"/>
      <c r="W45" s="4574" t="n"/>
      <c r="X45" s="4110" t="n"/>
      <c r="Y45" s="4111" t="n"/>
      <c r="Z45" s="4574" t="n"/>
      <c r="AA45" s="4110" t="n"/>
      <c r="AB45" s="4111" t="n"/>
      <c r="AC45" s="4574" t="n"/>
      <c r="AD45" s="4110" t="n"/>
      <c r="AE45" s="4111" t="n"/>
      <c r="AF45" s="4575" t="n"/>
      <c r="AG45" s="4110" t="n"/>
      <c r="AH45" s="4113" t="n"/>
    </row>
    <row r="46" ht="12" customFormat="1" customHeight="1" s="1667" thickBot="1">
      <c r="A46" s="4097" t="n"/>
      <c r="B46" s="4107" t="n"/>
      <c r="C46" s="1286" t="inlineStr">
        <is>
          <t>非　　常　　勤（人）</t>
        </is>
      </c>
      <c r="D46" s="4103" t="n"/>
      <c r="E46" s="4103" t="n"/>
      <c r="F46" s="4103" t="n"/>
      <c r="G46" s="4103" t="n"/>
      <c r="H46" s="4103" t="n"/>
      <c r="I46" s="4103" t="n"/>
      <c r="J46" s="4104" t="n"/>
      <c r="K46" s="4574" t="n"/>
      <c r="L46" s="4110" t="n"/>
      <c r="M46" s="4111" t="n"/>
      <c r="N46" s="4574" t="n"/>
      <c r="O46" s="4110" t="n"/>
      <c r="P46" s="4111" t="n"/>
      <c r="Q46" s="4574" t="n"/>
      <c r="R46" s="4110" t="n"/>
      <c r="S46" s="4111" t="n"/>
      <c r="T46" s="4574" t="n"/>
      <c r="U46" s="4110" t="n"/>
      <c r="V46" s="4111" t="n"/>
      <c r="W46" s="4574" t="n"/>
      <c r="X46" s="4110" t="n"/>
      <c r="Y46" s="4111" t="n"/>
      <c r="Z46" s="4574" t="n"/>
      <c r="AA46" s="4110" t="n"/>
      <c r="AB46" s="4111" t="n"/>
      <c r="AC46" s="4574" t="n"/>
      <c r="AD46" s="4110" t="n"/>
      <c r="AE46" s="4111" t="n"/>
      <c r="AF46" s="4575" t="n"/>
      <c r="AG46" s="4110" t="n"/>
      <c r="AH46" s="4113" t="n"/>
    </row>
    <row r="47" ht="14.1" customFormat="1" customHeight="1" s="1667" thickBot="1">
      <c r="A47" s="4097" t="n"/>
      <c r="B47" s="4107" t="n"/>
      <c r="C47" s="1268" t="inlineStr">
        <is>
          <t>常勤換算後の人数（人）</t>
        </is>
      </c>
      <c r="D47" s="4110" t="n"/>
      <c r="E47" s="4110" t="n"/>
      <c r="F47" s="4110" t="n"/>
      <c r="G47" s="4110" t="n"/>
      <c r="H47" s="4110" t="n"/>
      <c r="I47" s="4110" t="n"/>
      <c r="J47" s="4111" t="n"/>
      <c r="K47" s="4330" t="n"/>
      <c r="L47" s="4110" t="n"/>
      <c r="M47" s="4110" t="n"/>
      <c r="N47" s="4110" t="n"/>
      <c r="O47" s="4110" t="n"/>
      <c r="P47" s="4111" t="n"/>
      <c r="Q47" s="4330" t="n"/>
      <c r="R47" s="4110" t="n"/>
      <c r="S47" s="4110" t="n"/>
      <c r="T47" s="4110" t="n"/>
      <c r="U47" s="4110" t="n"/>
      <c r="V47" s="4111" t="n"/>
      <c r="W47" s="4330" t="n"/>
      <c r="X47" s="4110" t="n"/>
      <c r="Y47" s="4110" t="n"/>
      <c r="Z47" s="4110" t="n"/>
      <c r="AA47" s="4110" t="n"/>
      <c r="AB47" s="4111" t="n"/>
      <c r="AC47" s="4331" t="n"/>
      <c r="AD47" s="4110" t="n"/>
      <c r="AE47" s="4110" t="n"/>
      <c r="AF47" s="4110" t="n"/>
      <c r="AG47" s="4110" t="n"/>
      <c r="AH47" s="4113" t="n"/>
    </row>
    <row r="48" ht="14.1" customFormat="1" customHeight="1" s="1667" thickBot="1">
      <c r="A48" s="4097" t="n"/>
      <c r="B48" s="4107" t="n"/>
      <c r="C48" s="4362" t="inlineStr">
        <is>
          <t xml:space="preserve">　　　　　　　　　職種・勤務形態
常勤・非常勤の別</t>
        </is>
      </c>
      <c r="D48" s="4098" t="n"/>
      <c r="E48" s="4098" t="n"/>
      <c r="F48" s="4098" t="n"/>
      <c r="G48" s="4098" t="n"/>
      <c r="H48" s="4098" t="n"/>
      <c r="I48" s="4098" t="n"/>
      <c r="J48" s="4099" t="n"/>
      <c r="K48" s="4440" t="inlineStr">
        <is>
          <t>作業指導員</t>
        </is>
      </c>
      <c r="L48" s="4110" t="n"/>
      <c r="M48" s="4110" t="n"/>
      <c r="N48" s="4110" t="n"/>
      <c r="O48" s="4110" t="n"/>
      <c r="P48" s="4111" t="n"/>
      <c r="Q48" s="4440" t="inlineStr">
        <is>
          <t>保　育　士</t>
        </is>
      </c>
      <c r="R48" s="4110" t="n"/>
      <c r="S48" s="4110" t="n"/>
      <c r="T48" s="4110" t="n"/>
      <c r="U48" s="4110" t="n"/>
      <c r="V48" s="4111" t="n"/>
      <c r="W48" s="4440" t="inlineStr">
        <is>
          <t>児童指導員</t>
        </is>
      </c>
      <c r="X48" s="4110" t="n"/>
      <c r="Y48" s="4110" t="n"/>
      <c r="Z48" s="4110" t="n"/>
      <c r="AA48" s="4110" t="n"/>
      <c r="AB48" s="4111" t="n"/>
      <c r="AC48" s="4441" t="inlineStr">
        <is>
          <t>精神保健福祉士</t>
        </is>
      </c>
      <c r="AD48" s="4110" t="n"/>
      <c r="AE48" s="4110" t="n"/>
      <c r="AF48" s="4110" t="n"/>
      <c r="AG48" s="4110" t="n"/>
      <c r="AH48" s="4113" t="n"/>
      <c r="AI48" s="196" t="n"/>
      <c r="AJ48" s="2587" t="n"/>
    </row>
    <row r="49" ht="14.1" customFormat="1" customHeight="1" s="1667" thickBot="1">
      <c r="A49" s="4097" t="n"/>
      <c r="B49" s="4107" t="n"/>
      <c r="C49" s="4102" t="n"/>
      <c r="D49" s="4103" t="n"/>
      <c r="E49" s="4103" t="n"/>
      <c r="F49" s="4103" t="n"/>
      <c r="G49" s="4103" t="n"/>
      <c r="H49" s="4103" t="n"/>
      <c r="I49" s="4103" t="n"/>
      <c r="J49" s="4104" t="n"/>
      <c r="K49" s="4440" t="inlineStr">
        <is>
          <t>専従</t>
        </is>
      </c>
      <c r="L49" s="4110" t="n"/>
      <c r="M49" s="4111" t="n"/>
      <c r="N49" s="4440" t="inlineStr">
        <is>
          <t>兼務</t>
        </is>
      </c>
      <c r="O49" s="4110" t="n"/>
      <c r="P49" s="4111" t="n"/>
      <c r="Q49" s="4440" t="inlineStr">
        <is>
          <t>専従</t>
        </is>
      </c>
      <c r="R49" s="4110" t="n"/>
      <c r="S49" s="4111" t="n"/>
      <c r="T49" s="4440" t="inlineStr">
        <is>
          <t>兼務</t>
        </is>
      </c>
      <c r="U49" s="4110" t="n"/>
      <c r="V49" s="4111" t="n"/>
      <c r="W49" s="4440" t="inlineStr">
        <is>
          <t>専従</t>
        </is>
      </c>
      <c r="X49" s="4110" t="n"/>
      <c r="Y49" s="4111" t="n"/>
      <c r="Z49" s="4440" t="inlineStr">
        <is>
          <t>兼務</t>
        </is>
      </c>
      <c r="AA49" s="4110" t="n"/>
      <c r="AB49" s="4111" t="n"/>
      <c r="AC49" s="4440" t="inlineStr">
        <is>
          <t>専従</t>
        </is>
      </c>
      <c r="AD49" s="4110" t="n"/>
      <c r="AE49" s="4111" t="n"/>
      <c r="AF49" s="4441" t="inlineStr">
        <is>
          <t>兼務</t>
        </is>
      </c>
      <c r="AG49" s="4110" t="n"/>
      <c r="AH49" s="4113" t="n"/>
    </row>
    <row r="50" ht="12.95" customFormat="1" customHeight="1" s="1667" thickBot="1">
      <c r="A50" s="4097" t="n"/>
      <c r="B50" s="4107" t="n"/>
      <c r="C50" s="1268" t="inlineStr">
        <is>
          <t>常　　　　　勤（人）</t>
        </is>
      </c>
      <c r="D50" s="4110" t="n"/>
      <c r="E50" s="4110" t="n"/>
      <c r="F50" s="4110" t="n"/>
      <c r="G50" s="4110" t="n"/>
      <c r="H50" s="4110" t="n"/>
      <c r="I50" s="4110" t="n"/>
      <c r="J50" s="4111" t="n"/>
      <c r="K50" s="4574" t="n"/>
      <c r="L50" s="4110" t="n"/>
      <c r="M50" s="4111" t="n"/>
      <c r="N50" s="4574" t="n"/>
      <c r="O50" s="4110" t="n"/>
      <c r="P50" s="4111" t="n"/>
      <c r="Q50" s="4574" t="n"/>
      <c r="R50" s="4110" t="n"/>
      <c r="S50" s="4111" t="n"/>
      <c r="T50" s="4574" t="n"/>
      <c r="U50" s="4110" t="n"/>
      <c r="V50" s="4111" t="n"/>
      <c r="W50" s="4574" t="n"/>
      <c r="X50" s="4110" t="n"/>
      <c r="Y50" s="4111" t="n"/>
      <c r="Z50" s="4574" t="n"/>
      <c r="AA50" s="4110" t="n"/>
      <c r="AB50" s="4111" t="n"/>
      <c r="AC50" s="4574" t="n"/>
      <c r="AD50" s="4110" t="n"/>
      <c r="AE50" s="4111" t="n"/>
      <c r="AF50" s="4575" t="n"/>
      <c r="AG50" s="4110" t="n"/>
      <c r="AH50" s="4113" t="n"/>
    </row>
    <row r="51" ht="12.95" customFormat="1" customHeight="1" s="1667" thickBot="1">
      <c r="A51" s="4097" t="n"/>
      <c r="B51" s="4107" t="n"/>
      <c r="C51" s="1286" t="inlineStr">
        <is>
          <t>非　　常　　勤（人）</t>
        </is>
      </c>
      <c r="D51" s="4103" t="n"/>
      <c r="E51" s="4103" t="n"/>
      <c r="F51" s="4103" t="n"/>
      <c r="G51" s="4103" t="n"/>
      <c r="H51" s="4103" t="n"/>
      <c r="I51" s="4103" t="n"/>
      <c r="J51" s="4104" t="n"/>
      <c r="K51" s="4574" t="n"/>
      <c r="L51" s="4110" t="n"/>
      <c r="M51" s="4111" t="n"/>
      <c r="N51" s="4574" t="n"/>
      <c r="O51" s="4110" t="n"/>
      <c r="P51" s="4111" t="n"/>
      <c r="Q51" s="4574" t="n"/>
      <c r="R51" s="4110" t="n"/>
      <c r="S51" s="4111" t="n"/>
      <c r="T51" s="4574" t="n"/>
      <c r="U51" s="4110" t="n"/>
      <c r="V51" s="4111" t="n"/>
      <c r="W51" s="4574" t="n"/>
      <c r="X51" s="4110" t="n"/>
      <c r="Y51" s="4111" t="n"/>
      <c r="Z51" s="4574" t="n"/>
      <c r="AA51" s="4110" t="n"/>
      <c r="AB51" s="4111" t="n"/>
      <c r="AC51" s="4574" t="n"/>
      <c r="AD51" s="4110" t="n"/>
      <c r="AE51" s="4111" t="n"/>
      <c r="AF51" s="4575" t="n"/>
      <c r="AG51" s="4110" t="n"/>
      <c r="AH51" s="4113" t="n"/>
    </row>
    <row r="52" ht="12.95" customFormat="1" customHeight="1" s="1667" thickBot="1">
      <c r="A52" s="4097" t="n"/>
      <c r="B52" s="4107" t="n"/>
      <c r="C52" s="1268" t="inlineStr">
        <is>
          <t>常勤換算後の人数（人）</t>
        </is>
      </c>
      <c r="D52" s="4110" t="n"/>
      <c r="E52" s="4110" t="n"/>
      <c r="F52" s="4110" t="n"/>
      <c r="G52" s="4110" t="n"/>
      <c r="H52" s="4110" t="n"/>
      <c r="I52" s="4110" t="n"/>
      <c r="J52" s="4111" t="n"/>
      <c r="K52" s="4330" t="n"/>
      <c r="L52" s="4110" t="n"/>
      <c r="M52" s="4110" t="n"/>
      <c r="N52" s="4110" t="n"/>
      <c r="O52" s="4110" t="n"/>
      <c r="P52" s="4111" t="n"/>
      <c r="Q52" s="4330" t="n"/>
      <c r="R52" s="4110" t="n"/>
      <c r="S52" s="4110" t="n"/>
      <c r="T52" s="4110" t="n"/>
      <c r="U52" s="4110" t="n"/>
      <c r="V52" s="4111" t="n"/>
      <c r="W52" s="4330" t="n"/>
      <c r="X52" s="4110" t="n"/>
      <c r="Y52" s="4110" t="n"/>
      <c r="Z52" s="4110" t="n"/>
      <c r="AA52" s="4110" t="n"/>
      <c r="AB52" s="4111" t="n"/>
      <c r="AC52" s="4331" t="n"/>
      <c r="AD52" s="4110" t="n"/>
      <c r="AE52" s="4110" t="n"/>
      <c r="AF52" s="4110" t="n"/>
      <c r="AG52" s="4110" t="n"/>
      <c r="AH52" s="4113" t="n"/>
    </row>
    <row r="53" ht="14.1" customFormat="1" customHeight="1" s="1667" thickBot="1">
      <c r="A53" s="4097" t="n"/>
      <c r="B53" s="4107" t="n"/>
      <c r="C53" s="4362" t="inlineStr">
        <is>
          <t xml:space="preserve">　　　　　　　　　職種・勤務形態
常勤・非常勤の別</t>
        </is>
      </c>
      <c r="D53" s="4098" t="n"/>
      <c r="E53" s="4098" t="n"/>
      <c r="F53" s="4098" t="n"/>
      <c r="G53" s="4098" t="n"/>
      <c r="H53" s="4098" t="n"/>
      <c r="I53" s="4098" t="n"/>
      <c r="J53" s="4099" t="n"/>
      <c r="K53" s="4440" t="inlineStr">
        <is>
          <t>栄養士</t>
        </is>
      </c>
      <c r="L53" s="4110" t="n"/>
      <c r="M53" s="4110" t="n"/>
      <c r="N53" s="4110" t="n"/>
      <c r="O53" s="4110" t="n"/>
      <c r="P53" s="4111" t="n"/>
      <c r="Q53" s="4440" t="inlineStr">
        <is>
          <t>運転手</t>
        </is>
      </c>
      <c r="R53" s="4110" t="n"/>
      <c r="S53" s="4110" t="n"/>
      <c r="T53" s="4110" t="n"/>
      <c r="U53" s="4110" t="n"/>
      <c r="V53" s="4111" t="n"/>
      <c r="W53" s="4505" t="n"/>
      <c r="X53" s="4110" t="n"/>
      <c r="Y53" s="4110" t="n"/>
      <c r="Z53" s="4110" t="n"/>
      <c r="AA53" s="4110" t="n"/>
      <c r="AB53" s="4111" t="n"/>
      <c r="AC53" s="4576" t="n"/>
      <c r="AD53" s="4110" t="n"/>
      <c r="AE53" s="4110" t="n"/>
      <c r="AF53" s="4110" t="n"/>
      <c r="AG53" s="4110" t="n"/>
      <c r="AH53" s="4113" t="n"/>
      <c r="AI53" s="196" t="n"/>
      <c r="AJ53" s="2587" t="n"/>
    </row>
    <row r="54" ht="14.1" customFormat="1" customHeight="1" s="1667" thickBot="1">
      <c r="A54" s="4097" t="n"/>
      <c r="B54" s="4107" t="n"/>
      <c r="C54" s="4102" t="n"/>
      <c r="D54" s="4103" t="n"/>
      <c r="E54" s="4103" t="n"/>
      <c r="F54" s="4103" t="n"/>
      <c r="G54" s="4103" t="n"/>
      <c r="H54" s="4103" t="n"/>
      <c r="I54" s="4103" t="n"/>
      <c r="J54" s="4104" t="n"/>
      <c r="K54" s="4440" t="inlineStr">
        <is>
          <t>専従</t>
        </is>
      </c>
      <c r="L54" s="4110" t="n"/>
      <c r="M54" s="4111" t="n"/>
      <c r="N54" s="4440" t="inlineStr">
        <is>
          <t>兼務</t>
        </is>
      </c>
      <c r="O54" s="4110" t="n"/>
      <c r="P54" s="4111" t="n"/>
      <c r="Q54" s="4440" t="inlineStr">
        <is>
          <t>専従</t>
        </is>
      </c>
      <c r="R54" s="4110" t="n"/>
      <c r="S54" s="4111" t="n"/>
      <c r="T54" s="4440" t="inlineStr">
        <is>
          <t>兼務</t>
        </is>
      </c>
      <c r="U54" s="4110" t="n"/>
      <c r="V54" s="4111" t="n"/>
      <c r="W54" s="4440" t="inlineStr">
        <is>
          <t>専従</t>
        </is>
      </c>
      <c r="X54" s="4110" t="n"/>
      <c r="Y54" s="4111" t="n"/>
      <c r="Z54" s="4440" t="inlineStr">
        <is>
          <t>兼務</t>
        </is>
      </c>
      <c r="AA54" s="4110" t="n"/>
      <c r="AB54" s="4111" t="n"/>
      <c r="AC54" s="4440" t="inlineStr">
        <is>
          <t>専従</t>
        </is>
      </c>
      <c r="AD54" s="4110" t="n"/>
      <c r="AE54" s="4111" t="n"/>
      <c r="AF54" s="4441" t="inlineStr">
        <is>
          <t>兼務</t>
        </is>
      </c>
      <c r="AG54" s="4110" t="n"/>
      <c r="AH54" s="4113" t="n"/>
    </row>
    <row r="55" ht="12.95" customFormat="1" customHeight="1" s="1667" thickBot="1">
      <c r="A55" s="4097" t="n"/>
      <c r="B55" s="4107" t="n"/>
      <c r="C55" s="1268" t="inlineStr">
        <is>
          <t>常　　　　　勤（人）</t>
        </is>
      </c>
      <c r="D55" s="4110" t="n"/>
      <c r="E55" s="4110" t="n"/>
      <c r="F55" s="4110" t="n"/>
      <c r="G55" s="4110" t="n"/>
      <c r="H55" s="4110" t="n"/>
      <c r="I55" s="4110" t="n"/>
      <c r="J55" s="4111" t="n"/>
      <c r="K55" s="4574" t="n"/>
      <c r="L55" s="4110" t="n"/>
      <c r="M55" s="4111" t="n"/>
      <c r="N55" s="4574" t="n"/>
      <c r="O55" s="4110" t="n"/>
      <c r="P55" s="4111" t="n"/>
      <c r="Q55" s="4574" t="n"/>
      <c r="R55" s="4110" t="n"/>
      <c r="S55" s="4111" t="n"/>
      <c r="T55" s="4574" t="n"/>
      <c r="U55" s="4110" t="n"/>
      <c r="V55" s="4111" t="n"/>
      <c r="W55" s="4574" t="n"/>
      <c r="X55" s="4110" t="n"/>
      <c r="Y55" s="4111" t="n"/>
      <c r="Z55" s="4574" t="n"/>
      <c r="AA55" s="4110" t="n"/>
      <c r="AB55" s="4111" t="n"/>
      <c r="AC55" s="4574" t="n"/>
      <c r="AD55" s="4110" t="n"/>
      <c r="AE55" s="4111" t="n"/>
      <c r="AF55" s="4575" t="n"/>
      <c r="AG55" s="4110" t="n"/>
      <c r="AH55" s="4113" t="n"/>
    </row>
    <row r="56" ht="12.95" customFormat="1" customHeight="1" s="1667" thickBot="1">
      <c r="A56" s="4097" t="n"/>
      <c r="B56" s="4107" t="n"/>
      <c r="C56" s="1286" t="inlineStr">
        <is>
          <t>非　　常　　勤（人）</t>
        </is>
      </c>
      <c r="D56" s="4103" t="n"/>
      <c r="E56" s="4103" t="n"/>
      <c r="F56" s="4103" t="n"/>
      <c r="G56" s="4103" t="n"/>
      <c r="H56" s="4103" t="n"/>
      <c r="I56" s="4103" t="n"/>
      <c r="J56" s="4104" t="n"/>
      <c r="K56" s="4574" t="n"/>
      <c r="L56" s="4110" t="n"/>
      <c r="M56" s="4111" t="n"/>
      <c r="N56" s="4574" t="n"/>
      <c r="O56" s="4110" t="n"/>
      <c r="P56" s="4111" t="n"/>
      <c r="Q56" s="4574" t="n"/>
      <c r="R56" s="4110" t="n"/>
      <c r="S56" s="4111" t="n"/>
      <c r="T56" s="4574" t="n"/>
      <c r="U56" s="4110" t="n"/>
      <c r="V56" s="4111" t="n"/>
      <c r="W56" s="4574" t="n"/>
      <c r="X56" s="4110" t="n"/>
      <c r="Y56" s="4111" t="n"/>
      <c r="Z56" s="4574" t="n"/>
      <c r="AA56" s="4110" t="n"/>
      <c r="AB56" s="4111" t="n"/>
      <c r="AC56" s="4574" t="n"/>
      <c r="AD56" s="4110" t="n"/>
      <c r="AE56" s="4111" t="n"/>
      <c r="AF56" s="4575" t="n"/>
      <c r="AG56" s="4110" t="n"/>
      <c r="AH56" s="4113" t="n"/>
    </row>
    <row r="57" ht="14.1" customFormat="1" customHeight="1" s="1667">
      <c r="A57" s="4086" t="n"/>
      <c r="B57" s="4410" t="n"/>
      <c r="C57" s="4325" t="inlineStr">
        <is>
          <t>常勤換算後の人数（人）</t>
        </is>
      </c>
      <c r="D57" s="4098" t="n"/>
      <c r="E57" s="4098" t="n"/>
      <c r="F57" s="4098" t="n"/>
      <c r="G57" s="4098" t="n"/>
      <c r="H57" s="4098" t="n"/>
      <c r="I57" s="4098" t="n"/>
      <c r="J57" s="4099" t="n"/>
      <c r="K57" s="4366" t="n"/>
      <c r="L57" s="4098" t="n"/>
      <c r="M57" s="4098" t="n"/>
      <c r="N57" s="4098" t="n"/>
      <c r="O57" s="4098" t="n"/>
      <c r="P57" s="4099" t="n"/>
      <c r="Q57" s="4366" t="n"/>
      <c r="R57" s="4098" t="n"/>
      <c r="S57" s="4098" t="n"/>
      <c r="T57" s="4098" t="n"/>
      <c r="U57" s="4098" t="n"/>
      <c r="V57" s="4099" t="n"/>
      <c r="W57" s="4366" t="n"/>
      <c r="X57" s="4098" t="n"/>
      <c r="Y57" s="4098" t="n"/>
      <c r="Z57" s="4098" t="n"/>
      <c r="AA57" s="4098" t="n"/>
      <c r="AB57" s="4099" t="n"/>
      <c r="AC57" s="4367" t="n"/>
      <c r="AD57" s="4098" t="n"/>
      <c r="AE57" s="4098" t="n"/>
      <c r="AF57" s="4098" t="n"/>
      <c r="AG57" s="4098" t="n"/>
      <c r="AH57" s="4101" t="n"/>
    </row>
    <row r="58" ht="15.95" customFormat="1" customHeight="1" s="1667">
      <c r="A58" s="4577" t="inlineStr">
        <is>
          <t>本体施設</t>
        </is>
      </c>
      <c r="B58" s="4099" t="n"/>
      <c r="C58" s="2594" t="inlineStr">
        <is>
          <t>種別</t>
        </is>
      </c>
      <c r="D58" s="4110" t="n"/>
      <c r="E58" s="4110" t="n"/>
      <c r="F58" s="4111" t="n"/>
      <c r="G58" s="4578" t="n"/>
      <c r="H58" s="4110" t="n"/>
      <c r="I58" s="4110" t="n"/>
      <c r="J58" s="4110" t="n"/>
      <c r="K58" s="4110" t="n"/>
      <c r="L58" s="4110" t="n"/>
      <c r="M58" s="4110" t="n"/>
      <c r="N58" s="4110" t="n"/>
      <c r="O58" s="4110" t="n"/>
      <c r="P58" s="4110" t="n"/>
      <c r="Q58" s="4110" t="n"/>
      <c r="R58" s="4110" t="n"/>
      <c r="S58" s="4110" t="n"/>
      <c r="T58" s="4110" t="n"/>
      <c r="U58" s="4110" t="n"/>
      <c r="V58" s="4110" t="n"/>
      <c r="W58" s="4110" t="n"/>
      <c r="X58" s="4111" t="n"/>
      <c r="Y58" s="4313" t="inlineStr">
        <is>
          <t>本体施設の定員</t>
        </is>
      </c>
      <c r="Z58" s="4098" t="n"/>
      <c r="AA58" s="4098" t="n"/>
      <c r="AB58" s="4098" t="n"/>
      <c r="AC58" s="4099" t="n"/>
      <c r="AD58" s="2386" t="n"/>
      <c r="AE58" s="4098" t="n"/>
      <c r="AF58" s="4098" t="n"/>
      <c r="AG58" s="4579" t="inlineStr">
        <is>
          <t>人</t>
        </is>
      </c>
      <c r="AH58" s="4101" t="n"/>
    </row>
    <row r="59" ht="15.95" customFormat="1" customHeight="1" s="1667">
      <c r="A59" s="4097" t="n"/>
      <c r="B59" s="4107" t="n"/>
      <c r="C59" s="2594" t="inlineStr">
        <is>
          <t>名称</t>
        </is>
      </c>
      <c r="D59" s="4110" t="n"/>
      <c r="E59" s="4110" t="n"/>
      <c r="F59" s="4111" t="n"/>
      <c r="G59" s="4578" t="n"/>
      <c r="H59" s="4110" t="n"/>
      <c r="I59" s="4110" t="n"/>
      <c r="J59" s="4110" t="n"/>
      <c r="K59" s="4110" t="n"/>
      <c r="L59" s="4110" t="n"/>
      <c r="M59" s="4110" t="n"/>
      <c r="N59" s="4110" t="n"/>
      <c r="O59" s="4110" t="n"/>
      <c r="P59" s="4110" t="n"/>
      <c r="Q59" s="4110" t="n"/>
      <c r="R59" s="4110" t="n"/>
      <c r="S59" s="4110" t="n"/>
      <c r="T59" s="4110" t="n"/>
      <c r="U59" s="4110" t="n"/>
      <c r="V59" s="4110" t="n"/>
      <c r="W59" s="4110" t="n"/>
      <c r="X59" s="4111" t="n"/>
      <c r="Y59" s="4102" t="n"/>
      <c r="Z59" s="4103" t="n"/>
      <c r="AA59" s="4103" t="n"/>
      <c r="AB59" s="4103" t="n"/>
      <c r="AC59" s="4104" t="n"/>
      <c r="AD59" s="4102" t="n"/>
      <c r="AE59" s="4103" t="n"/>
      <c r="AF59" s="4103" t="n"/>
      <c r="AG59" s="4103" t="n"/>
      <c r="AH59" s="4105" t="n"/>
    </row>
    <row r="60" ht="15" customFormat="1" customHeight="1" s="1667">
      <c r="A60" s="4097" t="n"/>
      <c r="B60" s="4107" t="n"/>
      <c r="C60" s="2598" t="inlineStr">
        <is>
          <t>前年度の本体施設延べ利用者数(ア)</t>
        </is>
      </c>
      <c r="D60" s="4110" t="n"/>
      <c r="E60" s="4110" t="n"/>
      <c r="F60" s="4110" t="n"/>
      <c r="G60" s="4110" t="n"/>
      <c r="H60" s="4110" t="n"/>
      <c r="I60" s="4110" t="n"/>
      <c r="J60" s="4110" t="n"/>
      <c r="K60" s="4110" t="n"/>
      <c r="L60" s="4110" t="n"/>
      <c r="M60" s="4110" t="n"/>
      <c r="N60" s="4580" t="n"/>
      <c r="O60" s="4110" t="n"/>
      <c r="P60" s="4110" t="n"/>
      <c r="Q60" s="4110" t="n"/>
      <c r="R60" s="4581" t="inlineStr">
        <is>
          <t>人</t>
        </is>
      </c>
      <c r="S60" s="4582" t="inlineStr">
        <is>
          <t>前年度の本体施設開所日数(ウ)</t>
        </is>
      </c>
      <c r="T60" s="4098" t="n"/>
      <c r="U60" s="4098" t="n"/>
      <c r="V60" s="4098" t="n"/>
      <c r="W60" s="4583" t="n"/>
      <c r="X60" s="4098" t="n"/>
      <c r="Y60" s="4581" t="inlineStr">
        <is>
          <t>日</t>
        </is>
      </c>
      <c r="Z60" s="4582" t="inlineStr">
        <is>
          <t>前年度の平均利用者数(ア＋イ)÷ウ</t>
        </is>
      </c>
      <c r="AA60" s="4098" t="n"/>
      <c r="AB60" s="4098" t="n"/>
      <c r="AC60" s="4098" t="n"/>
      <c r="AD60" s="4098" t="n"/>
      <c r="AE60" s="4584">
        <f>IF(W60=0,"",ROUNDUP((N60+N61)/W60,2))</f>
        <v/>
      </c>
      <c r="AF60" s="4098" t="n"/>
      <c r="AG60" s="1747" t="inlineStr">
        <is>
          <t>人</t>
        </is>
      </c>
      <c r="AH60" s="4101" t="n"/>
    </row>
    <row r="61" ht="15" customFormat="1" customHeight="1" s="1667" thickBot="1">
      <c r="A61" s="4585" t="inlineStr">
        <is>
          <t>短期入所</t>
        </is>
      </c>
      <c r="B61" s="4099" t="n"/>
      <c r="C61" s="2598" t="inlineStr">
        <is>
          <t>前年度の短期入所延べ利用者数(イ)</t>
        </is>
      </c>
      <c r="D61" s="4110" t="n"/>
      <c r="E61" s="4110" t="n"/>
      <c r="F61" s="4110" t="n"/>
      <c r="G61" s="4110" t="n"/>
      <c r="H61" s="4110" t="n"/>
      <c r="I61" s="4110" t="n"/>
      <c r="J61" s="4110" t="n"/>
      <c r="K61" s="4110" t="n"/>
      <c r="L61" s="4110" t="n"/>
      <c r="M61" s="4110" t="n"/>
      <c r="N61" s="4580" t="n"/>
      <c r="O61" s="4110" t="n"/>
      <c r="P61" s="4110" t="n"/>
      <c r="Q61" s="4110" t="n"/>
      <c r="R61" s="4581" t="inlineStr">
        <is>
          <t>人</t>
        </is>
      </c>
      <c r="S61" s="4102" t="n"/>
      <c r="T61" s="4103" t="n"/>
      <c r="U61" s="4103" t="n"/>
      <c r="V61" s="4103" t="n"/>
      <c r="W61" s="4103" t="n"/>
      <c r="X61" s="4103" t="n"/>
      <c r="Y61" s="4104" t="n"/>
      <c r="Z61" s="4102" t="n"/>
      <c r="AA61" s="4103" t="n"/>
      <c r="AB61" s="4103" t="n"/>
      <c r="AC61" s="4103" t="n"/>
      <c r="AD61" s="4103" t="n"/>
      <c r="AE61" s="4103" t="n"/>
      <c r="AF61" s="4103" t="n"/>
      <c r="AG61" s="4103" t="n"/>
      <c r="AH61" s="4105" t="n"/>
    </row>
    <row r="62" ht="15" customFormat="1" customHeight="1" s="1667" thickBot="1">
      <c r="A62" s="4097" t="n"/>
      <c r="B62" s="4107" t="n"/>
      <c r="C62" s="4586" t="inlineStr">
        <is>
          <t>種別</t>
        </is>
      </c>
      <c r="D62" s="4098" t="n"/>
      <c r="E62" s="4098" t="n"/>
      <c r="F62" s="4099" t="n"/>
      <c r="G62" s="1826" t="n"/>
      <c r="H62" s="2599" t="inlineStr">
        <is>
          <t>空床型</t>
        </is>
      </c>
      <c r="I62" s="4110" t="n"/>
      <c r="J62" s="4110" t="n"/>
      <c r="K62" s="4110" t="n"/>
      <c r="L62" s="1827" t="n"/>
      <c r="M62" s="4587" t="n"/>
      <c r="N62" s="4588" t="inlineStr">
        <is>
          <t>併設型</t>
        </is>
      </c>
      <c r="O62" s="4110" t="n"/>
      <c r="P62" s="4110" t="n"/>
      <c r="Q62" s="4110" t="n"/>
      <c r="R62" s="4589" t="n"/>
      <c r="S62" s="3109" t="inlineStr">
        <is>
          <t xml:space="preserve">　</t>
        </is>
      </c>
      <c r="T62" s="4588" t="inlineStr">
        <is>
          <t>単独型</t>
        </is>
      </c>
      <c r="U62" s="4110" t="n"/>
      <c r="V62" s="4110" t="n"/>
      <c r="W62" s="4110" t="n"/>
      <c r="X62" s="4590" t="n"/>
      <c r="Y62" s="4591" t="inlineStr">
        <is>
          <t>利用定員
（空床型除く）</t>
        </is>
      </c>
      <c r="Z62" s="4098" t="n"/>
      <c r="AA62" s="4098" t="n"/>
      <c r="AB62" s="4098" t="n"/>
      <c r="AC62" s="4099" t="n"/>
      <c r="AD62" s="2549" t="n"/>
      <c r="AE62" s="4098" t="n"/>
      <c r="AF62" s="4098" t="n"/>
      <c r="AG62" s="2611" t="inlineStr">
        <is>
          <t>人</t>
        </is>
      </c>
      <c r="AH62" s="4101" t="n"/>
    </row>
    <row r="63" ht="15" customFormat="1" customHeight="1" s="1667" thickBot="1">
      <c r="A63" s="4086" t="n"/>
      <c r="B63" s="4410" t="n"/>
      <c r="C63" s="4420" t="n"/>
      <c r="D63" s="4087" t="n"/>
      <c r="E63" s="4087" t="n"/>
      <c r="F63" s="4410" t="n"/>
      <c r="G63" s="4592" t="n"/>
      <c r="H63" s="4153" t="n"/>
      <c r="I63" s="4153" t="n"/>
      <c r="J63" s="4153" t="n"/>
      <c r="K63" s="4153" t="n"/>
      <c r="L63" s="4154" t="n"/>
      <c r="M63" s="4592" t="n"/>
      <c r="N63" s="4153" t="n"/>
      <c r="O63" s="4153" t="n"/>
      <c r="P63" s="4153" t="n"/>
      <c r="Q63" s="4153" t="n"/>
      <c r="R63" s="4154" t="n"/>
      <c r="S63" s="4592" t="n"/>
      <c r="T63" s="4153" t="n"/>
      <c r="U63" s="4153" t="n"/>
      <c r="V63" s="4153" t="n"/>
      <c r="W63" s="4153" t="n"/>
      <c r="X63" s="4154" t="n"/>
      <c r="Y63" s="4420" t="n"/>
      <c r="Z63" s="4087" t="n"/>
      <c r="AA63" s="4087" t="n"/>
      <c r="AB63" s="4087" t="n"/>
      <c r="AC63" s="4410" t="n"/>
      <c r="AD63" s="4420" t="n"/>
      <c r="AE63" s="4087" t="n"/>
      <c r="AF63" s="4087" t="n"/>
      <c r="AG63" s="4087" t="n"/>
      <c r="AH63" s="4088" t="n"/>
    </row>
    <row r="64" ht="12" customFormat="1" customHeight="1" s="1667" thickBot="1">
      <c r="A64" s="4593" t="inlineStr">
        <is>
          <t>主　　　な　　　掲　　　示　　　事　　　項</t>
        </is>
      </c>
      <c r="B64" s="4356" t="n"/>
      <c r="C64" s="1999" t="n"/>
      <c r="D64" s="2645" t="inlineStr">
        <is>
          <t>営業日
（単独型のみ）</t>
        </is>
      </c>
      <c r="E64" s="4082" t="n"/>
      <c r="F64" s="4082" t="n"/>
      <c r="G64" s="4082" t="n"/>
      <c r="H64" s="4082" t="n"/>
      <c r="I64" s="4082" t="n"/>
      <c r="J64" s="2002" t="n"/>
      <c r="K64" s="2352" t="inlineStr">
        <is>
          <t>月</t>
        </is>
      </c>
      <c r="L64" s="2354" t="inlineStr">
        <is>
          <t>火</t>
        </is>
      </c>
      <c r="M64" s="2354" t="inlineStr">
        <is>
          <t>水</t>
        </is>
      </c>
      <c r="N64" s="2354" t="inlineStr">
        <is>
          <t>木</t>
        </is>
      </c>
      <c r="O64" s="2354" t="inlineStr">
        <is>
          <t>金</t>
        </is>
      </c>
      <c r="P64" s="2354" t="inlineStr">
        <is>
          <t>土</t>
        </is>
      </c>
      <c r="Q64" s="2354" t="inlineStr">
        <is>
          <t>日</t>
        </is>
      </c>
      <c r="R64" s="2356" t="inlineStr">
        <is>
          <t>祝</t>
        </is>
      </c>
      <c r="S64" s="2004" t="inlineStr">
        <is>
          <t>休業日</t>
        </is>
      </c>
      <c r="T64" s="2006" t="inlineStr">
        <is>
          <t>年末年始</t>
        </is>
      </c>
      <c r="U64" s="4082" t="n"/>
      <c r="V64" s="2014" t="n"/>
      <c r="W64" s="4082" t="n"/>
      <c r="X64" s="4082" t="n"/>
      <c r="Y64" s="4082" t="n"/>
      <c r="Z64" s="4082" t="n"/>
      <c r="AA64" s="4082" t="n"/>
      <c r="AB64" s="4356" t="n"/>
      <c r="AC64" s="2236" t="inlineStr">
        <is>
          <t>備　考</t>
        </is>
      </c>
      <c r="AD64" s="4479" t="n"/>
      <c r="AE64" s="4082" t="n"/>
      <c r="AF64" s="4082" t="n"/>
      <c r="AG64" s="4082" t="n"/>
      <c r="AH64" s="4083" t="n"/>
    </row>
    <row r="65" ht="12" customFormat="1" customHeight="1" s="1667" thickBot="1">
      <c r="A65" s="4097" t="n"/>
      <c r="B65" s="4107" t="n"/>
      <c r="C65" s="4106" t="n"/>
      <c r="J65" s="4107" t="n"/>
      <c r="K65" s="2244" t="n"/>
      <c r="L65" s="2245" t="n"/>
      <c r="M65" s="2245" t="n"/>
      <c r="N65" s="2245" t="n"/>
      <c r="O65" s="2245" t="n"/>
      <c r="P65" s="2245" t="n"/>
      <c r="Q65" s="2245" t="n"/>
      <c r="R65" s="2249" t="n"/>
      <c r="S65" s="4282" t="n"/>
      <c r="T65" s="2008" t="inlineStr">
        <is>
          <t>夏季</t>
        </is>
      </c>
      <c r="V65" s="937" t="n"/>
      <c r="AB65" s="4107" t="n"/>
      <c r="AC65" s="4282" t="n"/>
      <c r="AD65" s="4192" t="n"/>
      <c r="AH65" s="4109" t="n"/>
    </row>
    <row r="66" ht="12" customFormat="1" customHeight="1" s="1667" thickBot="1">
      <c r="A66" s="4097" t="n"/>
      <c r="B66" s="4107" t="n"/>
      <c r="C66" s="4420" t="n"/>
      <c r="D66" s="4087" t="n"/>
      <c r="E66" s="4087" t="n"/>
      <c r="F66" s="4087" t="n"/>
      <c r="G66" s="4087" t="n"/>
      <c r="H66" s="4087" t="n"/>
      <c r="I66" s="4087" t="n"/>
      <c r="J66" s="4410" t="n"/>
      <c r="K66" s="4283" t="n"/>
      <c r="L66" s="4284" t="n"/>
      <c r="M66" s="4284" t="n"/>
      <c r="N66" s="4284" t="n"/>
      <c r="O66" s="4284" t="n"/>
      <c r="P66" s="4284" t="n"/>
      <c r="Q66" s="4284" t="n"/>
      <c r="R66" s="4285" t="n"/>
      <c r="S66" s="4421" t="n"/>
      <c r="T66" s="2024" t="inlineStr">
        <is>
          <t>その他</t>
        </is>
      </c>
      <c r="U66" s="4103" t="n"/>
      <c r="V66" s="940" t="n"/>
      <c r="W66" s="4103" t="n"/>
      <c r="X66" s="4103" t="n"/>
      <c r="Y66" s="4103" t="n"/>
      <c r="Z66" s="4103" t="n"/>
      <c r="AA66" s="4103" t="n"/>
      <c r="AB66" s="4104" t="n"/>
      <c r="AC66" s="4421" t="n"/>
      <c r="AD66" s="4480" t="n"/>
      <c r="AE66" s="4087" t="n"/>
      <c r="AF66" s="4087" t="n"/>
      <c r="AG66" s="4087" t="n"/>
      <c r="AH66" s="4088" t="n"/>
    </row>
    <row r="67" ht="3.95" customFormat="1" customHeight="1" s="1667" thickBot="1">
      <c r="A67" s="4097" t="n"/>
      <c r="B67" s="4107" t="n"/>
      <c r="C67" s="1393" t="n"/>
      <c r="D67" s="4222" t="inlineStr">
        <is>
          <t>営業時間
（単独型のみ）</t>
        </is>
      </c>
      <c r="E67" s="4098" t="n"/>
      <c r="F67" s="4098" t="n"/>
      <c r="G67" s="4098" t="n"/>
      <c r="H67" s="4098" t="n"/>
      <c r="I67" s="4098" t="n"/>
      <c r="J67" s="4223" t="n"/>
      <c r="K67" s="4287" t="inlineStr">
        <is>
          <t>平日</t>
        </is>
      </c>
      <c r="L67" s="4098" t="n"/>
      <c r="M67" s="4190" t="n"/>
      <c r="N67" s="1590" t="n"/>
      <c r="O67" s="4098" t="n"/>
      <c r="P67" s="2842" t="inlineStr">
        <is>
          <t>時</t>
        </is>
      </c>
      <c r="Q67" s="1323" t="n"/>
      <c r="R67" s="1323" t="n"/>
      <c r="S67" s="4288" t="inlineStr">
        <is>
          <t>分～</t>
        </is>
      </c>
      <c r="T67" s="4098" t="n"/>
      <c r="U67" s="108" t="inlineStr">
        <is>
          <t xml:space="preserve">　</t>
        </is>
      </c>
      <c r="V67" s="1591" t="n"/>
      <c r="W67" s="4098" t="n"/>
      <c r="X67" s="2842" t="inlineStr">
        <is>
          <t>時</t>
        </is>
      </c>
      <c r="Y67" s="2834" t="n"/>
      <c r="Z67" s="2834" t="n"/>
      <c r="AA67" s="2842" t="inlineStr">
        <is>
          <t>分</t>
        </is>
      </c>
      <c r="AB67" s="2842" t="inlineStr">
        <is>
          <t>・</t>
        </is>
      </c>
      <c r="AC67" s="4098" t="n"/>
      <c r="AD67" s="1591" t="n"/>
      <c r="AE67" s="4098" t="n"/>
      <c r="AF67" s="4098" t="n"/>
      <c r="AG67" s="4098" t="n"/>
      <c r="AH67" s="4304" t="n"/>
    </row>
    <row r="68" ht="12" customFormat="1" customHeight="1" s="1667" thickBot="1">
      <c r="A68" s="4097" t="n"/>
      <c r="B68" s="4107" t="n"/>
      <c r="C68" s="4106" t="n"/>
      <c r="J68" s="4107" t="n"/>
      <c r="K68" s="4106" t="n"/>
      <c r="M68" s="4191" t="n"/>
      <c r="N68" s="1589" t="n"/>
      <c r="Q68" s="1325" t="n"/>
      <c r="U68" s="1257" t="n"/>
      <c r="Y68" s="1580" t="n"/>
      <c r="AD68" s="1325" t="inlineStr">
        <is>
          <t>２４時間</t>
        </is>
      </c>
      <c r="AH68" s="4109" t="n"/>
    </row>
    <row r="69" ht="3.95" customFormat="1" customHeight="1" s="1667" thickBot="1">
      <c r="A69" s="4097" t="n"/>
      <c r="B69" s="4107" t="n"/>
      <c r="C69" s="4106" t="n"/>
      <c r="J69" s="4107" t="n"/>
      <c r="K69" s="4145" t="n"/>
      <c r="L69" s="4146" t="n"/>
      <c r="M69" s="4201" t="n"/>
      <c r="N69" s="1586" t="n"/>
      <c r="O69" s="1587" t="n"/>
      <c r="P69" s="4146" t="n"/>
      <c r="Q69" s="1585" t="n"/>
      <c r="R69" s="1585" t="n"/>
      <c r="S69" s="4146" t="n"/>
      <c r="T69" s="4146" t="n"/>
      <c r="U69" s="105" t="n"/>
      <c r="V69" s="1587" t="n"/>
      <c r="W69" s="1587" t="n"/>
      <c r="X69" s="4146" t="n"/>
      <c r="Y69" s="101" t="n"/>
      <c r="Z69" s="101" t="n"/>
      <c r="AA69" s="4146" t="n"/>
      <c r="AB69" s="4146" t="n"/>
      <c r="AC69" s="4146" t="n"/>
      <c r="AD69" s="1597" t="n"/>
      <c r="AE69" s="4146" t="n"/>
      <c r="AF69" s="4146" t="n"/>
      <c r="AG69" s="4146" t="n"/>
      <c r="AH69" s="4305" t="n"/>
    </row>
    <row r="70" ht="3.95" customFormat="1" customHeight="1" s="1667" thickBot="1">
      <c r="A70" s="4097" t="n"/>
      <c r="B70" s="4107" t="n"/>
      <c r="C70" s="4106" t="n"/>
      <c r="J70" s="4107" t="n"/>
      <c r="K70" s="4289" t="inlineStr">
        <is>
          <t>土曜</t>
        </is>
      </c>
      <c r="L70" s="4290" t="n"/>
      <c r="M70" s="4291" t="n"/>
      <c r="N70" s="1581" t="n"/>
      <c r="O70" s="4290" t="n"/>
      <c r="P70" s="1514" t="inlineStr">
        <is>
          <t>時</t>
        </is>
      </c>
      <c r="Q70" s="1583" t="n"/>
      <c r="R70" s="1583" t="n"/>
      <c r="S70" s="4292" t="inlineStr">
        <is>
          <t>分～</t>
        </is>
      </c>
      <c r="T70" s="4290" t="n"/>
      <c r="U70" s="98" t="inlineStr">
        <is>
          <t xml:space="preserve">　</t>
        </is>
      </c>
      <c r="V70" s="1582" t="n"/>
      <c r="W70" s="1582" t="n"/>
      <c r="X70" s="1514" t="inlineStr">
        <is>
          <t>時</t>
        </is>
      </c>
      <c r="Y70" s="96" t="n"/>
      <c r="Z70" s="96" t="n"/>
      <c r="AA70" s="1514" t="inlineStr">
        <is>
          <t>分</t>
        </is>
      </c>
      <c r="AB70" s="1514" t="inlineStr">
        <is>
          <t>・</t>
        </is>
      </c>
      <c r="AC70" s="4290" t="n"/>
      <c r="AD70" s="1681" t="n"/>
      <c r="AE70" s="4290" t="n"/>
      <c r="AF70" s="4290" t="n"/>
      <c r="AG70" s="4290" t="n"/>
      <c r="AH70" s="4306" t="n"/>
    </row>
    <row r="71" ht="12" customFormat="1" customHeight="1" s="1667" thickBot="1">
      <c r="A71" s="4097" t="n"/>
      <c r="B71" s="4107" t="n"/>
      <c r="C71" s="4106" t="n"/>
      <c r="J71" s="4107" t="n"/>
      <c r="K71" s="4106" t="n"/>
      <c r="M71" s="4191" t="n"/>
      <c r="N71" s="1589" t="n"/>
      <c r="Q71" s="1325" t="n"/>
      <c r="U71" s="1257" t="n"/>
      <c r="Y71" s="1580" t="n"/>
      <c r="AD71" s="1325" t="inlineStr">
        <is>
          <t>２４時間</t>
        </is>
      </c>
      <c r="AH71" s="4109" t="n"/>
    </row>
    <row r="72" ht="3.95" customFormat="1" customHeight="1" s="1667" thickBot="1">
      <c r="A72" s="4097" t="n"/>
      <c r="B72" s="4107" t="n"/>
      <c r="C72" s="4106" t="n"/>
      <c r="J72" s="4107" t="n"/>
      <c r="K72" s="4145" t="n"/>
      <c r="L72" s="4146" t="n"/>
      <c r="M72" s="4201" t="n"/>
      <c r="N72" s="1586" t="n"/>
      <c r="O72" s="1587" t="n"/>
      <c r="P72" s="4146" t="n"/>
      <c r="Q72" s="1585" t="n"/>
      <c r="R72" s="1585" t="n"/>
      <c r="S72" s="4146" t="n"/>
      <c r="T72" s="4146" t="n"/>
      <c r="U72" s="103" t="n"/>
      <c r="V72" s="1587" t="n"/>
      <c r="W72" s="1587" t="n"/>
      <c r="X72" s="4146" t="n"/>
      <c r="Y72" s="101" t="n"/>
      <c r="Z72" s="101" t="n"/>
      <c r="AA72" s="4146" t="n"/>
      <c r="AB72" s="4146" t="n"/>
      <c r="AC72" s="4146" t="n"/>
      <c r="AD72" s="1597" t="n"/>
      <c r="AE72" s="4146" t="n"/>
      <c r="AF72" s="4146" t="n"/>
      <c r="AG72" s="4146" t="n"/>
      <c r="AH72" s="4305" t="n"/>
    </row>
    <row r="73" ht="3.95" customFormat="1" customHeight="1" s="1667" thickBot="1">
      <c r="A73" s="4097" t="n"/>
      <c r="B73" s="4107" t="n"/>
      <c r="C73" s="4106" t="n"/>
      <c r="J73" s="4107" t="n"/>
      <c r="K73" s="4293" t="inlineStr">
        <is>
          <t>日・祝日</t>
        </is>
      </c>
      <c r="L73" s="4290" t="n"/>
      <c r="M73" s="4291" t="n"/>
      <c r="N73" s="1581" t="n"/>
      <c r="O73" s="4290" t="n"/>
      <c r="P73" s="1521" t="inlineStr">
        <is>
          <t>時</t>
        </is>
      </c>
      <c r="Q73" s="1583" t="n"/>
      <c r="R73" s="1583" t="n"/>
      <c r="S73" s="4294" t="inlineStr">
        <is>
          <t>分～</t>
        </is>
      </c>
      <c r="T73" s="4290" t="n"/>
      <c r="U73" s="98" t="inlineStr">
        <is>
          <t xml:space="preserve">　</t>
        </is>
      </c>
      <c r="V73" s="1582" t="n"/>
      <c r="W73" s="1582" t="n"/>
      <c r="X73" s="1521" t="inlineStr">
        <is>
          <t>時</t>
        </is>
      </c>
      <c r="Y73" s="96" t="n"/>
      <c r="Z73" s="96" t="n"/>
      <c r="AA73" s="1521" t="inlineStr">
        <is>
          <t>分</t>
        </is>
      </c>
      <c r="AB73" s="1521" t="inlineStr">
        <is>
          <t>・</t>
        </is>
      </c>
      <c r="AC73" s="4290" t="n"/>
      <c r="AD73" s="1681" t="n"/>
      <c r="AE73" s="4290" t="n"/>
      <c r="AF73" s="4290" t="n"/>
      <c r="AG73" s="4290" t="n"/>
      <c r="AH73" s="4307" t="n"/>
    </row>
    <row r="74" ht="12" customFormat="1" customHeight="1" s="1667" thickBot="1">
      <c r="A74" s="4097" t="n"/>
      <c r="B74" s="4107" t="n"/>
      <c r="C74" s="4106" t="n"/>
      <c r="J74" s="4107" t="n"/>
      <c r="K74" s="4106" t="n"/>
      <c r="M74" s="4191" t="n"/>
      <c r="N74" s="1589" t="n"/>
      <c r="Q74" s="1325" t="n"/>
      <c r="U74" s="1257" t="n"/>
      <c r="Y74" s="1580" t="n"/>
      <c r="AD74" s="1325" t="inlineStr">
        <is>
          <t>２４時間</t>
        </is>
      </c>
      <c r="AH74" s="4109" t="n"/>
    </row>
    <row r="75" ht="3.95" customFormat="1" customHeight="1" s="1667" thickBot="1">
      <c r="A75" s="4097" t="n"/>
      <c r="B75" s="4107" t="n"/>
      <c r="C75" s="4102" t="n"/>
      <c r="D75" s="4103" t="n"/>
      <c r="E75" s="4103" t="n"/>
      <c r="F75" s="4103" t="n"/>
      <c r="G75" s="4103" t="n"/>
      <c r="H75" s="4103" t="n"/>
      <c r="I75" s="4103" t="n"/>
      <c r="J75" s="4104" t="n"/>
      <c r="K75" s="4102" t="n"/>
      <c r="L75" s="4103" t="n"/>
      <c r="M75" s="4193" t="n"/>
      <c r="N75" s="1588" t="n"/>
      <c r="O75" s="1258" t="n"/>
      <c r="P75" s="4103" t="n"/>
      <c r="Q75" s="1327" t="n"/>
      <c r="R75" s="1327" t="n"/>
      <c r="S75" s="4103" t="n"/>
      <c r="T75" s="4103" t="n"/>
      <c r="U75" s="92" t="n"/>
      <c r="V75" s="1258" t="n"/>
      <c r="W75" s="1258" t="n"/>
      <c r="X75" s="4103" t="n"/>
      <c r="Y75" s="2836" t="n"/>
      <c r="Z75" s="2836" t="n"/>
      <c r="AA75" s="4103" t="n"/>
      <c r="AB75" s="4103" t="n"/>
      <c r="AC75" s="4103" t="n"/>
      <c r="AD75" s="1687" t="n"/>
      <c r="AE75" s="4103" t="n"/>
      <c r="AF75" s="4103" t="n"/>
      <c r="AG75" s="4103" t="n"/>
      <c r="AH75" s="4105" t="n"/>
    </row>
    <row r="76" ht="12" customFormat="1" customHeight="1" s="1667" thickBot="1">
      <c r="A76" s="4097" t="n"/>
      <c r="B76" s="4107" t="n"/>
      <c r="C76" s="1393" t="n"/>
      <c r="D76" s="4222" t="inlineStr">
        <is>
          <t>サービス提供日
（単独型のみ）</t>
        </is>
      </c>
      <c r="E76" s="4098" t="n"/>
      <c r="F76" s="4098" t="n"/>
      <c r="G76" s="4098" t="n"/>
      <c r="H76" s="4098" t="n"/>
      <c r="I76" s="4098" t="n"/>
      <c r="J76" s="4423" t="n"/>
      <c r="K76" s="2244" t="inlineStr">
        <is>
          <t>月</t>
        </is>
      </c>
      <c r="L76" s="2245" t="inlineStr">
        <is>
          <t>火</t>
        </is>
      </c>
      <c r="M76" s="2245" t="inlineStr">
        <is>
          <t>水</t>
        </is>
      </c>
      <c r="N76" s="2245" t="inlineStr">
        <is>
          <t>木</t>
        </is>
      </c>
      <c r="O76" s="2245" t="inlineStr">
        <is>
          <t>金</t>
        </is>
      </c>
      <c r="P76" s="2245" t="inlineStr">
        <is>
          <t>土</t>
        </is>
      </c>
      <c r="Q76" s="2245" t="inlineStr">
        <is>
          <t>日</t>
        </is>
      </c>
      <c r="R76" s="2249" t="inlineStr">
        <is>
          <t>祝</t>
        </is>
      </c>
      <c r="S76" s="4279" t="inlineStr">
        <is>
          <t>休業日</t>
        </is>
      </c>
      <c r="T76" s="1611" t="inlineStr">
        <is>
          <t>年末年始</t>
        </is>
      </c>
      <c r="U76" s="4098" t="n"/>
      <c r="V76" s="934" t="n"/>
      <c r="W76" s="4098" t="n"/>
      <c r="X76" s="4098" t="n"/>
      <c r="Y76" s="4098" t="n"/>
      <c r="Z76" s="4098" t="n"/>
      <c r="AA76" s="4098" t="n"/>
      <c r="AB76" s="4099" t="n"/>
      <c r="AC76" s="4280" t="inlineStr">
        <is>
          <t>備　考</t>
        </is>
      </c>
      <c r="AD76" s="4281" t="n"/>
      <c r="AE76" s="4098" t="n"/>
      <c r="AF76" s="4098" t="n"/>
      <c r="AG76" s="4098" t="n"/>
      <c r="AH76" s="4101" t="n"/>
    </row>
    <row r="77" ht="12" customFormat="1" customHeight="1" s="1667" thickBot="1">
      <c r="A77" s="4097" t="n"/>
      <c r="B77" s="4107" t="n"/>
      <c r="C77" s="4106" t="n"/>
      <c r="J77" s="4107" t="n"/>
      <c r="K77" s="2244" t="inlineStr">
        <is>
          <t xml:space="preserve">　</t>
        </is>
      </c>
      <c r="L77" s="2245" t="n"/>
      <c r="M77" s="2245" t="n"/>
      <c r="N77" s="2245" t="n"/>
      <c r="O77" s="2245" t="n"/>
      <c r="P77" s="2245" t="n"/>
      <c r="Q77" s="2245" t="n"/>
      <c r="R77" s="2249" t="n"/>
      <c r="S77" s="4282" t="n"/>
      <c r="T77" s="1609" t="inlineStr">
        <is>
          <t>夏季</t>
        </is>
      </c>
      <c r="V77" s="937" t="n"/>
      <c r="AB77" s="4107" t="n"/>
      <c r="AC77" s="4282" t="n"/>
      <c r="AD77" s="4192" t="n"/>
      <c r="AH77" s="4109" t="n"/>
    </row>
    <row r="78" ht="12" customFormat="1" customHeight="1" s="1667" thickBot="1">
      <c r="A78" s="4097" t="n"/>
      <c r="B78" s="4107" t="n"/>
      <c r="C78" s="4102" t="n"/>
      <c r="D78" s="4103" t="n"/>
      <c r="E78" s="4103" t="n"/>
      <c r="F78" s="4103" t="n"/>
      <c r="G78" s="4103" t="n"/>
      <c r="H78" s="4103" t="n"/>
      <c r="I78" s="4103" t="n"/>
      <c r="J78" s="4104" t="n"/>
      <c r="K78" s="4283" t="n"/>
      <c r="L78" s="4284" t="n"/>
      <c r="M78" s="4284" t="n"/>
      <c r="N78" s="4284" t="n"/>
      <c r="O78" s="4284" t="n"/>
      <c r="P78" s="4284" t="n"/>
      <c r="Q78" s="4284" t="n"/>
      <c r="R78" s="4285" t="n"/>
      <c r="S78" s="4286" t="n"/>
      <c r="T78" s="1610" t="inlineStr">
        <is>
          <t>その他</t>
        </is>
      </c>
      <c r="U78" s="4103" t="n"/>
      <c r="V78" s="940" t="n"/>
      <c r="W78" s="4103" t="n"/>
      <c r="X78" s="4103" t="n"/>
      <c r="Y78" s="4103" t="n"/>
      <c r="Z78" s="4103" t="n"/>
      <c r="AA78" s="4103" t="n"/>
      <c r="AB78" s="4104" t="n"/>
      <c r="AC78" s="4286" t="n"/>
      <c r="AD78" s="4194" t="n"/>
      <c r="AE78" s="4103" t="n"/>
      <c r="AF78" s="4103" t="n"/>
      <c r="AG78" s="4103" t="n"/>
      <c r="AH78" s="4105" t="n"/>
    </row>
    <row r="79" ht="3.95" customFormat="1" customHeight="1" s="1667" thickBot="1">
      <c r="A79" s="4097" t="n"/>
      <c r="B79" s="4107" t="n"/>
      <c r="C79" s="1393" t="n"/>
      <c r="D79" s="4222" t="inlineStr">
        <is>
          <t>サービス提供時間
（単独型のみ）</t>
        </is>
      </c>
      <c r="E79" s="4098" t="n"/>
      <c r="F79" s="4098" t="n"/>
      <c r="G79" s="4098" t="n"/>
      <c r="H79" s="4098" t="n"/>
      <c r="I79" s="4098" t="n"/>
      <c r="J79" s="4223" t="n"/>
      <c r="K79" s="4295" t="n"/>
      <c r="L79" s="4098" t="n"/>
      <c r="M79" s="4098" t="n"/>
      <c r="N79" s="4098" t="n"/>
      <c r="O79" s="4098" t="n"/>
      <c r="P79" s="4098" t="n"/>
      <c r="Q79" s="4098" t="n"/>
      <c r="R79" s="4098" t="n"/>
      <c r="S79" s="4098" t="n"/>
      <c r="T79" s="4098" t="n"/>
      <c r="U79" s="4098" t="n"/>
      <c r="V79" s="4098" t="n"/>
      <c r="W79" s="4098" t="n"/>
      <c r="X79" s="4098" t="n"/>
      <c r="Y79" s="4098" t="n"/>
      <c r="Z79" s="4098" t="n"/>
      <c r="AA79" s="4098" t="n"/>
      <c r="AB79" s="4098" t="n"/>
      <c r="AC79" s="4098" t="n"/>
      <c r="AD79" s="4098" t="n"/>
      <c r="AE79" s="4098" t="n"/>
      <c r="AF79" s="4098" t="n"/>
      <c r="AG79" s="4098" t="n"/>
      <c r="AH79" s="4101" t="n"/>
    </row>
    <row r="80" ht="24" customFormat="1" customHeight="1" s="1667" thickBot="1">
      <c r="A80" s="4097" t="n"/>
      <c r="B80" s="4107" t="n"/>
      <c r="C80" s="4106" t="n"/>
      <c r="J80" s="4107" t="n"/>
      <c r="K80" s="224" t="n"/>
      <c r="L80" s="1388" t="inlineStr">
        <is>
          <t xml:space="preserve">　</t>
        </is>
      </c>
      <c r="O80" s="1325" t="inlineStr">
        <is>
          <t>時</t>
        </is>
      </c>
      <c r="P80" s="1626" t="n"/>
      <c r="R80" s="1325" t="inlineStr">
        <is>
          <t>分～</t>
        </is>
      </c>
      <c r="T80" s="1388" t="inlineStr">
        <is>
          <t xml:space="preserve">　</t>
        </is>
      </c>
      <c r="W80" s="1325" t="inlineStr">
        <is>
          <t>時</t>
        </is>
      </c>
      <c r="X80" s="1626" t="n"/>
      <c r="Z80" s="1325" t="inlineStr">
        <is>
          <t>分</t>
        </is>
      </c>
      <c r="AA80" s="1325" t="inlineStr">
        <is>
          <t>・</t>
        </is>
      </c>
      <c r="AC80" s="1432" t="inlineStr">
        <is>
          <t>２４時間</t>
        </is>
      </c>
      <c r="AF80" s="1668" t="n"/>
      <c r="AH80" s="4109" t="n"/>
    </row>
    <row r="81" ht="3.95" customFormat="1" customHeight="1" s="1667" thickBot="1">
      <c r="A81" s="4097" t="n"/>
      <c r="B81" s="4107" t="n"/>
      <c r="C81" s="4102" t="n"/>
      <c r="D81" s="4103" t="n"/>
      <c r="E81" s="4103" t="n"/>
      <c r="F81" s="4103" t="n"/>
      <c r="G81" s="4103" t="n"/>
      <c r="H81" s="4103" t="n"/>
      <c r="I81" s="4103" t="n"/>
      <c r="J81" s="4104" t="n"/>
      <c r="K81" s="4296" t="n"/>
      <c r="AH81" s="4109" t="n"/>
    </row>
    <row r="82" ht="12" customFormat="1" customHeight="1" s="1667" thickBot="1">
      <c r="A82" s="4097" t="n"/>
      <c r="B82" s="4107" t="n"/>
      <c r="C82" s="1393" t="n"/>
      <c r="D82" s="4222" t="inlineStr">
        <is>
          <t>サービスを提供
する主たる対象者</t>
        </is>
      </c>
      <c r="E82" s="4098" t="n"/>
      <c r="F82" s="4098" t="n"/>
      <c r="G82" s="4098" t="n"/>
      <c r="H82" s="4098" t="n"/>
      <c r="I82" s="4098" t="n"/>
      <c r="J82" s="4223" t="n"/>
      <c r="K82" s="1669" t="inlineStr">
        <is>
          <t>身体障害者</t>
        </is>
      </c>
      <c r="L82" s="4138" t="n"/>
      <c r="M82" s="4138" t="n"/>
      <c r="N82" s="4138" t="n"/>
      <c r="O82" s="4139" t="n"/>
      <c r="P82" s="1669" t="inlineStr">
        <is>
          <t>知的障害者</t>
        </is>
      </c>
      <c r="Q82" s="4138" t="n"/>
      <c r="R82" s="4138" t="n"/>
      <c r="S82" s="4138" t="n"/>
      <c r="T82" s="4139" t="n"/>
      <c r="U82" s="1669" t="inlineStr">
        <is>
          <t>障害児</t>
        </is>
      </c>
      <c r="V82" s="4138" t="n"/>
      <c r="W82" s="4138" t="n"/>
      <c r="X82" s="4138" t="n"/>
      <c r="Y82" s="4139" t="n"/>
      <c r="Z82" s="1670" t="inlineStr">
        <is>
          <t>精神障害者</t>
        </is>
      </c>
      <c r="AA82" s="4138" t="n"/>
      <c r="AB82" s="4138" t="n"/>
      <c r="AC82" s="4138" t="n"/>
      <c r="AD82" s="4139" t="n"/>
      <c r="AE82" s="1671" t="inlineStr">
        <is>
          <t>難病等対象者</t>
        </is>
      </c>
      <c r="AF82" s="4138" t="n"/>
      <c r="AG82" s="4138" t="n"/>
      <c r="AH82" s="4139" t="n"/>
    </row>
    <row r="83" ht="12" customFormat="1" customHeight="1" s="1667" thickBot="1">
      <c r="A83" s="4097" t="n"/>
      <c r="B83" s="4107" t="n"/>
      <c r="C83" s="4102" t="n"/>
      <c r="D83" s="4103" t="n"/>
      <c r="E83" s="4103" t="n"/>
      <c r="F83" s="4103" t="n"/>
      <c r="G83" s="4103" t="n"/>
      <c r="H83" s="4103" t="n"/>
      <c r="I83" s="4103" t="n"/>
      <c r="J83" s="4104" t="n"/>
      <c r="K83" s="1663" t="inlineStr">
        <is>
          <t xml:space="preserve">　</t>
        </is>
      </c>
      <c r="L83" s="4140" t="n"/>
      <c r="M83" s="4140" t="n"/>
      <c r="N83" s="4140" t="n"/>
      <c r="O83" s="4141" t="n"/>
      <c r="P83" s="1663" t="n"/>
      <c r="Q83" s="4140" t="n"/>
      <c r="R83" s="4140" t="n"/>
      <c r="S83" s="4140" t="n"/>
      <c r="T83" s="4141" t="n"/>
      <c r="U83" s="1663" t="n"/>
      <c r="V83" s="4140" t="n"/>
      <c r="W83" s="4140" t="n"/>
      <c r="X83" s="4140" t="n"/>
      <c r="Y83" s="4141" t="n"/>
      <c r="Z83" s="1663" t="inlineStr">
        <is>
          <t xml:space="preserve">　</t>
        </is>
      </c>
      <c r="AA83" s="4140" t="n"/>
      <c r="AB83" s="4140" t="n"/>
      <c r="AC83" s="4140" t="n"/>
      <c r="AD83" s="4141" t="n"/>
      <c r="AE83" s="3101" t="inlineStr">
        <is>
          <t xml:space="preserve">　</t>
        </is>
      </c>
      <c r="AF83" s="4140" t="n"/>
      <c r="AG83" s="4140" t="n"/>
      <c r="AH83" s="4252" t="n"/>
    </row>
    <row r="84" ht="15" customFormat="1" customHeight="1" s="1667" thickBot="1">
      <c r="A84" s="4097" t="n"/>
      <c r="B84" s="4107" t="n"/>
      <c r="C84" s="1393" t="n"/>
      <c r="D84" s="1264" t="inlineStr">
        <is>
          <t>利用料</t>
        </is>
      </c>
      <c r="E84" s="4110" t="n"/>
      <c r="F84" s="4110" t="n"/>
      <c r="G84" s="4110" t="n"/>
      <c r="H84" s="4110" t="n"/>
      <c r="I84" s="4110" t="n"/>
      <c r="J84" s="1394" t="n"/>
      <c r="K84" s="4227" t="n"/>
      <c r="L84" s="4110" t="n"/>
      <c r="M84" s="4110" t="n"/>
      <c r="N84" s="4110" t="n"/>
      <c r="O84" s="4110" t="n"/>
      <c r="P84" s="4110" t="n"/>
      <c r="Q84" s="4110" t="n"/>
      <c r="R84" s="4110" t="n"/>
      <c r="S84" s="4110" t="n"/>
      <c r="T84" s="4110" t="n"/>
      <c r="U84" s="4110" t="n"/>
      <c r="V84" s="4110" t="n"/>
      <c r="W84" s="4110" t="n"/>
      <c r="X84" s="4110" t="n"/>
      <c r="Y84" s="4110" t="n"/>
      <c r="Z84" s="4110" t="n"/>
      <c r="AA84" s="4110" t="n"/>
      <c r="AB84" s="4110" t="n"/>
      <c r="AC84" s="4110" t="n"/>
      <c r="AD84" s="4110" t="n"/>
      <c r="AE84" s="4110" t="n"/>
      <c r="AF84" s="4110" t="n"/>
      <c r="AG84" s="4110" t="n"/>
      <c r="AH84" s="4113" t="n"/>
    </row>
    <row r="85" ht="15" customFormat="1" customHeight="1" s="1667" thickBot="1">
      <c r="A85" s="4097" t="n"/>
      <c r="B85" s="4107" t="n"/>
      <c r="C85" s="1322" t="n"/>
      <c r="D85" s="1264" t="inlineStr">
        <is>
          <t>その他の費用</t>
        </is>
      </c>
      <c r="E85" s="4110" t="n"/>
      <c r="F85" s="4110" t="n"/>
      <c r="G85" s="4110" t="n"/>
      <c r="H85" s="4110" t="n"/>
      <c r="I85" s="4110" t="n"/>
      <c r="J85" s="1331" t="n"/>
      <c r="K85" s="4121" t="n"/>
      <c r="L85" s="4110" t="n"/>
      <c r="M85" s="4110" t="n"/>
      <c r="N85" s="4110" t="n"/>
      <c r="O85" s="4110" t="n"/>
      <c r="P85" s="4110" t="n"/>
      <c r="Q85" s="4110" t="n"/>
      <c r="R85" s="4110" t="n"/>
      <c r="S85" s="4110" t="n"/>
      <c r="T85" s="4110" t="n"/>
      <c r="U85" s="4110" t="n"/>
      <c r="V85" s="4110" t="n"/>
      <c r="W85" s="4110" t="n"/>
      <c r="X85" s="4110" t="n"/>
      <c r="Y85" s="4110" t="n"/>
      <c r="Z85" s="4110" t="n"/>
      <c r="AA85" s="4110" t="n"/>
      <c r="AB85" s="4110" t="n"/>
      <c r="AC85" s="4110" t="n"/>
      <c r="AD85" s="4110" t="n"/>
      <c r="AE85" s="4110" t="n"/>
      <c r="AF85" s="4110" t="n"/>
      <c r="AG85" s="4110" t="n"/>
      <c r="AH85" s="4113" t="n"/>
    </row>
    <row r="86" ht="3.95" customFormat="1" customHeight="1" s="1667" thickBot="1">
      <c r="A86" s="4097" t="n"/>
      <c r="B86" s="4107" t="n"/>
      <c r="C86" s="4231" t="inlineStr">
        <is>
          <t>その他参考
となる事項</t>
        </is>
      </c>
      <c r="D86" s="4099" t="n"/>
      <c r="E86" s="2753" t="inlineStr">
        <is>
          <t>第三者評価の実施状況</t>
        </is>
      </c>
      <c r="F86" s="4098" t="n"/>
      <c r="G86" s="4098" t="n"/>
      <c r="H86" s="4098" t="n"/>
      <c r="I86" s="4098" t="n"/>
      <c r="J86" s="4099" t="n"/>
      <c r="K86" s="1657" t="n"/>
      <c r="L86" s="1658" t="n"/>
      <c r="M86" s="1658" t="n"/>
      <c r="N86" s="1658" t="n"/>
      <c r="O86" s="1658" t="n"/>
      <c r="P86" s="1658" t="n"/>
      <c r="Q86" s="1658" t="n"/>
      <c r="R86" s="4232" t="n"/>
      <c r="S86" s="4098" t="n"/>
      <c r="T86" s="4098" t="n"/>
      <c r="U86" s="4098" t="n"/>
      <c r="V86" s="4098" t="n"/>
      <c r="W86" s="4098" t="n"/>
      <c r="X86" s="4098" t="n"/>
      <c r="Y86" s="4098" t="n"/>
      <c r="Z86" s="4098" t="n"/>
      <c r="AA86" s="4098" t="n"/>
      <c r="AB86" s="1658" t="n"/>
      <c r="AC86" s="1658" t="n"/>
      <c r="AD86" s="1658" t="n"/>
      <c r="AE86" s="1658" t="n"/>
      <c r="AF86" s="1658" t="n"/>
      <c r="AG86" s="1658" t="n"/>
      <c r="AH86" s="1659" t="n"/>
    </row>
    <row r="87" ht="14.1" customFormat="1" customHeight="1" s="1667" thickBot="1">
      <c r="A87" s="4097" t="n"/>
      <c r="B87" s="4107" t="n"/>
      <c r="C87" s="4106" t="n"/>
      <c r="D87" s="4107" t="n"/>
      <c r="J87" s="4107" t="n"/>
      <c r="K87" s="1372" t="n"/>
      <c r="L87" s="1432" t="inlineStr">
        <is>
          <t>している</t>
        </is>
      </c>
      <c r="O87" s="1432" t="inlineStr">
        <is>
          <t>(実施先：</t>
        </is>
      </c>
      <c r="AB87" s="1889" t="inlineStr">
        <is>
          <t>)・</t>
        </is>
      </c>
      <c r="AC87" s="1290" t="inlineStr">
        <is>
          <t>していない</t>
        </is>
      </c>
      <c r="AH87" s="1668" t="n"/>
    </row>
    <row r="88" ht="3.95" customFormat="1" customHeight="1" s="1667" thickBot="1">
      <c r="A88" s="4097" t="n"/>
      <c r="B88" s="4107" t="n"/>
      <c r="C88" s="4106" t="n"/>
      <c r="D88" s="4107" t="n"/>
      <c r="E88" s="4103" t="n"/>
      <c r="F88" s="4103" t="n"/>
      <c r="G88" s="4103" t="n"/>
      <c r="H88" s="4103" t="n"/>
      <c r="I88" s="4103" t="n"/>
      <c r="J88" s="4104" t="n"/>
      <c r="K88" s="1657" t="n"/>
      <c r="L88" s="1658" t="n"/>
      <c r="M88" s="1658" t="n"/>
      <c r="N88" s="1658" t="n"/>
      <c r="O88" s="1658" t="n"/>
      <c r="P88" s="1658" t="n"/>
      <c r="Q88" s="1658" t="n"/>
      <c r="R88" s="4103" t="n"/>
      <c r="S88" s="4103" t="n"/>
      <c r="T88" s="4103" t="n"/>
      <c r="U88" s="4103" t="n"/>
      <c r="V88" s="4103" t="n"/>
      <c r="W88" s="4103" t="n"/>
      <c r="X88" s="4103" t="n"/>
      <c r="Y88" s="4103" t="n"/>
      <c r="Z88" s="4103" t="n"/>
      <c r="AA88" s="4103" t="n"/>
      <c r="AB88" s="1658" t="n"/>
      <c r="AC88" s="1658" t="n"/>
      <c r="AD88" s="1658" t="n"/>
      <c r="AE88" s="1658" t="n"/>
      <c r="AF88" s="1658" t="n"/>
      <c r="AG88" s="1658" t="n"/>
      <c r="AH88" s="1659" t="n"/>
    </row>
    <row r="89" ht="15" customFormat="1" customHeight="1" s="1667" thickBot="1">
      <c r="A89" s="4097" t="n"/>
      <c r="B89" s="4107" t="n"/>
      <c r="C89" s="4106" t="n"/>
      <c r="D89" s="4107" t="n"/>
      <c r="E89" s="4313" t="inlineStr">
        <is>
          <t>苦情解決の措置概要</t>
        </is>
      </c>
      <c r="F89" s="4098" t="n"/>
      <c r="G89" s="4098" t="n"/>
      <c r="H89" s="4098" t="n"/>
      <c r="I89" s="4098" t="n"/>
      <c r="J89" s="4099" t="n"/>
      <c r="K89" s="2542" t="inlineStr">
        <is>
          <t>窓　口</t>
        </is>
      </c>
      <c r="L89" s="4110" t="n"/>
      <c r="M89" s="4111" t="n"/>
      <c r="N89" s="4121" t="n"/>
      <c r="O89" s="4110" t="n"/>
      <c r="P89" s="4110" t="n"/>
      <c r="Q89" s="4110" t="n"/>
      <c r="R89" s="4110" t="n"/>
      <c r="S89" s="4110" t="n"/>
      <c r="T89" s="4110" t="n"/>
      <c r="U89" s="4110" t="n"/>
      <c r="V89" s="4110" t="n"/>
      <c r="W89" s="4110" t="n"/>
      <c r="X89" s="4110" t="n"/>
      <c r="Y89" s="4110" t="n"/>
      <c r="Z89" s="4110" t="n"/>
      <c r="AA89" s="4110" t="n"/>
      <c r="AB89" s="4110" t="n"/>
      <c r="AC89" s="4110" t="n"/>
      <c r="AD89" s="4110" t="n"/>
      <c r="AE89" s="4110" t="n"/>
      <c r="AF89" s="4110" t="n"/>
      <c r="AG89" s="4110" t="n"/>
      <c r="AH89" s="4113" t="n"/>
    </row>
    <row r="90" ht="15" customFormat="1" customHeight="1" s="1667" thickBot="1">
      <c r="A90" s="4097" t="n"/>
      <c r="B90" s="4107" t="n"/>
      <c r="C90" s="4106" t="n"/>
      <c r="D90" s="4107" t="n"/>
      <c r="E90" s="4102" t="n"/>
      <c r="F90" s="4103" t="n"/>
      <c r="G90" s="4103" t="n"/>
      <c r="H90" s="4103" t="n"/>
      <c r="I90" s="4103" t="n"/>
      <c r="J90" s="4104" t="n"/>
      <c r="K90" s="2542" t="inlineStr">
        <is>
          <t>担当者</t>
        </is>
      </c>
      <c r="L90" s="4110" t="n"/>
      <c r="M90" s="4111" t="n"/>
      <c r="N90" s="4123" t="n"/>
      <c r="O90" s="4110" t="n"/>
      <c r="P90" s="4110" t="n"/>
      <c r="Q90" s="4110" t="n"/>
      <c r="R90" s="4110" t="n"/>
      <c r="S90" s="4110" t="n"/>
      <c r="T90" s="4110" t="n"/>
      <c r="U90" s="4111" t="n"/>
      <c r="V90" s="2163" t="inlineStr">
        <is>
          <t>電話</t>
        </is>
      </c>
      <c r="W90" s="4111" t="n"/>
      <c r="X90" s="882" t="n"/>
      <c r="Y90" s="4110" t="n"/>
      <c r="Z90" s="4110" t="n"/>
      <c r="AA90" s="53" t="inlineStr">
        <is>
          <t>－</t>
        </is>
      </c>
      <c r="AB90" s="920" t="n"/>
      <c r="AC90" s="4110" t="n"/>
      <c r="AD90" s="4110" t="n"/>
      <c r="AE90" s="53" t="inlineStr">
        <is>
          <t>－</t>
        </is>
      </c>
      <c r="AF90" s="955" t="n"/>
      <c r="AG90" s="4110" t="n"/>
      <c r="AH90" s="4113" t="n"/>
    </row>
    <row r="91" ht="15" customFormat="1" customHeight="1" s="1667" thickBot="1">
      <c r="A91" s="4097" t="n"/>
      <c r="B91" s="4107" t="n"/>
      <c r="C91" s="4106" t="n"/>
      <c r="D91" s="4107" t="n"/>
      <c r="E91" s="4313" t="inlineStr">
        <is>
          <t>サービス提供時間外における連絡体制</t>
        </is>
      </c>
      <c r="F91" s="4098" t="n"/>
      <c r="G91" s="4098" t="n"/>
      <c r="H91" s="4098" t="n"/>
      <c r="I91" s="4098" t="n"/>
      <c r="J91" s="4099" t="n"/>
      <c r="K91" s="2542" t="inlineStr">
        <is>
          <t>窓　口</t>
        </is>
      </c>
      <c r="L91" s="4110" t="n"/>
      <c r="M91" s="4111" t="n"/>
      <c r="N91" s="4121" t="n"/>
      <c r="O91" s="4110" t="n"/>
      <c r="P91" s="4110" t="n"/>
      <c r="Q91" s="4110" t="n"/>
      <c r="R91" s="4110" t="n"/>
      <c r="S91" s="4110" t="n"/>
      <c r="T91" s="4110" t="n"/>
      <c r="U91" s="4110" t="n"/>
      <c r="V91" s="4110" t="n"/>
      <c r="W91" s="4110" t="n"/>
      <c r="X91" s="4110" t="n"/>
      <c r="Y91" s="4110" t="n"/>
      <c r="Z91" s="4110" t="n"/>
      <c r="AA91" s="4110" t="n"/>
      <c r="AB91" s="4110" t="n"/>
      <c r="AC91" s="4110" t="n"/>
      <c r="AD91" s="4110" t="n"/>
      <c r="AE91" s="4110" t="n"/>
      <c r="AF91" s="4110" t="n"/>
      <c r="AG91" s="4110" t="n"/>
      <c r="AH91" s="4113" t="n"/>
    </row>
    <row r="92" ht="15" customFormat="1" customHeight="1" s="1667" thickBot="1">
      <c r="A92" s="4097" t="n"/>
      <c r="B92" s="4107" t="n"/>
      <c r="C92" s="4106" t="n"/>
      <c r="D92" s="4107" t="n"/>
      <c r="E92" s="4102" t="n"/>
      <c r="F92" s="4103" t="n"/>
      <c r="G92" s="4103" t="n"/>
      <c r="H92" s="4103" t="n"/>
      <c r="I92" s="4103" t="n"/>
      <c r="J92" s="4104" t="n"/>
      <c r="K92" s="2542" t="inlineStr">
        <is>
          <t>担当者</t>
        </is>
      </c>
      <c r="L92" s="4110" t="n"/>
      <c r="M92" s="4111" t="n"/>
      <c r="N92" s="4123" t="n"/>
      <c r="O92" s="4110" t="n"/>
      <c r="P92" s="4110" t="n"/>
      <c r="Q92" s="4110" t="n"/>
      <c r="R92" s="4110" t="n"/>
      <c r="S92" s="4110" t="n"/>
      <c r="T92" s="4110" t="n"/>
      <c r="U92" s="4111" t="n"/>
      <c r="V92" s="2163" t="inlineStr">
        <is>
          <t>電話</t>
        </is>
      </c>
      <c r="W92" s="4111" t="n"/>
      <c r="X92" s="882" t="n"/>
      <c r="Y92" s="4110" t="n"/>
      <c r="Z92" s="4110" t="n"/>
      <c r="AA92" s="1492" t="inlineStr">
        <is>
          <t>－</t>
        </is>
      </c>
      <c r="AB92" s="920" t="n"/>
      <c r="AC92" s="4110" t="n"/>
      <c r="AD92" s="4110" t="n"/>
      <c r="AE92" s="1492" t="inlineStr">
        <is>
          <t>－</t>
        </is>
      </c>
      <c r="AF92" s="955" t="n"/>
      <c r="AG92" s="4110" t="n"/>
      <c r="AH92" s="4113" t="n"/>
    </row>
    <row r="93" ht="15" customFormat="1" customHeight="1" s="1667">
      <c r="A93" s="4086" t="n"/>
      <c r="B93" s="4410" t="n"/>
      <c r="C93" s="4102" t="n"/>
      <c r="D93" s="4104" t="n"/>
      <c r="E93" s="1268" t="inlineStr">
        <is>
          <t>そ　　　の 　　他</t>
        </is>
      </c>
      <c r="F93" s="4110" t="n"/>
      <c r="G93" s="4110" t="n"/>
      <c r="H93" s="4110" t="n"/>
      <c r="I93" s="4110" t="n"/>
      <c r="J93" s="4111" t="n"/>
      <c r="K93" s="4121" t="n"/>
      <c r="L93" s="4110" t="n"/>
      <c r="M93" s="4110" t="n"/>
      <c r="N93" s="4110" t="n"/>
      <c r="O93" s="4110" t="n"/>
      <c r="P93" s="4110" t="n"/>
      <c r="Q93" s="4110" t="n"/>
      <c r="R93" s="4110" t="n"/>
      <c r="S93" s="4110" t="n"/>
      <c r="T93" s="4110" t="n"/>
      <c r="U93" s="4110" t="n"/>
      <c r="V93" s="4110" t="n"/>
      <c r="W93" s="4110" t="n"/>
      <c r="X93" s="4110" t="n"/>
      <c r="Y93" s="4110" t="n"/>
      <c r="Z93" s="4110" t="n"/>
      <c r="AA93" s="4110" t="n"/>
      <c r="AB93" s="4110" t="n"/>
      <c r="AC93" s="4110" t="n"/>
      <c r="AD93" s="4110" t="n"/>
      <c r="AE93" s="4110" t="n"/>
      <c r="AF93" s="4110" t="n"/>
      <c r="AG93" s="4110" t="n"/>
      <c r="AH93" s="4113" t="n"/>
    </row>
    <row r="94" ht="15" customFormat="1" customHeight="1" s="1667">
      <c r="A94" s="2915" t="n"/>
      <c r="B94" s="1264" t="inlineStr">
        <is>
          <t>協力医療機関</t>
        </is>
      </c>
      <c r="C94" s="4098" t="n"/>
      <c r="D94" s="4098" t="n"/>
      <c r="E94" s="4098" t="n"/>
      <c r="F94" s="4098" t="n"/>
      <c r="G94" s="4098" t="n"/>
      <c r="H94" s="4098" t="n"/>
      <c r="I94" s="4098" t="n"/>
      <c r="J94" s="2077" t="n"/>
      <c r="K94" s="1865" t="inlineStr">
        <is>
          <t>ﾌﾘｶﾞﾅ</t>
        </is>
      </c>
      <c r="L94" s="4110" t="n"/>
      <c r="M94" s="4110" t="n"/>
      <c r="N94" s="4432" t="n"/>
      <c r="O94" s="4110" t="n"/>
      <c r="P94" s="4110" t="n"/>
      <c r="Q94" s="4110" t="n"/>
      <c r="R94" s="4110" t="n"/>
      <c r="S94" s="4110" t="n"/>
      <c r="T94" s="4110" t="n"/>
      <c r="U94" s="4110" t="n"/>
      <c r="V94" s="4110" t="n"/>
      <c r="W94" s="4110" t="n"/>
      <c r="X94" s="4110" t="n"/>
      <c r="Y94" s="4110" t="n"/>
      <c r="Z94" s="4110" t="n"/>
      <c r="AA94" s="4110" t="n"/>
      <c r="AB94" s="4111" t="n"/>
      <c r="AC94" s="4594" t="inlineStr">
        <is>
          <t>主な診療科名</t>
        </is>
      </c>
      <c r="AD94" s="4099" t="n"/>
      <c r="AE94" s="4224" t="n"/>
      <c r="AF94" s="4098" t="n"/>
      <c r="AG94" s="4098" t="n"/>
      <c r="AH94" s="4101" t="n"/>
    </row>
    <row r="95" ht="24" customFormat="1" customHeight="1" s="1667">
      <c r="A95" s="4114" t="n"/>
      <c r="B95" s="4103" t="n"/>
      <c r="C95" s="4103" t="n"/>
      <c r="D95" s="4103" t="n"/>
      <c r="E95" s="4103" t="n"/>
      <c r="F95" s="4103" t="n"/>
      <c r="G95" s="4103" t="n"/>
      <c r="H95" s="4103" t="n"/>
      <c r="I95" s="4103" t="n"/>
      <c r="J95" s="4104" t="n"/>
      <c r="K95" s="2164" t="inlineStr">
        <is>
          <t>名　称</t>
        </is>
      </c>
      <c r="L95" s="4110" t="n"/>
      <c r="M95" s="4111" t="n"/>
      <c r="N95" s="4123" t="n"/>
      <c r="O95" s="4110" t="n"/>
      <c r="P95" s="4110" t="n"/>
      <c r="Q95" s="4110" t="n"/>
      <c r="R95" s="4110" t="n"/>
      <c r="S95" s="4110" t="n"/>
      <c r="T95" s="4110" t="n"/>
      <c r="U95" s="4110" t="n"/>
      <c r="V95" s="4110" t="n"/>
      <c r="W95" s="4110" t="n"/>
      <c r="X95" s="4110" t="n"/>
      <c r="Y95" s="4110" t="n"/>
      <c r="Z95" s="4110" t="n"/>
      <c r="AA95" s="4110" t="n"/>
      <c r="AB95" s="4111" t="n"/>
      <c r="AC95" s="4103" t="n"/>
      <c r="AD95" s="4104" t="n"/>
      <c r="AE95" s="4102" t="n"/>
      <c r="AF95" s="4103" t="n"/>
      <c r="AG95" s="4103" t="n"/>
      <c r="AH95" s="4105" t="n"/>
    </row>
    <row r="96" ht="24" customFormat="1" customHeight="1" s="1667" thickBot="1">
      <c r="A96" s="4234" t="inlineStr">
        <is>
          <t>添　　付　　書　　類</t>
        </is>
      </c>
      <c r="B96" s="4153" t="n"/>
      <c r="C96" s="4153" t="n"/>
      <c r="D96" s="4153" t="n"/>
      <c r="E96" s="4153" t="n"/>
      <c r="F96" s="4153" t="n"/>
      <c r="G96" s="4153" t="n"/>
      <c r="H96" s="4153" t="n"/>
      <c r="I96" s="4153" t="n"/>
      <c r="J96" s="4154" t="n"/>
      <c r="K96" s="4235" t="inlineStr">
        <is>
          <t xml:space="preserve">　別紙「添付書類一覧表」のとおり</t>
        </is>
      </c>
      <c r="L96" s="4153" t="n"/>
      <c r="M96" s="4153" t="n"/>
      <c r="N96" s="4153" t="n"/>
      <c r="O96" s="4153" t="n"/>
      <c r="P96" s="4153" t="n"/>
      <c r="Q96" s="4153" t="n"/>
      <c r="R96" s="4153" t="n"/>
      <c r="S96" s="4153" t="n"/>
      <c r="T96" s="4153" t="n"/>
      <c r="U96" s="4153" t="n"/>
      <c r="V96" s="4153" t="n"/>
      <c r="W96" s="4153" t="n"/>
      <c r="X96" s="4153" t="n"/>
      <c r="Y96" s="4153" t="n"/>
      <c r="Z96" s="4153" t="n"/>
      <c r="AA96" s="4153" t="n"/>
      <c r="AB96" s="4153" t="n"/>
      <c r="AC96" s="4153" t="n"/>
      <c r="AD96" s="4153" t="n"/>
      <c r="AE96" s="4153" t="n"/>
      <c r="AF96" s="4153" t="n"/>
      <c r="AG96" s="4153" t="n"/>
      <c r="AH96" s="4155" t="n"/>
    </row>
  </sheetData>
  <mergeCells count="486">
    <mergeCell ref="K11:AH11"/>
    <mergeCell ref="AC43:AH43"/>
    <mergeCell ref="K84:AH84"/>
    <mergeCell ref="K56:M56"/>
    <mergeCell ref="AF92:AH92"/>
    <mergeCell ref="C43:J44"/>
    <mergeCell ref="N44:P44"/>
    <mergeCell ref="AD64:AH66"/>
    <mergeCell ref="U71:W71"/>
    <mergeCell ref="V18:AH18"/>
    <mergeCell ref="G58:X58"/>
    <mergeCell ref="K38:P38"/>
    <mergeCell ref="T34:V34"/>
    <mergeCell ref="C10:E11"/>
    <mergeCell ref="T28:V28"/>
    <mergeCell ref="T64:U64"/>
    <mergeCell ref="Z83:AD83"/>
    <mergeCell ref="X80:Y80"/>
    <mergeCell ref="AA2:AA3"/>
    <mergeCell ref="AH67:AH69"/>
    <mergeCell ref="AC48:AH48"/>
    <mergeCell ref="K34:M34"/>
    <mergeCell ref="AC2:AC3"/>
    <mergeCell ref="J67:J75"/>
    <mergeCell ref="Q47:V47"/>
    <mergeCell ref="T29:V29"/>
    <mergeCell ref="Q33:S33"/>
    <mergeCell ref="C22:L22"/>
    <mergeCell ref="N94:AB94"/>
    <mergeCell ref="U82:Y82"/>
    <mergeCell ref="K29:M29"/>
    <mergeCell ref="J79:J81"/>
    <mergeCell ref="K94:M94"/>
    <mergeCell ref="T54:V54"/>
    <mergeCell ref="F13:I13"/>
    <mergeCell ref="K44:M44"/>
    <mergeCell ref="Z56:AB56"/>
    <mergeCell ref="AC39:AE39"/>
    <mergeCell ref="AB73:AC75"/>
    <mergeCell ref="W46:Y46"/>
    <mergeCell ref="Z51:AB51"/>
    <mergeCell ref="Y23:AH23"/>
    <mergeCell ref="V65:AB65"/>
    <mergeCell ref="Q46:S46"/>
    <mergeCell ref="C20:AH20"/>
    <mergeCell ref="C55:J55"/>
    <mergeCell ref="S70:T72"/>
    <mergeCell ref="B94:I95"/>
    <mergeCell ref="N45:P45"/>
    <mergeCell ref="K49:M49"/>
    <mergeCell ref="A1:AH1"/>
    <mergeCell ref="Y62:AC63"/>
    <mergeCell ref="T49:V49"/>
    <mergeCell ref="U74:W74"/>
    <mergeCell ref="A94:A95"/>
    <mergeCell ref="N70:O70"/>
    <mergeCell ref="T50:V50"/>
    <mergeCell ref="Q38:V38"/>
    <mergeCell ref="T44:V44"/>
    <mergeCell ref="T80:V80"/>
    <mergeCell ref="Q35:S35"/>
    <mergeCell ref="Y68:Z68"/>
    <mergeCell ref="AD62:AF63"/>
    <mergeCell ref="K43:P43"/>
    <mergeCell ref="Q34:S34"/>
    <mergeCell ref="Q49:S49"/>
    <mergeCell ref="N40:P40"/>
    <mergeCell ref="K39:M39"/>
    <mergeCell ref="Z2:Z3"/>
    <mergeCell ref="AB2:AB3"/>
    <mergeCell ref="AD2:AD3"/>
    <mergeCell ref="AA67:AA69"/>
    <mergeCell ref="AF90:AH90"/>
    <mergeCell ref="X90:Z90"/>
    <mergeCell ref="W29:Y29"/>
    <mergeCell ref="AF27:AH27"/>
    <mergeCell ref="C60:M60"/>
    <mergeCell ref="R77:R78"/>
    <mergeCell ref="W53:AB53"/>
    <mergeCell ref="N35:P35"/>
    <mergeCell ref="L77:L78"/>
    <mergeCell ref="P67:P69"/>
    <mergeCell ref="D67:I75"/>
    <mergeCell ref="Q54:S54"/>
    <mergeCell ref="AE94:AH95"/>
    <mergeCell ref="W51:Y51"/>
    <mergeCell ref="N46:P46"/>
    <mergeCell ref="K50:M50"/>
    <mergeCell ref="AJ48:AO48"/>
    <mergeCell ref="P14:Q16"/>
    <mergeCell ref="AF45:AH45"/>
    <mergeCell ref="C45:J45"/>
    <mergeCell ref="Y74:Z74"/>
    <mergeCell ref="I8:M9"/>
    <mergeCell ref="AC87:AG87"/>
    <mergeCell ref="T65:U65"/>
    <mergeCell ref="C47:J47"/>
    <mergeCell ref="N71:O71"/>
    <mergeCell ref="AG58:AH59"/>
    <mergeCell ref="C53:J54"/>
    <mergeCell ref="Q48:V48"/>
    <mergeCell ref="AF40:AH40"/>
    <mergeCell ref="C40:J40"/>
    <mergeCell ref="W17:AH17"/>
    <mergeCell ref="J64:J66"/>
    <mergeCell ref="N73:O73"/>
    <mergeCell ref="AG60:AH61"/>
    <mergeCell ref="K57:P57"/>
    <mergeCell ref="L65:L66"/>
    <mergeCell ref="C51:J51"/>
    <mergeCell ref="N65:N66"/>
    <mergeCell ref="W19:AH19"/>
    <mergeCell ref="N62:Q62"/>
    <mergeCell ref="N54:P54"/>
    <mergeCell ref="Q43:V43"/>
    <mergeCell ref="C17:M19"/>
    <mergeCell ref="N41:P41"/>
    <mergeCell ref="T14:V16"/>
    <mergeCell ref="AC28:AE28"/>
    <mergeCell ref="N51:P51"/>
    <mergeCell ref="C59:F59"/>
    <mergeCell ref="N56:P56"/>
    <mergeCell ref="K55:M55"/>
    <mergeCell ref="Q39:S39"/>
    <mergeCell ref="W36:AB36"/>
    <mergeCell ref="W30:AB30"/>
    <mergeCell ref="C14:E16"/>
    <mergeCell ref="K46:M46"/>
    <mergeCell ref="K40:M40"/>
    <mergeCell ref="C35:J35"/>
    <mergeCell ref="N68:O68"/>
    <mergeCell ref="AD68:AG68"/>
    <mergeCell ref="K77:K78"/>
    <mergeCell ref="V76:AB76"/>
    <mergeCell ref="AD67:AG67"/>
    <mergeCell ref="M24:X24"/>
    <mergeCell ref="I10:K10"/>
    <mergeCell ref="AF46:AH46"/>
    <mergeCell ref="C46:J46"/>
    <mergeCell ref="C7:E9"/>
    <mergeCell ref="AD69:AG69"/>
    <mergeCell ref="W44:Y44"/>
    <mergeCell ref="V77:AB77"/>
    <mergeCell ref="AC76:AC78"/>
    <mergeCell ref="X14:AH16"/>
    <mergeCell ref="K82:O82"/>
    <mergeCell ref="S60:V61"/>
    <mergeCell ref="AE82:AH82"/>
    <mergeCell ref="L87:N87"/>
    <mergeCell ref="A12:S12"/>
    <mergeCell ref="W26:AB26"/>
    <mergeCell ref="N8:O9"/>
    <mergeCell ref="K83:O83"/>
    <mergeCell ref="AF10:AH10"/>
    <mergeCell ref="V66:AB66"/>
    <mergeCell ref="S17:U19"/>
    <mergeCell ref="AE83:AH83"/>
    <mergeCell ref="K85:AH85"/>
    <mergeCell ref="AC29:AE29"/>
    <mergeCell ref="Z33:AB33"/>
    <mergeCell ref="M65:M66"/>
    <mergeCell ref="AC44:AE44"/>
    <mergeCell ref="W42:AB42"/>
    <mergeCell ref="O65:O66"/>
    <mergeCell ref="Z35:AB35"/>
    <mergeCell ref="W52:AB52"/>
    <mergeCell ref="K53:P53"/>
    <mergeCell ref="X67:X69"/>
    <mergeCell ref="Z34:AB34"/>
    <mergeCell ref="Y24:AH24"/>
    <mergeCell ref="Z28:AB28"/>
    <mergeCell ref="N67:O67"/>
    <mergeCell ref="E93:J93"/>
    <mergeCell ref="C82:C83"/>
    <mergeCell ref="C36:J36"/>
    <mergeCell ref="T66:U66"/>
    <mergeCell ref="AB92:AD92"/>
    <mergeCell ref="W40:Y40"/>
    <mergeCell ref="T39:V39"/>
    <mergeCell ref="C25:L25"/>
    <mergeCell ref="C62:F63"/>
    <mergeCell ref="W33:Y33"/>
    <mergeCell ref="N90:U90"/>
    <mergeCell ref="R86:AA88"/>
    <mergeCell ref="W35:Y35"/>
    <mergeCell ref="K79:AH79"/>
    <mergeCell ref="P13:S13"/>
    <mergeCell ref="Q10:S10"/>
    <mergeCell ref="W32:AB32"/>
    <mergeCell ref="F4:AH4"/>
    <mergeCell ref="K81:AH81"/>
    <mergeCell ref="Q26:V26"/>
    <mergeCell ref="U2:X3"/>
    <mergeCell ref="AD72:AG72"/>
    <mergeCell ref="U68:W68"/>
    <mergeCell ref="AF51:AH51"/>
    <mergeCell ref="C5:E6"/>
    <mergeCell ref="A13:B25"/>
    <mergeCell ref="C58:F58"/>
    <mergeCell ref="J14:M16"/>
    <mergeCell ref="C31:J33"/>
    <mergeCell ref="D64:I66"/>
    <mergeCell ref="F7:I7"/>
    <mergeCell ref="T27:V27"/>
    <mergeCell ref="M63:R63"/>
    <mergeCell ref="AC36:AH36"/>
    <mergeCell ref="N27:P27"/>
    <mergeCell ref="AA80:AB80"/>
    <mergeCell ref="Y21:AH21"/>
    <mergeCell ref="AC45:AE45"/>
    <mergeCell ref="K30:P30"/>
    <mergeCell ref="T13:X13"/>
    <mergeCell ref="Z49:AB49"/>
    <mergeCell ref="K95:M95"/>
    <mergeCell ref="AF33:AH33"/>
    <mergeCell ref="C86:D93"/>
    <mergeCell ref="K89:M89"/>
    <mergeCell ref="N91:AH91"/>
    <mergeCell ref="C4:E4"/>
    <mergeCell ref="K51:M51"/>
    <mergeCell ref="C26:J27"/>
    <mergeCell ref="Z50:AB50"/>
    <mergeCell ref="W54:Y54"/>
    <mergeCell ref="V92:W92"/>
    <mergeCell ref="K90:M90"/>
    <mergeCell ref="W47:AB47"/>
    <mergeCell ref="W41:Y41"/>
    <mergeCell ref="V67:W67"/>
    <mergeCell ref="C76:C78"/>
    <mergeCell ref="W56:Y56"/>
    <mergeCell ref="Z39:AB39"/>
    <mergeCell ref="Z60:AD61"/>
    <mergeCell ref="AC50:AE50"/>
    <mergeCell ref="K67:M69"/>
    <mergeCell ref="E86:J88"/>
    <mergeCell ref="W60:X61"/>
    <mergeCell ref="L80:N80"/>
    <mergeCell ref="AC27:AE27"/>
    <mergeCell ref="Y58:AC59"/>
    <mergeCell ref="N95:AB95"/>
    <mergeCell ref="Q28:S28"/>
    <mergeCell ref="U83:Y83"/>
    <mergeCell ref="Y12:Z12"/>
    <mergeCell ref="AA12:AB12"/>
    <mergeCell ref="E89:J90"/>
    <mergeCell ref="AC57:AH57"/>
    <mergeCell ref="K36:P36"/>
    <mergeCell ref="C21:L21"/>
    <mergeCell ref="AB90:AD90"/>
    <mergeCell ref="AF54:AH54"/>
    <mergeCell ref="Q29:S29"/>
    <mergeCell ref="J82:J83"/>
    <mergeCell ref="N33:P33"/>
    <mergeCell ref="C23:L23"/>
    <mergeCell ref="T55:V55"/>
    <mergeCell ref="N77:N78"/>
    <mergeCell ref="P77:P78"/>
    <mergeCell ref="AC55:AE55"/>
    <mergeCell ref="K31:AH31"/>
    <mergeCell ref="T78:U78"/>
    <mergeCell ref="K27:M27"/>
    <mergeCell ref="N28:P28"/>
    <mergeCell ref="AC46:AE46"/>
    <mergeCell ref="Y60:Y61"/>
    <mergeCell ref="AC40:AE40"/>
    <mergeCell ref="K70:M72"/>
    <mergeCell ref="P80:Q80"/>
    <mergeCell ref="R80:S80"/>
    <mergeCell ref="W48:AB48"/>
    <mergeCell ref="T46:V46"/>
    <mergeCell ref="S73:T75"/>
    <mergeCell ref="AC41:AE41"/>
    <mergeCell ref="Z45:AB45"/>
    <mergeCell ref="Q74:R74"/>
    <mergeCell ref="T62:W62"/>
    <mergeCell ref="Z55:AB55"/>
    <mergeCell ref="AC32:AH32"/>
    <mergeCell ref="K45:M45"/>
    <mergeCell ref="AC47:AH47"/>
    <mergeCell ref="K26:P26"/>
    <mergeCell ref="F5:AH6"/>
    <mergeCell ref="AE60:AF61"/>
    <mergeCell ref="M22:X22"/>
    <mergeCell ref="H62:K62"/>
    <mergeCell ref="T40:V40"/>
    <mergeCell ref="Q44:S44"/>
    <mergeCell ref="AD58:AF59"/>
    <mergeCell ref="Q36:V36"/>
    <mergeCell ref="Q30:V30"/>
    <mergeCell ref="N34:P34"/>
    <mergeCell ref="C24:L24"/>
    <mergeCell ref="AF2:AF3"/>
    <mergeCell ref="AH2:AH3"/>
    <mergeCell ref="Q45:S45"/>
    <mergeCell ref="N49:P49"/>
    <mergeCell ref="C13:E13"/>
    <mergeCell ref="J7:N7"/>
    <mergeCell ref="C64:C66"/>
    <mergeCell ref="T10:W10"/>
    <mergeCell ref="Z82:AD82"/>
    <mergeCell ref="K33:M33"/>
    <mergeCell ref="AJ43:AO43"/>
    <mergeCell ref="AA70:AA72"/>
    <mergeCell ref="T45:V45"/>
    <mergeCell ref="AD76:AH78"/>
    <mergeCell ref="O77:O78"/>
    <mergeCell ref="K35:M35"/>
    <mergeCell ref="C28:J28"/>
    <mergeCell ref="Q77:Q78"/>
    <mergeCell ref="Y25:AH25"/>
    <mergeCell ref="P70:P72"/>
    <mergeCell ref="C30:J30"/>
    <mergeCell ref="Q50:S50"/>
    <mergeCell ref="P7:AH9"/>
    <mergeCell ref="N13:O16"/>
    <mergeCell ref="T51:V51"/>
    <mergeCell ref="K52:P52"/>
    <mergeCell ref="S67:T69"/>
    <mergeCell ref="Q27:S27"/>
    <mergeCell ref="P73:P75"/>
    <mergeCell ref="AF41:AH41"/>
    <mergeCell ref="C48:J49"/>
    <mergeCell ref="J76:J78"/>
    <mergeCell ref="C41:J41"/>
    <mergeCell ref="AF35:AH35"/>
    <mergeCell ref="X10:Z10"/>
    <mergeCell ref="C56:J56"/>
    <mergeCell ref="U12:V12"/>
    <mergeCell ref="AB10:AD10"/>
    <mergeCell ref="W12:X12"/>
    <mergeCell ref="T76:U76"/>
    <mergeCell ref="Q57:V57"/>
    <mergeCell ref="T33:V33"/>
    <mergeCell ref="A64:B93"/>
    <mergeCell ref="K65:K66"/>
    <mergeCell ref="T35:V35"/>
    <mergeCell ref="Q52:V52"/>
    <mergeCell ref="Q55:S55"/>
    <mergeCell ref="K47:P47"/>
    <mergeCell ref="C34:J34"/>
    <mergeCell ref="K41:M41"/>
    <mergeCell ref="AC30:AH30"/>
    <mergeCell ref="N60:Q60"/>
    <mergeCell ref="AC94:AD95"/>
    <mergeCell ref="AD75:AG75"/>
    <mergeCell ref="Q40:S40"/>
    <mergeCell ref="N39:P39"/>
    <mergeCell ref="AE2:AE3"/>
    <mergeCell ref="X92:Z92"/>
    <mergeCell ref="AG2:AG3"/>
    <mergeCell ref="Y2:Y3"/>
    <mergeCell ref="M25:X25"/>
    <mergeCell ref="C29:J29"/>
    <mergeCell ref="Z29:AB29"/>
    <mergeCell ref="S76:S78"/>
    <mergeCell ref="J13:M13"/>
    <mergeCell ref="X70:X72"/>
    <mergeCell ref="Q32:V32"/>
    <mergeCell ref="D85:I85"/>
    <mergeCell ref="S63:X63"/>
    <mergeCell ref="W28:Y28"/>
    <mergeCell ref="AF56:AH56"/>
    <mergeCell ref="C61:M61"/>
    <mergeCell ref="F10:H10"/>
    <mergeCell ref="N50:P50"/>
    <mergeCell ref="K54:M54"/>
    <mergeCell ref="AD70:AG70"/>
    <mergeCell ref="C57:J57"/>
    <mergeCell ref="E91:J92"/>
    <mergeCell ref="T77:U77"/>
    <mergeCell ref="C42:J42"/>
    <mergeCell ref="Y71:Z71"/>
    <mergeCell ref="Q71:R71"/>
    <mergeCell ref="AG62:AH63"/>
    <mergeCell ref="AC42:AH42"/>
    <mergeCell ref="S64:S66"/>
    <mergeCell ref="M21:X21"/>
    <mergeCell ref="K48:P48"/>
    <mergeCell ref="A26:B57"/>
    <mergeCell ref="Q41:S41"/>
    <mergeCell ref="J94:J95"/>
    <mergeCell ref="W38:AB38"/>
    <mergeCell ref="AF28:AH28"/>
    <mergeCell ref="Q56:S56"/>
    <mergeCell ref="N55:P55"/>
    <mergeCell ref="C52:J52"/>
    <mergeCell ref="A4:B11"/>
    <mergeCell ref="AF39:AH39"/>
    <mergeCell ref="W34:Y34"/>
    <mergeCell ref="N61:Q61"/>
    <mergeCell ref="D84:I84"/>
    <mergeCell ref="V90:W90"/>
    <mergeCell ref="Y22:AH22"/>
    <mergeCell ref="Q68:R68"/>
    <mergeCell ref="X73:X75"/>
    <mergeCell ref="A96:J96"/>
    <mergeCell ref="AC26:AH26"/>
    <mergeCell ref="AC12:AD12"/>
    <mergeCell ref="AE12:AF12"/>
    <mergeCell ref="AD71:AG71"/>
    <mergeCell ref="AJ53:AO53"/>
    <mergeCell ref="AF50:AH50"/>
    <mergeCell ref="A61:B63"/>
    <mergeCell ref="C50:J50"/>
    <mergeCell ref="AD73:AG73"/>
    <mergeCell ref="C67:C75"/>
    <mergeCell ref="Z44:AB44"/>
    <mergeCell ref="AC80:AE80"/>
    <mergeCell ref="Q65:Q66"/>
    <mergeCell ref="AC51:AE51"/>
    <mergeCell ref="N17:R17"/>
    <mergeCell ref="M23:X23"/>
    <mergeCell ref="P82:T82"/>
    <mergeCell ref="V64:AB64"/>
    <mergeCell ref="AC52:AH52"/>
    <mergeCell ref="Q53:V53"/>
    <mergeCell ref="N19:R19"/>
    <mergeCell ref="O87:Q87"/>
    <mergeCell ref="C79:C81"/>
    <mergeCell ref="AF34:AH34"/>
    <mergeCell ref="W49:Y49"/>
    <mergeCell ref="G59:X59"/>
    <mergeCell ref="AF49:AH49"/>
    <mergeCell ref="AC64:AC66"/>
    <mergeCell ref="A58:B60"/>
    <mergeCell ref="Q51:S51"/>
    <mergeCell ref="K91:M91"/>
    <mergeCell ref="AF29:AH29"/>
    <mergeCell ref="AC33:AE33"/>
    <mergeCell ref="F11:J11"/>
    <mergeCell ref="P65:P66"/>
    <mergeCell ref="AF44:AH44"/>
    <mergeCell ref="C37:J39"/>
    <mergeCell ref="R65:R66"/>
    <mergeCell ref="AF80:AH80"/>
    <mergeCell ref="AC35:AE35"/>
    <mergeCell ref="AF55:AH55"/>
    <mergeCell ref="AH70:AH72"/>
    <mergeCell ref="W43:AB43"/>
    <mergeCell ref="AC34:AE34"/>
    <mergeCell ref="F14:I16"/>
    <mergeCell ref="T41:V41"/>
    <mergeCell ref="K42:P42"/>
    <mergeCell ref="T56:V56"/>
    <mergeCell ref="W39:Y39"/>
    <mergeCell ref="N92:U92"/>
    <mergeCell ref="F8:H9"/>
    <mergeCell ref="V78:AB78"/>
    <mergeCell ref="AH73:AH75"/>
    <mergeCell ref="AB67:AC69"/>
    <mergeCell ref="K37:AH37"/>
    <mergeCell ref="Z27:AB27"/>
    <mergeCell ref="D79:I81"/>
    <mergeCell ref="AD74:AG74"/>
    <mergeCell ref="AA73:AA75"/>
    <mergeCell ref="P83:T83"/>
    <mergeCell ref="AC53:AH53"/>
    <mergeCell ref="M10:O10"/>
    <mergeCell ref="K32:P32"/>
    <mergeCell ref="W50:Y50"/>
    <mergeCell ref="D82:I83"/>
    <mergeCell ref="AC38:AH38"/>
    <mergeCell ref="D76:I78"/>
    <mergeCell ref="AC54:AE54"/>
    <mergeCell ref="N29:P29"/>
    <mergeCell ref="K96:AH96"/>
    <mergeCell ref="W27:Y27"/>
    <mergeCell ref="M77:M78"/>
    <mergeCell ref="AC56:AE56"/>
    <mergeCell ref="K73:M75"/>
    <mergeCell ref="G63:L63"/>
    <mergeCell ref="AC49:AE49"/>
    <mergeCell ref="K28:M28"/>
    <mergeCell ref="Z46:AB46"/>
    <mergeCell ref="Z40:AB40"/>
    <mergeCell ref="W57:AB57"/>
    <mergeCell ref="N89:AH89"/>
    <mergeCell ref="AB70:AC72"/>
    <mergeCell ref="K92:M92"/>
    <mergeCell ref="K93:AH93"/>
    <mergeCell ref="Z54:AB54"/>
    <mergeCell ref="Z41:AB41"/>
    <mergeCell ref="Q42:V42"/>
    <mergeCell ref="W45:Y45"/>
    <mergeCell ref="N74:O74"/>
    <mergeCell ref="W55:Y55"/>
  </mergeCells>
  <conditionalFormatting sqref="W60:X61">
    <cfRule type="cellIs" priority="2" operator="equal" dxfId="0" stopIfTrue="1">
      <formula>1</formula>
    </cfRule>
  </conditionalFormatting>
  <conditionalFormatting sqref="AC34:AH36 AC40:AH42 AE60">
    <cfRule type="cellIs" priority="1" operator="equal" dxfId="0" stopIfTrue="1">
      <formula>0</formula>
    </cfRule>
  </conditionalFormatting>
  <dataValidations count="10">
    <dataValidation sqref="W53:AH53" showDropDown="0" showInputMessage="1" showErrorMessage="1" allowBlank="1" type="list" errorStyle="warning">
      <formula1>"　,調理員,事務職員,介助員"</formula1>
    </dataValidation>
    <dataValidation sqref="G58:X58" showDropDown="0" showInputMessage="1" showErrorMessage="0" allowBlank="1" type="list" errorStyle="information">
      <formula1>"　　,障害者支援施設,旧法施設（身体障害者更生施設）,旧法施設（身体障害者療護施設）,旧法施設（身体障害者入所授産施設）,旧法施設（身体障害者通所授産施設）,旧法施設（知的障害者入所更生施設）,旧法施設（知的障害者通所更生施設）,旧法施設（知的障害者入所授産施設）,旧法施設（知的障害者通所授産施設）,旧法施設（知的障害者通勤寮）,療養介護,生活介護,児童デイサービス,自立訓練（機能訓練）,自立訓練（生活訓練）,就労継続支援（Ａ型）,就労継続支援（Ｂ型）,就労移行支援,特別養護老人ホーム"</formula1>
    </dataValidation>
    <dataValidation sqref="L80 N68 N71 N74 T80 U68:V68 U71:V71 U74:V74" showDropDown="0" showInputMessage="1" showErrorMessage="1" allowBlank="1" type="list">
      <formula1>"　,１,２,３,４,５,６,７,８,９,１０,１１,１２,１３,１４,１５,１６,１７,１８,１９,２０,２１,２２,２３,２４"</formula1>
    </dataValidation>
    <dataValidation sqref="K85:AH85" showDropDown="0" showInputMessage="1" showErrorMessage="1" allowBlank="1" type="list">
      <formula1>"　,運営規程に定めるとおり"</formula1>
    </dataValidation>
    <dataValidation sqref="K84:AH84" showDropDown="0" showInputMessage="1" showErrorMessage="1" allowBlank="1" type="list" errorStyle="warning">
      <formula1>"　,法定代理受領分：厚生労働大臣が定める基準の10/100、法定代理受領分以外：厚生労働大臣が定める基準"</formula1>
    </dataValidation>
    <dataValidation sqref="F4:AH4 F13:M13 J94 N94" showDropDown="0" showInputMessage="1" showErrorMessage="1" allowBlank="1" imeMode="halfKatakana"/>
    <dataValidation sqref="M10:O10 Q10:S10 AB10:AD10 AB90:AD90 AF10:AH10 AF90:AH90" showDropDown="0" showInputMessage="1" showErrorMessage="1" allowBlank="1" error="全角数字で入力してください" imeMode="fullAlpha"/>
    <dataValidation sqref="K28:AH30 K34:AH36 K40:AH42 K45:AH47 K50:AH52 K55:AH57 N60:Q61" showDropDown="0" showInputMessage="1" showErrorMessage="1" allowBlank="1" imeMode="halfAlpha"/>
    <dataValidation sqref="G63 K65 K77:R78 K83 L65:R66 M63 P83 S63 U83 Z83 AE83" showDropDown="0" showInputMessage="1" showErrorMessage="1" allowBlank="1" type="list">
      <formula1>"　,○"</formula1>
    </dataValidation>
    <dataValidation sqref="I10:K10 J7:N7 U12:V12 X10:Z10 X90:Z90 X92 Y2:AH3 Y12:Z12 AB92:AD92 AC12:AD12 AD58:AF58 AD62:AF62 AF92" showDropDown="0" showInputMessage="1" showErrorMessage="1" allowBlank="1" imeMode="fullAlpha"/>
  </dataValidations>
  <printOptions horizontalCentered="1"/>
  <pageMargins left="0.5905511811023623" right="0.5905511811023623" top="0.3937007874015748" bottom="0.3937007874015748" header="0.5118110236220472" footer="0.5118110236220472"/>
  <pageSetup orientation="portrait" paperSize="9"/>
  <rowBreaks count="1" manualBreakCount="1">
    <brk id="63" min="0" max="33" man="1"/>
  </rowBreaks>
  <legacyDrawing xmlns:r="http://schemas.openxmlformats.org/officeDocument/2006/relationships" r:id="anysvml"/>
</worksheet>
</file>

<file path=xl/worksheets/sheet20.xml><?xml version="1.0" encoding="utf-8"?>
<worksheet xmlns="http://schemas.openxmlformats.org/spreadsheetml/2006/main">
  <sheetPr codeName="Sheet19">
    <outlinePr summaryBelow="1" summaryRight="1"/>
    <pageSetUpPr/>
  </sheetPr>
  <dimension ref="A1:AO96"/>
  <sheetViews>
    <sheetView showGridLines="0" view="pageBreakPreview" zoomScaleNormal="100" workbookViewId="0">
      <selection activeCell="G15" sqref="G15"/>
    </sheetView>
  </sheetViews>
  <sheetFormatPr baseColWidth="8" defaultRowHeight="13.5"/>
  <cols>
    <col width="2.625" customWidth="1" style="4080" min="1" max="33"/>
    <col width="3.625" customWidth="1" style="4080" min="34" max="34"/>
  </cols>
  <sheetData>
    <row r="1" ht="17.1" customFormat="1" customHeight="1" s="1667" thickBot="1">
      <c r="A1" s="1213" t="inlineStr">
        <is>
          <t>付表１２　短期入所事業所の指定に係る記載事項</t>
        </is>
      </c>
      <c r="AM1" s="719">
        <f>HYPERLINK("#目次!A1","目次へ戻る")</f>
        <v/>
      </c>
    </row>
    <row r="2" ht="15" customFormat="1" customHeight="1" s="1667">
      <c r="B2" s="45" t="n"/>
      <c r="C2" s="45" t="n"/>
      <c r="D2" s="45" t="n"/>
      <c r="E2" s="1889" t="n"/>
      <c r="F2" s="1889" t="n"/>
      <c r="G2" s="1889" t="n"/>
      <c r="H2" s="2069" t="n"/>
      <c r="I2" s="1889" t="n"/>
      <c r="J2" s="1889" t="n"/>
      <c r="K2" s="1889" t="n"/>
      <c r="L2" s="1889" t="n"/>
      <c r="M2" s="1889" t="n"/>
      <c r="N2" s="2069" t="n"/>
      <c r="O2" s="1889" t="n"/>
      <c r="P2" s="1889" t="n"/>
      <c r="Q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Format="1" customHeight="1" s="1667"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2" customFormat="1" customHeight="1" s="1667">
      <c r="A4" s="4179" t="inlineStr">
        <is>
          <t>事業所</t>
        </is>
      </c>
      <c r="B4" s="4082" t="n"/>
      <c r="C4" s="4180" t="inlineStr">
        <is>
          <t>ﾌﾘｶﾞﾅ</t>
        </is>
      </c>
      <c r="D4" s="4093" t="n"/>
      <c r="E4" s="4094" t="n"/>
      <c r="F4" s="4236" t="inlineStr">
        <is>
          <t>ﾅｶﾉｼﾏｼｮｳｶﾞｲﾌｸｼｻｰﾋﾞｽｾﾝﾀｰ</t>
        </is>
      </c>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2" customFormat="1" customHeight="1" s="1667">
      <c r="A5" s="4097" t="n"/>
      <c r="C5" s="4181" t="inlineStr">
        <is>
          <t>名　称</t>
        </is>
      </c>
      <c r="D5" s="4098" t="n"/>
      <c r="E5" s="4099" t="n"/>
      <c r="F5" s="4237" t="inlineStr">
        <is>
          <t>中之島障がい福祉サービスセンター</t>
        </is>
      </c>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2" customFormat="1" customHeight="1" s="1667">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Format="1" customHeight="1" s="1667">
      <c r="A7" s="4097" t="n"/>
      <c r="C7" s="4181" t="inlineStr">
        <is>
          <t>所在地</t>
        </is>
      </c>
      <c r="D7" s="4098" t="n"/>
      <c r="E7" s="4099" t="n"/>
      <c r="F7" s="1244" t="inlineStr">
        <is>
          <t>郵便番号（</t>
        </is>
      </c>
      <c r="G7" s="4098" t="n"/>
      <c r="H7" s="4098" t="n"/>
      <c r="I7" s="4098" t="n"/>
      <c r="J7" s="2094" t="inlineStr">
        <is>
          <t>５３０－８２０１</t>
        </is>
      </c>
      <c r="K7" s="4098" t="n"/>
      <c r="L7" s="4098" t="n"/>
      <c r="M7" s="4098" t="n"/>
      <c r="N7" s="4098" t="n"/>
      <c r="O7" s="1329" t="inlineStr">
        <is>
          <t>）</t>
        </is>
      </c>
      <c r="P7" s="4434" t="inlineStr">
        <is>
          <t>中之島１－３－２０</t>
        </is>
      </c>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Format="1" customHeight="1" s="1667">
      <c r="A8" s="4097" t="n"/>
      <c r="C8" s="4106" t="n"/>
      <c r="E8" s="4107" t="n"/>
      <c r="F8" s="1255" t="inlineStr">
        <is>
          <t>大阪市</t>
        </is>
      </c>
      <c r="I8" s="2093" t="inlineStr">
        <is>
          <t>北</t>
        </is>
      </c>
      <c r="N8" s="1260" t="inlineStr">
        <is>
          <t>区</t>
        </is>
      </c>
      <c r="AH8" s="4109" t="n"/>
    </row>
    <row r="9" ht="3.95" customFormat="1" customHeight="1" s="1667">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Format="1" customHeight="1" s="1667">
      <c r="A10" s="4097" t="n"/>
      <c r="C10" s="4181" t="inlineStr">
        <is>
          <t>連絡先</t>
        </is>
      </c>
      <c r="D10" s="4098" t="n"/>
      <c r="E10" s="4099" t="n"/>
      <c r="F10" s="1262" t="inlineStr">
        <is>
          <t>電話番号</t>
        </is>
      </c>
      <c r="G10" s="4110" t="n"/>
      <c r="H10" s="4111" t="n"/>
      <c r="I10" s="1479" t="inlineStr">
        <is>
          <t>０６</t>
        </is>
      </c>
      <c r="J10" s="4110" t="n"/>
      <c r="K10" s="4110" t="n"/>
      <c r="L10" s="53" t="inlineStr">
        <is>
          <t>－</t>
        </is>
      </c>
      <c r="M10" s="1150" t="inlineStr">
        <is>
          <t>６２４１</t>
        </is>
      </c>
      <c r="N10" s="4110" t="n"/>
      <c r="O10" s="4110" t="n"/>
      <c r="P10" s="53" t="inlineStr">
        <is>
          <t>－</t>
        </is>
      </c>
      <c r="Q10" s="1482" t="inlineStr">
        <is>
          <t>６５２０</t>
        </is>
      </c>
      <c r="R10" s="4110" t="n"/>
      <c r="S10" s="4111" t="n"/>
      <c r="T10" s="4184" t="inlineStr">
        <is>
          <t>ＦＡＸ番号</t>
        </is>
      </c>
      <c r="U10" s="4110" t="n"/>
      <c r="V10" s="4110" t="n"/>
      <c r="W10" s="4111" t="n"/>
      <c r="X10" s="1479" t="inlineStr">
        <is>
          <t>０６</t>
        </is>
      </c>
      <c r="Y10" s="4110" t="n"/>
      <c r="Z10" s="4110" t="n"/>
      <c r="AA10" s="53" t="inlineStr">
        <is>
          <t>－</t>
        </is>
      </c>
      <c r="AB10" s="1150" t="inlineStr">
        <is>
          <t>６２４１</t>
        </is>
      </c>
      <c r="AC10" s="4110" t="n"/>
      <c r="AD10" s="4110" t="n"/>
      <c r="AE10" s="53" t="inlineStr">
        <is>
          <t>－</t>
        </is>
      </c>
      <c r="AF10" s="1483" t="inlineStr">
        <is>
          <t>６６０８</t>
        </is>
      </c>
      <c r="AG10" s="4110" t="n"/>
      <c r="AH10" s="4113" t="n"/>
    </row>
    <row r="11" ht="15" customFormat="1" customHeight="1" s="1667">
      <c r="A11" s="4114" t="n"/>
      <c r="B11" s="4103" t="n"/>
      <c r="C11" s="4102" t="n"/>
      <c r="D11" s="4103" t="n"/>
      <c r="E11" s="4104" t="n"/>
      <c r="F11" s="4185" t="inlineStr">
        <is>
          <t>メールアドレス</t>
        </is>
      </c>
      <c r="G11" s="4110" t="n"/>
      <c r="H11" s="4110" t="n"/>
      <c r="I11" s="4110" t="n"/>
      <c r="J11" s="4111" t="n"/>
      <c r="K11" s="4239" t="inlineStr">
        <is>
          <t>fa0260@city.osaka.lg.jp</t>
        </is>
      </c>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4.1" customFormat="1" customHeight="1" s="1667">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1150" t="inlineStr">
        <is>
          <t>２</t>
        </is>
      </c>
      <c r="V12" s="4110" t="n"/>
      <c r="W12" s="1264" t="inlineStr">
        <is>
          <t>条第</t>
        </is>
      </c>
      <c r="X12" s="4110" t="n"/>
      <c r="Y12" s="1150" t="inlineStr">
        <is>
          <t>１</t>
        </is>
      </c>
      <c r="Z12" s="4110" t="n"/>
      <c r="AA12" s="1264" t="inlineStr">
        <is>
          <t>項第</t>
        </is>
      </c>
      <c r="AB12" s="4110" t="n"/>
      <c r="AC12" s="1150" t="inlineStr">
        <is>
          <t>１４</t>
        </is>
      </c>
      <c r="AD12" s="4110" t="n"/>
      <c r="AE12" s="1264" t="inlineStr">
        <is>
          <t>号（</t>
        </is>
      </c>
      <c r="AF12" s="4110" t="n"/>
      <c r="AG12" s="1150" t="inlineStr">
        <is>
          <t>ア</t>
        </is>
      </c>
      <c r="AH12" s="2827" t="inlineStr">
        <is>
          <t>）</t>
        </is>
      </c>
    </row>
    <row r="13" ht="15.95" customFormat="1" customHeight="1" s="1667">
      <c r="A13" s="4188" t="inlineStr">
        <is>
          <t>管　　理　　者</t>
        </is>
      </c>
      <c r="B13" s="4099" t="n"/>
      <c r="C13" s="4184" t="inlineStr">
        <is>
          <t>ﾌﾘｶﾞﾅ</t>
        </is>
      </c>
      <c r="D13" s="4110" t="n"/>
      <c r="E13" s="4111" t="n"/>
      <c r="F13" s="1487" t="inlineStr">
        <is>
          <t>ｵｵｻｶ</t>
        </is>
      </c>
      <c r="G13" s="4110" t="n"/>
      <c r="H13" s="4110" t="n"/>
      <c r="I13" s="4189" t="n"/>
      <c r="J13" s="1488" t="inlineStr">
        <is>
          <t>ﾀﾛｳ</t>
        </is>
      </c>
      <c r="K13" s="4110" t="n"/>
      <c r="L13" s="4110" t="n"/>
      <c r="M13" s="4189" t="n"/>
      <c r="N13" s="4185" t="inlineStr">
        <is>
          <t>住所</t>
        </is>
      </c>
      <c r="O13" s="4099" t="n"/>
      <c r="P13" s="1244" t="inlineStr">
        <is>
          <t>郵便番号（</t>
        </is>
      </c>
      <c r="Q13" s="4098" t="n"/>
      <c r="R13" s="4098" t="n"/>
      <c r="S13" s="4098" t="n"/>
      <c r="T13" s="1742" t="inlineStr">
        <is>
          <t>５４０－０００８</t>
        </is>
      </c>
      <c r="U13" s="4098" t="n"/>
      <c r="V13" s="4098" t="n"/>
      <c r="W13" s="4098" t="n"/>
      <c r="X13" s="4098" t="n"/>
      <c r="Y13" s="1329" t="inlineStr">
        <is>
          <t>）</t>
        </is>
      </c>
      <c r="Z13" s="1017" t="n"/>
      <c r="AA13" s="1017" t="n"/>
      <c r="AB13" s="1017" t="n"/>
      <c r="AC13" s="1017" t="n"/>
      <c r="AD13" s="1017" t="n"/>
      <c r="AE13" s="1017" t="n"/>
      <c r="AF13" s="1017" t="n"/>
      <c r="AG13" s="1017" t="n"/>
      <c r="AH13" s="1424" t="n"/>
    </row>
    <row r="14" ht="14.1" customFormat="1" customHeight="1" s="1667">
      <c r="A14" s="4097" t="n"/>
      <c r="B14" s="4107" t="n"/>
      <c r="C14" s="4184" t="inlineStr">
        <is>
          <t>氏名</t>
        </is>
      </c>
      <c r="D14" s="4098" t="n"/>
      <c r="E14" s="4099" t="n"/>
      <c r="F14" s="1487" t="inlineStr">
        <is>
          <t>大阪</t>
        </is>
      </c>
      <c r="G14" s="4098" t="n"/>
      <c r="H14" s="4098" t="n"/>
      <c r="I14" s="4190" t="n"/>
      <c r="J14" s="1488" t="inlineStr">
        <is>
          <t>太郎</t>
        </is>
      </c>
      <c r="K14" s="4098" t="n"/>
      <c r="L14" s="4098" t="n"/>
      <c r="M14" s="4190" t="n"/>
      <c r="N14" s="4106" t="n"/>
      <c r="O14" s="4107" t="n"/>
      <c r="P14" s="1509" t="inlineStr">
        <is>
          <t>大阪</t>
        </is>
      </c>
      <c r="R14" s="1325" t="inlineStr">
        <is>
          <t>都</t>
        </is>
      </c>
      <c r="S14" s="2378" t="inlineStr">
        <is>
          <t>道</t>
        </is>
      </c>
      <c r="T14" s="1510" t="inlineStr">
        <is>
          <t>大阪</t>
        </is>
      </c>
      <c r="W14" s="2378" t="inlineStr">
        <is>
          <t>郡</t>
        </is>
      </c>
      <c r="X14" s="1512" t="inlineStr">
        <is>
          <t>中央区大手前○丁目○番○号　○○マンション○○○号室</t>
        </is>
      </c>
      <c r="AH14" s="4109" t="n"/>
    </row>
    <row r="15" ht="14.1" customFormat="1" customHeight="1" s="1667">
      <c r="A15" s="4097" t="n"/>
      <c r="B15" s="4107" t="n"/>
      <c r="C15" s="4106" t="n"/>
      <c r="E15" s="4107" t="n"/>
      <c r="F15" s="4106" t="n"/>
      <c r="I15" s="4191" t="n"/>
      <c r="J15" s="4192" t="n"/>
      <c r="M15" s="4191" t="n"/>
      <c r="N15" s="4106" t="n"/>
      <c r="O15" s="4107" t="n"/>
      <c r="P15" s="4106" t="n"/>
      <c r="R15" s="79" t="inlineStr">
        <is>
          <t>府</t>
        </is>
      </c>
      <c r="S15" s="2378" t="inlineStr">
        <is>
          <t>県</t>
        </is>
      </c>
      <c r="W15" s="79" t="inlineStr">
        <is>
          <t>市</t>
        </is>
      </c>
      <c r="AH15" s="4109" t="n"/>
    </row>
    <row r="16" ht="3.95" customFormat="1" customHeight="1" s="1667">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Format="1" customHeight="1" s="1667">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Format="1" customHeight="1" s="1667">
      <c r="A18" s="4097" t="n"/>
      <c r="B18" s="4107" t="n"/>
      <c r="C18" s="4106" t="n"/>
      <c r="N18" s="1354" t="n"/>
      <c r="O18" s="1325" t="inlineStr">
        <is>
          <t>有</t>
        </is>
      </c>
      <c r="P18" s="1325" t="inlineStr">
        <is>
          <t>・</t>
        </is>
      </c>
      <c r="Q18" s="80" t="inlineStr">
        <is>
          <t>無</t>
        </is>
      </c>
      <c r="R18" s="1332" t="n"/>
      <c r="S18" s="4106" t="n"/>
      <c r="U18" s="4107" t="n"/>
      <c r="V18" s="4196" t="n"/>
      <c r="AH18" s="4109" t="n"/>
    </row>
    <row r="19" ht="3.95" customFormat="1" customHeight="1" s="1667">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7.25" customFormat="1" customHeight="1" s="1667">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Format="1" customHeight="1" s="1667">
      <c r="A21" s="4097" t="n"/>
      <c r="B21" s="4107" t="n"/>
      <c r="C21" s="4240" t="inlineStr">
        <is>
          <t>事　業　所　名</t>
        </is>
      </c>
      <c r="D21" s="4110" t="n"/>
      <c r="E21" s="4110" t="n"/>
      <c r="F21" s="4110" t="n"/>
      <c r="G21" s="4110" t="n"/>
      <c r="H21" s="4110" t="n"/>
      <c r="I21" s="4110" t="n"/>
      <c r="J21" s="4110" t="n"/>
      <c r="K21" s="4110" t="n"/>
      <c r="L21" s="4189" t="n"/>
      <c r="M21" s="4241" t="inlineStr">
        <is>
          <t>サービス種別</t>
        </is>
      </c>
      <c r="N21" s="4110" t="n"/>
      <c r="O21" s="4110" t="n"/>
      <c r="P21" s="4110" t="n"/>
      <c r="Q21" s="4110" t="n"/>
      <c r="R21" s="4110" t="n"/>
      <c r="S21" s="4110" t="n"/>
      <c r="T21" s="4110" t="n"/>
      <c r="U21" s="4110" t="n"/>
      <c r="V21" s="4110" t="n"/>
      <c r="W21" s="4110" t="n"/>
      <c r="X21" s="4189" t="n"/>
      <c r="Y21" s="4242" t="inlineStr">
        <is>
          <t>職　　　種</t>
        </is>
      </c>
      <c r="Z21" s="4110" t="n"/>
      <c r="AA21" s="4110" t="n"/>
      <c r="AB21" s="4110" t="n"/>
      <c r="AC21" s="4110" t="n"/>
      <c r="AD21" s="4110" t="n"/>
      <c r="AE21" s="4110" t="n"/>
      <c r="AF21" s="4110" t="n"/>
      <c r="AG21" s="4110" t="n"/>
      <c r="AH21" s="4113" t="n"/>
    </row>
    <row r="22" ht="15" customFormat="1" customHeight="1" s="1667">
      <c r="A22" s="4097" t="n"/>
      <c r="B22" s="4107" t="n"/>
      <c r="C22" s="4243" t="inlineStr">
        <is>
          <t>大阪市障がい福祉サービス</t>
        </is>
      </c>
      <c r="D22" s="4138" t="n"/>
      <c r="E22" s="4138" t="n"/>
      <c r="F22" s="4138" t="n"/>
      <c r="G22" s="4138" t="n"/>
      <c r="H22" s="4138" t="n"/>
      <c r="I22" s="4138" t="n"/>
      <c r="J22" s="4138" t="n"/>
      <c r="K22" s="4138" t="n"/>
      <c r="L22" s="4198" t="n"/>
      <c r="M22" s="4244" t="inlineStr">
        <is>
          <t>就労継続支援B型</t>
        </is>
      </c>
      <c r="N22" s="4138" t="n"/>
      <c r="O22" s="4138" t="n"/>
      <c r="P22" s="4138" t="n"/>
      <c r="Q22" s="4138" t="n"/>
      <c r="R22" s="4138" t="n"/>
      <c r="S22" s="4138" t="n"/>
      <c r="T22" s="4138" t="n"/>
      <c r="U22" s="4138" t="n"/>
      <c r="V22" s="4138" t="n"/>
      <c r="W22" s="4138" t="n"/>
      <c r="X22" s="4198" t="n"/>
      <c r="Y22" s="4245" t="inlineStr">
        <is>
          <t>管理者</t>
        </is>
      </c>
      <c r="Z22" s="4138" t="n"/>
      <c r="AA22" s="4138" t="n"/>
      <c r="AB22" s="4138" t="n"/>
      <c r="AC22" s="4138" t="n"/>
      <c r="AD22" s="4138" t="n"/>
      <c r="AE22" s="4138" t="n"/>
      <c r="AF22" s="4138" t="n"/>
      <c r="AG22" s="4138" t="n"/>
      <c r="AH22" s="4246" t="n"/>
    </row>
    <row r="23" ht="15" customFormat="1" customHeight="1" s="1667">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2" t="n"/>
      <c r="Z23" s="4199" t="n"/>
      <c r="AA23" s="4199" t="n"/>
      <c r="AB23" s="4199" t="n"/>
      <c r="AC23" s="4199" t="n"/>
      <c r="AD23" s="4199" t="n"/>
      <c r="AE23" s="4199" t="n"/>
      <c r="AF23" s="4199" t="n"/>
      <c r="AG23" s="4199" t="n"/>
      <c r="AH23" s="4247" t="n"/>
    </row>
    <row r="24" ht="15" customFormat="1" customHeight="1" s="1667">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2" t="n"/>
      <c r="Z24" s="4199" t="n"/>
      <c r="AA24" s="4199" t="n"/>
      <c r="AB24" s="4199" t="n"/>
      <c r="AC24" s="4199" t="n"/>
      <c r="AD24" s="4199" t="n"/>
      <c r="AE24" s="4199" t="n"/>
      <c r="AF24" s="4199" t="n"/>
      <c r="AG24" s="4199" t="n"/>
      <c r="AH24" s="4247" t="n"/>
    </row>
    <row r="25" ht="15" customFormat="1" customHeight="1" s="1667">
      <c r="A25" s="4097" t="n"/>
      <c r="B25" s="4107" t="n"/>
      <c r="C25" s="4248" t="n"/>
      <c r="D25" s="4140" t="n"/>
      <c r="E25" s="4140" t="n"/>
      <c r="F25" s="4140" t="n"/>
      <c r="G25" s="4140" t="n"/>
      <c r="H25" s="4140" t="n"/>
      <c r="I25" s="4140" t="n"/>
      <c r="J25" s="4140" t="n"/>
      <c r="K25" s="4140" t="n"/>
      <c r="L25" s="4249" t="n"/>
      <c r="M25" s="4250" t="n"/>
      <c r="N25" s="4140" t="n"/>
      <c r="O25" s="4140" t="n"/>
      <c r="P25" s="4140" t="n"/>
      <c r="Q25" s="4140" t="n"/>
      <c r="R25" s="4140" t="n"/>
      <c r="S25" s="4140" t="n"/>
      <c r="T25" s="4140" t="n"/>
      <c r="U25" s="4140" t="n"/>
      <c r="V25" s="4140" t="n"/>
      <c r="W25" s="4140" t="n"/>
      <c r="X25" s="4249" t="n"/>
      <c r="Y25" s="4251" t="n"/>
      <c r="Z25" s="4140" t="n"/>
      <c r="AA25" s="4140" t="n"/>
      <c r="AB25" s="4140" t="n"/>
      <c r="AC25" s="4140" t="n"/>
      <c r="AD25" s="4140" t="n"/>
      <c r="AE25" s="4140" t="n"/>
      <c r="AF25" s="4140" t="n"/>
      <c r="AG25" s="4140" t="n"/>
      <c r="AH25" s="4252" t="n"/>
    </row>
    <row r="26" ht="14.1" customFormat="1" customHeight="1" s="1667" thickBot="1">
      <c r="A26" s="4573" t="inlineStr">
        <is>
          <t>職　員　の　職　種　・　員　数</t>
        </is>
      </c>
      <c r="B26" s="4099" t="n"/>
      <c r="C26" s="4362" t="inlineStr">
        <is>
          <t xml:space="preserve">　　　　　　　　　職種・勤務形態
常勤・非常勤の別</t>
        </is>
      </c>
      <c r="D26" s="4098" t="n"/>
      <c r="E26" s="4098" t="n"/>
      <c r="F26" s="4098" t="n"/>
      <c r="G26" s="4098" t="n"/>
      <c r="H26" s="4098" t="n"/>
      <c r="I26" s="4098" t="n"/>
      <c r="J26" s="4099" t="n"/>
      <c r="K26" s="4440" t="inlineStr">
        <is>
          <t>医　　　師</t>
        </is>
      </c>
      <c r="L26" s="4110" t="n"/>
      <c r="M26" s="4110" t="n"/>
      <c r="N26" s="4110" t="n"/>
      <c r="O26" s="4110" t="n"/>
      <c r="P26" s="4111" t="n"/>
      <c r="Q26" s="4440" t="inlineStr">
        <is>
          <t>生活支援員</t>
        </is>
      </c>
      <c r="R26" s="4110" t="n"/>
      <c r="S26" s="4110" t="n"/>
      <c r="T26" s="4110" t="n"/>
      <c r="U26" s="4110" t="n"/>
      <c r="V26" s="4111" t="n"/>
      <c r="W26" s="4440" t="inlineStr">
        <is>
          <t>介護職員</t>
        </is>
      </c>
      <c r="X26" s="4110" t="n"/>
      <c r="Y26" s="4110" t="n"/>
      <c r="Z26" s="4110" t="n"/>
      <c r="AA26" s="4110" t="n"/>
      <c r="AB26" s="4111" t="n"/>
      <c r="AC26" s="4441" t="inlineStr">
        <is>
          <t>職業指導員</t>
        </is>
      </c>
      <c r="AD26" s="4110" t="n"/>
      <c r="AE26" s="4110" t="n"/>
      <c r="AF26" s="4110" t="n"/>
      <c r="AG26" s="4110" t="n"/>
      <c r="AH26" s="4113" t="n"/>
    </row>
    <row r="27" ht="14.1" customFormat="1" customHeight="1" s="1667" thickBot="1">
      <c r="A27" s="4097" t="n"/>
      <c r="B27" s="4107" t="n"/>
      <c r="C27" s="4102" t="n"/>
      <c r="D27" s="4103" t="n"/>
      <c r="E27" s="4103" t="n"/>
      <c r="F27" s="4103" t="n"/>
      <c r="G27" s="4103" t="n"/>
      <c r="H27" s="4103" t="n"/>
      <c r="I27" s="4103" t="n"/>
      <c r="J27" s="4104" t="n"/>
      <c r="K27" s="4440" t="inlineStr">
        <is>
          <t>専従</t>
        </is>
      </c>
      <c r="L27" s="4110" t="n"/>
      <c r="M27" s="4111" t="n"/>
      <c r="N27" s="4440" t="inlineStr">
        <is>
          <t>兼務</t>
        </is>
      </c>
      <c r="O27" s="4110" t="n"/>
      <c r="P27" s="4111" t="n"/>
      <c r="Q27" s="4440" t="inlineStr">
        <is>
          <t>専従</t>
        </is>
      </c>
      <c r="R27" s="4110" t="n"/>
      <c r="S27" s="4111" t="n"/>
      <c r="T27" s="4440" t="inlineStr">
        <is>
          <t>兼務</t>
        </is>
      </c>
      <c r="U27" s="4110" t="n"/>
      <c r="V27" s="4111" t="n"/>
      <c r="W27" s="4440" t="inlineStr">
        <is>
          <t>専従</t>
        </is>
      </c>
      <c r="X27" s="4110" t="n"/>
      <c r="Y27" s="4111" t="n"/>
      <c r="Z27" s="4440" t="inlineStr">
        <is>
          <t>兼務</t>
        </is>
      </c>
      <c r="AA27" s="4110" t="n"/>
      <c r="AB27" s="4111" t="n"/>
      <c r="AC27" s="4440" t="inlineStr">
        <is>
          <t>専従</t>
        </is>
      </c>
      <c r="AD27" s="4110" t="n"/>
      <c r="AE27" s="4111" t="n"/>
      <c r="AF27" s="4441" t="inlineStr">
        <is>
          <t>兼務</t>
        </is>
      </c>
      <c r="AG27" s="4110" t="n"/>
      <c r="AH27" s="4113" t="n"/>
    </row>
    <row r="28" ht="12" customFormat="1" customHeight="1" s="1667" thickBot="1">
      <c r="A28" s="4097" t="n"/>
      <c r="B28" s="4107" t="n"/>
      <c r="C28" s="1268" t="inlineStr">
        <is>
          <t>常　　　　　勤（人）</t>
        </is>
      </c>
      <c r="D28" s="4110" t="n"/>
      <c r="E28" s="4110" t="n"/>
      <c r="F28" s="4110" t="n"/>
      <c r="G28" s="4110" t="n"/>
      <c r="H28" s="4110" t="n"/>
      <c r="I28" s="4110" t="n"/>
      <c r="J28" s="4111" t="n"/>
      <c r="K28" s="4595" t="n"/>
      <c r="L28" s="4110" t="n"/>
      <c r="M28" s="4111" t="n"/>
      <c r="N28" s="4595" t="n">
        <v>1</v>
      </c>
      <c r="O28" s="4110" t="n"/>
      <c r="P28" s="4111" t="n"/>
      <c r="Q28" s="4595" t="n"/>
      <c r="R28" s="4110" t="n"/>
      <c r="S28" s="4111" t="n"/>
      <c r="T28" s="4595" t="n">
        <v>1</v>
      </c>
      <c r="U28" s="4110" t="n"/>
      <c r="V28" s="4111" t="n"/>
      <c r="W28" s="4595" t="n"/>
      <c r="X28" s="4110" t="n"/>
      <c r="Y28" s="4111" t="n"/>
      <c r="Z28" s="4595" t="n">
        <v>2</v>
      </c>
      <c r="AA28" s="4110" t="n"/>
      <c r="AB28" s="4111" t="n"/>
      <c r="AC28" s="4595" t="n"/>
      <c r="AD28" s="4110" t="n"/>
      <c r="AE28" s="4111" t="n"/>
      <c r="AF28" s="4596" t="n"/>
      <c r="AG28" s="4110" t="n"/>
      <c r="AH28" s="4113" t="n"/>
    </row>
    <row r="29" ht="12" customFormat="1" customHeight="1" s="1667" thickBot="1">
      <c r="A29" s="4097" t="n"/>
      <c r="B29" s="4107" t="n"/>
      <c r="C29" s="1286" t="inlineStr">
        <is>
          <t>非　　常　　勤（人）</t>
        </is>
      </c>
      <c r="D29" s="4103" t="n"/>
      <c r="E29" s="4103" t="n"/>
      <c r="F29" s="4103" t="n"/>
      <c r="G29" s="4103" t="n"/>
      <c r="H29" s="4103" t="n"/>
      <c r="I29" s="4103" t="n"/>
      <c r="J29" s="4104" t="n"/>
      <c r="K29" s="4595" t="n"/>
      <c r="L29" s="4110" t="n"/>
      <c r="M29" s="4111" t="n"/>
      <c r="N29" s="4595" t="n"/>
      <c r="O29" s="4110" t="n"/>
      <c r="P29" s="4111" t="n"/>
      <c r="Q29" s="4595" t="n"/>
      <c r="R29" s="4110" t="n"/>
      <c r="S29" s="4111" t="n"/>
      <c r="T29" s="4595" t="n">
        <v>2</v>
      </c>
      <c r="U29" s="4110" t="n"/>
      <c r="V29" s="4111" t="n"/>
      <c r="W29" s="4595" t="n"/>
      <c r="X29" s="4110" t="n"/>
      <c r="Y29" s="4111" t="n"/>
      <c r="Z29" s="4595" t="n">
        <v>4</v>
      </c>
      <c r="AA29" s="4110" t="n"/>
      <c r="AB29" s="4111" t="n"/>
      <c r="AC29" s="4595" t="n"/>
      <c r="AD29" s="4110" t="n"/>
      <c r="AE29" s="4111" t="n"/>
      <c r="AF29" s="4596" t="n"/>
      <c r="AG29" s="4110" t="n"/>
      <c r="AH29" s="4113" t="n"/>
    </row>
    <row r="30" ht="14.1" customFormat="1" customHeight="1" s="1667" thickBot="1">
      <c r="A30" s="4097" t="n"/>
      <c r="B30" s="4107" t="n"/>
      <c r="C30" s="1268" t="inlineStr">
        <is>
          <t>常勤換算後の人数（人）</t>
        </is>
      </c>
      <c r="D30" s="4110" t="n"/>
      <c r="E30" s="4110" t="n"/>
      <c r="F30" s="4110" t="n"/>
      <c r="G30" s="4110" t="n"/>
      <c r="H30" s="4110" t="n"/>
      <c r="I30" s="4110" t="n"/>
      <c r="J30" s="4111" t="n"/>
      <c r="K30" s="4597" t="n"/>
      <c r="L30" s="4110" t="n"/>
      <c r="M30" s="4110" t="n"/>
      <c r="N30" s="4110" t="n"/>
      <c r="O30" s="4110" t="n"/>
      <c r="P30" s="4111" t="n"/>
      <c r="Q30" s="4597" t="n">
        <v>2</v>
      </c>
      <c r="R30" s="4110" t="n"/>
      <c r="S30" s="4110" t="n"/>
      <c r="T30" s="4110" t="n"/>
      <c r="U30" s="4110" t="n"/>
      <c r="V30" s="4111" t="n"/>
      <c r="W30" s="4597" t="n">
        <v>3</v>
      </c>
      <c r="X30" s="4110" t="n"/>
      <c r="Y30" s="4110" t="n"/>
      <c r="Z30" s="4110" t="n"/>
      <c r="AA30" s="4110" t="n"/>
      <c r="AB30" s="4111" t="n"/>
      <c r="AC30" s="4598" t="n"/>
      <c r="AD30" s="4110" t="n"/>
      <c r="AE30" s="4110" t="n"/>
      <c r="AF30" s="4110" t="n"/>
      <c r="AG30" s="4110" t="n"/>
      <c r="AH30" s="4113" t="n"/>
    </row>
    <row r="31" ht="14.1" customFormat="1" customHeight="1" s="1667" thickBot="1">
      <c r="A31" s="4097" t="n"/>
      <c r="B31" s="4107" t="n"/>
      <c r="C31" s="4362" t="inlineStr">
        <is>
          <t xml:space="preserve">　　　　　　　　　職種・勤務形態
常勤・非常勤の別</t>
        </is>
      </c>
      <c r="D31" s="4098" t="n"/>
      <c r="E31" s="4098" t="n"/>
      <c r="F31" s="4098" t="n"/>
      <c r="G31" s="4098" t="n"/>
      <c r="H31" s="4098" t="n"/>
      <c r="I31" s="4098" t="n"/>
      <c r="J31" s="4099" t="n"/>
      <c r="K31" s="4441" t="inlineStr">
        <is>
          <t>看　　　　　　　護　　　　　　　職　　　　　　　員</t>
        </is>
      </c>
      <c r="L31" s="4110" t="n"/>
      <c r="M31" s="4110" t="n"/>
      <c r="N31" s="4110" t="n"/>
      <c r="O31" s="4110" t="n"/>
      <c r="P31" s="4110" t="n"/>
      <c r="Q31" s="4110" t="n"/>
      <c r="R31" s="4110" t="n"/>
      <c r="S31" s="4110" t="n"/>
      <c r="T31" s="4110" t="n"/>
      <c r="U31" s="4110" t="n"/>
      <c r="V31" s="4110" t="n"/>
      <c r="W31" s="4110" t="n"/>
      <c r="X31" s="4110" t="n"/>
      <c r="Y31" s="4110" t="n"/>
      <c r="Z31" s="4110" t="n"/>
      <c r="AA31" s="4110" t="n"/>
      <c r="AB31" s="4110" t="n"/>
      <c r="AC31" s="4110" t="n"/>
      <c r="AD31" s="4110" t="n"/>
      <c r="AE31" s="4110" t="n"/>
      <c r="AF31" s="4110" t="n"/>
      <c r="AG31" s="4110" t="n"/>
      <c r="AH31" s="4113" t="n"/>
    </row>
    <row r="32" ht="14.1" customFormat="1" customHeight="1" s="1667" thickBot="1">
      <c r="A32" s="4097" t="n"/>
      <c r="B32" s="4107" t="n"/>
      <c r="C32" s="4106" t="n"/>
      <c r="J32" s="4107" t="n"/>
      <c r="K32" s="4440" t="inlineStr">
        <is>
          <t>保　健　師</t>
        </is>
      </c>
      <c r="L32" s="4110" t="n"/>
      <c r="M32" s="4110" t="n"/>
      <c r="N32" s="4110" t="n"/>
      <c r="O32" s="4110" t="n"/>
      <c r="P32" s="4111" t="n"/>
      <c r="Q32" s="4440" t="inlineStr">
        <is>
          <t>看　護　師</t>
        </is>
      </c>
      <c r="R32" s="4110" t="n"/>
      <c r="S32" s="4110" t="n"/>
      <c r="T32" s="4110" t="n"/>
      <c r="U32" s="4110" t="n"/>
      <c r="V32" s="4111" t="n"/>
      <c r="W32" s="4440" t="inlineStr">
        <is>
          <t>准看護師</t>
        </is>
      </c>
      <c r="X32" s="4110" t="n"/>
      <c r="Y32" s="4110" t="n"/>
      <c r="Z32" s="4110" t="n"/>
      <c r="AA32" s="4110" t="n"/>
      <c r="AB32" s="4111" t="n"/>
      <c r="AC32" s="4441" t="inlineStr">
        <is>
          <t>看護職員計</t>
        </is>
      </c>
      <c r="AD32" s="4110" t="n"/>
      <c r="AE32" s="4110" t="n"/>
      <c r="AF32" s="4110" t="n"/>
      <c r="AG32" s="4110" t="n"/>
      <c r="AH32" s="4113" t="n"/>
    </row>
    <row r="33" ht="14.1" customFormat="1" customHeight="1" s="1667" thickBot="1">
      <c r="A33" s="4097" t="n"/>
      <c r="B33" s="4107" t="n"/>
      <c r="C33" s="4102" t="n"/>
      <c r="D33" s="4103" t="n"/>
      <c r="E33" s="4103" t="n"/>
      <c r="F33" s="4103" t="n"/>
      <c r="G33" s="4103" t="n"/>
      <c r="H33" s="4103" t="n"/>
      <c r="I33" s="4103" t="n"/>
      <c r="J33" s="4104" t="n"/>
      <c r="K33" s="4440" t="inlineStr">
        <is>
          <t>専従</t>
        </is>
      </c>
      <c r="L33" s="4110" t="n"/>
      <c r="M33" s="4111" t="n"/>
      <c r="N33" s="4440" t="inlineStr">
        <is>
          <t>兼務</t>
        </is>
      </c>
      <c r="O33" s="4110" t="n"/>
      <c r="P33" s="4111" t="n"/>
      <c r="Q33" s="4440" t="inlineStr">
        <is>
          <t>専従</t>
        </is>
      </c>
      <c r="R33" s="4110" t="n"/>
      <c r="S33" s="4111" t="n"/>
      <c r="T33" s="4440" t="inlineStr">
        <is>
          <t>兼務</t>
        </is>
      </c>
      <c r="U33" s="4110" t="n"/>
      <c r="V33" s="4111" t="n"/>
      <c r="W33" s="4440" t="inlineStr">
        <is>
          <t>専従</t>
        </is>
      </c>
      <c r="X33" s="4110" t="n"/>
      <c r="Y33" s="4111" t="n"/>
      <c r="Z33" s="4440" t="inlineStr">
        <is>
          <t>兼務</t>
        </is>
      </c>
      <c r="AA33" s="4110" t="n"/>
      <c r="AB33" s="4111" t="n"/>
      <c r="AC33" s="4440" t="inlineStr">
        <is>
          <t>専従</t>
        </is>
      </c>
      <c r="AD33" s="4110" t="n"/>
      <c r="AE33" s="4111" t="n"/>
      <c r="AF33" s="4441" t="inlineStr">
        <is>
          <t>兼務</t>
        </is>
      </c>
      <c r="AG33" s="4110" t="n"/>
      <c r="AH33" s="4113" t="n"/>
    </row>
    <row r="34" ht="12" customFormat="1" customHeight="1" s="1667" thickBot="1">
      <c r="A34" s="4097" t="n"/>
      <c r="B34" s="4107" t="n"/>
      <c r="C34" s="1268" t="inlineStr">
        <is>
          <t>常　　　　　勤（人）</t>
        </is>
      </c>
      <c r="D34" s="4110" t="n"/>
      <c r="E34" s="4110" t="n"/>
      <c r="F34" s="4110" t="n"/>
      <c r="G34" s="4110" t="n"/>
      <c r="H34" s="4110" t="n"/>
      <c r="I34" s="4110" t="n"/>
      <c r="J34" s="4111" t="n"/>
      <c r="K34" s="4595" t="n"/>
      <c r="L34" s="4110" t="n"/>
      <c r="M34" s="4111" t="n"/>
      <c r="N34" s="4595" t="n"/>
      <c r="O34" s="4110" t="n"/>
      <c r="P34" s="4111" t="n"/>
      <c r="Q34" s="4595" t="n"/>
      <c r="R34" s="4110" t="n"/>
      <c r="S34" s="4111" t="n"/>
      <c r="T34" s="4595" t="n">
        <v>1</v>
      </c>
      <c r="U34" s="4110" t="n"/>
      <c r="V34" s="4111" t="n"/>
      <c r="W34" s="4595" t="n"/>
      <c r="X34" s="4110" t="n"/>
      <c r="Y34" s="4111" t="n"/>
      <c r="Z34" s="4595" t="n"/>
      <c r="AA34" s="4110" t="n"/>
      <c r="AB34" s="4111" t="n"/>
      <c r="AC34" s="4595">
        <f>+W34+Q34+K34</f>
        <v/>
      </c>
      <c r="AD34" s="4110" t="n"/>
      <c r="AE34" s="4111" t="n"/>
      <c r="AF34" s="4596">
        <f>+Z34+T34+N34</f>
        <v/>
      </c>
      <c r="AG34" s="4110" t="n"/>
      <c r="AH34" s="4113" t="n"/>
    </row>
    <row r="35" ht="12" customFormat="1" customHeight="1" s="1667" thickBot="1">
      <c r="A35" s="4097" t="n"/>
      <c r="B35" s="4107" t="n"/>
      <c r="C35" s="1286" t="inlineStr">
        <is>
          <t>非　　常　　勤（人）</t>
        </is>
      </c>
      <c r="D35" s="4103" t="n"/>
      <c r="E35" s="4103" t="n"/>
      <c r="F35" s="4103" t="n"/>
      <c r="G35" s="4103" t="n"/>
      <c r="H35" s="4103" t="n"/>
      <c r="I35" s="4103" t="n"/>
      <c r="J35" s="4104" t="n"/>
      <c r="K35" s="4595" t="n"/>
      <c r="L35" s="4110" t="n"/>
      <c r="M35" s="4111" t="n"/>
      <c r="N35" s="4595" t="n"/>
      <c r="O35" s="4110" t="n"/>
      <c r="P35" s="4111" t="n"/>
      <c r="Q35" s="4595" t="n"/>
      <c r="R35" s="4110" t="n"/>
      <c r="S35" s="4111" t="n"/>
      <c r="T35" s="4595" t="n">
        <v>1</v>
      </c>
      <c r="U35" s="4110" t="n"/>
      <c r="V35" s="4111" t="n"/>
      <c r="W35" s="4595" t="n"/>
      <c r="X35" s="4110" t="n"/>
      <c r="Y35" s="4111" t="n"/>
      <c r="Z35" s="4595" t="n"/>
      <c r="AA35" s="4110" t="n"/>
      <c r="AB35" s="4111" t="n"/>
      <c r="AC35" s="4595">
        <f>+W35+Q35+K35</f>
        <v/>
      </c>
      <c r="AD35" s="4110" t="n"/>
      <c r="AE35" s="4111" t="n"/>
      <c r="AF35" s="4596">
        <f>+Z35+T35+N35</f>
        <v/>
      </c>
      <c r="AG35" s="4110" t="n"/>
      <c r="AH35" s="4113" t="n"/>
    </row>
    <row r="36" ht="14.1" customFormat="1" customHeight="1" s="1667" thickBot="1">
      <c r="A36" s="4097" t="n"/>
      <c r="B36" s="4107" t="n"/>
      <c r="C36" s="1268" t="inlineStr">
        <is>
          <t>常勤換算後の人数（人）</t>
        </is>
      </c>
      <c r="D36" s="4110" t="n"/>
      <c r="E36" s="4110" t="n"/>
      <c r="F36" s="4110" t="n"/>
      <c r="G36" s="4110" t="n"/>
      <c r="H36" s="4110" t="n"/>
      <c r="I36" s="4110" t="n"/>
      <c r="J36" s="4111" t="n"/>
      <c r="K36" s="4597" t="n"/>
      <c r="L36" s="4110" t="n"/>
      <c r="M36" s="4110" t="n"/>
      <c r="N36" s="4110" t="n"/>
      <c r="O36" s="4110" t="n"/>
      <c r="P36" s="4111" t="n"/>
      <c r="Q36" s="4597" t="n">
        <v>1.5</v>
      </c>
      <c r="R36" s="4110" t="n"/>
      <c r="S36" s="4110" t="n"/>
      <c r="T36" s="4110" t="n"/>
      <c r="U36" s="4110" t="n"/>
      <c r="V36" s="4111" t="n"/>
      <c r="W36" s="4597" t="n"/>
      <c r="X36" s="4110" t="n"/>
      <c r="Y36" s="4110" t="n"/>
      <c r="Z36" s="4110" t="n"/>
      <c r="AA36" s="4110" t="n"/>
      <c r="AB36" s="4111" t="n"/>
      <c r="AC36" s="4598">
        <f>SUM(K36:AB36)</f>
        <v/>
      </c>
      <c r="AD36" s="4110" t="n"/>
      <c r="AE36" s="4110" t="n"/>
      <c r="AF36" s="4110" t="n"/>
      <c r="AG36" s="4110" t="n"/>
      <c r="AH36" s="4113" t="n"/>
    </row>
    <row r="37" ht="14.1" customFormat="1" customHeight="1" s="1667" thickBot="1">
      <c r="A37" s="4097" t="n"/>
      <c r="B37" s="4107" t="n"/>
      <c r="C37" s="4362" t="inlineStr">
        <is>
          <t xml:space="preserve">　　　　　　　　　職種・勤務形態
常勤・非常勤の別</t>
        </is>
      </c>
      <c r="D37" s="4098" t="n"/>
      <c r="E37" s="4098" t="n"/>
      <c r="F37" s="4098" t="n"/>
      <c r="G37" s="4098" t="n"/>
      <c r="H37" s="4098" t="n"/>
      <c r="I37" s="4098" t="n"/>
      <c r="J37" s="4099" t="n"/>
      <c r="K37" s="4441" t="inlineStr">
        <is>
          <t>理　　　　学　　　　療　　　　法　　　　士　　　　等</t>
        </is>
      </c>
      <c r="L37" s="4110" t="n"/>
      <c r="M37" s="4110" t="n"/>
      <c r="N37" s="4110" t="n"/>
      <c r="O37" s="4110" t="n"/>
      <c r="P37" s="4110" t="n"/>
      <c r="Q37" s="4110" t="n"/>
      <c r="R37" s="4110" t="n"/>
      <c r="S37" s="4110" t="n"/>
      <c r="T37" s="4110" t="n"/>
      <c r="U37" s="4110" t="n"/>
      <c r="V37" s="4110" t="n"/>
      <c r="W37" s="4110" t="n"/>
      <c r="X37" s="4110" t="n"/>
      <c r="Y37" s="4110" t="n"/>
      <c r="Z37" s="4110" t="n"/>
      <c r="AA37" s="4110" t="n"/>
      <c r="AB37" s="4110" t="n"/>
      <c r="AC37" s="4110" t="n"/>
      <c r="AD37" s="4110" t="n"/>
      <c r="AE37" s="4110" t="n"/>
      <c r="AF37" s="4110" t="n"/>
      <c r="AG37" s="4110" t="n"/>
      <c r="AH37" s="4113" t="n"/>
    </row>
    <row r="38" ht="14.1" customFormat="1" customHeight="1" s="1667" thickBot="1">
      <c r="A38" s="4097" t="n"/>
      <c r="B38" s="4107" t="n"/>
      <c r="C38" s="4106" t="n"/>
      <c r="J38" s="4107" t="n"/>
      <c r="K38" s="4440" t="inlineStr">
        <is>
          <t>理学療法士</t>
        </is>
      </c>
      <c r="L38" s="4110" t="n"/>
      <c r="M38" s="4110" t="n"/>
      <c r="N38" s="4110" t="n"/>
      <c r="O38" s="4110" t="n"/>
      <c r="P38" s="4111" t="n"/>
      <c r="Q38" s="4440" t="inlineStr">
        <is>
          <t>作業療法士</t>
        </is>
      </c>
      <c r="R38" s="4110" t="n"/>
      <c r="S38" s="4110" t="n"/>
      <c r="T38" s="4110" t="n"/>
      <c r="U38" s="4110" t="n"/>
      <c r="V38" s="4111" t="n"/>
      <c r="W38" s="4440" t="inlineStr">
        <is>
          <t>機能訓練指導員</t>
        </is>
      </c>
      <c r="X38" s="4110" t="n"/>
      <c r="Y38" s="4110" t="n"/>
      <c r="Z38" s="4110" t="n"/>
      <c r="AA38" s="4110" t="n"/>
      <c r="AB38" s="4111" t="n"/>
      <c r="AC38" s="4441" t="inlineStr">
        <is>
          <t>理学療法士等計</t>
        </is>
      </c>
      <c r="AD38" s="4110" t="n"/>
      <c r="AE38" s="4110" t="n"/>
      <c r="AF38" s="4110" t="n"/>
      <c r="AG38" s="4110" t="n"/>
      <c r="AH38" s="4113" t="n"/>
    </row>
    <row r="39" ht="14.1" customFormat="1" customHeight="1" s="1667" thickBot="1">
      <c r="A39" s="4097" t="n"/>
      <c r="B39" s="4107" t="n"/>
      <c r="C39" s="4102" t="n"/>
      <c r="D39" s="4103" t="n"/>
      <c r="E39" s="4103" t="n"/>
      <c r="F39" s="4103" t="n"/>
      <c r="G39" s="4103" t="n"/>
      <c r="H39" s="4103" t="n"/>
      <c r="I39" s="4103" t="n"/>
      <c r="J39" s="4104" t="n"/>
      <c r="K39" s="4440" t="inlineStr">
        <is>
          <t>専従</t>
        </is>
      </c>
      <c r="L39" s="4110" t="n"/>
      <c r="M39" s="4111" t="n"/>
      <c r="N39" s="4440" t="inlineStr">
        <is>
          <t>兼務</t>
        </is>
      </c>
      <c r="O39" s="4110" t="n"/>
      <c r="P39" s="4111" t="n"/>
      <c r="Q39" s="4440" t="inlineStr">
        <is>
          <t>専従</t>
        </is>
      </c>
      <c r="R39" s="4110" t="n"/>
      <c r="S39" s="4111" t="n"/>
      <c r="T39" s="4440" t="inlineStr">
        <is>
          <t>兼務</t>
        </is>
      </c>
      <c r="U39" s="4110" t="n"/>
      <c r="V39" s="4111" t="n"/>
      <c r="W39" s="4440" t="inlineStr">
        <is>
          <t>専従</t>
        </is>
      </c>
      <c r="X39" s="4110" t="n"/>
      <c r="Y39" s="4111" t="n"/>
      <c r="Z39" s="4440" t="inlineStr">
        <is>
          <t>兼務</t>
        </is>
      </c>
      <c r="AA39" s="4110" t="n"/>
      <c r="AB39" s="4111" t="n"/>
      <c r="AC39" s="4440" t="inlineStr">
        <is>
          <t>専従</t>
        </is>
      </c>
      <c r="AD39" s="4110" t="n"/>
      <c r="AE39" s="4111" t="n"/>
      <c r="AF39" s="4441" t="inlineStr">
        <is>
          <t>兼務</t>
        </is>
      </c>
      <c r="AG39" s="4110" t="n"/>
      <c r="AH39" s="4113" t="n"/>
    </row>
    <row r="40" ht="12" customFormat="1" customHeight="1" s="1667" thickBot="1">
      <c r="A40" s="4097" t="n"/>
      <c r="B40" s="4107" t="n"/>
      <c r="C40" s="1268" t="inlineStr">
        <is>
          <t>常　　　　　勤（人）</t>
        </is>
      </c>
      <c r="D40" s="4110" t="n"/>
      <c r="E40" s="4110" t="n"/>
      <c r="F40" s="4110" t="n"/>
      <c r="G40" s="4110" t="n"/>
      <c r="H40" s="4110" t="n"/>
      <c r="I40" s="4110" t="n"/>
      <c r="J40" s="4111" t="n"/>
      <c r="K40" s="4595" t="n"/>
      <c r="L40" s="4110" t="n"/>
      <c r="M40" s="4111" t="n"/>
      <c r="N40" s="4595" t="n">
        <v>1</v>
      </c>
      <c r="O40" s="4110" t="n"/>
      <c r="P40" s="4111" t="n"/>
      <c r="Q40" s="4595" t="n"/>
      <c r="R40" s="4110" t="n"/>
      <c r="S40" s="4111" t="n"/>
      <c r="T40" s="4595" t="n"/>
      <c r="U40" s="4110" t="n"/>
      <c r="V40" s="4111" t="n"/>
      <c r="W40" s="4595" t="n"/>
      <c r="X40" s="4110" t="n"/>
      <c r="Y40" s="4111" t="n"/>
      <c r="Z40" s="4595" t="n"/>
      <c r="AA40" s="4110" t="n"/>
      <c r="AB40" s="4111" t="n"/>
      <c r="AC40" s="4595">
        <f>+W40+Q40+K40</f>
        <v/>
      </c>
      <c r="AD40" s="4110" t="n"/>
      <c r="AE40" s="4111" t="n"/>
      <c r="AF40" s="4596">
        <f>+Z40+T40+N40</f>
        <v/>
      </c>
      <c r="AG40" s="4110" t="n"/>
      <c r="AH40" s="4113" t="n"/>
    </row>
    <row r="41" ht="12" customFormat="1" customHeight="1" s="1667" thickBot="1">
      <c r="A41" s="4097" t="n"/>
      <c r="B41" s="4107" t="n"/>
      <c r="C41" s="1286" t="inlineStr">
        <is>
          <t>非　　常　　勤（人）</t>
        </is>
      </c>
      <c r="D41" s="4103" t="n"/>
      <c r="E41" s="4103" t="n"/>
      <c r="F41" s="4103" t="n"/>
      <c r="G41" s="4103" t="n"/>
      <c r="H41" s="4103" t="n"/>
      <c r="I41" s="4103" t="n"/>
      <c r="J41" s="4104" t="n"/>
      <c r="K41" s="4595" t="n"/>
      <c r="L41" s="4110" t="n"/>
      <c r="M41" s="4111" t="n"/>
      <c r="N41" s="4595" t="n"/>
      <c r="O41" s="4110" t="n"/>
      <c r="P41" s="4111" t="n"/>
      <c r="Q41" s="4595" t="n"/>
      <c r="R41" s="4110" t="n"/>
      <c r="S41" s="4111" t="n"/>
      <c r="T41" s="4595" t="n"/>
      <c r="U41" s="4110" t="n"/>
      <c r="V41" s="4111" t="n"/>
      <c r="W41" s="4595" t="n"/>
      <c r="X41" s="4110" t="n"/>
      <c r="Y41" s="4111" t="n"/>
      <c r="Z41" s="4595" t="n"/>
      <c r="AA41" s="4110" t="n"/>
      <c r="AB41" s="4111" t="n"/>
      <c r="AC41" s="4595">
        <f>+W41+Q41+K41</f>
        <v/>
      </c>
      <c r="AD41" s="4110" t="n"/>
      <c r="AE41" s="4111" t="n"/>
      <c r="AF41" s="4596">
        <f>+Z41+T41+N41</f>
        <v/>
      </c>
      <c r="AG41" s="4110" t="n"/>
      <c r="AH41" s="4113" t="n"/>
    </row>
    <row r="42" ht="14.1" customFormat="1" customHeight="1" s="1667" thickBot="1">
      <c r="A42" s="4097" t="n"/>
      <c r="B42" s="4107" t="n"/>
      <c r="C42" s="1268" t="inlineStr">
        <is>
          <t>常勤換算後の人数（人）</t>
        </is>
      </c>
      <c r="D42" s="4110" t="n"/>
      <c r="E42" s="4110" t="n"/>
      <c r="F42" s="4110" t="n"/>
      <c r="G42" s="4110" t="n"/>
      <c r="H42" s="4110" t="n"/>
      <c r="I42" s="4110" t="n"/>
      <c r="J42" s="4111" t="n"/>
      <c r="K42" s="4597" t="n">
        <v>1</v>
      </c>
      <c r="L42" s="4110" t="n"/>
      <c r="M42" s="4110" t="n"/>
      <c r="N42" s="4110" t="n"/>
      <c r="O42" s="4110" t="n"/>
      <c r="P42" s="4111" t="n"/>
      <c r="Q42" s="4597" t="n"/>
      <c r="R42" s="4110" t="n"/>
      <c r="S42" s="4110" t="n"/>
      <c r="T42" s="4110" t="n"/>
      <c r="U42" s="4110" t="n"/>
      <c r="V42" s="4111" t="n"/>
      <c r="W42" s="4597" t="n"/>
      <c r="X42" s="4110" t="n"/>
      <c r="Y42" s="4110" t="n"/>
      <c r="Z42" s="4110" t="n"/>
      <c r="AA42" s="4110" t="n"/>
      <c r="AB42" s="4111" t="n"/>
      <c r="AC42" s="4598">
        <f>SUM(K42:AB42)</f>
        <v/>
      </c>
      <c r="AD42" s="4110" t="n"/>
      <c r="AE42" s="4110" t="n"/>
      <c r="AF42" s="4110" t="n"/>
      <c r="AG42" s="4110" t="n"/>
      <c r="AH42" s="4113" t="n"/>
    </row>
    <row r="43" ht="14.1" customFormat="1" customHeight="1" s="1667" thickBot="1">
      <c r="A43" s="4097" t="n"/>
      <c r="B43" s="4107" t="n"/>
      <c r="C43" s="4362" t="inlineStr">
        <is>
          <t xml:space="preserve">　　　　　　　　　職種・勤務形態
常勤・非常勤の別</t>
        </is>
      </c>
      <c r="D43" s="4098" t="n"/>
      <c r="E43" s="4098" t="n"/>
      <c r="F43" s="4098" t="n"/>
      <c r="G43" s="4098" t="n"/>
      <c r="H43" s="4098" t="n"/>
      <c r="I43" s="4098" t="n"/>
      <c r="J43" s="4099" t="n"/>
      <c r="K43" s="4403" t="inlineStr">
        <is>
          <t>あん摩ﾏｯｻｰｼﾞ指圧師</t>
        </is>
      </c>
      <c r="L43" s="4110" t="n"/>
      <c r="M43" s="4110" t="n"/>
      <c r="N43" s="4110" t="n"/>
      <c r="O43" s="4110" t="n"/>
      <c r="P43" s="4111" t="n"/>
      <c r="Q43" s="4440" t="inlineStr">
        <is>
          <t>心理判定員</t>
        </is>
      </c>
      <c r="R43" s="4110" t="n"/>
      <c r="S43" s="4110" t="n"/>
      <c r="T43" s="4110" t="n"/>
      <c r="U43" s="4110" t="n"/>
      <c r="V43" s="4111" t="n"/>
      <c r="W43" s="4440" t="inlineStr">
        <is>
          <t>就労支援員</t>
        </is>
      </c>
      <c r="X43" s="4110" t="n"/>
      <c r="Y43" s="4110" t="n"/>
      <c r="Z43" s="4110" t="n"/>
      <c r="AA43" s="4110" t="n"/>
      <c r="AB43" s="4111" t="n"/>
      <c r="AC43" s="4441" t="inlineStr">
        <is>
          <t>職能判定員</t>
        </is>
      </c>
      <c r="AD43" s="4110" t="n"/>
      <c r="AE43" s="4110" t="n"/>
      <c r="AF43" s="4110" t="n"/>
      <c r="AG43" s="4110" t="n"/>
      <c r="AH43" s="4113" t="n"/>
      <c r="AI43" s="196" t="n"/>
      <c r="AJ43" s="2587" t="n"/>
    </row>
    <row r="44" ht="14.1" customFormat="1" customHeight="1" s="1667" thickBot="1">
      <c r="A44" s="4097" t="n"/>
      <c r="B44" s="4107" t="n"/>
      <c r="C44" s="4102" t="n"/>
      <c r="D44" s="4103" t="n"/>
      <c r="E44" s="4103" t="n"/>
      <c r="F44" s="4103" t="n"/>
      <c r="G44" s="4103" t="n"/>
      <c r="H44" s="4103" t="n"/>
      <c r="I44" s="4103" t="n"/>
      <c r="J44" s="4104" t="n"/>
      <c r="K44" s="4440" t="inlineStr">
        <is>
          <t>専従</t>
        </is>
      </c>
      <c r="L44" s="4110" t="n"/>
      <c r="M44" s="4111" t="n"/>
      <c r="N44" s="4440" t="inlineStr">
        <is>
          <t>兼務</t>
        </is>
      </c>
      <c r="O44" s="4110" t="n"/>
      <c r="P44" s="4111" t="n"/>
      <c r="Q44" s="4440" t="inlineStr">
        <is>
          <t>専従</t>
        </is>
      </c>
      <c r="R44" s="4110" t="n"/>
      <c r="S44" s="4111" t="n"/>
      <c r="T44" s="4440" t="inlineStr">
        <is>
          <t>兼務</t>
        </is>
      </c>
      <c r="U44" s="4110" t="n"/>
      <c r="V44" s="4111" t="n"/>
      <c r="W44" s="4440" t="inlineStr">
        <is>
          <t>専従</t>
        </is>
      </c>
      <c r="X44" s="4110" t="n"/>
      <c r="Y44" s="4111" t="n"/>
      <c r="Z44" s="4440" t="inlineStr">
        <is>
          <t>兼務</t>
        </is>
      </c>
      <c r="AA44" s="4110" t="n"/>
      <c r="AB44" s="4111" t="n"/>
      <c r="AC44" s="4440" t="inlineStr">
        <is>
          <t>専従</t>
        </is>
      </c>
      <c r="AD44" s="4110" t="n"/>
      <c r="AE44" s="4111" t="n"/>
      <c r="AF44" s="4441" t="inlineStr">
        <is>
          <t>兼務</t>
        </is>
      </c>
      <c r="AG44" s="4110" t="n"/>
      <c r="AH44" s="4113" t="n"/>
    </row>
    <row r="45" ht="12" customFormat="1" customHeight="1" s="1667" thickBot="1">
      <c r="A45" s="4097" t="n"/>
      <c r="B45" s="4107" t="n"/>
      <c r="C45" s="1268" t="inlineStr">
        <is>
          <t>常　　　　　勤（人）</t>
        </is>
      </c>
      <c r="D45" s="4110" t="n"/>
      <c r="E45" s="4110" t="n"/>
      <c r="F45" s="4110" t="n"/>
      <c r="G45" s="4110" t="n"/>
      <c r="H45" s="4110" t="n"/>
      <c r="I45" s="4110" t="n"/>
      <c r="J45" s="4111" t="n"/>
      <c r="K45" s="4574" t="n"/>
      <c r="L45" s="4110" t="n"/>
      <c r="M45" s="4111" t="n"/>
      <c r="N45" s="4574" t="n"/>
      <c r="O45" s="4110" t="n"/>
      <c r="P45" s="4111" t="n"/>
      <c r="Q45" s="4574" t="n"/>
      <c r="R45" s="4110" t="n"/>
      <c r="S45" s="4111" t="n"/>
      <c r="T45" s="4574" t="n"/>
      <c r="U45" s="4110" t="n"/>
      <c r="V45" s="4111" t="n"/>
      <c r="W45" s="4574" t="n"/>
      <c r="X45" s="4110" t="n"/>
      <c r="Y45" s="4111" t="n"/>
      <c r="Z45" s="4574" t="n"/>
      <c r="AA45" s="4110" t="n"/>
      <c r="AB45" s="4111" t="n"/>
      <c r="AC45" s="4574" t="n"/>
      <c r="AD45" s="4110" t="n"/>
      <c r="AE45" s="4111" t="n"/>
      <c r="AF45" s="4575" t="n"/>
      <c r="AG45" s="4110" t="n"/>
      <c r="AH45" s="4113" t="n"/>
    </row>
    <row r="46" ht="12" customFormat="1" customHeight="1" s="1667" thickBot="1">
      <c r="A46" s="4097" t="n"/>
      <c r="B46" s="4107" t="n"/>
      <c r="C46" s="1286" t="inlineStr">
        <is>
          <t>非　　常　　勤（人）</t>
        </is>
      </c>
      <c r="D46" s="4103" t="n"/>
      <c r="E46" s="4103" t="n"/>
      <c r="F46" s="4103" t="n"/>
      <c r="G46" s="4103" t="n"/>
      <c r="H46" s="4103" t="n"/>
      <c r="I46" s="4103" t="n"/>
      <c r="J46" s="4104" t="n"/>
      <c r="K46" s="4574" t="n"/>
      <c r="L46" s="4110" t="n"/>
      <c r="M46" s="4111" t="n"/>
      <c r="N46" s="4574" t="n"/>
      <c r="O46" s="4110" t="n"/>
      <c r="P46" s="4111" t="n"/>
      <c r="Q46" s="4574" t="n"/>
      <c r="R46" s="4110" t="n"/>
      <c r="S46" s="4111" t="n"/>
      <c r="T46" s="4574" t="n"/>
      <c r="U46" s="4110" t="n"/>
      <c r="V46" s="4111" t="n"/>
      <c r="W46" s="4574" t="n"/>
      <c r="X46" s="4110" t="n"/>
      <c r="Y46" s="4111" t="n"/>
      <c r="Z46" s="4574" t="n"/>
      <c r="AA46" s="4110" t="n"/>
      <c r="AB46" s="4111" t="n"/>
      <c r="AC46" s="4574" t="n"/>
      <c r="AD46" s="4110" t="n"/>
      <c r="AE46" s="4111" t="n"/>
      <c r="AF46" s="4575" t="n"/>
      <c r="AG46" s="4110" t="n"/>
      <c r="AH46" s="4113" t="n"/>
    </row>
    <row r="47" ht="14.1" customFormat="1" customHeight="1" s="1667" thickBot="1">
      <c r="A47" s="4097" t="n"/>
      <c r="B47" s="4107" t="n"/>
      <c r="C47" s="1268" t="inlineStr">
        <is>
          <t>常勤換算後の人数（人）</t>
        </is>
      </c>
      <c r="D47" s="4110" t="n"/>
      <c r="E47" s="4110" t="n"/>
      <c r="F47" s="4110" t="n"/>
      <c r="G47" s="4110" t="n"/>
      <c r="H47" s="4110" t="n"/>
      <c r="I47" s="4110" t="n"/>
      <c r="J47" s="4111" t="n"/>
      <c r="K47" s="4330" t="n"/>
      <c r="L47" s="4110" t="n"/>
      <c r="M47" s="4110" t="n"/>
      <c r="N47" s="4110" t="n"/>
      <c r="O47" s="4110" t="n"/>
      <c r="P47" s="4111" t="n"/>
      <c r="Q47" s="4330" t="n"/>
      <c r="R47" s="4110" t="n"/>
      <c r="S47" s="4110" t="n"/>
      <c r="T47" s="4110" t="n"/>
      <c r="U47" s="4110" t="n"/>
      <c r="V47" s="4111" t="n"/>
      <c r="W47" s="4330" t="n"/>
      <c r="X47" s="4110" t="n"/>
      <c r="Y47" s="4110" t="n"/>
      <c r="Z47" s="4110" t="n"/>
      <c r="AA47" s="4110" t="n"/>
      <c r="AB47" s="4111" t="n"/>
      <c r="AC47" s="4331" t="n"/>
      <c r="AD47" s="4110" t="n"/>
      <c r="AE47" s="4110" t="n"/>
      <c r="AF47" s="4110" t="n"/>
      <c r="AG47" s="4110" t="n"/>
      <c r="AH47" s="4113" t="n"/>
    </row>
    <row r="48" ht="14.1" customFormat="1" customHeight="1" s="1667" thickBot="1">
      <c r="A48" s="4097" t="n"/>
      <c r="B48" s="4107" t="n"/>
      <c r="C48" s="4362" t="inlineStr">
        <is>
          <t xml:space="preserve">　　　　　　　　　職種・勤務形態
常勤・非常勤の別</t>
        </is>
      </c>
      <c r="D48" s="4098" t="n"/>
      <c r="E48" s="4098" t="n"/>
      <c r="F48" s="4098" t="n"/>
      <c r="G48" s="4098" t="n"/>
      <c r="H48" s="4098" t="n"/>
      <c r="I48" s="4098" t="n"/>
      <c r="J48" s="4099" t="n"/>
      <c r="K48" s="4440" t="inlineStr">
        <is>
          <t>作業指導員</t>
        </is>
      </c>
      <c r="L48" s="4110" t="n"/>
      <c r="M48" s="4110" t="n"/>
      <c r="N48" s="4110" t="n"/>
      <c r="O48" s="4110" t="n"/>
      <c r="P48" s="4111" t="n"/>
      <c r="Q48" s="4440" t="inlineStr">
        <is>
          <t>保　育　士</t>
        </is>
      </c>
      <c r="R48" s="4110" t="n"/>
      <c r="S48" s="4110" t="n"/>
      <c r="T48" s="4110" t="n"/>
      <c r="U48" s="4110" t="n"/>
      <c r="V48" s="4111" t="n"/>
      <c r="W48" s="4440" t="inlineStr">
        <is>
          <t>児童指導員</t>
        </is>
      </c>
      <c r="X48" s="4110" t="n"/>
      <c r="Y48" s="4110" t="n"/>
      <c r="Z48" s="4110" t="n"/>
      <c r="AA48" s="4110" t="n"/>
      <c r="AB48" s="4111" t="n"/>
      <c r="AC48" s="4441" t="inlineStr">
        <is>
          <t>精神保健福祉士</t>
        </is>
      </c>
      <c r="AD48" s="4110" t="n"/>
      <c r="AE48" s="4110" t="n"/>
      <c r="AF48" s="4110" t="n"/>
      <c r="AG48" s="4110" t="n"/>
      <c r="AH48" s="4113" t="n"/>
      <c r="AI48" s="196" t="n"/>
      <c r="AJ48" s="2587" t="n"/>
    </row>
    <row r="49" ht="14.1" customFormat="1" customHeight="1" s="1667" thickBot="1">
      <c r="A49" s="4097" t="n"/>
      <c r="B49" s="4107" t="n"/>
      <c r="C49" s="4102" t="n"/>
      <c r="D49" s="4103" t="n"/>
      <c r="E49" s="4103" t="n"/>
      <c r="F49" s="4103" t="n"/>
      <c r="G49" s="4103" t="n"/>
      <c r="H49" s="4103" t="n"/>
      <c r="I49" s="4103" t="n"/>
      <c r="J49" s="4104" t="n"/>
      <c r="K49" s="4440" t="inlineStr">
        <is>
          <t>専従</t>
        </is>
      </c>
      <c r="L49" s="4110" t="n"/>
      <c r="M49" s="4111" t="n"/>
      <c r="N49" s="4440" t="inlineStr">
        <is>
          <t>兼務</t>
        </is>
      </c>
      <c r="O49" s="4110" t="n"/>
      <c r="P49" s="4111" t="n"/>
      <c r="Q49" s="4440" t="inlineStr">
        <is>
          <t>専従</t>
        </is>
      </c>
      <c r="R49" s="4110" t="n"/>
      <c r="S49" s="4111" t="n"/>
      <c r="T49" s="4440" t="inlineStr">
        <is>
          <t>兼務</t>
        </is>
      </c>
      <c r="U49" s="4110" t="n"/>
      <c r="V49" s="4111" t="n"/>
      <c r="W49" s="4440" t="inlineStr">
        <is>
          <t>専従</t>
        </is>
      </c>
      <c r="X49" s="4110" t="n"/>
      <c r="Y49" s="4111" t="n"/>
      <c r="Z49" s="4440" t="inlineStr">
        <is>
          <t>兼務</t>
        </is>
      </c>
      <c r="AA49" s="4110" t="n"/>
      <c r="AB49" s="4111" t="n"/>
      <c r="AC49" s="4440" t="inlineStr">
        <is>
          <t>専従</t>
        </is>
      </c>
      <c r="AD49" s="4110" t="n"/>
      <c r="AE49" s="4111" t="n"/>
      <c r="AF49" s="4441" t="inlineStr">
        <is>
          <t>兼務</t>
        </is>
      </c>
      <c r="AG49" s="4110" t="n"/>
      <c r="AH49" s="4113" t="n"/>
    </row>
    <row r="50" ht="12.95" customFormat="1" customHeight="1" s="1667" thickBot="1">
      <c r="A50" s="4097" t="n"/>
      <c r="B50" s="4107" t="n"/>
      <c r="C50" s="1268" t="inlineStr">
        <is>
          <t>常　　　　　勤（人）</t>
        </is>
      </c>
      <c r="D50" s="4110" t="n"/>
      <c r="E50" s="4110" t="n"/>
      <c r="F50" s="4110" t="n"/>
      <c r="G50" s="4110" t="n"/>
      <c r="H50" s="4110" t="n"/>
      <c r="I50" s="4110" t="n"/>
      <c r="J50" s="4111" t="n"/>
      <c r="K50" s="4574" t="n"/>
      <c r="L50" s="4110" t="n"/>
      <c r="M50" s="4111" t="n"/>
      <c r="N50" s="4574" t="n"/>
      <c r="O50" s="4110" t="n"/>
      <c r="P50" s="4111" t="n"/>
      <c r="Q50" s="4574" t="n"/>
      <c r="R50" s="4110" t="n"/>
      <c r="S50" s="4111" t="n"/>
      <c r="T50" s="4574" t="n"/>
      <c r="U50" s="4110" t="n"/>
      <c r="V50" s="4111" t="n"/>
      <c r="W50" s="4574" t="n"/>
      <c r="X50" s="4110" t="n"/>
      <c r="Y50" s="4111" t="n"/>
      <c r="Z50" s="4574" t="n"/>
      <c r="AA50" s="4110" t="n"/>
      <c r="AB50" s="4111" t="n"/>
      <c r="AC50" s="4574" t="n"/>
      <c r="AD50" s="4110" t="n"/>
      <c r="AE50" s="4111" t="n"/>
      <c r="AF50" s="4575" t="n"/>
      <c r="AG50" s="4110" t="n"/>
      <c r="AH50" s="4113" t="n"/>
    </row>
    <row r="51" ht="12.95" customFormat="1" customHeight="1" s="1667" thickBot="1">
      <c r="A51" s="4097" t="n"/>
      <c r="B51" s="4107" t="n"/>
      <c r="C51" s="1286" t="inlineStr">
        <is>
          <t>非　　常　　勤（人）</t>
        </is>
      </c>
      <c r="D51" s="4103" t="n"/>
      <c r="E51" s="4103" t="n"/>
      <c r="F51" s="4103" t="n"/>
      <c r="G51" s="4103" t="n"/>
      <c r="H51" s="4103" t="n"/>
      <c r="I51" s="4103" t="n"/>
      <c r="J51" s="4104" t="n"/>
      <c r="K51" s="4574" t="n"/>
      <c r="L51" s="4110" t="n"/>
      <c r="M51" s="4111" t="n"/>
      <c r="N51" s="4574" t="n"/>
      <c r="O51" s="4110" t="n"/>
      <c r="P51" s="4111" t="n"/>
      <c r="Q51" s="4595" t="n"/>
      <c r="R51" s="4110" t="n"/>
      <c r="S51" s="4111" t="n"/>
      <c r="T51" s="4574" t="n"/>
      <c r="U51" s="4110" t="n"/>
      <c r="V51" s="4111" t="n"/>
      <c r="W51" s="4574" t="n"/>
      <c r="X51" s="4110" t="n"/>
      <c r="Y51" s="4111" t="n"/>
      <c r="Z51" s="4574" t="n"/>
      <c r="AA51" s="4110" t="n"/>
      <c r="AB51" s="4111" t="n"/>
      <c r="AC51" s="4574" t="n"/>
      <c r="AD51" s="4110" t="n"/>
      <c r="AE51" s="4111" t="n"/>
      <c r="AF51" s="4575" t="n"/>
      <c r="AG51" s="4110" t="n"/>
      <c r="AH51" s="4113" t="n"/>
    </row>
    <row r="52" ht="12.95" customFormat="1" customHeight="1" s="1667" thickBot="1">
      <c r="A52" s="4097" t="n"/>
      <c r="B52" s="4107" t="n"/>
      <c r="C52" s="1268" t="inlineStr">
        <is>
          <t>常勤換算後の人数（人）</t>
        </is>
      </c>
      <c r="D52" s="4110" t="n"/>
      <c r="E52" s="4110" t="n"/>
      <c r="F52" s="4110" t="n"/>
      <c r="G52" s="4110" t="n"/>
      <c r="H52" s="4110" t="n"/>
      <c r="I52" s="4110" t="n"/>
      <c r="J52" s="4111" t="n"/>
      <c r="K52" s="4330" t="n"/>
      <c r="L52" s="4110" t="n"/>
      <c r="M52" s="4110" t="n"/>
      <c r="N52" s="4110" t="n"/>
      <c r="O52" s="4110" t="n"/>
      <c r="P52" s="4111" t="n"/>
      <c r="Q52" s="4597" t="n"/>
      <c r="R52" s="4110" t="n"/>
      <c r="S52" s="4110" t="n"/>
      <c r="T52" s="4110" t="n"/>
      <c r="U52" s="4110" t="n"/>
      <c r="V52" s="4111" t="n"/>
      <c r="W52" s="4330" t="n"/>
      <c r="X52" s="4110" t="n"/>
      <c r="Y52" s="4110" t="n"/>
      <c r="Z52" s="4110" t="n"/>
      <c r="AA52" s="4110" t="n"/>
      <c r="AB52" s="4111" t="n"/>
      <c r="AC52" s="4331" t="n"/>
      <c r="AD52" s="4110" t="n"/>
      <c r="AE52" s="4110" t="n"/>
      <c r="AF52" s="4110" t="n"/>
      <c r="AG52" s="4110" t="n"/>
      <c r="AH52" s="4113" t="n"/>
    </row>
    <row r="53" ht="14.1" customFormat="1" customHeight="1" s="1667" thickBot="1">
      <c r="A53" s="4097" t="n"/>
      <c r="B53" s="4107" t="n"/>
      <c r="C53" s="4362" t="inlineStr">
        <is>
          <t xml:space="preserve">　　　　　　　　　職種・勤務形態
常勤・非常勤の別</t>
        </is>
      </c>
      <c r="D53" s="4098" t="n"/>
      <c r="E53" s="4098" t="n"/>
      <c r="F53" s="4098" t="n"/>
      <c r="G53" s="4098" t="n"/>
      <c r="H53" s="4098" t="n"/>
      <c r="I53" s="4098" t="n"/>
      <c r="J53" s="4099" t="n"/>
      <c r="K53" s="4440" t="inlineStr">
        <is>
          <t>栄養士</t>
        </is>
      </c>
      <c r="L53" s="4110" t="n"/>
      <c r="M53" s="4110" t="n"/>
      <c r="N53" s="4110" t="n"/>
      <c r="O53" s="4110" t="n"/>
      <c r="P53" s="4111" t="n"/>
      <c r="Q53" s="4440" t="inlineStr">
        <is>
          <t>運転手</t>
        </is>
      </c>
      <c r="R53" s="4110" t="n"/>
      <c r="S53" s="4110" t="n"/>
      <c r="T53" s="4110" t="n"/>
      <c r="U53" s="4110" t="n"/>
      <c r="V53" s="4111" t="n"/>
      <c r="W53" s="4599" t="inlineStr">
        <is>
          <t>事務職員</t>
        </is>
      </c>
      <c r="X53" s="4110" t="n"/>
      <c r="Y53" s="4110" t="n"/>
      <c r="Z53" s="4110" t="n"/>
      <c r="AA53" s="4110" t="n"/>
      <c r="AB53" s="4111" t="n"/>
      <c r="AC53" s="4576" t="n"/>
      <c r="AD53" s="4110" t="n"/>
      <c r="AE53" s="4110" t="n"/>
      <c r="AF53" s="4110" t="n"/>
      <c r="AG53" s="4110" t="n"/>
      <c r="AH53" s="4113" t="n"/>
      <c r="AI53" s="196" t="n"/>
      <c r="AJ53" s="2587" t="n"/>
    </row>
    <row r="54" ht="14.1" customFormat="1" customHeight="1" s="1667" thickBot="1">
      <c r="A54" s="4097" t="n"/>
      <c r="B54" s="4107" t="n"/>
      <c r="C54" s="4102" t="n"/>
      <c r="D54" s="4103" t="n"/>
      <c r="E54" s="4103" t="n"/>
      <c r="F54" s="4103" t="n"/>
      <c r="G54" s="4103" t="n"/>
      <c r="H54" s="4103" t="n"/>
      <c r="I54" s="4103" t="n"/>
      <c r="J54" s="4104" t="n"/>
      <c r="K54" s="4440" t="inlineStr">
        <is>
          <t>専従</t>
        </is>
      </c>
      <c r="L54" s="4110" t="n"/>
      <c r="M54" s="4111" t="n"/>
      <c r="N54" s="4440" t="inlineStr">
        <is>
          <t>兼務</t>
        </is>
      </c>
      <c r="O54" s="4110" t="n"/>
      <c r="P54" s="4111" t="n"/>
      <c r="Q54" s="4440" t="inlineStr">
        <is>
          <t>専従</t>
        </is>
      </c>
      <c r="R54" s="4110" t="n"/>
      <c r="S54" s="4111" t="n"/>
      <c r="T54" s="4440" t="inlineStr">
        <is>
          <t>兼務</t>
        </is>
      </c>
      <c r="U54" s="4110" t="n"/>
      <c r="V54" s="4111" t="n"/>
      <c r="W54" s="4440" t="inlineStr">
        <is>
          <t>専従</t>
        </is>
      </c>
      <c r="X54" s="4110" t="n"/>
      <c r="Y54" s="4111" t="n"/>
      <c r="Z54" s="4440" t="inlineStr">
        <is>
          <t>兼務</t>
        </is>
      </c>
      <c r="AA54" s="4110" t="n"/>
      <c r="AB54" s="4111" t="n"/>
      <c r="AC54" s="4440" t="inlineStr">
        <is>
          <t>専従</t>
        </is>
      </c>
      <c r="AD54" s="4110" t="n"/>
      <c r="AE54" s="4111" t="n"/>
      <c r="AF54" s="4441" t="inlineStr">
        <is>
          <t>兼務</t>
        </is>
      </c>
      <c r="AG54" s="4110" t="n"/>
      <c r="AH54" s="4113" t="n"/>
    </row>
    <row r="55" ht="12.95" customFormat="1" customHeight="1" s="1667" thickBot="1">
      <c r="A55" s="4097" t="n"/>
      <c r="B55" s="4107" t="n"/>
      <c r="C55" s="1268" t="inlineStr">
        <is>
          <t>常　　　　　勤（人）</t>
        </is>
      </c>
      <c r="D55" s="4110" t="n"/>
      <c r="E55" s="4110" t="n"/>
      <c r="F55" s="4110" t="n"/>
      <c r="G55" s="4110" t="n"/>
      <c r="H55" s="4110" t="n"/>
      <c r="I55" s="4110" t="n"/>
      <c r="J55" s="4111" t="n"/>
      <c r="K55" s="4595" t="n"/>
      <c r="L55" s="4110" t="n"/>
      <c r="M55" s="4111" t="n"/>
      <c r="N55" s="4595" t="n"/>
      <c r="O55" s="4110" t="n"/>
      <c r="P55" s="4111" t="n"/>
      <c r="Q55" s="4595" t="n"/>
      <c r="R55" s="4110" t="n"/>
      <c r="S55" s="4111" t="n"/>
      <c r="T55" s="4595" t="n"/>
      <c r="U55" s="4110" t="n"/>
      <c r="V55" s="4111" t="n"/>
      <c r="W55" s="4595" t="n"/>
      <c r="X55" s="4110" t="n"/>
      <c r="Y55" s="4111" t="n"/>
      <c r="Z55" s="4595" t="n">
        <v>1</v>
      </c>
      <c r="AA55" s="4110" t="n"/>
      <c r="AB55" s="4111" t="n"/>
      <c r="AC55" s="4595" t="n"/>
      <c r="AD55" s="4110" t="n"/>
      <c r="AE55" s="4111" t="n"/>
      <c r="AF55" s="4596" t="n"/>
      <c r="AG55" s="4110" t="n"/>
      <c r="AH55" s="4113" t="n"/>
    </row>
    <row r="56" ht="12.95" customFormat="1" customHeight="1" s="1667" thickBot="1">
      <c r="A56" s="4097" t="n"/>
      <c r="B56" s="4107" t="n"/>
      <c r="C56" s="1286" t="inlineStr">
        <is>
          <t>非　　常　　勤（人）</t>
        </is>
      </c>
      <c r="D56" s="4103" t="n"/>
      <c r="E56" s="4103" t="n"/>
      <c r="F56" s="4103" t="n"/>
      <c r="G56" s="4103" t="n"/>
      <c r="H56" s="4103" t="n"/>
      <c r="I56" s="4103" t="n"/>
      <c r="J56" s="4104" t="n"/>
      <c r="K56" s="4595" t="n"/>
      <c r="L56" s="4110" t="n"/>
      <c r="M56" s="4111" t="n"/>
      <c r="N56" s="4595" t="n">
        <v>1</v>
      </c>
      <c r="O56" s="4110" t="n"/>
      <c r="P56" s="4111" t="n"/>
      <c r="Q56" s="4595" t="n"/>
      <c r="R56" s="4110" t="n"/>
      <c r="S56" s="4111" t="n"/>
      <c r="T56" s="4595" t="n">
        <v>2</v>
      </c>
      <c r="U56" s="4110" t="n"/>
      <c r="V56" s="4111" t="n"/>
      <c r="W56" s="4595" t="n"/>
      <c r="X56" s="4110" t="n"/>
      <c r="Y56" s="4111" t="n"/>
      <c r="Z56" s="4595" t="n"/>
      <c r="AA56" s="4110" t="n"/>
      <c r="AB56" s="4111" t="n"/>
      <c r="AC56" s="4595" t="n"/>
      <c r="AD56" s="4110" t="n"/>
      <c r="AE56" s="4111" t="n"/>
      <c r="AF56" s="4596" t="n"/>
      <c r="AG56" s="4110" t="n"/>
      <c r="AH56" s="4113" t="n"/>
    </row>
    <row r="57" ht="14.1" customFormat="1" customHeight="1" s="1667">
      <c r="A57" s="4086" t="n"/>
      <c r="B57" s="4410" t="n"/>
      <c r="C57" s="4325" t="inlineStr">
        <is>
          <t>常勤換算後の人数（人）</t>
        </is>
      </c>
      <c r="D57" s="4098" t="n"/>
      <c r="E57" s="4098" t="n"/>
      <c r="F57" s="4098" t="n"/>
      <c r="G57" s="4098" t="n"/>
      <c r="H57" s="4098" t="n"/>
      <c r="I57" s="4098" t="n"/>
      <c r="J57" s="4099" t="n"/>
      <c r="K57" s="4600" t="n"/>
      <c r="L57" s="4098" t="n"/>
      <c r="M57" s="4098" t="n"/>
      <c r="N57" s="4098" t="n"/>
      <c r="O57" s="4098" t="n"/>
      <c r="P57" s="4099" t="n"/>
      <c r="Q57" s="4600" t="n"/>
      <c r="R57" s="4098" t="n"/>
      <c r="S57" s="4098" t="n"/>
      <c r="T57" s="4098" t="n"/>
      <c r="U57" s="4098" t="n"/>
      <c r="V57" s="4099" t="n"/>
      <c r="W57" s="4600" t="n"/>
      <c r="X57" s="4098" t="n"/>
      <c r="Y57" s="4098" t="n"/>
      <c r="Z57" s="4098" t="n"/>
      <c r="AA57" s="4098" t="n"/>
      <c r="AB57" s="4099" t="n"/>
      <c r="AC57" s="4601" t="n"/>
      <c r="AD57" s="4098" t="n"/>
      <c r="AE57" s="4098" t="n"/>
      <c r="AF57" s="4098" t="n"/>
      <c r="AG57" s="4098" t="n"/>
      <c r="AH57" s="4101" t="n"/>
    </row>
    <row r="58" ht="15.95" customFormat="1" customHeight="1" s="1667">
      <c r="A58" s="4577" t="inlineStr">
        <is>
          <t>本体施設</t>
        </is>
      </c>
      <c r="B58" s="4099" t="n"/>
      <c r="C58" s="2594" t="inlineStr">
        <is>
          <t>種別</t>
        </is>
      </c>
      <c r="D58" s="4110" t="n"/>
      <c r="E58" s="4110" t="n"/>
      <c r="F58" s="4111" t="n"/>
      <c r="G58" s="4602" t="inlineStr">
        <is>
          <t>障害者支援施設</t>
        </is>
      </c>
      <c r="H58" s="4110" t="n"/>
      <c r="I58" s="4110" t="n"/>
      <c r="J58" s="4110" t="n"/>
      <c r="K58" s="4110" t="n"/>
      <c r="L58" s="4110" t="n"/>
      <c r="M58" s="4110" t="n"/>
      <c r="N58" s="4110" t="n"/>
      <c r="O58" s="4110" t="n"/>
      <c r="P58" s="4110" t="n"/>
      <c r="Q58" s="4110" t="n"/>
      <c r="R58" s="4110" t="n"/>
      <c r="S58" s="4110" t="n"/>
      <c r="T58" s="4110" t="n"/>
      <c r="U58" s="4110" t="n"/>
      <c r="V58" s="4110" t="n"/>
      <c r="W58" s="4110" t="n"/>
      <c r="X58" s="4111" t="n"/>
      <c r="Y58" s="4313" t="inlineStr">
        <is>
          <t>本体施設の定員</t>
        </is>
      </c>
      <c r="Z58" s="4098" t="n"/>
      <c r="AA58" s="4098" t="n"/>
      <c r="AB58" s="4098" t="n"/>
      <c r="AC58" s="4099" t="n"/>
      <c r="AD58" s="4603" t="inlineStr">
        <is>
          <t>４０</t>
        </is>
      </c>
      <c r="AE58" s="4098" t="n"/>
      <c r="AF58" s="4098" t="n"/>
      <c r="AG58" s="4579" t="inlineStr">
        <is>
          <t>人</t>
        </is>
      </c>
      <c r="AH58" s="4101" t="n"/>
    </row>
    <row r="59" ht="15.95" customFormat="1" customHeight="1" s="1667">
      <c r="A59" s="4097" t="n"/>
      <c r="B59" s="4107" t="n"/>
      <c r="C59" s="2594" t="inlineStr">
        <is>
          <t>名称</t>
        </is>
      </c>
      <c r="D59" s="4110" t="n"/>
      <c r="E59" s="4110" t="n"/>
      <c r="F59" s="4111" t="n"/>
      <c r="G59" s="4602" t="inlineStr">
        <is>
          <t>中之島園</t>
        </is>
      </c>
      <c r="H59" s="4110" t="n"/>
      <c r="I59" s="4110" t="n"/>
      <c r="J59" s="4110" t="n"/>
      <c r="K59" s="4110" t="n"/>
      <c r="L59" s="4110" t="n"/>
      <c r="M59" s="4110" t="n"/>
      <c r="N59" s="4110" t="n"/>
      <c r="O59" s="4110" t="n"/>
      <c r="P59" s="4110" t="n"/>
      <c r="Q59" s="4110" t="n"/>
      <c r="R59" s="4110" t="n"/>
      <c r="S59" s="4110" t="n"/>
      <c r="T59" s="4110" t="n"/>
      <c r="U59" s="4110" t="n"/>
      <c r="V59" s="4110" t="n"/>
      <c r="W59" s="4110" t="n"/>
      <c r="X59" s="4111" t="n"/>
      <c r="Y59" s="4102" t="n"/>
      <c r="Z59" s="4103" t="n"/>
      <c r="AA59" s="4103" t="n"/>
      <c r="AB59" s="4103" t="n"/>
      <c r="AC59" s="4104" t="n"/>
      <c r="AD59" s="4102" t="n"/>
      <c r="AE59" s="4103" t="n"/>
      <c r="AF59" s="4103" t="n"/>
      <c r="AG59" s="4103" t="n"/>
      <c r="AH59" s="4105" t="n"/>
    </row>
    <row r="60" ht="15" customFormat="1" customHeight="1" s="1667">
      <c r="A60" s="4097" t="n"/>
      <c r="B60" s="4107" t="n"/>
      <c r="C60" s="2598" t="inlineStr">
        <is>
          <t>前年度の本体施設延べ利用者数(ア)</t>
        </is>
      </c>
      <c r="D60" s="4110" t="n"/>
      <c r="E60" s="4110" t="n"/>
      <c r="F60" s="4110" t="n"/>
      <c r="G60" s="4110" t="n"/>
      <c r="H60" s="4110" t="n"/>
      <c r="I60" s="4110" t="n"/>
      <c r="J60" s="4110" t="n"/>
      <c r="K60" s="4110" t="n"/>
      <c r="L60" s="4110" t="n"/>
      <c r="M60" s="4110" t="n"/>
      <c r="N60" s="4604" t="n">
        <v>14235</v>
      </c>
      <c r="O60" s="4110" t="n"/>
      <c r="P60" s="4110" t="n"/>
      <c r="Q60" s="4110" t="n"/>
      <c r="R60" s="4581" t="inlineStr">
        <is>
          <t>人</t>
        </is>
      </c>
      <c r="S60" s="4582" t="inlineStr">
        <is>
          <t>前年度の本体施設開所日数(ウ)</t>
        </is>
      </c>
      <c r="T60" s="4098" t="n"/>
      <c r="U60" s="4098" t="n"/>
      <c r="V60" s="4098" t="n"/>
      <c r="W60" s="4605" t="n">
        <v>365</v>
      </c>
      <c r="X60" s="4098" t="n"/>
      <c r="Y60" s="4581" t="inlineStr">
        <is>
          <t>日</t>
        </is>
      </c>
      <c r="Z60" s="4582" t="inlineStr">
        <is>
          <t>前年度の平均利用者数(ア＋イ)÷ウ</t>
        </is>
      </c>
      <c r="AA60" s="4098" t="n"/>
      <c r="AB60" s="4098" t="n"/>
      <c r="AC60" s="4098" t="n"/>
      <c r="AD60" s="4098" t="n"/>
      <c r="AE60" s="4606">
        <f>IF(W60=0,"",ROUNDUP((N60+N61)/W60,2))</f>
        <v/>
      </c>
      <c r="AF60" s="4098" t="n"/>
      <c r="AG60" s="1747" t="inlineStr">
        <is>
          <t>人</t>
        </is>
      </c>
      <c r="AH60" s="4101" t="n"/>
    </row>
    <row r="61" ht="15" customFormat="1" customHeight="1" s="1667" thickBot="1">
      <c r="A61" s="4585" t="inlineStr">
        <is>
          <t>短期入所</t>
        </is>
      </c>
      <c r="B61" s="4099" t="n"/>
      <c r="C61" s="2598" t="inlineStr">
        <is>
          <t>前年度の短期入所延べ利用者数(イ)</t>
        </is>
      </c>
      <c r="D61" s="4110" t="n"/>
      <c r="E61" s="4110" t="n"/>
      <c r="F61" s="4110" t="n"/>
      <c r="G61" s="4110" t="n"/>
      <c r="H61" s="4110" t="n"/>
      <c r="I61" s="4110" t="n"/>
      <c r="J61" s="4110" t="n"/>
      <c r="K61" s="4110" t="n"/>
      <c r="L61" s="4110" t="n"/>
      <c r="M61" s="4110" t="n"/>
      <c r="N61" s="4604" t="n">
        <v>1460</v>
      </c>
      <c r="O61" s="4110" t="n"/>
      <c r="P61" s="4110" t="n"/>
      <c r="Q61" s="4110" t="n"/>
      <c r="R61" s="4581" t="inlineStr">
        <is>
          <t>人</t>
        </is>
      </c>
      <c r="S61" s="4102" t="n"/>
      <c r="T61" s="4103" t="n"/>
      <c r="U61" s="4103" t="n"/>
      <c r="V61" s="4103" t="n"/>
      <c r="W61" s="4103" t="n"/>
      <c r="X61" s="4103" t="n"/>
      <c r="Y61" s="4104" t="n"/>
      <c r="Z61" s="4102" t="n"/>
      <c r="AA61" s="4103" t="n"/>
      <c r="AB61" s="4103" t="n"/>
      <c r="AC61" s="4103" t="n"/>
      <c r="AD61" s="4103" t="n"/>
      <c r="AE61" s="4103" t="n"/>
      <c r="AF61" s="4103" t="n"/>
      <c r="AG61" s="4103" t="n"/>
      <c r="AH61" s="4105" t="n"/>
    </row>
    <row r="62" ht="15" customFormat="1" customHeight="1" s="1667" thickBot="1">
      <c r="A62" s="4097" t="n"/>
      <c r="B62" s="4107" t="n"/>
      <c r="C62" s="4586" t="inlineStr">
        <is>
          <t>種別</t>
        </is>
      </c>
      <c r="D62" s="4098" t="n"/>
      <c r="E62" s="4098" t="n"/>
      <c r="F62" s="4099" t="n"/>
      <c r="G62" s="1826" t="n"/>
      <c r="H62" s="2599" t="inlineStr">
        <is>
          <t>空床型</t>
        </is>
      </c>
      <c r="I62" s="4110" t="n"/>
      <c r="J62" s="4110" t="n"/>
      <c r="K62" s="4110" t="n"/>
      <c r="L62" s="1827" t="n"/>
      <c r="M62" s="4587" t="n"/>
      <c r="N62" s="4588" t="inlineStr">
        <is>
          <t>併設型</t>
        </is>
      </c>
      <c r="O62" s="4110" t="n"/>
      <c r="P62" s="4110" t="n"/>
      <c r="Q62" s="4110" t="n"/>
      <c r="R62" s="4589" t="n"/>
      <c r="S62" s="3109" t="inlineStr">
        <is>
          <t xml:space="preserve">　</t>
        </is>
      </c>
      <c r="T62" s="4588" t="inlineStr">
        <is>
          <t>単独型</t>
        </is>
      </c>
      <c r="U62" s="4110" t="n"/>
      <c r="V62" s="4110" t="n"/>
      <c r="W62" s="4110" t="n"/>
      <c r="X62" s="4590" t="n"/>
      <c r="Y62" s="4591" t="inlineStr">
        <is>
          <t>利用定員
（空床型除く）</t>
        </is>
      </c>
      <c r="Z62" s="4098" t="n"/>
      <c r="AA62" s="4098" t="n"/>
      <c r="AB62" s="4098" t="n"/>
      <c r="AC62" s="4099" t="n"/>
      <c r="AD62" s="2671" t="inlineStr">
        <is>
          <t>３</t>
        </is>
      </c>
      <c r="AE62" s="4098" t="n"/>
      <c r="AF62" s="4098" t="n"/>
      <c r="AG62" s="2611" t="inlineStr">
        <is>
          <t>人</t>
        </is>
      </c>
      <c r="AH62" s="4101" t="n"/>
    </row>
    <row r="63" ht="15" customFormat="1" customHeight="1" s="1667" thickBot="1">
      <c r="A63" s="4086" t="n"/>
      <c r="B63" s="4410" t="n"/>
      <c r="C63" s="4420" t="n"/>
      <c r="D63" s="4087" t="n"/>
      <c r="E63" s="4087" t="n"/>
      <c r="F63" s="4410" t="n"/>
      <c r="G63" s="4607" t="inlineStr">
        <is>
          <t>○</t>
        </is>
      </c>
      <c r="H63" s="4153" t="n"/>
      <c r="I63" s="4153" t="n"/>
      <c r="J63" s="4153" t="n"/>
      <c r="K63" s="4153" t="n"/>
      <c r="L63" s="4154" t="n"/>
      <c r="M63" s="4607" t="inlineStr">
        <is>
          <t>○</t>
        </is>
      </c>
      <c r="N63" s="4153" t="n"/>
      <c r="O63" s="4153" t="n"/>
      <c r="P63" s="4153" t="n"/>
      <c r="Q63" s="4153" t="n"/>
      <c r="R63" s="4154" t="n"/>
      <c r="S63" s="4592" t="n"/>
      <c r="T63" s="4153" t="n"/>
      <c r="U63" s="4153" t="n"/>
      <c r="V63" s="4153" t="n"/>
      <c r="W63" s="4153" t="n"/>
      <c r="X63" s="4154" t="n"/>
      <c r="Y63" s="4420" t="n"/>
      <c r="Z63" s="4087" t="n"/>
      <c r="AA63" s="4087" t="n"/>
      <c r="AB63" s="4087" t="n"/>
      <c r="AC63" s="4410" t="n"/>
      <c r="AD63" s="4420" t="n"/>
      <c r="AE63" s="4087" t="n"/>
      <c r="AF63" s="4087" t="n"/>
      <c r="AG63" s="4087" t="n"/>
      <c r="AH63" s="4088" t="n"/>
    </row>
    <row r="64" ht="12" customFormat="1" customHeight="1" s="1667" thickBot="1">
      <c r="A64" s="4593" t="inlineStr">
        <is>
          <t>主　　　な　　　掲　　　示　　　事　　　項</t>
        </is>
      </c>
      <c r="B64" s="4356" t="n"/>
      <c r="C64" s="1999" t="n"/>
      <c r="D64" s="2645" t="inlineStr">
        <is>
          <t>営業日
（単独型のみ）</t>
        </is>
      </c>
      <c r="E64" s="4082" t="n"/>
      <c r="F64" s="4082" t="n"/>
      <c r="G64" s="4082" t="n"/>
      <c r="H64" s="4082" t="n"/>
      <c r="I64" s="4082" t="n"/>
      <c r="J64" s="2002" t="n"/>
      <c r="K64" s="2352" t="inlineStr">
        <is>
          <t>月</t>
        </is>
      </c>
      <c r="L64" s="2354" t="inlineStr">
        <is>
          <t>火</t>
        </is>
      </c>
      <c r="M64" s="2354" t="inlineStr">
        <is>
          <t>水</t>
        </is>
      </c>
      <c r="N64" s="2354" t="inlineStr">
        <is>
          <t>木</t>
        </is>
      </c>
      <c r="O64" s="2354" t="inlineStr">
        <is>
          <t>金</t>
        </is>
      </c>
      <c r="P64" s="2354" t="inlineStr">
        <is>
          <t>土</t>
        </is>
      </c>
      <c r="Q64" s="2354" t="inlineStr">
        <is>
          <t>日</t>
        </is>
      </c>
      <c r="R64" s="2356" t="inlineStr">
        <is>
          <t>祝</t>
        </is>
      </c>
      <c r="S64" s="2004" t="inlineStr">
        <is>
          <t>休業日</t>
        </is>
      </c>
      <c r="T64" s="2006" t="inlineStr">
        <is>
          <t>年末年始</t>
        </is>
      </c>
      <c r="U64" s="4082" t="n"/>
      <c r="V64" s="2014" t="n"/>
      <c r="W64" s="4082" t="n"/>
      <c r="X64" s="4082" t="n"/>
      <c r="Y64" s="4082" t="n"/>
      <c r="Z64" s="4082" t="n"/>
      <c r="AA64" s="4082" t="n"/>
      <c r="AB64" s="4356" t="n"/>
      <c r="AC64" s="2236" t="inlineStr">
        <is>
          <t>備　考</t>
        </is>
      </c>
      <c r="AD64" s="4479" t="n"/>
      <c r="AE64" s="4082" t="n"/>
      <c r="AF64" s="4082" t="n"/>
      <c r="AG64" s="4082" t="n"/>
      <c r="AH64" s="4083" t="n"/>
    </row>
    <row r="65" ht="12" customFormat="1" customHeight="1" s="1667" thickBot="1">
      <c r="A65" s="4097" t="n"/>
      <c r="B65" s="4107" t="n"/>
      <c r="C65" s="4106" t="n"/>
      <c r="J65" s="4107" t="n"/>
      <c r="K65" s="2244" t="n"/>
      <c r="L65" s="2245" t="n"/>
      <c r="M65" s="2245" t="n"/>
      <c r="N65" s="2245" t="n"/>
      <c r="O65" s="2245" t="n"/>
      <c r="P65" s="2245" t="n"/>
      <c r="Q65" s="2245" t="n"/>
      <c r="R65" s="2249" t="n"/>
      <c r="S65" s="4282" t="n"/>
      <c r="T65" s="2008" t="inlineStr">
        <is>
          <t>夏季</t>
        </is>
      </c>
      <c r="V65" s="937" t="n"/>
      <c r="AB65" s="4107" t="n"/>
      <c r="AC65" s="4282" t="n"/>
      <c r="AD65" s="4192" t="n"/>
      <c r="AH65" s="4109" t="n"/>
    </row>
    <row r="66" ht="12" customFormat="1" customHeight="1" s="1667" thickBot="1">
      <c r="A66" s="4097" t="n"/>
      <c r="B66" s="4107" t="n"/>
      <c r="C66" s="4420" t="n"/>
      <c r="D66" s="4087" t="n"/>
      <c r="E66" s="4087" t="n"/>
      <c r="F66" s="4087" t="n"/>
      <c r="G66" s="4087" t="n"/>
      <c r="H66" s="4087" t="n"/>
      <c r="I66" s="4087" t="n"/>
      <c r="J66" s="4410" t="n"/>
      <c r="K66" s="4283" t="n"/>
      <c r="L66" s="4284" t="n"/>
      <c r="M66" s="4284" t="n"/>
      <c r="N66" s="4284" t="n"/>
      <c r="O66" s="4284" t="n"/>
      <c r="P66" s="4284" t="n"/>
      <c r="Q66" s="4284" t="n"/>
      <c r="R66" s="4285" t="n"/>
      <c r="S66" s="4421" t="n"/>
      <c r="T66" s="2024" t="inlineStr">
        <is>
          <t>その他</t>
        </is>
      </c>
      <c r="U66" s="4103" t="n"/>
      <c r="V66" s="940" t="n"/>
      <c r="W66" s="4103" t="n"/>
      <c r="X66" s="4103" t="n"/>
      <c r="Y66" s="4103" t="n"/>
      <c r="Z66" s="4103" t="n"/>
      <c r="AA66" s="4103" t="n"/>
      <c r="AB66" s="4104" t="n"/>
      <c r="AC66" s="4421" t="n"/>
      <c r="AD66" s="4480" t="n"/>
      <c r="AE66" s="4087" t="n"/>
      <c r="AF66" s="4087" t="n"/>
      <c r="AG66" s="4087" t="n"/>
      <c r="AH66" s="4088" t="n"/>
    </row>
    <row r="67" ht="3.95" customFormat="1" customHeight="1" s="1667" thickBot="1">
      <c r="A67" s="4097" t="n"/>
      <c r="B67" s="4107" t="n"/>
      <c r="C67" s="1393" t="n"/>
      <c r="D67" s="4222" t="inlineStr">
        <is>
          <t>営業時間
（単独型のみ）</t>
        </is>
      </c>
      <c r="E67" s="4098" t="n"/>
      <c r="F67" s="4098" t="n"/>
      <c r="G67" s="4098" t="n"/>
      <c r="H67" s="4098" t="n"/>
      <c r="I67" s="4098" t="n"/>
      <c r="J67" s="4223" t="n"/>
      <c r="K67" s="4287" t="inlineStr">
        <is>
          <t>平日</t>
        </is>
      </c>
      <c r="L67" s="4098" t="n"/>
      <c r="M67" s="4190" t="n"/>
      <c r="N67" s="1590" t="n"/>
      <c r="O67" s="4098" t="n"/>
      <c r="P67" s="2842" t="inlineStr">
        <is>
          <t>時</t>
        </is>
      </c>
      <c r="Q67" s="1323" t="n"/>
      <c r="R67" s="1323" t="n"/>
      <c r="S67" s="4288" t="inlineStr">
        <is>
          <t>分～</t>
        </is>
      </c>
      <c r="T67" s="4098" t="n"/>
      <c r="U67" s="108" t="inlineStr">
        <is>
          <t xml:space="preserve">　</t>
        </is>
      </c>
      <c r="V67" s="1591" t="n"/>
      <c r="W67" s="4098" t="n"/>
      <c r="X67" s="2842" t="inlineStr">
        <is>
          <t>時</t>
        </is>
      </c>
      <c r="Y67" s="2834" t="n"/>
      <c r="Z67" s="2834" t="n"/>
      <c r="AA67" s="2842" t="inlineStr">
        <is>
          <t>分</t>
        </is>
      </c>
      <c r="AB67" s="2842" t="inlineStr">
        <is>
          <t>・</t>
        </is>
      </c>
      <c r="AC67" s="4098" t="n"/>
      <c r="AD67" s="1591" t="n"/>
      <c r="AE67" s="4098" t="n"/>
      <c r="AF67" s="4098" t="n"/>
      <c r="AG67" s="4098" t="n"/>
      <c r="AH67" s="4304" t="n"/>
    </row>
    <row r="68" ht="12" customFormat="1" customHeight="1" s="1667" thickBot="1">
      <c r="A68" s="4097" t="n"/>
      <c r="B68" s="4107" t="n"/>
      <c r="C68" s="4106" t="n"/>
      <c r="J68" s="4107" t="n"/>
      <c r="K68" s="4106" t="n"/>
      <c r="M68" s="4191" t="n"/>
      <c r="N68" s="1589" t="n"/>
      <c r="Q68" s="1325" t="n"/>
      <c r="U68" s="1257" t="n"/>
      <c r="Y68" s="1580" t="n"/>
      <c r="AD68" s="1325" t="inlineStr">
        <is>
          <t>２４時間</t>
        </is>
      </c>
      <c r="AH68" s="4109" t="n"/>
    </row>
    <row r="69" ht="3.95" customFormat="1" customHeight="1" s="1667" thickBot="1">
      <c r="A69" s="4097" t="n"/>
      <c r="B69" s="4107" t="n"/>
      <c r="C69" s="4106" t="n"/>
      <c r="J69" s="4107" t="n"/>
      <c r="K69" s="4145" t="n"/>
      <c r="L69" s="4146" t="n"/>
      <c r="M69" s="4201" t="n"/>
      <c r="N69" s="1586" t="n"/>
      <c r="O69" s="1587" t="n"/>
      <c r="P69" s="4146" t="n"/>
      <c r="Q69" s="1585" t="n"/>
      <c r="R69" s="1585" t="n"/>
      <c r="S69" s="4146" t="n"/>
      <c r="T69" s="4146" t="n"/>
      <c r="U69" s="105" t="n"/>
      <c r="V69" s="1587" t="n"/>
      <c r="W69" s="1587" t="n"/>
      <c r="X69" s="4146" t="n"/>
      <c r="Y69" s="101" t="n"/>
      <c r="Z69" s="101" t="n"/>
      <c r="AA69" s="4146" t="n"/>
      <c r="AB69" s="4146" t="n"/>
      <c r="AC69" s="4146" t="n"/>
      <c r="AD69" s="1597" t="n"/>
      <c r="AE69" s="4146" t="n"/>
      <c r="AF69" s="4146" t="n"/>
      <c r="AG69" s="4146" t="n"/>
      <c r="AH69" s="4305" t="n"/>
    </row>
    <row r="70" ht="3.95" customFormat="1" customHeight="1" s="1667" thickBot="1">
      <c r="A70" s="4097" t="n"/>
      <c r="B70" s="4107" t="n"/>
      <c r="C70" s="4106" t="n"/>
      <c r="J70" s="4107" t="n"/>
      <c r="K70" s="4289" t="inlineStr">
        <is>
          <t>土曜</t>
        </is>
      </c>
      <c r="L70" s="4290" t="n"/>
      <c r="M70" s="4291" t="n"/>
      <c r="N70" s="1581" t="n"/>
      <c r="O70" s="4290" t="n"/>
      <c r="P70" s="1514" t="inlineStr">
        <is>
          <t>時</t>
        </is>
      </c>
      <c r="Q70" s="1583" t="n"/>
      <c r="R70" s="1583" t="n"/>
      <c r="S70" s="4292" t="inlineStr">
        <is>
          <t>分～</t>
        </is>
      </c>
      <c r="T70" s="4290" t="n"/>
      <c r="U70" s="98" t="inlineStr">
        <is>
          <t xml:space="preserve">　</t>
        </is>
      </c>
      <c r="V70" s="1582" t="n"/>
      <c r="W70" s="1582" t="n"/>
      <c r="X70" s="1514" t="inlineStr">
        <is>
          <t>時</t>
        </is>
      </c>
      <c r="Y70" s="96" t="n"/>
      <c r="Z70" s="96" t="n"/>
      <c r="AA70" s="1514" t="inlineStr">
        <is>
          <t>分</t>
        </is>
      </c>
      <c r="AB70" s="1514" t="inlineStr">
        <is>
          <t>・</t>
        </is>
      </c>
      <c r="AC70" s="4290" t="n"/>
      <c r="AD70" s="1681" t="n"/>
      <c r="AE70" s="4290" t="n"/>
      <c r="AF70" s="4290" t="n"/>
      <c r="AG70" s="4290" t="n"/>
      <c r="AH70" s="4306" t="n"/>
    </row>
    <row r="71" ht="12" customFormat="1" customHeight="1" s="1667" thickBot="1">
      <c r="A71" s="4097" t="n"/>
      <c r="B71" s="4107" t="n"/>
      <c r="C71" s="4106" t="n"/>
      <c r="J71" s="4107" t="n"/>
      <c r="K71" s="4106" t="n"/>
      <c r="M71" s="4191" t="n"/>
      <c r="N71" s="1589" t="n"/>
      <c r="Q71" s="1325" t="n"/>
      <c r="U71" s="1257" t="n"/>
      <c r="Y71" s="1580" t="n"/>
      <c r="AD71" s="1325" t="inlineStr">
        <is>
          <t>２４時間</t>
        </is>
      </c>
      <c r="AH71" s="4109" t="n"/>
    </row>
    <row r="72" ht="3.95" customFormat="1" customHeight="1" s="1667" thickBot="1">
      <c r="A72" s="4097" t="n"/>
      <c r="B72" s="4107" t="n"/>
      <c r="C72" s="4106" t="n"/>
      <c r="J72" s="4107" t="n"/>
      <c r="K72" s="4145" t="n"/>
      <c r="L72" s="4146" t="n"/>
      <c r="M72" s="4201" t="n"/>
      <c r="N72" s="1586" t="n"/>
      <c r="O72" s="1587" t="n"/>
      <c r="P72" s="4146" t="n"/>
      <c r="Q72" s="1585" t="n"/>
      <c r="R72" s="1585" t="n"/>
      <c r="S72" s="4146" t="n"/>
      <c r="T72" s="4146" t="n"/>
      <c r="U72" s="103" t="n"/>
      <c r="V72" s="1587" t="n"/>
      <c r="W72" s="1587" t="n"/>
      <c r="X72" s="4146" t="n"/>
      <c r="Y72" s="101" t="n"/>
      <c r="Z72" s="101" t="n"/>
      <c r="AA72" s="4146" t="n"/>
      <c r="AB72" s="4146" t="n"/>
      <c r="AC72" s="4146" t="n"/>
      <c r="AD72" s="1597" t="n"/>
      <c r="AE72" s="4146" t="n"/>
      <c r="AF72" s="4146" t="n"/>
      <c r="AG72" s="4146" t="n"/>
      <c r="AH72" s="4305" t="n"/>
    </row>
    <row r="73" ht="3.95" customFormat="1" customHeight="1" s="1667" thickBot="1">
      <c r="A73" s="4097" t="n"/>
      <c r="B73" s="4107" t="n"/>
      <c r="C73" s="4106" t="n"/>
      <c r="J73" s="4107" t="n"/>
      <c r="K73" s="4293" t="inlineStr">
        <is>
          <t>日・祝日</t>
        </is>
      </c>
      <c r="L73" s="4290" t="n"/>
      <c r="M73" s="4291" t="n"/>
      <c r="N73" s="1581" t="n"/>
      <c r="O73" s="4290" t="n"/>
      <c r="P73" s="1521" t="inlineStr">
        <is>
          <t>時</t>
        </is>
      </c>
      <c r="Q73" s="1583" t="n"/>
      <c r="R73" s="1583" t="n"/>
      <c r="S73" s="4294" t="inlineStr">
        <is>
          <t>分～</t>
        </is>
      </c>
      <c r="T73" s="4290" t="n"/>
      <c r="U73" s="98" t="inlineStr">
        <is>
          <t xml:space="preserve">　</t>
        </is>
      </c>
      <c r="V73" s="1582" t="n"/>
      <c r="W73" s="1582" t="n"/>
      <c r="X73" s="1521" t="inlineStr">
        <is>
          <t>時</t>
        </is>
      </c>
      <c r="Y73" s="96" t="n"/>
      <c r="Z73" s="96" t="n"/>
      <c r="AA73" s="1521" t="inlineStr">
        <is>
          <t>分</t>
        </is>
      </c>
      <c r="AB73" s="1521" t="inlineStr">
        <is>
          <t>・</t>
        </is>
      </c>
      <c r="AC73" s="4290" t="n"/>
      <c r="AD73" s="1681" t="n"/>
      <c r="AE73" s="4290" t="n"/>
      <c r="AF73" s="4290" t="n"/>
      <c r="AG73" s="4290" t="n"/>
      <c r="AH73" s="4307" t="n"/>
    </row>
    <row r="74" ht="12" customFormat="1" customHeight="1" s="1667" thickBot="1">
      <c r="A74" s="4097" t="n"/>
      <c r="B74" s="4107" t="n"/>
      <c r="C74" s="4106" t="n"/>
      <c r="J74" s="4107" t="n"/>
      <c r="K74" s="4106" t="n"/>
      <c r="M74" s="4191" t="n"/>
      <c r="N74" s="1589" t="n"/>
      <c r="Q74" s="1325" t="n"/>
      <c r="U74" s="1257" t="n"/>
      <c r="Y74" s="1580" t="n"/>
      <c r="AD74" s="1325" t="inlineStr">
        <is>
          <t>２４時間</t>
        </is>
      </c>
      <c r="AH74" s="4109" t="n"/>
    </row>
    <row r="75" ht="3.95" customFormat="1" customHeight="1" s="1667" thickBot="1">
      <c r="A75" s="4097" t="n"/>
      <c r="B75" s="4107" t="n"/>
      <c r="C75" s="4102" t="n"/>
      <c r="D75" s="4103" t="n"/>
      <c r="E75" s="4103" t="n"/>
      <c r="F75" s="4103" t="n"/>
      <c r="G75" s="4103" t="n"/>
      <c r="H75" s="4103" t="n"/>
      <c r="I75" s="4103" t="n"/>
      <c r="J75" s="4104" t="n"/>
      <c r="K75" s="4102" t="n"/>
      <c r="L75" s="4103" t="n"/>
      <c r="M75" s="4193" t="n"/>
      <c r="N75" s="1588" t="n"/>
      <c r="O75" s="1258" t="n"/>
      <c r="P75" s="4103" t="n"/>
      <c r="Q75" s="1327" t="n"/>
      <c r="R75" s="1327" t="n"/>
      <c r="S75" s="4103" t="n"/>
      <c r="T75" s="4103" t="n"/>
      <c r="U75" s="92" t="n"/>
      <c r="V75" s="1258" t="n"/>
      <c r="W75" s="1258" t="n"/>
      <c r="X75" s="4103" t="n"/>
      <c r="Y75" s="2836" t="n"/>
      <c r="Z75" s="2836" t="n"/>
      <c r="AA75" s="4103" t="n"/>
      <c r="AB75" s="4103" t="n"/>
      <c r="AC75" s="4103" t="n"/>
      <c r="AD75" s="1687" t="n"/>
      <c r="AE75" s="4103" t="n"/>
      <c r="AF75" s="4103" t="n"/>
      <c r="AG75" s="4103" t="n"/>
      <c r="AH75" s="4105" t="n"/>
    </row>
    <row r="76" ht="12" customFormat="1" customHeight="1" s="1667" thickBot="1">
      <c r="A76" s="4097" t="n"/>
      <c r="B76" s="4107" t="n"/>
      <c r="C76" s="1393" t="n"/>
      <c r="D76" s="4222" t="inlineStr">
        <is>
          <t>サービス提供日
（単独型のみ）</t>
        </is>
      </c>
      <c r="E76" s="4098" t="n"/>
      <c r="F76" s="4098" t="n"/>
      <c r="G76" s="4098" t="n"/>
      <c r="H76" s="4098" t="n"/>
      <c r="I76" s="4098" t="n"/>
      <c r="J76" s="4423" t="n"/>
      <c r="K76" s="2244" t="inlineStr">
        <is>
          <t>月</t>
        </is>
      </c>
      <c r="L76" s="2245" t="inlineStr">
        <is>
          <t>火</t>
        </is>
      </c>
      <c r="M76" s="2245" t="inlineStr">
        <is>
          <t>水</t>
        </is>
      </c>
      <c r="N76" s="2245" t="inlineStr">
        <is>
          <t>木</t>
        </is>
      </c>
      <c r="O76" s="2245" t="inlineStr">
        <is>
          <t>金</t>
        </is>
      </c>
      <c r="P76" s="2245" t="inlineStr">
        <is>
          <t>土</t>
        </is>
      </c>
      <c r="Q76" s="2245" t="inlineStr">
        <is>
          <t>日</t>
        </is>
      </c>
      <c r="R76" s="2249" t="inlineStr">
        <is>
          <t>祝</t>
        </is>
      </c>
      <c r="S76" s="4279" t="inlineStr">
        <is>
          <t>休業日</t>
        </is>
      </c>
      <c r="T76" s="1611" t="inlineStr">
        <is>
          <t>年末年始</t>
        </is>
      </c>
      <c r="U76" s="4098" t="n"/>
      <c r="V76" s="934" t="n"/>
      <c r="W76" s="4098" t="n"/>
      <c r="X76" s="4098" t="n"/>
      <c r="Y76" s="4098" t="n"/>
      <c r="Z76" s="4098" t="n"/>
      <c r="AA76" s="4098" t="n"/>
      <c r="AB76" s="4099" t="n"/>
      <c r="AC76" s="4280" t="inlineStr">
        <is>
          <t>備　考</t>
        </is>
      </c>
      <c r="AD76" s="4281" t="n"/>
      <c r="AE76" s="4098" t="n"/>
      <c r="AF76" s="4098" t="n"/>
      <c r="AG76" s="4098" t="n"/>
      <c r="AH76" s="4101" t="n"/>
    </row>
    <row r="77" ht="12" customFormat="1" customHeight="1" s="1667" thickBot="1">
      <c r="A77" s="4097" t="n"/>
      <c r="B77" s="4107" t="n"/>
      <c r="C77" s="4106" t="n"/>
      <c r="J77" s="4107" t="n"/>
      <c r="K77" s="2244" t="inlineStr">
        <is>
          <t xml:space="preserve">　</t>
        </is>
      </c>
      <c r="L77" s="2245" t="n"/>
      <c r="M77" s="2245" t="n"/>
      <c r="N77" s="2245" t="n"/>
      <c r="O77" s="2245" t="n"/>
      <c r="P77" s="2245" t="n"/>
      <c r="Q77" s="2245" t="n"/>
      <c r="R77" s="2249" t="n"/>
      <c r="S77" s="4282" t="n"/>
      <c r="T77" s="1609" t="inlineStr">
        <is>
          <t>夏季</t>
        </is>
      </c>
      <c r="V77" s="937" t="n"/>
      <c r="AB77" s="4107" t="n"/>
      <c r="AC77" s="4282" t="n"/>
      <c r="AD77" s="4192" t="n"/>
      <c r="AH77" s="4109" t="n"/>
    </row>
    <row r="78" ht="12" customFormat="1" customHeight="1" s="1667" thickBot="1">
      <c r="A78" s="4097" t="n"/>
      <c r="B78" s="4107" t="n"/>
      <c r="C78" s="4102" t="n"/>
      <c r="D78" s="4103" t="n"/>
      <c r="E78" s="4103" t="n"/>
      <c r="F78" s="4103" t="n"/>
      <c r="G78" s="4103" t="n"/>
      <c r="H78" s="4103" t="n"/>
      <c r="I78" s="4103" t="n"/>
      <c r="J78" s="4104" t="n"/>
      <c r="K78" s="4283" t="n"/>
      <c r="L78" s="4284" t="n"/>
      <c r="M78" s="4284" t="n"/>
      <c r="N78" s="4284" t="n"/>
      <c r="O78" s="4284" t="n"/>
      <c r="P78" s="4284" t="n"/>
      <c r="Q78" s="4284" t="n"/>
      <c r="R78" s="4285" t="n"/>
      <c r="S78" s="4286" t="n"/>
      <c r="T78" s="1610" t="inlineStr">
        <is>
          <t>その他</t>
        </is>
      </c>
      <c r="U78" s="4103" t="n"/>
      <c r="V78" s="940" t="n"/>
      <c r="W78" s="4103" t="n"/>
      <c r="X78" s="4103" t="n"/>
      <c r="Y78" s="4103" t="n"/>
      <c r="Z78" s="4103" t="n"/>
      <c r="AA78" s="4103" t="n"/>
      <c r="AB78" s="4104" t="n"/>
      <c r="AC78" s="4286" t="n"/>
      <c r="AD78" s="4194" t="n"/>
      <c r="AE78" s="4103" t="n"/>
      <c r="AF78" s="4103" t="n"/>
      <c r="AG78" s="4103" t="n"/>
      <c r="AH78" s="4105" t="n"/>
    </row>
    <row r="79" ht="3.95" customFormat="1" customHeight="1" s="1667" thickBot="1">
      <c r="A79" s="4097" t="n"/>
      <c r="B79" s="4107" t="n"/>
      <c r="C79" s="1393" t="n"/>
      <c r="D79" s="4222" t="inlineStr">
        <is>
          <t>サービス提供時間
（単独型のみ）</t>
        </is>
      </c>
      <c r="E79" s="4098" t="n"/>
      <c r="F79" s="4098" t="n"/>
      <c r="G79" s="4098" t="n"/>
      <c r="H79" s="4098" t="n"/>
      <c r="I79" s="4098" t="n"/>
      <c r="J79" s="4223" t="n"/>
      <c r="K79" s="4295" t="n"/>
      <c r="L79" s="4098" t="n"/>
      <c r="M79" s="4098" t="n"/>
      <c r="N79" s="4098" t="n"/>
      <c r="O79" s="4098" t="n"/>
      <c r="P79" s="4098" t="n"/>
      <c r="Q79" s="4098" t="n"/>
      <c r="R79" s="4098" t="n"/>
      <c r="S79" s="4098" t="n"/>
      <c r="T79" s="4098" t="n"/>
      <c r="U79" s="4098" t="n"/>
      <c r="V79" s="4098" t="n"/>
      <c r="W79" s="4098" t="n"/>
      <c r="X79" s="4098" t="n"/>
      <c r="Y79" s="4098" t="n"/>
      <c r="Z79" s="4098" t="n"/>
      <c r="AA79" s="4098" t="n"/>
      <c r="AB79" s="4098" t="n"/>
      <c r="AC79" s="4098" t="n"/>
      <c r="AD79" s="4098" t="n"/>
      <c r="AE79" s="4098" t="n"/>
      <c r="AF79" s="4098" t="n"/>
      <c r="AG79" s="4098" t="n"/>
      <c r="AH79" s="4101" t="n"/>
    </row>
    <row r="80" ht="24" customFormat="1" customHeight="1" s="1667" thickBot="1">
      <c r="A80" s="4097" t="n"/>
      <c r="B80" s="4107" t="n"/>
      <c r="C80" s="4106" t="n"/>
      <c r="J80" s="4107" t="n"/>
      <c r="K80" s="224" t="n"/>
      <c r="L80" s="1388" t="inlineStr">
        <is>
          <t xml:space="preserve">　</t>
        </is>
      </c>
      <c r="O80" s="1325" t="inlineStr">
        <is>
          <t>時</t>
        </is>
      </c>
      <c r="P80" s="1626" t="n"/>
      <c r="R80" s="1325" t="inlineStr">
        <is>
          <t>分～</t>
        </is>
      </c>
      <c r="T80" s="1388" t="inlineStr">
        <is>
          <t xml:space="preserve">　</t>
        </is>
      </c>
      <c r="W80" s="1325" t="inlineStr">
        <is>
          <t>時</t>
        </is>
      </c>
      <c r="X80" s="1626" t="n"/>
      <c r="Z80" s="1325" t="inlineStr">
        <is>
          <t>分</t>
        </is>
      </c>
      <c r="AA80" s="1325" t="inlineStr">
        <is>
          <t>・</t>
        </is>
      </c>
      <c r="AC80" s="1432" t="inlineStr">
        <is>
          <t>２４時間</t>
        </is>
      </c>
      <c r="AF80" s="1668" t="n"/>
      <c r="AH80" s="4109" t="n"/>
    </row>
    <row r="81" ht="3.95" customFormat="1" customHeight="1" s="1667" thickBot="1">
      <c r="A81" s="4097" t="n"/>
      <c r="B81" s="4107" t="n"/>
      <c r="C81" s="4102" t="n"/>
      <c r="D81" s="4103" t="n"/>
      <c r="E81" s="4103" t="n"/>
      <c r="F81" s="4103" t="n"/>
      <c r="G81" s="4103" t="n"/>
      <c r="H81" s="4103" t="n"/>
      <c r="I81" s="4103" t="n"/>
      <c r="J81" s="4104" t="n"/>
      <c r="K81" s="4296" t="n"/>
      <c r="AH81" s="4109" t="n"/>
    </row>
    <row r="82" ht="12" customFormat="1" customHeight="1" s="1667" thickBot="1">
      <c r="A82" s="4097" t="n"/>
      <c r="B82" s="4107" t="n"/>
      <c r="C82" s="1393" t="n"/>
      <c r="D82" s="4222" t="inlineStr">
        <is>
          <t>サービスを提供
する主たる対象者</t>
        </is>
      </c>
      <c r="E82" s="4098" t="n"/>
      <c r="F82" s="4098" t="n"/>
      <c r="G82" s="4098" t="n"/>
      <c r="H82" s="4098" t="n"/>
      <c r="I82" s="4098" t="n"/>
      <c r="J82" s="4223" t="n"/>
      <c r="K82" s="1669" t="inlineStr">
        <is>
          <t>身体障害者</t>
        </is>
      </c>
      <c r="L82" s="4138" t="n"/>
      <c r="M82" s="4138" t="n"/>
      <c r="N82" s="4138" t="n"/>
      <c r="O82" s="4139" t="n"/>
      <c r="P82" s="1669" t="inlineStr">
        <is>
          <t>知的障害者</t>
        </is>
      </c>
      <c r="Q82" s="4138" t="n"/>
      <c r="R82" s="4138" t="n"/>
      <c r="S82" s="4138" t="n"/>
      <c r="T82" s="4139" t="n"/>
      <c r="U82" s="1669" t="inlineStr">
        <is>
          <t>障害児</t>
        </is>
      </c>
      <c r="V82" s="4138" t="n"/>
      <c r="W82" s="4138" t="n"/>
      <c r="X82" s="4138" t="n"/>
      <c r="Y82" s="4139" t="n"/>
      <c r="Z82" s="1670" t="inlineStr">
        <is>
          <t>精神障害者</t>
        </is>
      </c>
      <c r="AA82" s="4138" t="n"/>
      <c r="AB82" s="4138" t="n"/>
      <c r="AC82" s="4138" t="n"/>
      <c r="AD82" s="4139" t="n"/>
      <c r="AE82" s="1671" t="inlineStr">
        <is>
          <t>難病等対象者</t>
        </is>
      </c>
      <c r="AF82" s="4138" t="n"/>
      <c r="AG82" s="4138" t="n"/>
      <c r="AH82" s="4139" t="n"/>
    </row>
    <row r="83" ht="12" customFormat="1" customHeight="1" s="1667" thickBot="1">
      <c r="A83" s="4097" t="n"/>
      <c r="B83" s="4107" t="n"/>
      <c r="C83" s="4102" t="n"/>
      <c r="D83" s="4103" t="n"/>
      <c r="E83" s="4103" t="n"/>
      <c r="F83" s="4103" t="n"/>
      <c r="G83" s="4103" t="n"/>
      <c r="H83" s="4103" t="n"/>
      <c r="I83" s="4103" t="n"/>
      <c r="J83" s="4104" t="n"/>
      <c r="K83" s="2686" t="inlineStr">
        <is>
          <t>○</t>
        </is>
      </c>
      <c r="L83" s="4140" t="n"/>
      <c r="M83" s="4140" t="n"/>
      <c r="N83" s="4140" t="n"/>
      <c r="O83" s="4141" t="n"/>
      <c r="P83" s="2686" t="inlineStr">
        <is>
          <t>○</t>
        </is>
      </c>
      <c r="Q83" s="4140" t="n"/>
      <c r="R83" s="4140" t="n"/>
      <c r="S83" s="4140" t="n"/>
      <c r="T83" s="4141" t="n"/>
      <c r="U83" s="2686" t="inlineStr">
        <is>
          <t>○</t>
        </is>
      </c>
      <c r="V83" s="4140" t="n"/>
      <c r="W83" s="4140" t="n"/>
      <c r="X83" s="4140" t="n"/>
      <c r="Y83" s="4141" t="n"/>
      <c r="Z83" s="2686" t="inlineStr">
        <is>
          <t>○</t>
        </is>
      </c>
      <c r="AA83" s="4140" t="n"/>
      <c r="AB83" s="4140" t="n"/>
      <c r="AC83" s="4140" t="n"/>
      <c r="AD83" s="4141" t="n"/>
      <c r="AE83" s="4608" t="inlineStr">
        <is>
          <t>○</t>
        </is>
      </c>
      <c r="AF83" s="4140" t="n"/>
      <c r="AG83" s="4140" t="n"/>
      <c r="AH83" s="4252" t="n"/>
    </row>
    <row r="84" ht="15" customFormat="1" customHeight="1" s="1667" thickBot="1">
      <c r="A84" s="4097" t="n"/>
      <c r="B84" s="4107" t="n"/>
      <c r="C84" s="1393" t="n"/>
      <c r="D84" s="1264" t="inlineStr">
        <is>
          <t>利用料</t>
        </is>
      </c>
      <c r="E84" s="4110" t="n"/>
      <c r="F84" s="4110" t="n"/>
      <c r="G84" s="4110" t="n"/>
      <c r="H84" s="4110" t="n"/>
      <c r="I84" s="4110" t="n"/>
      <c r="J84" s="1394" t="n"/>
      <c r="K84" s="4262" t="inlineStr">
        <is>
          <t>法定代理受領分：厚生労働大臣が定める基準の10/100、法定代理受領分以外：厚生労働大臣が定める基準</t>
        </is>
      </c>
      <c r="L84" s="4110" t="n"/>
      <c r="M84" s="4110" t="n"/>
      <c r="N84" s="4110" t="n"/>
      <c r="O84" s="4110" t="n"/>
      <c r="P84" s="4110" t="n"/>
      <c r="Q84" s="4110" t="n"/>
      <c r="R84" s="4110" t="n"/>
      <c r="S84" s="4110" t="n"/>
      <c r="T84" s="4110" t="n"/>
      <c r="U84" s="4110" t="n"/>
      <c r="V84" s="4110" t="n"/>
      <c r="W84" s="4110" t="n"/>
      <c r="X84" s="4110" t="n"/>
      <c r="Y84" s="4110" t="n"/>
      <c r="Z84" s="4110" t="n"/>
      <c r="AA84" s="4110" t="n"/>
      <c r="AB84" s="4110" t="n"/>
      <c r="AC84" s="4110" t="n"/>
      <c r="AD84" s="4110" t="n"/>
      <c r="AE84" s="4110" t="n"/>
      <c r="AF84" s="4110" t="n"/>
      <c r="AG84" s="4110" t="n"/>
      <c r="AH84" s="4113" t="n"/>
    </row>
    <row r="85" ht="15" customFormat="1" customHeight="1" s="1667" thickBot="1">
      <c r="A85" s="4097" t="n"/>
      <c r="B85" s="4107" t="n"/>
      <c r="C85" s="1322" t="n"/>
      <c r="D85" s="1264" t="inlineStr">
        <is>
          <t>その他の費用</t>
        </is>
      </c>
      <c r="E85" s="4110" t="n"/>
      <c r="F85" s="4110" t="n"/>
      <c r="G85" s="4110" t="n"/>
      <c r="H85" s="4110" t="n"/>
      <c r="I85" s="4110" t="n"/>
      <c r="J85" s="1331" t="n"/>
      <c r="K85" s="4267" t="inlineStr">
        <is>
          <t>運営規程に定めるとおり</t>
        </is>
      </c>
      <c r="L85" s="4110" t="n"/>
      <c r="M85" s="4110" t="n"/>
      <c r="N85" s="4110" t="n"/>
      <c r="O85" s="4110" t="n"/>
      <c r="P85" s="4110" t="n"/>
      <c r="Q85" s="4110" t="n"/>
      <c r="R85" s="4110" t="n"/>
      <c r="S85" s="4110" t="n"/>
      <c r="T85" s="4110" t="n"/>
      <c r="U85" s="4110" t="n"/>
      <c r="V85" s="4110" t="n"/>
      <c r="W85" s="4110" t="n"/>
      <c r="X85" s="4110" t="n"/>
      <c r="Y85" s="4110" t="n"/>
      <c r="Z85" s="4110" t="n"/>
      <c r="AA85" s="4110" t="n"/>
      <c r="AB85" s="4110" t="n"/>
      <c r="AC85" s="4110" t="n"/>
      <c r="AD85" s="4110" t="n"/>
      <c r="AE85" s="4110" t="n"/>
      <c r="AF85" s="4110" t="n"/>
      <c r="AG85" s="4110" t="n"/>
      <c r="AH85" s="4113" t="n"/>
    </row>
    <row r="86" ht="3.95" customFormat="1" customHeight="1" s="1667" thickBot="1">
      <c r="A86" s="4097" t="n"/>
      <c r="B86" s="4107" t="n"/>
      <c r="C86" s="4231" t="inlineStr">
        <is>
          <t>その他参考
となる事項</t>
        </is>
      </c>
      <c r="D86" s="4099" t="n"/>
      <c r="E86" s="2753" t="inlineStr">
        <is>
          <t>第三者評価の実施状況</t>
        </is>
      </c>
      <c r="F86" s="4098" t="n"/>
      <c r="G86" s="4098" t="n"/>
      <c r="H86" s="4098" t="n"/>
      <c r="I86" s="4098" t="n"/>
      <c r="J86" s="4099" t="n"/>
      <c r="K86" s="1657" t="n"/>
      <c r="L86" s="1658" t="n"/>
      <c r="M86" s="1658" t="n"/>
      <c r="N86" s="1658" t="n"/>
      <c r="O86" s="1658" t="n"/>
      <c r="P86" s="1658" t="n"/>
      <c r="Q86" s="1658" t="n"/>
      <c r="R86" s="4232" t="n"/>
      <c r="S86" s="4098" t="n"/>
      <c r="T86" s="4098" t="n"/>
      <c r="U86" s="4098" t="n"/>
      <c r="V86" s="4098" t="n"/>
      <c r="W86" s="4098" t="n"/>
      <c r="X86" s="4098" t="n"/>
      <c r="Y86" s="4098" t="n"/>
      <c r="Z86" s="4098" t="n"/>
      <c r="AA86" s="4098" t="n"/>
      <c r="AB86" s="1658" t="n"/>
      <c r="AC86" s="1658" t="n"/>
      <c r="AD86" s="1658" t="n"/>
      <c r="AE86" s="1658" t="n"/>
      <c r="AF86" s="1658" t="n"/>
      <c r="AG86" s="1658" t="n"/>
      <c r="AH86" s="1659" t="n"/>
    </row>
    <row r="87" ht="14.1" customFormat="1" customHeight="1" s="1667" thickBot="1">
      <c r="A87" s="4097" t="n"/>
      <c r="B87" s="4107" t="n"/>
      <c r="C87" s="4106" t="n"/>
      <c r="D87" s="4107" t="n"/>
      <c r="J87" s="4107" t="n"/>
      <c r="K87" s="1372" t="n"/>
      <c r="L87" s="1432" t="inlineStr">
        <is>
          <t>している</t>
        </is>
      </c>
      <c r="O87" s="1432" t="inlineStr">
        <is>
          <t>(実施先：</t>
        </is>
      </c>
      <c r="AB87" s="1889" t="inlineStr">
        <is>
          <t>)・</t>
        </is>
      </c>
      <c r="AC87" s="4609" t="inlineStr">
        <is>
          <t>していない</t>
        </is>
      </c>
      <c r="AD87" s="4265" t="n"/>
      <c r="AE87" s="4265" t="n"/>
      <c r="AF87" s="4265" t="n"/>
      <c r="AG87" s="4266" t="n"/>
      <c r="AH87" s="1668" t="n"/>
    </row>
    <row r="88" ht="3.95" customFormat="1" customHeight="1" s="1667" thickBot="1">
      <c r="A88" s="4097" t="n"/>
      <c r="B88" s="4107" t="n"/>
      <c r="C88" s="4106" t="n"/>
      <c r="D88" s="4107" t="n"/>
      <c r="E88" s="4103" t="n"/>
      <c r="F88" s="4103" t="n"/>
      <c r="G88" s="4103" t="n"/>
      <c r="H88" s="4103" t="n"/>
      <c r="I88" s="4103" t="n"/>
      <c r="J88" s="4104" t="n"/>
      <c r="K88" s="1657" t="n"/>
      <c r="L88" s="1658" t="n"/>
      <c r="M88" s="1658" t="n"/>
      <c r="N88" s="1658" t="n"/>
      <c r="O88" s="1658" t="n"/>
      <c r="P88" s="1658" t="n"/>
      <c r="Q88" s="1658" t="n"/>
      <c r="R88" s="4103" t="n"/>
      <c r="S88" s="4103" t="n"/>
      <c r="T88" s="4103" t="n"/>
      <c r="U88" s="4103" t="n"/>
      <c r="V88" s="4103" t="n"/>
      <c r="W88" s="4103" t="n"/>
      <c r="X88" s="4103" t="n"/>
      <c r="Y88" s="4103" t="n"/>
      <c r="Z88" s="4103" t="n"/>
      <c r="AA88" s="4103" t="n"/>
      <c r="AB88" s="1658" t="n"/>
      <c r="AC88" s="1658" t="n"/>
      <c r="AD88" s="1658" t="n"/>
      <c r="AE88" s="1658" t="n"/>
      <c r="AF88" s="1658" t="n"/>
      <c r="AG88" s="1658" t="n"/>
      <c r="AH88" s="1659" t="n"/>
    </row>
    <row r="89" ht="15" customFormat="1" customHeight="1" s="1667" thickBot="1">
      <c r="A89" s="4097" t="n"/>
      <c r="B89" s="4107" t="n"/>
      <c r="C89" s="4106" t="n"/>
      <c r="D89" s="4107" t="n"/>
      <c r="E89" s="4313" t="inlineStr">
        <is>
          <t>苦情解決の措置概要</t>
        </is>
      </c>
      <c r="F89" s="4098" t="n"/>
      <c r="G89" s="4098" t="n"/>
      <c r="H89" s="4098" t="n"/>
      <c r="I89" s="4098" t="n"/>
      <c r="J89" s="4099" t="n"/>
      <c r="K89" s="2542" t="inlineStr">
        <is>
          <t>窓　口</t>
        </is>
      </c>
      <c r="L89" s="4110" t="n"/>
      <c r="M89" s="4111" t="n"/>
      <c r="N89" s="4267" t="inlineStr">
        <is>
          <t>大阪市障がい福祉サービスセンター</t>
        </is>
      </c>
      <c r="O89" s="4110" t="n"/>
      <c r="P89" s="4110" t="n"/>
      <c r="Q89" s="4110" t="n"/>
      <c r="R89" s="4110" t="n"/>
      <c r="S89" s="4110" t="n"/>
      <c r="T89" s="4110" t="n"/>
      <c r="U89" s="4110" t="n"/>
      <c r="V89" s="4110" t="n"/>
      <c r="W89" s="4110" t="n"/>
      <c r="X89" s="4110" t="n"/>
      <c r="Y89" s="4110" t="n"/>
      <c r="Z89" s="4110" t="n"/>
      <c r="AA89" s="4110" t="n"/>
      <c r="AB89" s="4110" t="n"/>
      <c r="AC89" s="4110" t="n"/>
      <c r="AD89" s="4110" t="n"/>
      <c r="AE89" s="4110" t="n"/>
      <c r="AF89" s="4110" t="n"/>
      <c r="AG89" s="4110" t="n"/>
      <c r="AH89" s="4113" t="n"/>
    </row>
    <row r="90" ht="15" customFormat="1" customHeight="1" s="1667" thickBot="1">
      <c r="A90" s="4097" t="n"/>
      <c r="B90" s="4107" t="n"/>
      <c r="C90" s="4106" t="n"/>
      <c r="D90" s="4107" t="n"/>
      <c r="E90" s="4102" t="n"/>
      <c r="F90" s="4103" t="n"/>
      <c r="G90" s="4103" t="n"/>
      <c r="H90" s="4103" t="n"/>
      <c r="I90" s="4103" t="n"/>
      <c r="J90" s="4104" t="n"/>
      <c r="K90" s="2542" t="inlineStr">
        <is>
          <t>担当者</t>
        </is>
      </c>
      <c r="L90" s="4110" t="n"/>
      <c r="M90" s="4111" t="n"/>
      <c r="N90" s="4233" t="inlineStr">
        <is>
          <t>大阪花子</t>
        </is>
      </c>
      <c r="O90" s="4110" t="n"/>
      <c r="P90" s="4110" t="n"/>
      <c r="Q90" s="4110" t="n"/>
      <c r="R90" s="4110" t="n"/>
      <c r="S90" s="4110" t="n"/>
      <c r="T90" s="4110" t="n"/>
      <c r="U90" s="4111" t="n"/>
      <c r="V90" s="2163" t="inlineStr">
        <is>
          <t>電話</t>
        </is>
      </c>
      <c r="W90" s="4111" t="n"/>
      <c r="X90" s="1479" t="inlineStr">
        <is>
          <t>０６</t>
        </is>
      </c>
      <c r="Y90" s="4110" t="n"/>
      <c r="Z90" s="4110" t="n"/>
      <c r="AA90" s="1492" t="inlineStr">
        <is>
          <t>－</t>
        </is>
      </c>
      <c r="AB90" s="1150" t="inlineStr">
        <is>
          <t>６２４１</t>
        </is>
      </c>
      <c r="AC90" s="4110" t="n"/>
      <c r="AD90" s="4110" t="n"/>
      <c r="AE90" s="1492" t="inlineStr">
        <is>
          <t>－</t>
        </is>
      </c>
      <c r="AF90" s="1483" t="inlineStr">
        <is>
          <t>６５２０</t>
        </is>
      </c>
      <c r="AG90" s="4110" t="n"/>
      <c r="AH90" s="4113" t="n"/>
    </row>
    <row r="91" ht="15" customFormat="1" customHeight="1" s="1667" thickBot="1">
      <c r="A91" s="4097" t="n"/>
      <c r="B91" s="4107" t="n"/>
      <c r="C91" s="4106" t="n"/>
      <c r="D91" s="4107" t="n"/>
      <c r="E91" s="4313" t="inlineStr">
        <is>
          <t>サービス提供時間外における連絡体制</t>
        </is>
      </c>
      <c r="F91" s="4098" t="n"/>
      <c r="G91" s="4098" t="n"/>
      <c r="H91" s="4098" t="n"/>
      <c r="I91" s="4098" t="n"/>
      <c r="J91" s="4099" t="n"/>
      <c r="K91" s="2542" t="inlineStr">
        <is>
          <t>窓　口</t>
        </is>
      </c>
      <c r="L91" s="4110" t="n"/>
      <c r="M91" s="4111" t="n"/>
      <c r="N91" s="4121" t="n"/>
      <c r="O91" s="4110" t="n"/>
      <c r="P91" s="4110" t="n"/>
      <c r="Q91" s="4110" t="n"/>
      <c r="R91" s="4110" t="n"/>
      <c r="S91" s="4110" t="n"/>
      <c r="T91" s="4110" t="n"/>
      <c r="U91" s="4110" t="n"/>
      <c r="V91" s="4110" t="n"/>
      <c r="W91" s="4110" t="n"/>
      <c r="X91" s="4110" t="n"/>
      <c r="Y91" s="4110" t="n"/>
      <c r="Z91" s="4110" t="n"/>
      <c r="AA91" s="4110" t="n"/>
      <c r="AB91" s="4110" t="n"/>
      <c r="AC91" s="4110" t="n"/>
      <c r="AD91" s="4110" t="n"/>
      <c r="AE91" s="4110" t="n"/>
      <c r="AF91" s="4110" t="n"/>
      <c r="AG91" s="4110" t="n"/>
      <c r="AH91" s="4113" t="n"/>
    </row>
    <row r="92" ht="15" customFormat="1" customHeight="1" s="1667" thickBot="1">
      <c r="A92" s="4097" t="n"/>
      <c r="B92" s="4107" t="n"/>
      <c r="C92" s="4106" t="n"/>
      <c r="D92" s="4107" t="n"/>
      <c r="E92" s="4102" t="n"/>
      <c r="F92" s="4103" t="n"/>
      <c r="G92" s="4103" t="n"/>
      <c r="H92" s="4103" t="n"/>
      <c r="I92" s="4103" t="n"/>
      <c r="J92" s="4104" t="n"/>
      <c r="K92" s="2542" t="inlineStr">
        <is>
          <t>担当者</t>
        </is>
      </c>
      <c r="L92" s="4110" t="n"/>
      <c r="M92" s="4111" t="n"/>
      <c r="N92" s="4123" t="n"/>
      <c r="O92" s="4110" t="n"/>
      <c r="P92" s="4110" t="n"/>
      <c r="Q92" s="4110" t="n"/>
      <c r="R92" s="4110" t="n"/>
      <c r="S92" s="4110" t="n"/>
      <c r="T92" s="4110" t="n"/>
      <c r="U92" s="4111" t="n"/>
      <c r="V92" s="2163" t="inlineStr">
        <is>
          <t>電話</t>
        </is>
      </c>
      <c r="W92" s="4111" t="n"/>
      <c r="X92" s="882" t="n"/>
      <c r="Y92" s="4110" t="n"/>
      <c r="Z92" s="4110" t="n"/>
      <c r="AA92" s="1492" t="inlineStr">
        <is>
          <t>－</t>
        </is>
      </c>
      <c r="AB92" s="920" t="n"/>
      <c r="AC92" s="4110" t="n"/>
      <c r="AD92" s="4110" t="n"/>
      <c r="AE92" s="1492" t="inlineStr">
        <is>
          <t>－</t>
        </is>
      </c>
      <c r="AF92" s="955" t="n"/>
      <c r="AG92" s="4110" t="n"/>
      <c r="AH92" s="4113" t="n"/>
    </row>
    <row r="93" ht="15" customFormat="1" customHeight="1" s="1667">
      <c r="A93" s="4086" t="n"/>
      <c r="B93" s="4410" t="n"/>
      <c r="C93" s="4102" t="n"/>
      <c r="D93" s="4104" t="n"/>
      <c r="E93" s="1268" t="inlineStr">
        <is>
          <t>そ　　　の 　　他</t>
        </is>
      </c>
      <c r="F93" s="4110" t="n"/>
      <c r="G93" s="4110" t="n"/>
      <c r="H93" s="4110" t="n"/>
      <c r="I93" s="4110" t="n"/>
      <c r="J93" s="4111" t="n"/>
      <c r="K93" s="4121" t="n"/>
      <c r="L93" s="4110" t="n"/>
      <c r="M93" s="4110" t="n"/>
      <c r="N93" s="4110" t="n"/>
      <c r="O93" s="4110" t="n"/>
      <c r="P93" s="4110" t="n"/>
      <c r="Q93" s="4110" t="n"/>
      <c r="R93" s="4110" t="n"/>
      <c r="S93" s="4110" t="n"/>
      <c r="T93" s="4110" t="n"/>
      <c r="U93" s="4110" t="n"/>
      <c r="V93" s="4110" t="n"/>
      <c r="W93" s="4110" t="n"/>
      <c r="X93" s="4110" t="n"/>
      <c r="Y93" s="4110" t="n"/>
      <c r="Z93" s="4110" t="n"/>
      <c r="AA93" s="4110" t="n"/>
      <c r="AB93" s="4110" t="n"/>
      <c r="AC93" s="4110" t="n"/>
      <c r="AD93" s="4110" t="n"/>
      <c r="AE93" s="4110" t="n"/>
      <c r="AF93" s="4110" t="n"/>
      <c r="AG93" s="4110" t="n"/>
      <c r="AH93" s="4113" t="n"/>
    </row>
    <row r="94" ht="15" customFormat="1" customHeight="1" s="1667">
      <c r="A94" s="2915" t="n"/>
      <c r="B94" s="1264" t="inlineStr">
        <is>
          <t>協力医療機関</t>
        </is>
      </c>
      <c r="C94" s="4098" t="n"/>
      <c r="D94" s="4098" t="n"/>
      <c r="E94" s="4098" t="n"/>
      <c r="F94" s="4098" t="n"/>
      <c r="G94" s="4098" t="n"/>
      <c r="H94" s="4098" t="n"/>
      <c r="I94" s="4098" t="n"/>
      <c r="J94" s="2077" t="n"/>
      <c r="K94" s="1865" t="inlineStr">
        <is>
          <t>ﾌﾘｶﾞﾅ</t>
        </is>
      </c>
      <c r="L94" s="4110" t="n"/>
      <c r="M94" s="4110" t="n"/>
      <c r="N94" s="4456" t="inlineStr">
        <is>
          <t>ﾏﾙﾏﾙｷﾈﾝﾋﾞｮｳｲﾝ</t>
        </is>
      </c>
      <c r="O94" s="4110" t="n"/>
      <c r="P94" s="4110" t="n"/>
      <c r="Q94" s="4110" t="n"/>
      <c r="R94" s="4110" t="n"/>
      <c r="S94" s="4110" t="n"/>
      <c r="T94" s="4110" t="n"/>
      <c r="U94" s="4110" t="n"/>
      <c r="V94" s="4110" t="n"/>
      <c r="W94" s="4110" t="n"/>
      <c r="X94" s="4110" t="n"/>
      <c r="Y94" s="4110" t="n"/>
      <c r="Z94" s="4110" t="n"/>
      <c r="AA94" s="4110" t="n"/>
      <c r="AB94" s="4111" t="n"/>
      <c r="AC94" s="3362" t="inlineStr">
        <is>
          <t>主な診療科名</t>
        </is>
      </c>
      <c r="AD94" s="4099" t="n"/>
      <c r="AE94" s="4260" t="inlineStr">
        <is>
          <t>内科､外科</t>
        </is>
      </c>
      <c r="AF94" s="4098" t="n"/>
      <c r="AG94" s="4098" t="n"/>
      <c r="AH94" s="4101" t="n"/>
    </row>
    <row r="95" ht="24" customFormat="1" customHeight="1" s="1667">
      <c r="A95" s="4114" t="n"/>
      <c r="B95" s="4103" t="n"/>
      <c r="C95" s="4103" t="n"/>
      <c r="D95" s="4103" t="n"/>
      <c r="E95" s="4103" t="n"/>
      <c r="F95" s="4103" t="n"/>
      <c r="G95" s="4103" t="n"/>
      <c r="H95" s="4103" t="n"/>
      <c r="I95" s="4103" t="n"/>
      <c r="J95" s="4104" t="n"/>
      <c r="K95" s="2164" t="inlineStr">
        <is>
          <t>名　称</t>
        </is>
      </c>
      <c r="L95" s="4110" t="n"/>
      <c r="M95" s="4111" t="n"/>
      <c r="N95" s="4233" t="inlineStr">
        <is>
          <t>○○記念病院</t>
        </is>
      </c>
      <c r="O95" s="4110" t="n"/>
      <c r="P95" s="4110" t="n"/>
      <c r="Q95" s="4110" t="n"/>
      <c r="R95" s="4110" t="n"/>
      <c r="S95" s="4110" t="n"/>
      <c r="T95" s="4110" t="n"/>
      <c r="U95" s="4110" t="n"/>
      <c r="V95" s="4110" t="n"/>
      <c r="W95" s="4110" t="n"/>
      <c r="X95" s="4110" t="n"/>
      <c r="Y95" s="4110" t="n"/>
      <c r="Z95" s="4110" t="n"/>
      <c r="AA95" s="4110" t="n"/>
      <c r="AB95" s="4111" t="n"/>
      <c r="AC95" s="4103" t="n"/>
      <c r="AD95" s="4104" t="n"/>
      <c r="AE95" s="4102" t="n"/>
      <c r="AF95" s="4103" t="n"/>
      <c r="AG95" s="4103" t="n"/>
      <c r="AH95" s="4105" t="n"/>
    </row>
    <row r="96" ht="24" customFormat="1" customHeight="1" s="1667" thickBot="1">
      <c r="A96" s="4234" t="inlineStr">
        <is>
          <t>添　　付　　書　　類</t>
        </is>
      </c>
      <c r="B96" s="4153" t="n"/>
      <c r="C96" s="4153" t="n"/>
      <c r="D96" s="4153" t="n"/>
      <c r="E96" s="4153" t="n"/>
      <c r="F96" s="4153" t="n"/>
      <c r="G96" s="4153" t="n"/>
      <c r="H96" s="4153" t="n"/>
      <c r="I96" s="4153" t="n"/>
      <c r="J96" s="4154" t="n"/>
      <c r="K96" s="4235" t="inlineStr">
        <is>
          <t xml:space="preserve">　別紙「添付書類一覧表」のとおり</t>
        </is>
      </c>
      <c r="L96" s="4153" t="n"/>
      <c r="M96" s="4153" t="n"/>
      <c r="N96" s="4153" t="n"/>
      <c r="O96" s="4153" t="n"/>
      <c r="P96" s="4153" t="n"/>
      <c r="Q96" s="4153" t="n"/>
      <c r="R96" s="4153" t="n"/>
      <c r="S96" s="4153" t="n"/>
      <c r="T96" s="4153" t="n"/>
      <c r="U96" s="4153" t="n"/>
      <c r="V96" s="4153" t="n"/>
      <c r="W96" s="4153" t="n"/>
      <c r="X96" s="4153" t="n"/>
      <c r="Y96" s="4153" t="n"/>
      <c r="Z96" s="4153" t="n"/>
      <c r="AA96" s="4153" t="n"/>
      <c r="AB96" s="4153" t="n"/>
      <c r="AC96" s="4153" t="n"/>
      <c r="AD96" s="4153" t="n"/>
      <c r="AE96" s="4153" t="n"/>
      <c r="AF96" s="4153" t="n"/>
      <c r="AG96" s="4153" t="n"/>
      <c r="AH96" s="4155" t="n"/>
    </row>
  </sheetData>
  <mergeCells count="486">
    <mergeCell ref="K11:AH11"/>
    <mergeCell ref="AC43:AH43"/>
    <mergeCell ref="K84:AH84"/>
    <mergeCell ref="K56:M56"/>
    <mergeCell ref="AF92:AH92"/>
    <mergeCell ref="C43:J44"/>
    <mergeCell ref="N44:P44"/>
    <mergeCell ref="AD64:AH66"/>
    <mergeCell ref="U71:W71"/>
    <mergeCell ref="V18:AH18"/>
    <mergeCell ref="G58:X58"/>
    <mergeCell ref="K38:P38"/>
    <mergeCell ref="T34:V34"/>
    <mergeCell ref="C10:E11"/>
    <mergeCell ref="T28:V28"/>
    <mergeCell ref="T64:U64"/>
    <mergeCell ref="Z83:AD83"/>
    <mergeCell ref="X80:Y80"/>
    <mergeCell ref="AA2:AA3"/>
    <mergeCell ref="AH67:AH69"/>
    <mergeCell ref="AC48:AH48"/>
    <mergeCell ref="K34:M34"/>
    <mergeCell ref="AC2:AC3"/>
    <mergeCell ref="J67:J75"/>
    <mergeCell ref="Q47:V47"/>
    <mergeCell ref="T29:V29"/>
    <mergeCell ref="Q33:S33"/>
    <mergeCell ref="C22:L22"/>
    <mergeCell ref="N94:AB94"/>
    <mergeCell ref="U82:Y82"/>
    <mergeCell ref="K29:M29"/>
    <mergeCell ref="J79:J81"/>
    <mergeCell ref="K94:M94"/>
    <mergeCell ref="T54:V54"/>
    <mergeCell ref="F13:I13"/>
    <mergeCell ref="K44:M44"/>
    <mergeCell ref="Z56:AB56"/>
    <mergeCell ref="AC39:AE39"/>
    <mergeCell ref="AB73:AC75"/>
    <mergeCell ref="W46:Y46"/>
    <mergeCell ref="Z51:AB51"/>
    <mergeCell ref="Y23:AH23"/>
    <mergeCell ref="V65:AB65"/>
    <mergeCell ref="Q46:S46"/>
    <mergeCell ref="C20:AH20"/>
    <mergeCell ref="C55:J55"/>
    <mergeCell ref="S70:T72"/>
    <mergeCell ref="B94:I95"/>
    <mergeCell ref="N45:P45"/>
    <mergeCell ref="K49:M49"/>
    <mergeCell ref="A1:AH1"/>
    <mergeCell ref="Y62:AC63"/>
    <mergeCell ref="T49:V49"/>
    <mergeCell ref="U74:W74"/>
    <mergeCell ref="A94:A95"/>
    <mergeCell ref="N70:O70"/>
    <mergeCell ref="T50:V50"/>
    <mergeCell ref="Q38:V38"/>
    <mergeCell ref="T44:V44"/>
    <mergeCell ref="T80:V80"/>
    <mergeCell ref="Q35:S35"/>
    <mergeCell ref="Y68:Z68"/>
    <mergeCell ref="AD62:AF63"/>
    <mergeCell ref="K43:P43"/>
    <mergeCell ref="Q34:S34"/>
    <mergeCell ref="Q49:S49"/>
    <mergeCell ref="N40:P40"/>
    <mergeCell ref="K39:M39"/>
    <mergeCell ref="Z2:Z3"/>
    <mergeCell ref="AB2:AB3"/>
    <mergeCell ref="AD2:AD3"/>
    <mergeCell ref="AA67:AA69"/>
    <mergeCell ref="AF90:AH90"/>
    <mergeCell ref="X90:Z90"/>
    <mergeCell ref="W29:Y29"/>
    <mergeCell ref="AF27:AH27"/>
    <mergeCell ref="C60:M60"/>
    <mergeCell ref="R77:R78"/>
    <mergeCell ref="W53:AB53"/>
    <mergeCell ref="N35:P35"/>
    <mergeCell ref="L77:L78"/>
    <mergeCell ref="P67:P69"/>
    <mergeCell ref="D67:I75"/>
    <mergeCell ref="Q54:S54"/>
    <mergeCell ref="AE94:AH95"/>
    <mergeCell ref="W51:Y51"/>
    <mergeCell ref="N46:P46"/>
    <mergeCell ref="K50:M50"/>
    <mergeCell ref="AJ48:AO48"/>
    <mergeCell ref="P14:Q16"/>
    <mergeCell ref="AF45:AH45"/>
    <mergeCell ref="C45:J45"/>
    <mergeCell ref="Y74:Z74"/>
    <mergeCell ref="I8:M9"/>
    <mergeCell ref="AC87:AG87"/>
    <mergeCell ref="T65:U65"/>
    <mergeCell ref="C47:J47"/>
    <mergeCell ref="N71:O71"/>
    <mergeCell ref="AG58:AH59"/>
    <mergeCell ref="C53:J54"/>
    <mergeCell ref="Q48:V48"/>
    <mergeCell ref="AF40:AH40"/>
    <mergeCell ref="C40:J40"/>
    <mergeCell ref="W17:AH17"/>
    <mergeCell ref="J64:J66"/>
    <mergeCell ref="N73:O73"/>
    <mergeCell ref="AG60:AH61"/>
    <mergeCell ref="K57:P57"/>
    <mergeCell ref="L65:L66"/>
    <mergeCell ref="C51:J51"/>
    <mergeCell ref="N65:N66"/>
    <mergeCell ref="W19:AH19"/>
    <mergeCell ref="N62:Q62"/>
    <mergeCell ref="N54:P54"/>
    <mergeCell ref="Q43:V43"/>
    <mergeCell ref="C17:M19"/>
    <mergeCell ref="N41:P41"/>
    <mergeCell ref="T14:V16"/>
    <mergeCell ref="AC28:AE28"/>
    <mergeCell ref="N51:P51"/>
    <mergeCell ref="C59:F59"/>
    <mergeCell ref="N56:P56"/>
    <mergeCell ref="K55:M55"/>
    <mergeCell ref="Q39:S39"/>
    <mergeCell ref="W36:AB36"/>
    <mergeCell ref="W30:AB30"/>
    <mergeCell ref="C14:E16"/>
    <mergeCell ref="K46:M46"/>
    <mergeCell ref="K40:M40"/>
    <mergeCell ref="C35:J35"/>
    <mergeCell ref="N68:O68"/>
    <mergeCell ref="AD68:AG68"/>
    <mergeCell ref="K77:K78"/>
    <mergeCell ref="V76:AB76"/>
    <mergeCell ref="AD67:AG67"/>
    <mergeCell ref="M24:X24"/>
    <mergeCell ref="I10:K10"/>
    <mergeCell ref="AF46:AH46"/>
    <mergeCell ref="C46:J46"/>
    <mergeCell ref="C7:E9"/>
    <mergeCell ref="AD69:AG69"/>
    <mergeCell ref="W44:Y44"/>
    <mergeCell ref="V77:AB77"/>
    <mergeCell ref="AC76:AC78"/>
    <mergeCell ref="X14:AH16"/>
    <mergeCell ref="K82:O82"/>
    <mergeCell ref="S60:V61"/>
    <mergeCell ref="AE82:AH82"/>
    <mergeCell ref="L87:N87"/>
    <mergeCell ref="A12:S12"/>
    <mergeCell ref="W26:AB26"/>
    <mergeCell ref="N8:O9"/>
    <mergeCell ref="K83:O83"/>
    <mergeCell ref="AF10:AH10"/>
    <mergeCell ref="V66:AB66"/>
    <mergeCell ref="S17:U19"/>
    <mergeCell ref="AE83:AH83"/>
    <mergeCell ref="K85:AH85"/>
    <mergeCell ref="AC29:AE29"/>
    <mergeCell ref="Z33:AB33"/>
    <mergeCell ref="M65:M66"/>
    <mergeCell ref="AC44:AE44"/>
    <mergeCell ref="W42:AB42"/>
    <mergeCell ref="O65:O66"/>
    <mergeCell ref="Z35:AB35"/>
    <mergeCell ref="W52:AB52"/>
    <mergeCell ref="K53:P53"/>
    <mergeCell ref="X67:X69"/>
    <mergeCell ref="Z34:AB34"/>
    <mergeCell ref="Y24:AH24"/>
    <mergeCell ref="Z28:AB28"/>
    <mergeCell ref="N67:O67"/>
    <mergeCell ref="E93:J93"/>
    <mergeCell ref="C82:C83"/>
    <mergeCell ref="C36:J36"/>
    <mergeCell ref="T66:U66"/>
    <mergeCell ref="AB92:AD92"/>
    <mergeCell ref="W40:Y40"/>
    <mergeCell ref="T39:V39"/>
    <mergeCell ref="C25:L25"/>
    <mergeCell ref="C62:F63"/>
    <mergeCell ref="W33:Y33"/>
    <mergeCell ref="N90:U90"/>
    <mergeCell ref="R86:AA88"/>
    <mergeCell ref="W35:Y35"/>
    <mergeCell ref="K79:AH79"/>
    <mergeCell ref="P13:S13"/>
    <mergeCell ref="Q10:S10"/>
    <mergeCell ref="W32:AB32"/>
    <mergeCell ref="F4:AH4"/>
    <mergeCell ref="K81:AH81"/>
    <mergeCell ref="Q26:V26"/>
    <mergeCell ref="U2:X3"/>
    <mergeCell ref="AD72:AG72"/>
    <mergeCell ref="U68:W68"/>
    <mergeCell ref="AF51:AH51"/>
    <mergeCell ref="C5:E6"/>
    <mergeCell ref="A13:B25"/>
    <mergeCell ref="C58:F58"/>
    <mergeCell ref="J14:M16"/>
    <mergeCell ref="C31:J33"/>
    <mergeCell ref="D64:I66"/>
    <mergeCell ref="F7:I7"/>
    <mergeCell ref="T27:V27"/>
    <mergeCell ref="M63:R63"/>
    <mergeCell ref="AC36:AH36"/>
    <mergeCell ref="N27:P27"/>
    <mergeCell ref="AA80:AB80"/>
    <mergeCell ref="Y21:AH21"/>
    <mergeCell ref="AC45:AE45"/>
    <mergeCell ref="K30:P30"/>
    <mergeCell ref="T13:X13"/>
    <mergeCell ref="Z49:AB49"/>
    <mergeCell ref="K95:M95"/>
    <mergeCell ref="AF33:AH33"/>
    <mergeCell ref="C86:D93"/>
    <mergeCell ref="K89:M89"/>
    <mergeCell ref="N91:AH91"/>
    <mergeCell ref="C4:E4"/>
    <mergeCell ref="K51:M51"/>
    <mergeCell ref="C26:J27"/>
    <mergeCell ref="Z50:AB50"/>
    <mergeCell ref="W54:Y54"/>
    <mergeCell ref="V92:W92"/>
    <mergeCell ref="K90:M90"/>
    <mergeCell ref="W47:AB47"/>
    <mergeCell ref="W41:Y41"/>
    <mergeCell ref="V67:W67"/>
    <mergeCell ref="C76:C78"/>
    <mergeCell ref="W56:Y56"/>
    <mergeCell ref="Z39:AB39"/>
    <mergeCell ref="Z60:AD61"/>
    <mergeCell ref="AC50:AE50"/>
    <mergeCell ref="K67:M69"/>
    <mergeCell ref="E86:J88"/>
    <mergeCell ref="W60:X61"/>
    <mergeCell ref="L80:N80"/>
    <mergeCell ref="AC27:AE27"/>
    <mergeCell ref="Y58:AC59"/>
    <mergeCell ref="N95:AB95"/>
    <mergeCell ref="Q28:S28"/>
    <mergeCell ref="U83:Y83"/>
    <mergeCell ref="Y12:Z12"/>
    <mergeCell ref="AA12:AB12"/>
    <mergeCell ref="E89:J90"/>
    <mergeCell ref="AC57:AH57"/>
    <mergeCell ref="K36:P36"/>
    <mergeCell ref="C21:L21"/>
    <mergeCell ref="AB90:AD90"/>
    <mergeCell ref="AF54:AH54"/>
    <mergeCell ref="Q29:S29"/>
    <mergeCell ref="J82:J83"/>
    <mergeCell ref="N33:P33"/>
    <mergeCell ref="C23:L23"/>
    <mergeCell ref="T55:V55"/>
    <mergeCell ref="N77:N78"/>
    <mergeCell ref="P77:P78"/>
    <mergeCell ref="AC55:AE55"/>
    <mergeCell ref="K31:AH31"/>
    <mergeCell ref="T78:U78"/>
    <mergeCell ref="K27:M27"/>
    <mergeCell ref="N28:P28"/>
    <mergeCell ref="AC46:AE46"/>
    <mergeCell ref="Y60:Y61"/>
    <mergeCell ref="AC40:AE40"/>
    <mergeCell ref="K70:M72"/>
    <mergeCell ref="P80:Q80"/>
    <mergeCell ref="R80:S80"/>
    <mergeCell ref="W48:AB48"/>
    <mergeCell ref="T46:V46"/>
    <mergeCell ref="S73:T75"/>
    <mergeCell ref="AC41:AE41"/>
    <mergeCell ref="Z45:AB45"/>
    <mergeCell ref="Q74:R74"/>
    <mergeCell ref="T62:W62"/>
    <mergeCell ref="Z55:AB55"/>
    <mergeCell ref="AC32:AH32"/>
    <mergeCell ref="K45:M45"/>
    <mergeCell ref="AC47:AH47"/>
    <mergeCell ref="K26:P26"/>
    <mergeCell ref="F5:AH6"/>
    <mergeCell ref="AE60:AF61"/>
    <mergeCell ref="M22:X22"/>
    <mergeCell ref="H62:K62"/>
    <mergeCell ref="T40:V40"/>
    <mergeCell ref="Q44:S44"/>
    <mergeCell ref="AD58:AF59"/>
    <mergeCell ref="Q36:V36"/>
    <mergeCell ref="Q30:V30"/>
    <mergeCell ref="N34:P34"/>
    <mergeCell ref="C24:L24"/>
    <mergeCell ref="AF2:AF3"/>
    <mergeCell ref="AH2:AH3"/>
    <mergeCell ref="Q45:S45"/>
    <mergeCell ref="N49:P49"/>
    <mergeCell ref="C13:E13"/>
    <mergeCell ref="J7:N7"/>
    <mergeCell ref="C64:C66"/>
    <mergeCell ref="T10:W10"/>
    <mergeCell ref="Z82:AD82"/>
    <mergeCell ref="K33:M33"/>
    <mergeCell ref="AJ43:AO43"/>
    <mergeCell ref="AA70:AA72"/>
    <mergeCell ref="T45:V45"/>
    <mergeCell ref="AD76:AH78"/>
    <mergeCell ref="O77:O78"/>
    <mergeCell ref="K35:M35"/>
    <mergeCell ref="C28:J28"/>
    <mergeCell ref="Q77:Q78"/>
    <mergeCell ref="Y25:AH25"/>
    <mergeCell ref="P70:P72"/>
    <mergeCell ref="C30:J30"/>
    <mergeCell ref="Q50:S50"/>
    <mergeCell ref="P7:AH9"/>
    <mergeCell ref="N13:O16"/>
    <mergeCell ref="T51:V51"/>
    <mergeCell ref="K52:P52"/>
    <mergeCell ref="S67:T69"/>
    <mergeCell ref="Q27:S27"/>
    <mergeCell ref="P73:P75"/>
    <mergeCell ref="AF41:AH41"/>
    <mergeCell ref="C48:J49"/>
    <mergeCell ref="J76:J78"/>
    <mergeCell ref="C41:J41"/>
    <mergeCell ref="AF35:AH35"/>
    <mergeCell ref="X10:Z10"/>
    <mergeCell ref="C56:J56"/>
    <mergeCell ref="U12:V12"/>
    <mergeCell ref="AB10:AD10"/>
    <mergeCell ref="W12:X12"/>
    <mergeCell ref="T76:U76"/>
    <mergeCell ref="Q57:V57"/>
    <mergeCell ref="T33:V33"/>
    <mergeCell ref="A64:B93"/>
    <mergeCell ref="K65:K66"/>
    <mergeCell ref="T35:V35"/>
    <mergeCell ref="Q52:V52"/>
    <mergeCell ref="Q55:S55"/>
    <mergeCell ref="K47:P47"/>
    <mergeCell ref="C34:J34"/>
    <mergeCell ref="K41:M41"/>
    <mergeCell ref="AC30:AH30"/>
    <mergeCell ref="N60:Q60"/>
    <mergeCell ref="AC94:AD95"/>
    <mergeCell ref="AD75:AG75"/>
    <mergeCell ref="Q40:S40"/>
    <mergeCell ref="N39:P39"/>
    <mergeCell ref="AE2:AE3"/>
    <mergeCell ref="X92:Z92"/>
    <mergeCell ref="AG2:AG3"/>
    <mergeCell ref="Y2:Y3"/>
    <mergeCell ref="M25:X25"/>
    <mergeCell ref="C29:J29"/>
    <mergeCell ref="Z29:AB29"/>
    <mergeCell ref="S76:S78"/>
    <mergeCell ref="J13:M13"/>
    <mergeCell ref="X70:X72"/>
    <mergeCell ref="Q32:V32"/>
    <mergeCell ref="D85:I85"/>
    <mergeCell ref="S63:X63"/>
    <mergeCell ref="W28:Y28"/>
    <mergeCell ref="AF56:AH56"/>
    <mergeCell ref="C61:M61"/>
    <mergeCell ref="F10:H10"/>
    <mergeCell ref="N50:P50"/>
    <mergeCell ref="K54:M54"/>
    <mergeCell ref="AD70:AG70"/>
    <mergeCell ref="C57:J57"/>
    <mergeCell ref="E91:J92"/>
    <mergeCell ref="T77:U77"/>
    <mergeCell ref="C42:J42"/>
    <mergeCell ref="Y71:Z71"/>
    <mergeCell ref="Q71:R71"/>
    <mergeCell ref="AG62:AH63"/>
    <mergeCell ref="AC42:AH42"/>
    <mergeCell ref="S64:S66"/>
    <mergeCell ref="M21:X21"/>
    <mergeCell ref="K48:P48"/>
    <mergeCell ref="A26:B57"/>
    <mergeCell ref="Q41:S41"/>
    <mergeCell ref="J94:J95"/>
    <mergeCell ref="W38:AB38"/>
    <mergeCell ref="AF28:AH28"/>
    <mergeCell ref="Q56:S56"/>
    <mergeCell ref="N55:P55"/>
    <mergeCell ref="C52:J52"/>
    <mergeCell ref="A4:B11"/>
    <mergeCell ref="AF39:AH39"/>
    <mergeCell ref="W34:Y34"/>
    <mergeCell ref="N61:Q61"/>
    <mergeCell ref="D84:I84"/>
    <mergeCell ref="V90:W90"/>
    <mergeCell ref="Y22:AH22"/>
    <mergeCell ref="Q68:R68"/>
    <mergeCell ref="X73:X75"/>
    <mergeCell ref="A96:J96"/>
    <mergeCell ref="AC26:AH26"/>
    <mergeCell ref="AC12:AD12"/>
    <mergeCell ref="AE12:AF12"/>
    <mergeCell ref="AD71:AG71"/>
    <mergeCell ref="AJ53:AO53"/>
    <mergeCell ref="AF50:AH50"/>
    <mergeCell ref="A61:B63"/>
    <mergeCell ref="C50:J50"/>
    <mergeCell ref="AD73:AG73"/>
    <mergeCell ref="C67:C75"/>
    <mergeCell ref="Z44:AB44"/>
    <mergeCell ref="AC80:AE80"/>
    <mergeCell ref="Q65:Q66"/>
    <mergeCell ref="AC51:AE51"/>
    <mergeCell ref="N17:R17"/>
    <mergeCell ref="M23:X23"/>
    <mergeCell ref="P82:T82"/>
    <mergeCell ref="V64:AB64"/>
    <mergeCell ref="AC52:AH52"/>
    <mergeCell ref="Q53:V53"/>
    <mergeCell ref="N19:R19"/>
    <mergeCell ref="O87:Q87"/>
    <mergeCell ref="C79:C81"/>
    <mergeCell ref="AF34:AH34"/>
    <mergeCell ref="W49:Y49"/>
    <mergeCell ref="G59:X59"/>
    <mergeCell ref="AF49:AH49"/>
    <mergeCell ref="AC64:AC66"/>
    <mergeCell ref="A58:B60"/>
    <mergeCell ref="Q51:S51"/>
    <mergeCell ref="K91:M91"/>
    <mergeCell ref="AF29:AH29"/>
    <mergeCell ref="AC33:AE33"/>
    <mergeCell ref="F11:J11"/>
    <mergeCell ref="P65:P66"/>
    <mergeCell ref="AF44:AH44"/>
    <mergeCell ref="C37:J39"/>
    <mergeCell ref="R65:R66"/>
    <mergeCell ref="AF80:AH80"/>
    <mergeCell ref="AC35:AE35"/>
    <mergeCell ref="AF55:AH55"/>
    <mergeCell ref="AH70:AH72"/>
    <mergeCell ref="W43:AB43"/>
    <mergeCell ref="AC34:AE34"/>
    <mergeCell ref="F14:I16"/>
    <mergeCell ref="T41:V41"/>
    <mergeCell ref="K42:P42"/>
    <mergeCell ref="T56:V56"/>
    <mergeCell ref="W39:Y39"/>
    <mergeCell ref="N92:U92"/>
    <mergeCell ref="F8:H9"/>
    <mergeCell ref="V78:AB78"/>
    <mergeCell ref="AH73:AH75"/>
    <mergeCell ref="AB67:AC69"/>
    <mergeCell ref="K37:AH37"/>
    <mergeCell ref="Z27:AB27"/>
    <mergeCell ref="D79:I81"/>
    <mergeCell ref="AD74:AG74"/>
    <mergeCell ref="AA73:AA75"/>
    <mergeCell ref="P83:T83"/>
    <mergeCell ref="AC53:AH53"/>
    <mergeCell ref="M10:O10"/>
    <mergeCell ref="K32:P32"/>
    <mergeCell ref="W50:Y50"/>
    <mergeCell ref="D82:I83"/>
    <mergeCell ref="AC38:AH38"/>
    <mergeCell ref="D76:I78"/>
    <mergeCell ref="AC54:AE54"/>
    <mergeCell ref="N29:P29"/>
    <mergeCell ref="K96:AH96"/>
    <mergeCell ref="W27:Y27"/>
    <mergeCell ref="M77:M78"/>
    <mergeCell ref="AC56:AE56"/>
    <mergeCell ref="K73:M75"/>
    <mergeCell ref="G63:L63"/>
    <mergeCell ref="AC49:AE49"/>
    <mergeCell ref="K28:M28"/>
    <mergeCell ref="Z46:AB46"/>
    <mergeCell ref="Z40:AB40"/>
    <mergeCell ref="W57:AB57"/>
    <mergeCell ref="N89:AH89"/>
    <mergeCell ref="AB70:AC72"/>
    <mergeCell ref="K92:M92"/>
    <mergeCell ref="K93:AH93"/>
    <mergeCell ref="Z54:AB54"/>
    <mergeCell ref="Z41:AB41"/>
    <mergeCell ref="Q42:V42"/>
    <mergeCell ref="W45:Y45"/>
    <mergeCell ref="N74:O74"/>
    <mergeCell ref="W55:Y55"/>
  </mergeCells>
  <conditionalFormatting sqref="W60:X61">
    <cfRule type="cellIs" priority="2" operator="equal" dxfId="0" stopIfTrue="1">
      <formula>1</formula>
    </cfRule>
  </conditionalFormatting>
  <conditionalFormatting sqref="AC34:AH36 AC40:AH42 AE60">
    <cfRule type="cellIs" priority="1" operator="equal" dxfId="0" stopIfTrue="1">
      <formula>0</formula>
    </cfRule>
  </conditionalFormatting>
  <dataValidations count="11">
    <dataValidation sqref="V18:AH18"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M10:O10 Q10:S10 X10:Z10 AB10:AD10 AF10:AH10" showDropDown="0" showInputMessage="1" showErrorMessage="1" allowBlank="1" error="全角数字で入力してください" imeMode="fullAlpha"/>
    <dataValidation sqref="G58:X58" showDropDown="0" showInputMessage="1" showErrorMessage="0" allowBlank="1" type="list" errorStyle="information">
      <formula1>"　　,障害者支援施設,旧法施設（身体障害者更生施設）,旧法施設（身体障害者療護施設）,旧法施設（身体障害者入所授産施設）,旧法施設（身体障害者通所授産施設）,旧法施設（知的障害者入所更生施設）,旧法施設（知的障害者通所更生施設）,旧法施設（知的障害者入所授産施設）,旧法施設（知的障害者通所授産施設）,旧法施設（知的障害者通勤寮）,療養介護,生活介護,児童デイサービス,自立訓練（機能訓練）,自立訓練（生活訓練）,就労継続支援（Ａ型）,就労継続支援（Ｂ型）,就労移行支援,特別養護老人ホーム"</formula1>
    </dataValidation>
    <dataValidation sqref="W53:AH53" showDropDown="0" showInputMessage="1" showErrorMessage="1" allowBlank="1" type="list" errorStyle="warning">
      <formula1>"　,調理員,事務職員,介助員"</formula1>
    </dataValidation>
    <dataValidation sqref="L80 N68 N71 N74 T80 U68:V68 U71:V71 U74:V74" showDropDown="0" showInputMessage="1" showErrorMessage="1" allowBlank="1" type="list">
      <formula1>"　,１,２,３,４,５,６,７,８,９,１０,１１,１２,１３,１４,１５,１６,１７,１８,１９,２０,２１,２２,２３,２４"</formula1>
    </dataValidation>
    <dataValidation sqref="K85:AH85" showDropDown="0" showInputMessage="1" showErrorMessage="1" allowBlank="1" type="list">
      <formula1>"　,運営規程に定めるとおり"</formula1>
    </dataValidation>
    <dataValidation sqref="K84:AH84" showDropDown="0" showInputMessage="1" showErrorMessage="1" allowBlank="1" type="list" errorStyle="warning">
      <formula1>"　,法定代理受領分：厚生労働大臣が定める基準の10/100、法定代理受領分以外：厚生労働大臣が定める基準"</formula1>
    </dataValidation>
    <dataValidation sqref="F4:AH4 F13:M13 J94 N94 AE94" showDropDown="0" showInputMessage="1" showErrorMessage="1" allowBlank="1" imeMode="halfKatakana"/>
    <dataValidation sqref="K28:AH30 K34:AH36 K40:AH42 K45:AH47 K50:AH52 K55:AH57 N60:Q61" showDropDown="0" showInputMessage="1" showErrorMessage="1" allowBlank="1" imeMode="halfAlpha"/>
    <dataValidation sqref="G63 K65 K77:R78 K83 L65:R66 M63 P83 S63 U83 Z83 AE83" showDropDown="0" showInputMessage="1" showErrorMessage="1" allowBlank="1" type="list">
      <formula1>"　,○"</formula1>
    </dataValidation>
    <dataValidation sqref="I10:K10 J7:N7 T13:X13 U12:V12 X90 X92 Y2:AH3 Y12:Z12 AB90:AD90 AB92:AD92 AC12:AD12 AD58:AF58 AD62:AF62 AF90 AF92" showDropDown="0" showInputMessage="1" showErrorMessage="1" allowBlank="1" imeMode="fullAlpha"/>
  </dataValidations>
  <printOptions horizontalCentered="1"/>
  <pageMargins left="0.5905511811023623" right="0.5905511811023623" top="0.3937007874015748" bottom="0.3937007874015748" header="0.5118110236220472" footer="0.5118110236220472"/>
  <pageSetup orientation="portrait" paperSize="9"/>
  <rowBreaks count="1" manualBreakCount="1">
    <brk id="63" min="0" max="33" man="1"/>
  </rowBreaks>
  <legacyDrawing xmlns:r="http://schemas.openxmlformats.org/officeDocument/2006/relationships" r:id="anysvml"/>
</worksheet>
</file>

<file path=xl/worksheets/sheet21.xml><?xml version="1.0" encoding="utf-8"?>
<worksheet xmlns="http://schemas.openxmlformats.org/spreadsheetml/2006/main">
  <sheetPr codeName="Sheet20">
    <outlinePr summaryBelow="1" summaryRight="1"/>
    <pageSetUpPr/>
  </sheetPr>
  <dimension ref="A1:AN68"/>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5"/>
    <col width="9" customWidth="1" style="1667" min="36" max="16384"/>
  </cols>
  <sheetData>
    <row r="1" ht="17.1" customHeight="1" s="4080" thickBot="1">
      <c r="A1" s="1213" t="inlineStr">
        <is>
          <t>付表１３　共同生活援助事業所（グループホーム）の指定に係る記載事項　その１</t>
        </is>
      </c>
      <c r="AN1" s="719">
        <f>HYPERLINK("#目次!A1","目次へ戻る")</f>
        <v/>
      </c>
    </row>
    <row r="2" ht="12" customHeight="1" s="4080">
      <c r="B2" s="45" t="n"/>
      <c r="C2" s="45" t="n"/>
      <c r="E2" s="1889" t="n"/>
      <c r="J2" s="2069" t="n"/>
      <c r="K2" s="1889" t="n"/>
      <c r="P2" s="45" t="n"/>
      <c r="Q2" s="1889" t="n"/>
      <c r="R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5" customHeight="1" s="4080">
      <c r="A4" s="4610" t="inlineStr">
        <is>
          <t>主たる事業所</t>
        </is>
      </c>
      <c r="B4" s="4082" t="n"/>
      <c r="C4" s="4180" t="inlineStr">
        <is>
          <t>ﾌﾘｶﾞﾅ</t>
        </is>
      </c>
      <c r="D4" s="4093" t="n"/>
      <c r="E4" s="4094" t="n"/>
      <c r="F4" s="4095" t="inlineStr">
        <is>
          <t>ｵﾘｰﾌﾞｱﾝﾆｼｸｼﾞｮｳ</t>
        </is>
      </c>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2" customHeight="1" s="4080">
      <c r="A5" s="4097" t="n"/>
      <c r="C5" s="4181" t="inlineStr">
        <is>
          <t>名　称</t>
        </is>
      </c>
      <c r="D5" s="4098" t="n"/>
      <c r="E5" s="4099" t="n"/>
      <c r="F5" s="4182" t="inlineStr">
        <is>
          <t>おりーぶ庵西九条</t>
        </is>
      </c>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2"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2.75" customHeight="1" s="4080">
      <c r="A7" s="4097" t="n"/>
      <c r="C7" s="4268" t="inlineStr">
        <is>
          <t>所在地</t>
        </is>
      </c>
      <c r="D7" s="4098" t="n"/>
      <c r="E7" s="4099" t="n"/>
      <c r="F7" s="1244" t="inlineStr">
        <is>
          <t>郵便番号（</t>
        </is>
      </c>
      <c r="G7" s="4098" t="n"/>
      <c r="H7" s="4098" t="n"/>
      <c r="I7" s="4098" t="n"/>
      <c r="J7" s="1287" t="inlineStr">
        <is>
          <t>554-0012</t>
        </is>
      </c>
      <c r="K7" s="4098" t="n"/>
      <c r="L7" s="4098" t="n"/>
      <c r="M7" s="4098" t="n"/>
      <c r="N7" s="4098" t="n"/>
      <c r="O7" s="1329" t="inlineStr">
        <is>
          <t>）</t>
        </is>
      </c>
      <c r="P7" s="4311" t="inlineStr">
        <is>
          <t>西九条4-8-25</t>
        </is>
      </c>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2.75" customHeight="1" s="4080">
      <c r="A8" s="4097" t="n"/>
      <c r="C8" s="4106" t="n"/>
      <c r="E8" s="4107" t="n"/>
      <c r="F8" s="1255" t="inlineStr">
        <is>
          <t>大阪市</t>
        </is>
      </c>
      <c r="I8" s="986" t="inlineStr">
        <is>
          <t>此花</t>
        </is>
      </c>
      <c r="N8" s="1260" t="inlineStr">
        <is>
          <t>区</t>
        </is>
      </c>
      <c r="AH8" s="4109" t="n"/>
    </row>
    <row r="9" ht="3.95" customHeight="1" s="4080">
      <c r="A9" s="4097" t="n"/>
      <c r="C9" s="4106" t="n"/>
      <c r="E9" s="4107"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882" t="inlineStr">
        <is>
          <t>06</t>
        </is>
      </c>
      <c r="J10" s="4110" t="n"/>
      <c r="K10" s="4110" t="n"/>
      <c r="L10" s="53" t="inlineStr">
        <is>
          <t>－</t>
        </is>
      </c>
      <c r="M10" s="920" t="inlineStr">
        <is>
          <t>4256</t>
        </is>
      </c>
      <c r="N10" s="4110" t="n"/>
      <c r="O10" s="4110" t="n"/>
      <c r="P10" s="53" t="inlineStr">
        <is>
          <t>－</t>
        </is>
      </c>
      <c r="Q10" s="878" t="inlineStr">
        <is>
          <t>5103</t>
        </is>
      </c>
      <c r="R10" s="4110" t="n"/>
      <c r="S10" s="4111" t="n"/>
      <c r="T10" s="4184" t="inlineStr">
        <is>
          <t>ＦＡＸ番号</t>
        </is>
      </c>
      <c r="U10" s="4110" t="n"/>
      <c r="V10" s="4110" t="n"/>
      <c r="W10" s="4111" t="n"/>
      <c r="X10" s="882" t="n"/>
      <c r="Y10" s="4110" t="n"/>
      <c r="Z10" s="4110" t="n"/>
      <c r="AA10" s="53" t="inlineStr">
        <is>
          <t>－</t>
        </is>
      </c>
      <c r="AB10" s="920" t="n"/>
      <c r="AC10" s="4110" t="n"/>
      <c r="AD10" s="4110" t="n"/>
      <c r="AE10" s="53" t="inlineStr">
        <is>
          <t>－</t>
        </is>
      </c>
      <c r="AF10" s="955" t="n"/>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18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5"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20" t="n"/>
      <c r="V12" s="4110" t="n"/>
      <c r="W12" s="1264" t="inlineStr">
        <is>
          <t>条第</t>
        </is>
      </c>
      <c r="X12" s="4110" t="n"/>
      <c r="Y12" s="920" t="n"/>
      <c r="Z12" s="4110" t="n"/>
      <c r="AA12" s="1264" t="inlineStr">
        <is>
          <t>項第</t>
        </is>
      </c>
      <c r="AB12" s="4110" t="n"/>
      <c r="AC12" s="920" t="n"/>
      <c r="AD12" s="4110" t="n"/>
      <c r="AE12" s="1264" t="inlineStr">
        <is>
          <t>号（</t>
        </is>
      </c>
      <c r="AF12" s="4110" t="n"/>
      <c r="AG12" s="920" t="n"/>
      <c r="AH12" s="2827" t="inlineStr">
        <is>
          <t>）</t>
        </is>
      </c>
    </row>
    <row r="13" ht="15" customHeight="1" s="4080">
      <c r="A13" s="4188" t="inlineStr">
        <is>
          <t>管　　理　　者</t>
        </is>
      </c>
      <c r="B13" s="4099" t="n"/>
      <c r="C13" s="4184" t="inlineStr">
        <is>
          <t>ﾌﾘｶﾞﾅ</t>
        </is>
      </c>
      <c r="D13" s="4110" t="n"/>
      <c r="E13" s="4111" t="n"/>
      <c r="F13" s="1278" t="n"/>
      <c r="G13" s="4110" t="n"/>
      <c r="H13" s="4110" t="n"/>
      <c r="I13" s="4189" t="n"/>
      <c r="J13" s="1280" t="n"/>
      <c r="K13" s="4110" t="n"/>
      <c r="L13" s="4110" t="n"/>
      <c r="M13" s="4111" t="n"/>
      <c r="N13" s="4185" t="inlineStr">
        <is>
          <t>住所</t>
        </is>
      </c>
      <c r="O13" s="4099" t="n"/>
      <c r="P13" s="1328" t="inlineStr">
        <is>
          <t>郵便番号（</t>
        </is>
      </c>
      <c r="Q13" s="4098" t="n"/>
      <c r="R13" s="4098" t="n"/>
      <c r="S13" s="4098" t="n"/>
      <c r="T13" s="1287" t="n"/>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2178" t="inlineStr">
        <is>
          <t>氏　　名</t>
        </is>
      </c>
      <c r="D14" s="4098" t="n"/>
      <c r="E14" s="4099" t="n"/>
      <c r="F14" s="1278" t="n"/>
      <c r="G14" s="4098" t="n"/>
      <c r="H14" s="4098" t="n"/>
      <c r="I14" s="4190" t="n"/>
      <c r="J14" s="1280" t="n"/>
      <c r="K14" s="4098" t="n"/>
      <c r="L14" s="4098" t="n"/>
      <c r="M14" s="4099" t="n"/>
      <c r="N14" s="4106" t="n"/>
      <c r="O14" s="4107" t="n"/>
      <c r="P14" s="1318" t="n"/>
      <c r="R14" s="2378" t="inlineStr">
        <is>
          <t>都</t>
        </is>
      </c>
      <c r="S14" s="2378" t="inlineStr">
        <is>
          <t>道</t>
        </is>
      </c>
      <c r="T14" s="1319" t="n"/>
      <c r="W14" s="2378" t="inlineStr">
        <is>
          <t>郡</t>
        </is>
      </c>
      <c r="X14" s="1686" t="n"/>
      <c r="AH14" s="4109" t="n"/>
    </row>
    <row r="15" ht="12" customHeight="1" s="4080">
      <c r="A15" s="4097" t="n"/>
      <c r="B15" s="4107" t="n"/>
      <c r="C15" s="4106" t="n"/>
      <c r="E15" s="4107" t="n"/>
      <c r="F15" s="4106" t="n"/>
      <c r="I15" s="4191" t="n"/>
      <c r="J15" s="4192" t="n"/>
      <c r="M15" s="4107" t="n"/>
      <c r="N15" s="4106" t="n"/>
      <c r="O15" s="4107" t="n"/>
      <c r="P15" s="4106" t="n"/>
      <c r="R15" s="2378" t="inlineStr">
        <is>
          <t>府</t>
        </is>
      </c>
      <c r="S15" s="2378" t="inlineStr">
        <is>
          <t>県</t>
        </is>
      </c>
      <c r="W15" s="2378" t="inlineStr">
        <is>
          <t>市</t>
        </is>
      </c>
      <c r="AH15" s="4109" t="n"/>
    </row>
    <row r="16" ht="3.95" customHeight="1" s="4080">
      <c r="A16" s="4097" t="n"/>
      <c r="B16" s="4107" t="n"/>
      <c r="C16" s="4106" t="n"/>
      <c r="E16" s="4107" t="n"/>
      <c r="F16" s="4102" t="n"/>
      <c r="G16" s="4103" t="n"/>
      <c r="H16" s="4103" t="n"/>
      <c r="I16" s="4193" t="n"/>
      <c r="J16" s="4194" t="n"/>
      <c r="K16" s="4103" t="n"/>
      <c r="L16" s="4103" t="n"/>
      <c r="M16" s="4104" t="n"/>
      <c r="N16" s="4102" t="n"/>
      <c r="O16" s="4104" t="n"/>
      <c r="P16" s="4102" t="n"/>
      <c r="Q16" s="4103" t="n"/>
      <c r="R16" s="1810" t="n"/>
      <c r="S16" s="1810" t="n"/>
      <c r="T16" s="4103" t="n"/>
      <c r="U16" s="4103" t="n"/>
      <c r="V16" s="4103" t="n"/>
      <c r="W16" s="1810" t="n"/>
      <c r="X16" s="4103" t="n"/>
      <c r="Y16" s="4103" t="n"/>
      <c r="Z16" s="4103" t="n"/>
      <c r="AA16" s="4103" t="n"/>
      <c r="AB16" s="4103" t="n"/>
      <c r="AC16" s="4103" t="n"/>
      <c r="AD16" s="4103" t="n"/>
      <c r="AE16" s="4103" t="n"/>
      <c r="AF16" s="4103" t="n"/>
      <c r="AG16" s="4103" t="n"/>
      <c r="AH16" s="4105" t="n"/>
    </row>
    <row r="17" ht="3.95" customHeight="1" s="4080">
      <c r="A17" s="4097" t="n"/>
      <c r="B17" s="4107" t="n"/>
      <c r="C17" s="1322"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78"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1325" t="inlineStr">
        <is>
          <t>無</t>
        </is>
      </c>
      <c r="R18" s="1332" t="n"/>
      <c r="S18" s="4106" t="n"/>
      <c r="U18" s="4107" t="n"/>
      <c r="V18" s="4312" t="n"/>
      <c r="AH18" s="4109" t="n"/>
    </row>
    <row r="19" ht="3.95" customHeight="1" s="4080">
      <c r="A19" s="4097" t="n"/>
      <c r="B19" s="4107" t="n"/>
      <c r="C19" s="4106" t="n"/>
      <c r="N19" s="4611" t="n"/>
      <c r="R19" s="4107" t="n"/>
      <c r="S19" s="4106" t="n"/>
      <c r="U19" s="4107" t="n"/>
      <c r="V19" s="1324" t="n"/>
      <c r="W19" s="2402" t="n"/>
      <c r="AH19" s="4109" t="n"/>
    </row>
    <row r="20" ht="17.25" customHeight="1" s="4080">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Height="1" s="4080">
      <c r="A21" s="4097" t="n"/>
      <c r="B21" s="4107" t="n"/>
      <c r="C21" s="1303" t="inlineStr">
        <is>
          <t>事　業　所　名</t>
        </is>
      </c>
      <c r="D21" s="4138" t="n"/>
      <c r="E21" s="4138" t="n"/>
      <c r="F21" s="4138" t="n"/>
      <c r="G21" s="4138" t="n"/>
      <c r="H21" s="4138" t="n"/>
      <c r="I21" s="4138" t="n"/>
      <c r="J21" s="4138" t="n"/>
      <c r="K21" s="4138" t="n"/>
      <c r="L21" s="4198" t="n"/>
      <c r="M21" s="1304" t="inlineStr">
        <is>
          <t>サービス種別</t>
        </is>
      </c>
      <c r="N21" s="4138" t="n"/>
      <c r="O21" s="4138" t="n"/>
      <c r="P21" s="4138" t="n"/>
      <c r="Q21" s="4138" t="n"/>
      <c r="R21" s="4138" t="n"/>
      <c r="S21" s="4138" t="n"/>
      <c r="T21" s="4138" t="n"/>
      <c r="U21" s="4138" t="n"/>
      <c r="V21" s="4138" t="n"/>
      <c r="W21" s="4138" t="n"/>
      <c r="X21" s="4198" t="n"/>
      <c r="Y21" s="1641" t="inlineStr">
        <is>
          <t>職　　　種</t>
        </is>
      </c>
      <c r="Z21" s="4138" t="n"/>
      <c r="AA21" s="4138" t="n"/>
      <c r="AB21" s="4138" t="n"/>
      <c r="AC21" s="4138" t="n"/>
      <c r="AD21" s="4138" t="n"/>
      <c r="AE21" s="4138" t="n"/>
      <c r="AF21" s="4138" t="n"/>
      <c r="AG21" s="4138" t="n"/>
      <c r="AH21" s="4198" t="n"/>
    </row>
    <row r="22" ht="15" customHeight="1" s="4080">
      <c r="A22" s="4097" t="n"/>
      <c r="B22" s="4107" t="n"/>
      <c r="C22" s="1347" t="n"/>
      <c r="D22" s="4098" t="n"/>
      <c r="E22" s="4098" t="n"/>
      <c r="F22" s="4098" t="n"/>
      <c r="G22" s="4098" t="n"/>
      <c r="H22" s="4098" t="n"/>
      <c r="I22" s="4098" t="n"/>
      <c r="J22" s="4098" t="n"/>
      <c r="K22" s="4098" t="n"/>
      <c r="L22" s="4190" t="n"/>
      <c r="M22" s="1348" t="n"/>
      <c r="N22" s="4098" t="n"/>
      <c r="O22" s="4098" t="n"/>
      <c r="P22" s="4098" t="n"/>
      <c r="Q22" s="4098" t="n"/>
      <c r="R22" s="4098" t="n"/>
      <c r="S22" s="4098" t="n"/>
      <c r="T22" s="4098" t="n"/>
      <c r="U22" s="4098" t="n"/>
      <c r="V22" s="4098" t="n"/>
      <c r="W22" s="4098" t="n"/>
      <c r="X22" s="4190" t="n"/>
      <c r="Y22" s="1349" t="n"/>
      <c r="Z22" s="4098" t="n"/>
      <c r="AA22" s="4098" t="n"/>
      <c r="AB22" s="4098" t="n"/>
      <c r="AC22" s="4098" t="n"/>
      <c r="AD22" s="4098" t="n"/>
      <c r="AE22" s="4098" t="n"/>
      <c r="AF22" s="4098" t="n"/>
      <c r="AG22" s="4098" t="n"/>
      <c r="AH22" s="4190" t="n"/>
    </row>
    <row r="23" ht="15" customHeight="1" s="4080">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1" t="n"/>
      <c r="Z23" s="4199" t="n"/>
      <c r="AA23" s="4199" t="n"/>
      <c r="AB23" s="4199" t="n"/>
      <c r="AC23" s="4199" t="n"/>
      <c r="AD23" s="4199" t="n"/>
      <c r="AE23" s="4199" t="n"/>
      <c r="AF23" s="4199" t="n"/>
      <c r="AG23" s="4199" t="n"/>
      <c r="AH23" s="4200" t="n"/>
    </row>
    <row r="24" ht="15" customHeight="1" s="4080">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1" t="n"/>
      <c r="Z24" s="4199" t="n"/>
      <c r="AA24" s="4199" t="n"/>
      <c r="AB24" s="4199" t="n"/>
      <c r="AC24" s="4199" t="n"/>
      <c r="AD24" s="4199" t="n"/>
      <c r="AE24" s="4199" t="n"/>
      <c r="AF24" s="4199" t="n"/>
      <c r="AG24" s="4199" t="n"/>
      <c r="AH24" s="4200" t="n"/>
    </row>
    <row r="25" ht="15" customHeight="1" s="4080">
      <c r="A25" s="4097" t="n"/>
      <c r="B25" s="4107" t="n"/>
      <c r="C25" s="1343" t="n"/>
      <c r="D25" s="4146" t="n"/>
      <c r="E25" s="4146" t="n"/>
      <c r="F25" s="4146" t="n"/>
      <c r="G25" s="4146" t="n"/>
      <c r="H25" s="4146" t="n"/>
      <c r="I25" s="4146" t="n"/>
      <c r="J25" s="4146" t="n"/>
      <c r="K25" s="4146" t="n"/>
      <c r="L25" s="4201" t="n"/>
      <c r="M25" s="1344" t="n"/>
      <c r="N25" s="4146" t="n"/>
      <c r="O25" s="4146" t="n"/>
      <c r="P25" s="4146" t="n"/>
      <c r="Q25" s="4146" t="n"/>
      <c r="R25" s="4146" t="n"/>
      <c r="S25" s="4146" t="n"/>
      <c r="T25" s="4146" t="n"/>
      <c r="U25" s="4146" t="n"/>
      <c r="V25" s="4146" t="n"/>
      <c r="W25" s="4146" t="n"/>
      <c r="X25" s="4201" t="n"/>
      <c r="Y25" s="1345" t="n"/>
      <c r="Z25" s="4146" t="n"/>
      <c r="AA25" s="4146" t="n"/>
      <c r="AB25" s="4146" t="n"/>
      <c r="AC25" s="4146" t="n"/>
      <c r="AD25" s="4146" t="n"/>
      <c r="AE25" s="4146" t="n"/>
      <c r="AF25" s="4146" t="n"/>
      <c r="AG25" s="4146" t="n"/>
      <c r="AH25" s="4201" t="n"/>
    </row>
    <row r="26" ht="12" customHeight="1" s="4080">
      <c r="A26" s="1766" t="inlineStr">
        <is>
          <t>サービス管理責任者</t>
        </is>
      </c>
      <c r="B26" s="2709" t="inlineStr">
        <is>
          <t>１</t>
        </is>
      </c>
      <c r="C26" s="4184" t="inlineStr">
        <is>
          <t>ﾌﾘｶﾞﾅ</t>
        </is>
      </c>
      <c r="D26" s="4110" t="n"/>
      <c r="E26" s="4111" t="n"/>
      <c r="F26" s="4612" t="n"/>
      <c r="G26" s="4110" t="n"/>
      <c r="H26" s="4110" t="n"/>
      <c r="I26" s="4204" t="n"/>
      <c r="J26" s="4613" t="n"/>
      <c r="K26" s="4110" t="n"/>
      <c r="L26" s="4110" t="n"/>
      <c r="M26" s="4111" t="n"/>
      <c r="N26" s="2164" t="inlineStr">
        <is>
          <t>住所</t>
        </is>
      </c>
      <c r="O26" s="4099" t="n"/>
      <c r="P26" s="1244" t="inlineStr">
        <is>
          <t>郵便番号（</t>
        </is>
      </c>
      <c r="Q26" s="4098" t="n"/>
      <c r="R26" s="4098" t="n"/>
      <c r="S26" s="4098" t="n"/>
      <c r="T26" s="1287" t="n"/>
      <c r="U26" s="4098" t="n"/>
      <c r="V26" s="4098" t="n"/>
      <c r="W26" s="4098" t="n"/>
      <c r="X26" s="4098" t="n"/>
      <c r="Y26" s="1329" t="inlineStr">
        <is>
          <t>）</t>
        </is>
      </c>
      <c r="Z26" s="1017" t="n"/>
      <c r="AA26" s="1017" t="n"/>
      <c r="AB26" s="1017" t="n"/>
      <c r="AC26" s="1017" t="n"/>
      <c r="AD26" s="1017" t="n"/>
      <c r="AE26" s="120" t="n"/>
      <c r="AF26" s="119" t="n"/>
      <c r="AG26" s="119" t="n"/>
      <c r="AH26" s="118" t="n"/>
    </row>
    <row r="27" ht="11.1" customHeight="1" s="4080">
      <c r="A27" s="4208" t="n"/>
      <c r="B27" s="4122" t="n"/>
      <c r="C27" s="4209" t="inlineStr">
        <is>
          <t>氏　　名</t>
        </is>
      </c>
      <c r="D27" s="4098" t="n"/>
      <c r="E27" s="4099" t="n"/>
      <c r="F27" s="4612" t="n"/>
      <c r="G27" s="4098" t="n"/>
      <c r="H27" s="4098" t="n"/>
      <c r="I27" s="4210" t="n"/>
      <c r="J27" s="4613" t="n"/>
      <c r="K27" s="4098" t="n"/>
      <c r="L27" s="4098" t="n"/>
      <c r="M27" s="4099" t="n"/>
      <c r="N27" s="4106" t="n"/>
      <c r="O27" s="4107" t="n"/>
      <c r="P27" s="1318" t="n"/>
      <c r="R27" s="2378" t="inlineStr">
        <is>
          <t>都</t>
        </is>
      </c>
      <c r="S27" s="2378" t="inlineStr">
        <is>
          <t>道</t>
        </is>
      </c>
      <c r="T27" s="1319" t="n"/>
      <c r="W27" s="2378" t="inlineStr">
        <is>
          <t>郡</t>
        </is>
      </c>
      <c r="X27" s="1686" t="n"/>
      <c r="AH27" s="4109" t="n"/>
    </row>
    <row r="28" ht="11.1" customHeight="1" s="4080">
      <c r="A28" s="4208" t="n"/>
      <c r="B28" s="4122" t="n"/>
      <c r="C28" s="4106" t="n"/>
      <c r="E28" s="4107" t="n"/>
      <c r="F28" s="4106" t="n"/>
      <c r="I28" s="4212" t="n"/>
      <c r="J28" s="4213" t="n"/>
      <c r="M28" s="4107" t="n"/>
      <c r="N28" s="4106" t="n"/>
      <c r="O28" s="4107" t="n"/>
      <c r="P28" s="4106" t="n"/>
      <c r="R28" s="2378" t="inlineStr">
        <is>
          <t>府</t>
        </is>
      </c>
      <c r="S28" s="2378" t="inlineStr">
        <is>
          <t>県</t>
        </is>
      </c>
      <c r="W28" s="2378" t="inlineStr">
        <is>
          <t>市</t>
        </is>
      </c>
      <c r="AH28" s="4109" t="n"/>
    </row>
    <row r="29" ht="3" customHeight="1" s="4080">
      <c r="A29" s="4208" t="n"/>
      <c r="B29" s="4122" t="n"/>
      <c r="C29" s="4102" t="n"/>
      <c r="D29" s="4103" t="n"/>
      <c r="E29" s="4104" t="n"/>
      <c r="F29" s="4102" t="n"/>
      <c r="G29" s="4103" t="n"/>
      <c r="H29" s="4103" t="n"/>
      <c r="I29" s="4215" t="n"/>
      <c r="J29" s="4216" t="n"/>
      <c r="K29" s="4103" t="n"/>
      <c r="L29" s="4103" t="n"/>
      <c r="M29" s="4104" t="n"/>
      <c r="N29" s="4102" t="n"/>
      <c r="O29" s="4104" t="n"/>
      <c r="P29" s="4102" t="n"/>
      <c r="Q29" s="4103" t="n"/>
      <c r="R29" s="1810" t="n"/>
      <c r="S29" s="1810" t="n"/>
      <c r="T29" s="4103" t="n"/>
      <c r="U29" s="4103" t="n"/>
      <c r="V29" s="4103" t="n"/>
      <c r="W29" s="1810" t="n"/>
      <c r="X29" s="4103" t="n"/>
      <c r="Y29" s="4103" t="n"/>
      <c r="Z29" s="4103" t="n"/>
      <c r="AA29" s="4103" t="n"/>
      <c r="AB29" s="4103" t="n"/>
      <c r="AC29" s="4103" t="n"/>
      <c r="AD29" s="4103" t="n"/>
      <c r="AE29" s="4103" t="n"/>
      <c r="AF29" s="4103" t="n"/>
      <c r="AG29" s="4103" t="n"/>
      <c r="AH29" s="4105" t="n"/>
    </row>
    <row r="30" ht="3.95" customHeight="1" s="4080">
      <c r="A30" s="4208" t="n"/>
      <c r="B30" s="4122" t="n"/>
      <c r="C30" s="1393" t="inlineStr">
        <is>
          <t>他の職務との兼務の有無及び職種</t>
        </is>
      </c>
      <c r="D30" s="4098" t="n"/>
      <c r="E30" s="4098" t="n"/>
      <c r="F30" s="4098" t="n"/>
      <c r="G30" s="4098" t="n"/>
      <c r="H30" s="4098" t="n"/>
      <c r="I30" s="4098" t="n"/>
      <c r="J30" s="4098" t="n"/>
      <c r="K30" s="4098" t="n"/>
      <c r="L30" s="4098" t="n"/>
      <c r="M30" s="4098" t="n"/>
      <c r="N30" s="4195" t="n"/>
      <c r="O30" s="4098" t="n"/>
      <c r="P30" s="4098" t="n"/>
      <c r="Q30" s="4098" t="n"/>
      <c r="R30" s="4099" t="n"/>
      <c r="S30" s="2163" t="inlineStr">
        <is>
          <t>職　　種</t>
        </is>
      </c>
      <c r="T30" s="4098" t="n"/>
      <c r="U30" s="4099" t="n"/>
      <c r="V30" s="1322" t="n"/>
      <c r="W30" s="1335" t="inlineStr">
        <is>
          <t xml:space="preserve">　</t>
        </is>
      </c>
      <c r="X30" s="4098" t="n"/>
      <c r="Y30" s="4098" t="n"/>
      <c r="Z30" s="4098" t="n"/>
      <c r="AA30" s="4098" t="n"/>
      <c r="AB30" s="4098" t="n"/>
      <c r="AC30" s="4098" t="n"/>
      <c r="AD30" s="4098" t="n"/>
      <c r="AE30" s="4098" t="n"/>
      <c r="AF30" s="4098" t="n"/>
      <c r="AG30" s="4098" t="n"/>
      <c r="AH30" s="4101" t="n"/>
    </row>
    <row r="31" ht="12" customHeight="1" s="4080">
      <c r="A31" s="4208" t="n"/>
      <c r="B31" s="4122" t="n"/>
      <c r="C31" s="4106" t="n"/>
      <c r="N31" s="1354" t="n"/>
      <c r="O31" s="1325" t="inlineStr">
        <is>
          <t>有</t>
        </is>
      </c>
      <c r="P31" s="1325" t="inlineStr">
        <is>
          <t>・</t>
        </is>
      </c>
      <c r="Q31" s="1325" t="inlineStr">
        <is>
          <t>無</t>
        </is>
      </c>
      <c r="R31" s="1332" t="n"/>
      <c r="S31" s="4106" t="n"/>
      <c r="U31" s="4107" t="n"/>
      <c r="V31" s="4312" t="n"/>
      <c r="AH31" s="4109" t="n"/>
    </row>
    <row r="32" ht="3.95" customHeight="1" s="4080">
      <c r="A32" s="4208" t="n"/>
      <c r="B32" s="4122" t="n"/>
      <c r="C32" s="4102" t="n"/>
      <c r="D32" s="4103" t="n"/>
      <c r="E32" s="4103" t="n"/>
      <c r="F32" s="4103" t="n"/>
      <c r="G32" s="4103" t="n"/>
      <c r="H32" s="4103" t="n"/>
      <c r="I32" s="4103" t="n"/>
      <c r="J32" s="4103" t="n"/>
      <c r="K32" s="4103" t="n"/>
      <c r="L32" s="4103" t="n"/>
      <c r="M32" s="4103" t="n"/>
      <c r="N32" s="4197" t="n"/>
      <c r="O32" s="4103" t="n"/>
      <c r="P32" s="4103" t="n"/>
      <c r="Q32" s="4103" t="n"/>
      <c r="R32" s="4104" t="n"/>
      <c r="S32" s="4102" t="n"/>
      <c r="T32" s="4103" t="n"/>
      <c r="U32" s="4104" t="n"/>
      <c r="V32" s="1326" t="n"/>
      <c r="W32" s="1299" t="n"/>
      <c r="X32" s="4103" t="n"/>
      <c r="Y32" s="4103" t="n"/>
      <c r="Z32" s="4103" t="n"/>
      <c r="AA32" s="4103" t="n"/>
      <c r="AB32" s="4103" t="n"/>
      <c r="AC32" s="4103" t="n"/>
      <c r="AD32" s="4103" t="n"/>
      <c r="AE32" s="4103" t="n"/>
      <c r="AF32" s="4103" t="n"/>
      <c r="AG32" s="4103" t="n"/>
      <c r="AH32" s="4105" t="n"/>
    </row>
    <row r="33" ht="12" customHeight="1" s="4080">
      <c r="A33" s="4208" t="n"/>
      <c r="B33" s="2709" t="inlineStr">
        <is>
          <t>２</t>
        </is>
      </c>
      <c r="C33" s="4184" t="inlineStr">
        <is>
          <t>ﾌﾘｶﾞﾅ</t>
        </is>
      </c>
      <c r="D33" s="4110" t="n"/>
      <c r="E33" s="4111" t="n"/>
      <c r="F33" s="4612" t="n"/>
      <c r="G33" s="4110" t="n"/>
      <c r="H33" s="4110" t="n"/>
      <c r="I33" s="4204" t="n"/>
      <c r="J33" s="4613" t="n"/>
      <c r="K33" s="4110" t="n"/>
      <c r="L33" s="4110" t="n"/>
      <c r="M33" s="4111" t="n"/>
      <c r="N33" s="2164" t="inlineStr">
        <is>
          <t>住所</t>
        </is>
      </c>
      <c r="O33" s="4099" t="n"/>
      <c r="P33" s="1244" t="inlineStr">
        <is>
          <t>郵便番号（</t>
        </is>
      </c>
      <c r="Q33" s="4098" t="n"/>
      <c r="R33" s="4098" t="n"/>
      <c r="S33" s="4098" t="n"/>
      <c r="T33" s="1287" t="n"/>
      <c r="U33" s="4098" t="n"/>
      <c r="V33" s="4098" t="n"/>
      <c r="W33" s="4098" t="n"/>
      <c r="X33" s="4098" t="n"/>
      <c r="Y33" s="1329" t="inlineStr">
        <is>
          <t>）</t>
        </is>
      </c>
      <c r="Z33" s="1017" t="n"/>
      <c r="AA33" s="1017" t="n"/>
      <c r="AB33" s="1017" t="n"/>
      <c r="AC33" s="1017" t="n"/>
      <c r="AD33" s="1017" t="n"/>
      <c r="AE33" s="120" t="n"/>
      <c r="AF33" s="119" t="n"/>
      <c r="AG33" s="119" t="n"/>
      <c r="AH33" s="118" t="n"/>
    </row>
    <row r="34" ht="11.1" customHeight="1" s="4080">
      <c r="A34" s="4208" t="n"/>
      <c r="B34" s="4122" t="n"/>
      <c r="C34" s="4209" t="inlineStr">
        <is>
          <t>氏　　名</t>
        </is>
      </c>
      <c r="D34" s="4098" t="n"/>
      <c r="E34" s="4099" t="n"/>
      <c r="F34" s="4612" t="n"/>
      <c r="G34" s="4098" t="n"/>
      <c r="H34" s="4098" t="n"/>
      <c r="I34" s="4210" t="n"/>
      <c r="J34" s="4613" t="n"/>
      <c r="K34" s="4098" t="n"/>
      <c r="L34" s="4098" t="n"/>
      <c r="M34" s="4099" t="n"/>
      <c r="N34" s="4106" t="n"/>
      <c r="O34" s="4107" t="n"/>
      <c r="P34" s="1318" t="n"/>
      <c r="R34" s="2378" t="inlineStr">
        <is>
          <t>都</t>
        </is>
      </c>
      <c r="S34" s="2378" t="inlineStr">
        <is>
          <t>道</t>
        </is>
      </c>
      <c r="T34" s="1389" t="n"/>
      <c r="W34" s="2378" t="inlineStr">
        <is>
          <t>郡</t>
        </is>
      </c>
      <c r="X34" s="1686" t="n"/>
      <c r="AH34" s="4109" t="n"/>
    </row>
    <row r="35" ht="11.1" customHeight="1" s="4080">
      <c r="A35" s="4208" t="n"/>
      <c r="B35" s="4122" t="n"/>
      <c r="C35" s="4106" t="n"/>
      <c r="E35" s="4107" t="n"/>
      <c r="F35" s="4106" t="n"/>
      <c r="I35" s="4212" t="n"/>
      <c r="J35" s="4213" t="n"/>
      <c r="M35" s="4107" t="n"/>
      <c r="N35" s="4106" t="n"/>
      <c r="O35" s="4107" t="n"/>
      <c r="P35" s="4106" t="n"/>
      <c r="R35" s="2378" t="inlineStr">
        <is>
          <t>府</t>
        </is>
      </c>
      <c r="S35" s="2378" t="inlineStr">
        <is>
          <t>県</t>
        </is>
      </c>
      <c r="W35" s="2378" t="inlineStr">
        <is>
          <t>市</t>
        </is>
      </c>
      <c r="AH35" s="4109" t="n"/>
    </row>
    <row r="36" ht="3" customHeight="1" s="4080">
      <c r="A36" s="4208" t="n"/>
      <c r="B36" s="4122" t="n"/>
      <c r="C36" s="4102" t="n"/>
      <c r="D36" s="4103" t="n"/>
      <c r="E36" s="4104" t="n"/>
      <c r="F36" s="4102" t="n"/>
      <c r="G36" s="4103" t="n"/>
      <c r="H36" s="4103" t="n"/>
      <c r="I36" s="4215" t="n"/>
      <c r="J36" s="4216" t="n"/>
      <c r="K36" s="4103" t="n"/>
      <c r="L36" s="4103" t="n"/>
      <c r="M36" s="4104" t="n"/>
      <c r="N36" s="4102" t="n"/>
      <c r="O36" s="4104" t="n"/>
      <c r="P36" s="4102" t="n"/>
      <c r="Q36" s="4103" t="n"/>
      <c r="R36" s="2378" t="n"/>
      <c r="S36" s="2378" t="n"/>
      <c r="T36" s="4103" t="n"/>
      <c r="U36" s="4103" t="n"/>
      <c r="V36" s="4103" t="n"/>
      <c r="W36" s="63" t="n"/>
      <c r="X36" s="4103" t="n"/>
      <c r="Y36" s="4103" t="n"/>
      <c r="Z36" s="4103" t="n"/>
      <c r="AA36" s="4103" t="n"/>
      <c r="AB36" s="4103" t="n"/>
      <c r="AC36" s="4103" t="n"/>
      <c r="AD36" s="4103" t="n"/>
      <c r="AE36" s="4103" t="n"/>
      <c r="AF36" s="4103" t="n"/>
      <c r="AG36" s="4103" t="n"/>
      <c r="AH36" s="4105" t="n"/>
    </row>
    <row r="37" ht="3.95" customHeight="1" s="4080">
      <c r="A37" s="4208" t="n"/>
      <c r="B37" s="4122" t="n"/>
      <c r="C37" s="1393" t="inlineStr">
        <is>
          <t>他の職務との兼務の有無及び職種</t>
        </is>
      </c>
      <c r="D37" s="4098" t="n"/>
      <c r="E37" s="4098" t="n"/>
      <c r="F37" s="4098" t="n"/>
      <c r="G37" s="4098" t="n"/>
      <c r="H37" s="4098" t="n"/>
      <c r="I37" s="4098" t="n"/>
      <c r="J37" s="4098" t="n"/>
      <c r="K37" s="4098" t="n"/>
      <c r="L37" s="4098" t="n"/>
      <c r="M37" s="4098" t="n"/>
      <c r="N37" s="4195" t="n"/>
      <c r="O37" s="4098" t="n"/>
      <c r="P37" s="4098" t="n"/>
      <c r="Q37" s="4098" t="n"/>
      <c r="R37" s="4099" t="n"/>
      <c r="S37" s="2163" t="inlineStr">
        <is>
          <t>職　　種</t>
        </is>
      </c>
      <c r="T37" s="4098" t="n"/>
      <c r="U37" s="4099" t="n"/>
      <c r="V37" s="4614" t="inlineStr">
        <is>
          <t xml:space="preserve">　</t>
        </is>
      </c>
      <c r="W37" s="4098" t="n"/>
      <c r="X37" s="4098" t="n"/>
      <c r="Y37" s="4098" t="n"/>
      <c r="Z37" s="4098" t="n"/>
      <c r="AA37" s="4098" t="n"/>
      <c r="AB37" s="4098" t="n"/>
      <c r="AC37" s="4098" t="n"/>
      <c r="AD37" s="4098" t="n"/>
      <c r="AE37" s="4098" t="n"/>
      <c r="AF37" s="4098" t="n"/>
      <c r="AG37" s="4098" t="n"/>
      <c r="AH37" s="4101" t="n"/>
    </row>
    <row r="38" ht="12" customHeight="1" s="4080">
      <c r="A38" s="4208" t="n"/>
      <c r="B38" s="4122" t="n"/>
      <c r="C38" s="4106" t="n"/>
      <c r="N38" s="1354" t="n"/>
      <c r="O38" s="1325" t="inlineStr">
        <is>
          <t>有</t>
        </is>
      </c>
      <c r="P38" s="1325" t="inlineStr">
        <is>
          <t>・</t>
        </is>
      </c>
      <c r="Q38" s="1325" t="inlineStr">
        <is>
          <t>無</t>
        </is>
      </c>
      <c r="R38" s="1332" t="n"/>
      <c r="S38" s="4106" t="n"/>
      <c r="U38" s="4107" t="n"/>
      <c r="V38" s="4312" t="n"/>
      <c r="AH38" s="4109" t="n"/>
    </row>
    <row r="39" ht="3.95" customHeight="1" s="4080">
      <c r="A39" s="4208" t="n"/>
      <c r="B39" s="4122" t="n"/>
      <c r="C39" s="4102" t="n"/>
      <c r="D39" s="4103" t="n"/>
      <c r="E39" s="4103" t="n"/>
      <c r="F39" s="4103" t="n"/>
      <c r="G39" s="4103" t="n"/>
      <c r="H39" s="4103" t="n"/>
      <c r="I39" s="4103" t="n"/>
      <c r="J39" s="4103" t="n"/>
      <c r="K39" s="4103" t="n"/>
      <c r="L39" s="4103" t="n"/>
      <c r="M39" s="4103" t="n"/>
      <c r="N39" s="4197" t="n"/>
      <c r="O39" s="4103" t="n"/>
      <c r="P39" s="4103" t="n"/>
      <c r="Q39" s="4103" t="n"/>
      <c r="R39" s="4104" t="n"/>
      <c r="S39" s="4102" t="n"/>
      <c r="T39" s="4103" t="n"/>
      <c r="U39" s="4104" t="n"/>
      <c r="V39" s="4615" t="n"/>
      <c r="W39" s="4103" t="n"/>
      <c r="X39" s="4103" t="n"/>
      <c r="Y39" s="4103" t="n"/>
      <c r="Z39" s="4103" t="n"/>
      <c r="AA39" s="4103" t="n"/>
      <c r="AB39" s="4103" t="n"/>
      <c r="AC39" s="4103" t="n"/>
      <c r="AD39" s="4103" t="n"/>
      <c r="AE39" s="4103" t="n"/>
      <c r="AF39" s="4103" t="n"/>
      <c r="AG39" s="4103" t="n"/>
      <c r="AH39" s="4105" t="n"/>
    </row>
    <row r="40" ht="15" customHeight="1" s="4080">
      <c r="A40" s="4271" t="inlineStr">
        <is>
          <t>職　員　の
職種・員数</t>
        </is>
      </c>
      <c r="B40" s="4099" t="n"/>
      <c r="C40" s="4272" t="inlineStr">
        <is>
          <t xml:space="preserve">　　　　　　 職種・勤務形態
常勤・非常勤の別</t>
        </is>
      </c>
      <c r="D40" s="4098" t="n"/>
      <c r="E40" s="4098" t="n"/>
      <c r="F40" s="4098" t="n"/>
      <c r="G40" s="4098" t="n"/>
      <c r="H40" s="4098" t="n"/>
      <c r="I40" s="4098" t="n"/>
      <c r="J40" s="4099" t="n"/>
      <c r="K40" s="4185" t="inlineStr">
        <is>
          <t>サービス管理責任者</t>
        </is>
      </c>
      <c r="L40" s="4110" t="n"/>
      <c r="M40" s="4110" t="n"/>
      <c r="N40" s="4110" t="n"/>
      <c r="O40" s="4110" t="n"/>
      <c r="P40" s="4111" t="n"/>
      <c r="Q40" s="4185" t="inlineStr">
        <is>
          <t>世　話　人</t>
        </is>
      </c>
      <c r="R40" s="4110" t="n"/>
      <c r="S40" s="4110" t="n"/>
      <c r="T40" s="4110" t="n"/>
      <c r="U40" s="4110" t="n"/>
      <c r="V40" s="4111" t="n"/>
      <c r="W40" s="4185" t="inlineStr">
        <is>
          <t>生活支援員</t>
        </is>
      </c>
      <c r="X40" s="4110" t="n"/>
      <c r="Y40" s="4110" t="n"/>
      <c r="Z40" s="4110" t="n"/>
      <c r="AA40" s="4110" t="n"/>
      <c r="AB40" s="4111" t="n"/>
      <c r="AC40" s="4509" t="n"/>
      <c r="AD40" s="4110" t="n"/>
      <c r="AE40" s="4110" t="n"/>
      <c r="AF40" s="4110" t="n"/>
      <c r="AG40" s="4110" t="n"/>
      <c r="AH40" s="4113" t="n"/>
    </row>
    <row r="41" ht="15" customHeight="1" s="4080">
      <c r="A41" s="4097" t="n"/>
      <c r="B41" s="4107" t="n"/>
      <c r="C41" s="4102" t="n"/>
      <c r="D41" s="4103" t="n"/>
      <c r="E41" s="4103" t="n"/>
      <c r="F41" s="4103" t="n"/>
      <c r="G41" s="4103" t="n"/>
      <c r="H41" s="4103" t="n"/>
      <c r="I41" s="4103" t="n"/>
      <c r="J41" s="4104" t="n"/>
      <c r="K41" s="1617" t="inlineStr">
        <is>
          <t>専従</t>
        </is>
      </c>
      <c r="L41" s="4110" t="n"/>
      <c r="M41" s="4189" t="n"/>
      <c r="N41" s="1603" t="inlineStr">
        <is>
          <t>兼務</t>
        </is>
      </c>
      <c r="O41" s="4110" t="n"/>
      <c r="P41" s="4189" t="n"/>
      <c r="Q41" s="1617" t="inlineStr">
        <is>
          <t>専従</t>
        </is>
      </c>
      <c r="R41" s="4110" t="n"/>
      <c r="S41" s="4189" t="n"/>
      <c r="T41" s="1603" t="inlineStr">
        <is>
          <t>兼務</t>
        </is>
      </c>
      <c r="U41" s="4110" t="n"/>
      <c r="V41" s="4189" t="n"/>
      <c r="W41" s="1617" t="inlineStr">
        <is>
          <t>専従</t>
        </is>
      </c>
      <c r="X41" s="4110" t="n"/>
      <c r="Y41" s="4189" t="n"/>
      <c r="Z41" s="1603" t="inlineStr">
        <is>
          <t>兼務</t>
        </is>
      </c>
      <c r="AA41" s="4110" t="n"/>
      <c r="AB41" s="4189" t="n"/>
      <c r="AC41" s="1617" t="inlineStr">
        <is>
          <t>専従</t>
        </is>
      </c>
      <c r="AD41" s="4110" t="n"/>
      <c r="AE41" s="4189" t="n"/>
      <c r="AF41" s="1603" t="inlineStr">
        <is>
          <t>兼務</t>
        </is>
      </c>
      <c r="AG41" s="4110" t="n"/>
      <c r="AH41" s="4189" t="n"/>
    </row>
    <row r="42" ht="15" customHeight="1" s="4080">
      <c r="A42" s="4097" t="n"/>
      <c r="B42" s="4107" t="n"/>
      <c r="C42" s="1268" t="inlineStr">
        <is>
          <t>常　　　　　勤（人）</t>
        </is>
      </c>
      <c r="D42" s="4110" t="n"/>
      <c r="E42" s="4110" t="n"/>
      <c r="F42" s="4110" t="n"/>
      <c r="G42" s="4110" t="n"/>
      <c r="H42" s="4110" t="n"/>
      <c r="I42" s="4110" t="n"/>
      <c r="J42" s="4111" t="n"/>
      <c r="K42" s="4327" t="n"/>
      <c r="L42" s="4110" t="n"/>
      <c r="M42" s="4189" t="n"/>
      <c r="N42" s="4364" t="n"/>
      <c r="O42" s="4110" t="n"/>
      <c r="P42" s="4111" t="n"/>
      <c r="Q42" s="4327" t="n"/>
      <c r="R42" s="4110" t="n"/>
      <c r="S42" s="4189" t="n"/>
      <c r="T42" s="4364" t="n"/>
      <c r="U42" s="4110" t="n"/>
      <c r="V42" s="4111" t="n"/>
      <c r="W42" s="4327" t="n"/>
      <c r="X42" s="4110" t="n"/>
      <c r="Y42" s="4189" t="n"/>
      <c r="Z42" s="4364" t="n"/>
      <c r="AA42" s="4110" t="n"/>
      <c r="AB42" s="4111" t="n"/>
      <c r="AC42" s="4327" t="n"/>
      <c r="AD42" s="4110" t="n"/>
      <c r="AE42" s="4189" t="n"/>
      <c r="AF42" s="4365" t="n"/>
      <c r="AG42" s="4110" t="n"/>
      <c r="AH42" s="4113" t="n"/>
    </row>
    <row r="43" ht="15" customHeight="1" s="4080">
      <c r="A43" s="4097" t="n"/>
      <c r="B43" s="4107" t="n"/>
      <c r="C43" s="1286" t="inlineStr">
        <is>
          <t>非　　常　　勤（人）</t>
        </is>
      </c>
      <c r="D43" s="4103" t="n"/>
      <c r="E43" s="4103" t="n"/>
      <c r="F43" s="4103" t="n"/>
      <c r="G43" s="4103" t="n"/>
      <c r="H43" s="4103" t="n"/>
      <c r="I43" s="4103" t="n"/>
      <c r="J43" s="4104" t="n"/>
      <c r="K43" s="4327" t="n"/>
      <c r="L43" s="4110" t="n"/>
      <c r="M43" s="4189" t="n"/>
      <c r="N43" s="4364" t="n"/>
      <c r="O43" s="4110" t="n"/>
      <c r="P43" s="4111" t="n"/>
      <c r="Q43" s="4327" t="n"/>
      <c r="R43" s="4110" t="n"/>
      <c r="S43" s="4189" t="n"/>
      <c r="T43" s="4364" t="n"/>
      <c r="U43" s="4110" t="n"/>
      <c r="V43" s="4111" t="n"/>
      <c r="W43" s="4327" t="n"/>
      <c r="X43" s="4110" t="n"/>
      <c r="Y43" s="4189" t="n"/>
      <c r="Z43" s="4364" t="n"/>
      <c r="AA43" s="4110" t="n"/>
      <c r="AB43" s="4111" t="n"/>
      <c r="AC43" s="4327" t="n"/>
      <c r="AD43" s="4110" t="n"/>
      <c r="AE43" s="4189" t="n"/>
      <c r="AF43" s="4365" t="n"/>
      <c r="AG43" s="4110" t="n"/>
      <c r="AH43" s="4113" t="n"/>
    </row>
    <row r="44" ht="15" customHeight="1" s="4080">
      <c r="A44" s="4114" t="n"/>
      <c r="B44" s="4104" t="n"/>
      <c r="C44" s="1268" t="inlineStr">
        <is>
          <t>常勤換算後の人数（人）</t>
        </is>
      </c>
      <c r="D44" s="4110" t="n"/>
      <c r="E44" s="4110" t="n"/>
      <c r="F44" s="4110" t="n"/>
      <c r="G44" s="4110" t="n"/>
      <c r="H44" s="4110" t="n"/>
      <c r="I44" s="4110" t="n"/>
      <c r="J44" s="4111" t="n"/>
      <c r="K44" s="4616" t="n"/>
      <c r="L44" s="4110" t="n"/>
      <c r="M44" s="4110" t="n"/>
      <c r="N44" s="4110" t="n"/>
      <c r="O44" s="4110" t="n"/>
      <c r="P44" s="4111" t="n"/>
      <c r="Q44" s="4616" t="n"/>
      <c r="R44" s="4110" t="n"/>
      <c r="S44" s="4110" t="n"/>
      <c r="T44" s="4110" t="n"/>
      <c r="U44" s="4110" t="n"/>
      <c r="V44" s="4111" t="n"/>
      <c r="W44" s="4616" t="n"/>
      <c r="X44" s="4110" t="n"/>
      <c r="Y44" s="4110" t="n"/>
      <c r="Z44" s="4110" t="n"/>
      <c r="AA44" s="4110" t="n"/>
      <c r="AB44" s="4111" t="n"/>
      <c r="AC44" s="4617" t="n"/>
      <c r="AD44" s="4110" t="n"/>
      <c r="AE44" s="4110" t="n"/>
      <c r="AF44" s="4110" t="n"/>
      <c r="AG44" s="4110" t="n"/>
      <c r="AH44" s="4113" t="n"/>
    </row>
    <row r="45" ht="3" customHeight="1" s="4080">
      <c r="A45" s="4618" t="inlineStr">
        <is>
          <t>利用定員</t>
        </is>
      </c>
      <c r="B45" s="4098" t="n"/>
      <c r="C45" s="4098" t="n"/>
      <c r="D45" s="4098" t="n"/>
      <c r="E45" s="4098" t="n"/>
      <c r="F45" s="4098" t="n"/>
      <c r="G45" s="4099" t="n"/>
      <c r="H45" s="967" t="n"/>
      <c r="I45" s="4098" t="n"/>
      <c r="J45" s="4619" t="inlineStr">
        <is>
          <t>人</t>
        </is>
      </c>
      <c r="K45" s="2163" t="inlineStr">
        <is>
          <t>短期入所実施の有無</t>
        </is>
      </c>
      <c r="L45" s="4098" t="n"/>
      <c r="M45" s="4098" t="n"/>
      <c r="N45" s="4098" t="n"/>
      <c r="O45" s="4098" t="n"/>
      <c r="P45" s="4098" t="n"/>
      <c r="Q45" s="4099" t="n"/>
      <c r="R45" s="369" t="n"/>
      <c r="S45" s="1591" t="n"/>
      <c r="T45" s="1591" t="n"/>
      <c r="U45" s="4620" t="n"/>
      <c r="V45" s="4621" t="n"/>
      <c r="W45" s="2163" t="inlineStr">
        <is>
          <t>短期入所実施の利用定員</t>
        </is>
      </c>
      <c r="X45" s="4098" t="n"/>
      <c r="Y45" s="4098" t="n"/>
      <c r="Z45" s="4098" t="n"/>
      <c r="AA45" s="4098" t="n"/>
      <c r="AB45" s="4098" t="n"/>
      <c r="AC45" s="4098" t="n"/>
      <c r="AD45" s="4098" t="n"/>
      <c r="AE45" s="4099" t="n"/>
      <c r="AF45" s="967" t="n"/>
      <c r="AG45" s="4098" t="n"/>
      <c r="AH45" s="1302" t="inlineStr">
        <is>
          <t>人</t>
        </is>
      </c>
    </row>
    <row r="46" ht="15" customHeight="1" s="4080">
      <c r="A46" s="4097" t="n"/>
      <c r="G46" s="4107" t="n"/>
      <c r="H46" s="4106" t="n"/>
      <c r="J46" s="4107" t="n"/>
      <c r="K46" s="4106" t="n"/>
      <c r="Q46" s="4107" t="n"/>
      <c r="R46" s="373" t="n"/>
      <c r="S46" s="2378" t="inlineStr">
        <is>
          <t>無</t>
        </is>
      </c>
      <c r="T46" s="374" t="inlineStr">
        <is>
          <t>・</t>
        </is>
      </c>
      <c r="U46" s="3376" t="inlineStr">
        <is>
          <t>有</t>
        </is>
      </c>
      <c r="V46" s="376" t="n"/>
      <c r="W46" s="4106" t="n"/>
      <c r="AE46" s="4107" t="n"/>
      <c r="AF46" s="4106" t="n"/>
      <c r="AH46" s="4109" t="n"/>
    </row>
    <row r="47" ht="3" customHeight="1" s="4080">
      <c r="A47" s="4114" t="n"/>
      <c r="B47" s="4103" t="n"/>
      <c r="C47" s="4103" t="n"/>
      <c r="D47" s="4103" t="n"/>
      <c r="E47" s="4103" t="n"/>
      <c r="F47" s="4103" t="n"/>
      <c r="G47" s="4104" t="n"/>
      <c r="H47" s="4102" t="n"/>
      <c r="I47" s="4103" t="n"/>
      <c r="J47" s="4104" t="n"/>
      <c r="K47" s="4102" t="n"/>
      <c r="L47" s="4103" t="n"/>
      <c r="M47" s="4103" t="n"/>
      <c r="N47" s="4103" t="n"/>
      <c r="O47" s="4103" t="n"/>
      <c r="P47" s="4103" t="n"/>
      <c r="Q47" s="4104" t="n"/>
      <c r="R47" s="377" t="n"/>
      <c r="S47" s="1687" t="n"/>
      <c r="T47" s="1687" t="n"/>
      <c r="U47" s="2836" t="n"/>
      <c r="V47" s="2838" t="n"/>
      <c r="W47" s="4102" t="n"/>
      <c r="X47" s="4103" t="n"/>
      <c r="Y47" s="4103" t="n"/>
      <c r="Z47" s="4103" t="n"/>
      <c r="AA47" s="4103" t="n"/>
      <c r="AB47" s="4103" t="n"/>
      <c r="AC47" s="4103" t="n"/>
      <c r="AD47" s="4103" t="n"/>
      <c r="AE47" s="4104" t="n"/>
      <c r="AF47" s="4102" t="n"/>
      <c r="AG47" s="4103" t="n"/>
      <c r="AH47" s="4105" t="n"/>
    </row>
    <row r="48" ht="24" customHeight="1" s="4080">
      <c r="A48" s="4622" t="inlineStr">
        <is>
          <t>前年度利用者数
(又は推定数)</t>
        </is>
      </c>
      <c r="B48" s="4098" t="n"/>
      <c r="C48" s="4099" t="n"/>
      <c r="D48" s="4623" t="n"/>
      <c r="E48" s="4110" t="n"/>
      <c r="F48" s="4110" t="n"/>
      <c r="G48" s="4111" t="n"/>
      <c r="H48" s="4624" t="inlineStr">
        <is>
          <t>区分１</t>
        </is>
      </c>
      <c r="I48" s="4103" t="n"/>
      <c r="J48" s="4104" t="n"/>
      <c r="K48" s="4624" t="inlineStr">
        <is>
          <t>区分２</t>
        </is>
      </c>
      <c r="L48" s="4103" t="n"/>
      <c r="M48" s="4104" t="n"/>
      <c r="N48" s="4624" t="inlineStr">
        <is>
          <t>区分３</t>
        </is>
      </c>
      <c r="O48" s="4103" t="n"/>
      <c r="P48" s="4104" t="n"/>
      <c r="Q48" s="4624" t="inlineStr">
        <is>
          <t>区分４</t>
        </is>
      </c>
      <c r="R48" s="4103" t="n"/>
      <c r="S48" s="4104" t="n"/>
      <c r="T48" s="4624" t="inlineStr">
        <is>
          <t>区分５</t>
        </is>
      </c>
      <c r="U48" s="4103" t="n"/>
      <c r="V48" s="4104" t="n"/>
      <c r="W48" s="4624" t="inlineStr">
        <is>
          <t>区分６</t>
        </is>
      </c>
      <c r="X48" s="4103" t="n"/>
      <c r="Y48" s="4104" t="n"/>
      <c r="Z48" s="4625" t="inlineStr">
        <is>
          <t>前年度
開所日数</t>
        </is>
      </c>
      <c r="AA48" s="4103" t="n"/>
      <c r="AB48" s="4104" t="n"/>
      <c r="AC48" s="4626" t="inlineStr">
        <is>
          <t>平均障がい
支援区分</t>
        </is>
      </c>
      <c r="AD48" s="4110" t="n"/>
      <c r="AE48" s="4111" t="n"/>
      <c r="AF48" s="4627" t="inlineStr">
        <is>
          <t>平均
利用者数</t>
        </is>
      </c>
      <c r="AG48" s="4103" t="n"/>
      <c r="AH48" s="4105" t="n"/>
    </row>
    <row r="49" ht="15" customHeight="1" s="4080">
      <c r="A49" s="4097" t="n"/>
      <c r="C49" s="4107" t="n"/>
      <c r="D49" s="4628" t="inlineStr">
        <is>
          <t>共同生活援助</t>
        </is>
      </c>
      <c r="E49" s="4110" t="n"/>
      <c r="F49" s="4110" t="n"/>
      <c r="G49" s="4111" t="n"/>
      <c r="H49" s="4351" t="n"/>
      <c r="I49" s="4110" t="n"/>
      <c r="J49" s="4350" t="inlineStr">
        <is>
          <t>人</t>
        </is>
      </c>
      <c r="K49" s="4351" t="n"/>
      <c r="L49" s="4110" t="n"/>
      <c r="M49" s="4350" t="inlineStr">
        <is>
          <t>人</t>
        </is>
      </c>
      <c r="N49" s="4351" t="n"/>
      <c r="O49" s="4110" t="n"/>
      <c r="P49" s="4350" t="inlineStr">
        <is>
          <t>人</t>
        </is>
      </c>
      <c r="Q49" s="4351" t="n"/>
      <c r="R49" s="4110" t="n"/>
      <c r="S49" s="4350" t="inlineStr">
        <is>
          <t>人</t>
        </is>
      </c>
      <c r="T49" s="4351" t="n"/>
      <c r="U49" s="4110" t="n"/>
      <c r="V49" s="4350" t="inlineStr">
        <is>
          <t>人</t>
        </is>
      </c>
      <c r="W49" s="4351" t="n"/>
      <c r="X49" s="4110" t="n"/>
      <c r="Y49" s="4350" t="inlineStr">
        <is>
          <t>人</t>
        </is>
      </c>
      <c r="Z49" s="4351" t="n"/>
      <c r="AA49" s="4110" t="n"/>
      <c r="AB49" s="4629" t="inlineStr">
        <is>
          <t>日</t>
        </is>
      </c>
      <c r="AC49" s="4630">
        <f>IF(Z49=0," ",ROUND(((3*N49)+(4*Q49)+(5*T49)+(6*W49)+(1*H49)+(2*K49))/(H49+K49+N49+Q49+T49+W49),1))</f>
        <v/>
      </c>
      <c r="AD49" s="4110" t="n"/>
      <c r="AE49" s="4111" t="n"/>
      <c r="AF49" s="4631">
        <f>IF(Z49=0," ",ROUNDUP((H49+K49+N49+Q49+T49+W49)/Z49,1))</f>
        <v/>
      </c>
      <c r="AG49" s="4110" t="n"/>
      <c r="AH49" s="4632" t="inlineStr">
        <is>
          <t>人</t>
        </is>
      </c>
    </row>
    <row r="50" ht="15" customHeight="1" s="4080">
      <c r="A50" s="4114" t="n"/>
      <c r="B50" s="4103" t="n"/>
      <c r="C50" s="4104" t="n"/>
      <c r="D50" s="2744" t="inlineStr">
        <is>
          <t>短期入所</t>
        </is>
      </c>
      <c r="E50" s="4110" t="n"/>
      <c r="F50" s="4110" t="n"/>
      <c r="G50" s="4111" t="n"/>
      <c r="H50" s="4351" t="n"/>
      <c r="I50" s="4110" t="n"/>
      <c r="J50" s="4350" t="inlineStr">
        <is>
          <t>人</t>
        </is>
      </c>
      <c r="K50" s="4351" t="n"/>
      <c r="L50" s="4110" t="n"/>
      <c r="M50" s="4350" t="inlineStr">
        <is>
          <t>人</t>
        </is>
      </c>
      <c r="N50" s="4351" t="n"/>
      <c r="O50" s="4110" t="n"/>
      <c r="P50" s="4350" t="inlineStr">
        <is>
          <t>人</t>
        </is>
      </c>
      <c r="Q50" s="4351" t="n"/>
      <c r="R50" s="4110" t="n"/>
      <c r="S50" s="4350" t="inlineStr">
        <is>
          <t>人</t>
        </is>
      </c>
      <c r="T50" s="4351" t="n"/>
      <c r="U50" s="4110" t="n"/>
      <c r="V50" s="4350" t="inlineStr">
        <is>
          <t>人</t>
        </is>
      </c>
      <c r="W50" s="4351" t="n"/>
      <c r="X50" s="4110" t="n"/>
      <c r="Y50" s="4350" t="inlineStr">
        <is>
          <t>人</t>
        </is>
      </c>
      <c r="Z50" s="4351" t="n"/>
      <c r="AA50" s="4110" t="n"/>
      <c r="AB50" s="4629" t="inlineStr">
        <is>
          <t>日</t>
        </is>
      </c>
      <c r="AC50" s="4630">
        <f>IF(Z50=0," ",ROUND(((3*N50)+(4*Q50)+(5*T50)+(6*W50)+(1*H50)+(2*K50))/(H50+K50+N50+Q50+T50+W50),1))</f>
        <v/>
      </c>
      <c r="AD50" s="4110" t="n"/>
      <c r="AE50" s="4111" t="n"/>
      <c r="AF50" s="4631">
        <f>IF(Z50=0," ",ROUNDUP((H50+K50+N50+Q50+T50+W50)/Z50,1))</f>
        <v/>
      </c>
      <c r="AG50" s="4110" t="n"/>
      <c r="AH50" s="4632" t="inlineStr">
        <is>
          <t>人</t>
        </is>
      </c>
    </row>
    <row r="51" ht="3.95" customHeight="1" s="4080">
      <c r="A51" s="4633" t="inlineStr">
        <is>
          <t>サービスの提供形態（該当部分に○）</t>
        </is>
      </c>
      <c r="B51" s="4098" t="n"/>
      <c r="C51" s="4098" t="n"/>
      <c r="D51" s="4098" t="n"/>
      <c r="E51" s="4098" t="n"/>
      <c r="F51" s="4099" t="n"/>
      <c r="G51" s="4634" t="inlineStr">
        <is>
          <t>介護サービス包括型</t>
        </is>
      </c>
      <c r="H51" s="4098" t="n"/>
      <c r="I51" s="4098" t="n"/>
      <c r="J51" s="4098" t="n"/>
      <c r="K51" s="4098" t="n"/>
      <c r="L51" s="4099" t="n"/>
      <c r="M51" s="382" t="n"/>
      <c r="N51" s="2069" t="n"/>
      <c r="O51" s="2069" t="n"/>
      <c r="P51" s="2069" t="n"/>
      <c r="Q51" s="1290" t="n"/>
      <c r="R51" s="1325" t="n"/>
      <c r="V51" s="1661" t="n"/>
      <c r="W51" s="1661" t="n"/>
      <c r="X51" s="1661" t="n"/>
      <c r="Y51" s="1661" t="n"/>
      <c r="Z51" s="1661" t="n"/>
      <c r="AA51" s="1661" t="n"/>
      <c r="AB51" s="1661" t="n"/>
      <c r="AC51" s="1661" t="n"/>
      <c r="AD51" s="1661" t="n"/>
      <c r="AE51" s="1661" t="n"/>
      <c r="AF51" s="1661" t="n"/>
      <c r="AG51" s="1661" t="n"/>
      <c r="AH51" s="1662" t="n"/>
    </row>
    <row r="52" ht="13.5" customHeight="1" s="4080">
      <c r="A52" s="4097" t="n"/>
      <c r="F52" s="4107" t="n"/>
      <c r="G52" s="4106" t="n"/>
      <c r="L52" s="4107" t="n"/>
      <c r="M52" s="384" t="inlineStr">
        <is>
          <t xml:space="preserve">　</t>
        </is>
      </c>
      <c r="N52" s="385" t="inlineStr">
        <is>
          <t>生活支援員の業務の外部委託の予定</t>
        </is>
      </c>
      <c r="V52" s="1658" t="n"/>
      <c r="W52" s="1658" t="n"/>
      <c r="X52" s="1453" t="inlineStr">
        <is>
          <t>有</t>
        </is>
      </c>
      <c r="Y52" s="2754" t="inlineStr">
        <is>
          <t>（月</t>
        </is>
      </c>
      <c r="AA52" s="2755" t="n"/>
      <c r="AD52" s="2756" t="inlineStr">
        <is>
          <t>時間）・</t>
        </is>
      </c>
      <c r="AG52" s="1458" t="inlineStr">
        <is>
          <t>無</t>
        </is>
      </c>
      <c r="AH52" s="1659" t="n"/>
    </row>
    <row r="53" ht="3.95" customHeight="1" s="4080">
      <c r="A53" s="4097" t="n"/>
      <c r="F53" s="4107" t="n"/>
      <c r="G53" s="4102" t="n"/>
      <c r="H53" s="4103" t="n"/>
      <c r="I53" s="4103" t="n"/>
      <c r="J53" s="4103" t="n"/>
      <c r="K53" s="4103" t="n"/>
      <c r="L53" s="4104" t="n"/>
      <c r="M53" s="388" t="n"/>
      <c r="N53" s="2069" t="n"/>
      <c r="O53" s="2069" t="n"/>
      <c r="P53" s="2069" t="n"/>
      <c r="Q53" s="1889" t="n"/>
      <c r="S53" s="1889" t="n"/>
      <c r="T53" s="1889" t="n"/>
      <c r="U53" s="1889" t="n"/>
      <c r="V53" s="1658" t="n"/>
      <c r="W53" s="1658" t="n"/>
      <c r="X53" s="1658" t="n"/>
      <c r="Y53" s="1658" t="n"/>
      <c r="Z53" s="1658" t="n"/>
      <c r="AA53" s="1658" t="n"/>
      <c r="AB53" s="1658" t="n"/>
      <c r="AC53" s="1658" t="n"/>
      <c r="AD53" s="389" t="n"/>
      <c r="AE53" s="389" t="n"/>
      <c r="AF53" s="389" t="n"/>
      <c r="AG53" s="389" t="n"/>
      <c r="AH53" s="390" t="n"/>
    </row>
    <row r="54" ht="21" customHeight="1" s="4080">
      <c r="A54" s="4114" t="n"/>
      <c r="B54" s="4103" t="n"/>
      <c r="C54" s="4103" t="n"/>
      <c r="D54" s="4103" t="n"/>
      <c r="E54" s="4103" t="n"/>
      <c r="F54" s="4104" t="n"/>
      <c r="G54" s="4634" t="inlineStr">
        <is>
          <t>外部サービス利用型</t>
        </is>
      </c>
      <c r="H54" s="4110" t="n"/>
      <c r="I54" s="4110" t="n"/>
      <c r="J54" s="4110" t="n"/>
      <c r="K54" s="4110" t="n"/>
      <c r="L54" s="4111" t="n"/>
      <c r="M54" s="391" t="n"/>
      <c r="N54" s="2757" t="inlineStr">
        <is>
          <t>受託居宅介護サービス事業者が事業を行う事業所の名称
及び所在地並びに当該事業者の名称及び所在地</t>
        </is>
      </c>
      <c r="O54" s="4110" t="n"/>
      <c r="P54" s="4110" t="n"/>
      <c r="Q54" s="4110" t="n"/>
      <c r="R54" s="4110" t="n"/>
      <c r="S54" s="4110" t="n"/>
      <c r="T54" s="4110" t="n"/>
      <c r="U54" s="4110" t="n"/>
      <c r="V54" s="4110" t="n"/>
      <c r="W54" s="4110" t="n"/>
      <c r="X54" s="4110" t="n"/>
      <c r="Y54" s="4110" t="n"/>
      <c r="Z54" s="4110" t="n"/>
      <c r="AA54" s="4110" t="n"/>
      <c r="AB54" s="4110" t="n"/>
      <c r="AC54" s="4110" t="n"/>
      <c r="AD54" s="392" t="inlineStr">
        <is>
          <t>別紙のとおり</t>
        </is>
      </c>
      <c r="AF54" s="393" t="n"/>
      <c r="AG54" s="393" t="n"/>
      <c r="AH54" s="394" t="n"/>
    </row>
    <row r="55" ht="15" customHeight="1" s="4080">
      <c r="A55" s="4635" t="inlineStr">
        <is>
          <t>主な掲示事項</t>
        </is>
      </c>
      <c r="B55" s="4099" t="n"/>
      <c r="C55" s="1411" t="n"/>
      <c r="D55" s="1827" t="inlineStr">
        <is>
          <t>障害者支援施設等
との連携体制等</t>
        </is>
      </c>
      <c r="E55" s="4098" t="n"/>
      <c r="F55" s="4098" t="n"/>
      <c r="G55" s="4098" t="n"/>
      <c r="H55" s="4098" t="n"/>
      <c r="I55" s="4098" t="n"/>
      <c r="J55" s="1414" t="n"/>
      <c r="K55" s="2164" t="inlineStr">
        <is>
          <t>連携施設の種別</t>
        </is>
      </c>
      <c r="L55" s="4110" t="n"/>
      <c r="M55" s="4110" t="n"/>
      <c r="N55" s="4110" t="n"/>
      <c r="O55" s="4111" t="n"/>
      <c r="P55" s="4225" t="n"/>
      <c r="Q55" s="4110" t="n"/>
      <c r="R55" s="4110" t="n"/>
      <c r="S55" s="4110" t="n"/>
      <c r="T55" s="4110" t="n"/>
      <c r="U55" s="4110" t="n"/>
      <c r="V55" s="4110" t="n"/>
      <c r="W55" s="4110" t="n"/>
      <c r="X55" s="4110" t="n"/>
      <c r="Y55" s="4110" t="n"/>
      <c r="Z55" s="4110" t="n"/>
      <c r="AA55" s="4110" t="n"/>
      <c r="AB55" s="4110" t="n"/>
      <c r="AC55" s="4110" t="n"/>
      <c r="AD55" s="4110" t="n"/>
      <c r="AE55" s="4110" t="n"/>
      <c r="AF55" s="4110" t="n"/>
      <c r="AG55" s="4110" t="n"/>
      <c r="AH55" s="4113" t="n"/>
    </row>
    <row r="56" ht="15" customHeight="1" s="4080">
      <c r="A56" s="4097" t="n"/>
      <c r="B56" s="4107" t="n"/>
      <c r="C56" s="1795" t="n"/>
      <c r="J56" s="1797" t="n"/>
      <c r="K56" s="2164" t="inlineStr">
        <is>
          <t>連携施設の名称</t>
        </is>
      </c>
      <c r="L56" s="4110" t="n"/>
      <c r="M56" s="4110" t="n"/>
      <c r="N56" s="4110" t="n"/>
      <c r="O56" s="4111" t="n"/>
      <c r="P56" s="4225" t="n"/>
      <c r="Q56" s="4110" t="n"/>
      <c r="R56" s="4110" t="n"/>
      <c r="S56" s="4110" t="n"/>
      <c r="T56" s="4110" t="n"/>
      <c r="U56" s="4110" t="n"/>
      <c r="V56" s="4110" t="n"/>
      <c r="W56" s="4110" t="n"/>
      <c r="X56" s="4110" t="n"/>
      <c r="Y56" s="4110" t="n"/>
      <c r="Z56" s="4110" t="n"/>
      <c r="AA56" s="4110" t="n"/>
      <c r="AB56" s="4110" t="n"/>
      <c r="AC56" s="4110" t="n"/>
      <c r="AD56" s="4110" t="n"/>
      <c r="AE56" s="4110" t="n"/>
      <c r="AF56" s="4110" t="n"/>
      <c r="AG56" s="4110" t="n"/>
      <c r="AH56" s="4113" t="n"/>
    </row>
    <row r="57" ht="15" customHeight="1" s="4080">
      <c r="A57" s="4097" t="n"/>
      <c r="B57" s="4107" t="n"/>
      <c r="C57" s="1412" t="n"/>
      <c r="D57" s="4103" t="n"/>
      <c r="E57" s="4103" t="n"/>
      <c r="F57" s="4103" t="n"/>
      <c r="G57" s="4103" t="n"/>
      <c r="H57" s="4103" t="n"/>
      <c r="I57" s="4103" t="n"/>
      <c r="J57" s="1415" t="n"/>
      <c r="K57" s="2164" t="inlineStr">
        <is>
          <t>連携体制の概要</t>
        </is>
      </c>
      <c r="L57" s="4110" t="n"/>
      <c r="M57" s="4110" t="n"/>
      <c r="N57" s="4110" t="n"/>
      <c r="O57" s="4111" t="n"/>
      <c r="P57" s="4636" t="n"/>
      <c r="Q57" s="4110" t="n"/>
      <c r="R57" s="4110" t="n"/>
      <c r="S57" s="4110" t="n"/>
      <c r="T57" s="4110" t="n"/>
      <c r="U57" s="4110" t="n"/>
      <c r="V57" s="4110" t="n"/>
      <c r="W57" s="4110" t="n"/>
      <c r="X57" s="4110" t="n"/>
      <c r="Y57" s="4110" t="n"/>
      <c r="Z57" s="4110" t="n"/>
      <c r="AA57" s="4110" t="n"/>
      <c r="AB57" s="4110" t="n"/>
      <c r="AC57" s="4110" t="n"/>
      <c r="AD57" s="4110" t="n"/>
      <c r="AE57" s="4110" t="n"/>
      <c r="AF57" s="4110" t="n"/>
      <c r="AG57" s="4110" t="n"/>
      <c r="AH57" s="4113" t="n"/>
    </row>
    <row r="58" ht="3.95" customHeight="1" s="4080">
      <c r="A58" s="4097" t="n"/>
      <c r="B58" s="4107" t="n"/>
      <c r="C58" s="4231" t="inlineStr">
        <is>
          <t>その他参考
となる事項</t>
        </is>
      </c>
      <c r="D58" s="4099" t="n"/>
      <c r="E58" s="2753" t="inlineStr">
        <is>
          <t>第三者評価の実施状況</t>
        </is>
      </c>
      <c r="F58" s="4098" t="n"/>
      <c r="G58" s="4098" t="n"/>
      <c r="H58" s="4098" t="n"/>
      <c r="I58" s="4098" t="n"/>
      <c r="J58" s="4099" t="n"/>
      <c r="K58" s="1657" t="n"/>
      <c r="L58" s="1658" t="n"/>
      <c r="M58" s="1658" t="n"/>
      <c r="N58" s="1658" t="n"/>
      <c r="O58" s="1658" t="n"/>
      <c r="P58" s="1658" t="n"/>
      <c r="Q58" s="1658" t="n"/>
      <c r="R58" s="4232" t="n"/>
      <c r="S58" s="4098" t="n"/>
      <c r="T58" s="4098" t="n"/>
      <c r="U58" s="4098" t="n"/>
      <c r="V58" s="4098" t="n"/>
      <c r="W58" s="4098" t="n"/>
      <c r="X58" s="4098" t="n"/>
      <c r="Y58" s="4098" t="n"/>
      <c r="Z58" s="4098" t="n"/>
      <c r="AA58" s="4098" t="n"/>
      <c r="AB58" s="1658" t="n"/>
      <c r="AC58" s="1658" t="n"/>
      <c r="AD58" s="1658" t="n"/>
      <c r="AE58" s="1658" t="n"/>
      <c r="AF58" s="1658" t="n"/>
      <c r="AG58" s="1658" t="n"/>
      <c r="AH58" s="1659" t="n"/>
    </row>
    <row r="59" ht="15" customHeight="1" s="4080">
      <c r="A59" s="4097" t="n"/>
      <c r="B59" s="4107" t="n"/>
      <c r="C59" s="4106" t="n"/>
      <c r="D59" s="4107" t="n"/>
      <c r="J59" s="4107" t="n"/>
      <c r="K59" s="1372" t="n"/>
      <c r="L59" s="1432" t="inlineStr">
        <is>
          <t>している</t>
        </is>
      </c>
      <c r="O59" s="1458" t="inlineStr">
        <is>
          <t>(実施先：</t>
        </is>
      </c>
      <c r="AB59" s="1889" t="inlineStr">
        <is>
          <t>)・</t>
        </is>
      </c>
      <c r="AC59" s="1432" t="inlineStr">
        <is>
          <t>していない</t>
        </is>
      </c>
      <c r="AH59" s="1668" t="n"/>
    </row>
    <row r="60" ht="3.95" customHeight="1" s="4080">
      <c r="A60" s="4097" t="n"/>
      <c r="B60" s="4107" t="n"/>
      <c r="C60" s="4106" t="n"/>
      <c r="D60" s="4107" t="n"/>
      <c r="E60" s="4103" t="n"/>
      <c r="F60" s="4103" t="n"/>
      <c r="G60" s="4103" t="n"/>
      <c r="H60" s="4103" t="n"/>
      <c r="I60" s="4103" t="n"/>
      <c r="J60" s="4104" t="n"/>
      <c r="K60" s="1657" t="n"/>
      <c r="L60" s="1658" t="n"/>
      <c r="M60" s="1658" t="n"/>
      <c r="N60" s="1658" t="n"/>
      <c r="O60" s="1658" t="n"/>
      <c r="P60" s="1658" t="n"/>
      <c r="Q60" s="1658" t="n"/>
      <c r="R60" s="4103" t="n"/>
      <c r="S60" s="4103" t="n"/>
      <c r="T60" s="4103" t="n"/>
      <c r="U60" s="4103" t="n"/>
      <c r="V60" s="4103" t="n"/>
      <c r="W60" s="4103" t="n"/>
      <c r="X60" s="4103" t="n"/>
      <c r="Y60" s="4103" t="n"/>
      <c r="Z60" s="4103" t="n"/>
      <c r="AA60" s="4103" t="n"/>
      <c r="AB60" s="1658" t="n"/>
      <c r="AC60" s="1658" t="n"/>
      <c r="AD60" s="1658" t="n"/>
      <c r="AE60" s="1658" t="n"/>
      <c r="AF60" s="1658" t="n"/>
      <c r="AG60" s="1658" t="n"/>
      <c r="AH60" s="1659" t="n"/>
    </row>
    <row r="61" ht="15" customHeight="1" s="4080">
      <c r="A61" s="4097" t="n"/>
      <c r="B61" s="4107" t="n"/>
      <c r="C61" s="4106" t="n"/>
      <c r="D61" s="4107" t="n"/>
      <c r="E61" s="1439" t="inlineStr">
        <is>
          <t>苦情解決の措置概要</t>
        </is>
      </c>
      <c r="F61" s="4098" t="n"/>
      <c r="G61" s="4098" t="n"/>
      <c r="H61" s="4098" t="n"/>
      <c r="I61" s="4098" t="n"/>
      <c r="J61" s="4099" t="n"/>
      <c r="K61" s="2542" t="inlineStr">
        <is>
          <t>窓　口</t>
        </is>
      </c>
      <c r="L61" s="4110" t="n"/>
      <c r="M61" s="4111" t="n"/>
      <c r="N61" s="4121" t="n"/>
      <c r="O61" s="4110" t="n"/>
      <c r="P61" s="4110" t="n"/>
      <c r="Q61" s="4110" t="n"/>
      <c r="R61" s="4110" t="n"/>
      <c r="S61" s="4110" t="n"/>
      <c r="T61" s="4110" t="n"/>
      <c r="U61" s="4110" t="n"/>
      <c r="V61" s="4110" t="n"/>
      <c r="W61" s="4110" t="n"/>
      <c r="X61" s="4110" t="n"/>
      <c r="Y61" s="4110" t="n"/>
      <c r="Z61" s="4110" t="n"/>
      <c r="AA61" s="4110" t="n"/>
      <c r="AB61" s="4110" t="n"/>
      <c r="AC61" s="4110" t="n"/>
      <c r="AD61" s="4110" t="n"/>
      <c r="AE61" s="4110" t="n"/>
      <c r="AF61" s="4110" t="n"/>
      <c r="AG61" s="4110" t="n"/>
      <c r="AH61" s="4113" t="n"/>
    </row>
    <row r="62" ht="15" customHeight="1" s="4080">
      <c r="A62" s="4097" t="n"/>
      <c r="B62" s="4107" t="n"/>
      <c r="C62" s="4106" t="n"/>
      <c r="D62" s="4107" t="n"/>
      <c r="E62" s="4103" t="n"/>
      <c r="F62" s="4103" t="n"/>
      <c r="G62" s="4103" t="n"/>
      <c r="H62" s="4103" t="n"/>
      <c r="I62" s="4103" t="n"/>
      <c r="J62" s="4104" t="n"/>
      <c r="K62" s="2542" t="inlineStr">
        <is>
          <t>担当者</t>
        </is>
      </c>
      <c r="L62" s="4110" t="n"/>
      <c r="M62" s="4111" t="n"/>
      <c r="N62" s="4123" t="n"/>
      <c r="O62" s="4110" t="n"/>
      <c r="P62" s="4110" t="n"/>
      <c r="Q62" s="4110" t="n"/>
      <c r="R62" s="4110" t="n"/>
      <c r="S62" s="4110" t="n"/>
      <c r="T62" s="4110" t="n"/>
      <c r="U62" s="4111" t="n"/>
      <c r="V62" s="2163" t="inlineStr">
        <is>
          <t>電話</t>
        </is>
      </c>
      <c r="W62" s="4111" t="n"/>
      <c r="X62" s="882" t="n"/>
      <c r="Y62" s="4110" t="n"/>
      <c r="Z62" s="4110" t="n"/>
      <c r="AA62" s="1492" t="inlineStr">
        <is>
          <t>－</t>
        </is>
      </c>
      <c r="AB62" s="920" t="n"/>
      <c r="AC62" s="4110" t="n"/>
      <c r="AD62" s="4110" t="n"/>
      <c r="AE62" s="1492" t="inlineStr">
        <is>
          <t>－</t>
        </is>
      </c>
      <c r="AF62" s="955" t="n"/>
      <c r="AG62" s="4110" t="n"/>
      <c r="AH62" s="4113" t="n"/>
    </row>
    <row r="63" ht="15" customHeight="1" s="4080">
      <c r="A63" s="4114" t="n"/>
      <c r="B63" s="4104" t="n"/>
      <c r="C63" s="4102" t="n"/>
      <c r="D63" s="4104" t="n"/>
      <c r="E63" s="1394" t="inlineStr">
        <is>
          <t>そ　　 の 　　他</t>
        </is>
      </c>
      <c r="F63" s="4110" t="n"/>
      <c r="G63" s="4110" t="n"/>
      <c r="H63" s="4110" t="n"/>
      <c r="I63" s="4110" t="n"/>
      <c r="J63" s="4111" t="n"/>
      <c r="K63" s="4121" t="n"/>
      <c r="L63" s="4110" t="n"/>
      <c r="M63" s="4110" t="n"/>
      <c r="N63" s="4110" t="n"/>
      <c r="O63" s="4110" t="n"/>
      <c r="P63" s="4110" t="n"/>
      <c r="Q63" s="4110" t="n"/>
      <c r="R63" s="4110" t="n"/>
      <c r="S63" s="4110" t="n"/>
      <c r="T63" s="4110" t="n"/>
      <c r="U63" s="4110" t="n"/>
      <c r="V63" s="4110" t="n"/>
      <c r="W63" s="4110" t="n"/>
      <c r="X63" s="4110" t="n"/>
      <c r="Y63" s="4110" t="n"/>
      <c r="Z63" s="4110" t="n"/>
      <c r="AA63" s="4110" t="n"/>
      <c r="AB63" s="4110" t="n"/>
      <c r="AC63" s="4110" t="n"/>
      <c r="AD63" s="4110" t="n"/>
      <c r="AE63" s="4110" t="n"/>
      <c r="AF63" s="4110" t="n"/>
      <c r="AG63" s="4110" t="n"/>
      <c r="AH63" s="4113" t="n"/>
    </row>
    <row r="64" ht="12" customHeight="1" s="4080">
      <c r="A64" s="2915" t="n"/>
      <c r="B64" s="1264" t="inlineStr">
        <is>
          <t>協力医療機関</t>
        </is>
      </c>
      <c r="C64" s="4098" t="n"/>
      <c r="D64" s="4098" t="n"/>
      <c r="E64" s="4098" t="n"/>
      <c r="F64" s="4098" t="n"/>
      <c r="G64" s="4098" t="n"/>
      <c r="H64" s="4098" t="n"/>
      <c r="I64" s="4098" t="n"/>
      <c r="J64" s="2077" t="n"/>
      <c r="K64" s="4181" t="inlineStr">
        <is>
          <t>ﾌﾘｶﾞﾅ</t>
        </is>
      </c>
      <c r="L64" s="4110" t="n"/>
      <c r="M64" s="4111" t="n"/>
      <c r="N64" s="4432" t="n"/>
      <c r="O64" s="4110" t="n"/>
      <c r="P64" s="4110" t="n"/>
      <c r="Q64" s="4110" t="n"/>
      <c r="R64" s="4110" t="n"/>
      <c r="S64" s="4110" t="n"/>
      <c r="T64" s="4110" t="n"/>
      <c r="U64" s="4110" t="n"/>
      <c r="V64" s="4110" t="n"/>
      <c r="W64" s="4110" t="n"/>
      <c r="X64" s="4110" t="n"/>
      <c r="Y64" s="4110" t="n"/>
      <c r="Z64" s="4110" t="n"/>
      <c r="AA64" s="4110" t="n"/>
      <c r="AB64" s="4111" t="n"/>
      <c r="AC64" s="4628" t="inlineStr">
        <is>
          <t>主な診療科名</t>
        </is>
      </c>
      <c r="AD64" s="4099" t="n"/>
      <c r="AE64" s="4224" t="n"/>
      <c r="AF64" s="4098" t="n"/>
      <c r="AG64" s="4098" t="n"/>
      <c r="AH64" s="4101" t="n"/>
    </row>
    <row r="65" ht="20.1" customHeight="1" s="4080">
      <c r="A65" s="4114" t="n"/>
      <c r="B65" s="4103" t="n"/>
      <c r="C65" s="4103" t="n"/>
      <c r="D65" s="4103" t="n"/>
      <c r="E65" s="4103" t="n"/>
      <c r="F65" s="4103" t="n"/>
      <c r="G65" s="4103" t="n"/>
      <c r="H65" s="4103" t="n"/>
      <c r="I65" s="4103" t="n"/>
      <c r="J65" s="4104" t="n"/>
      <c r="K65" s="2164" t="inlineStr">
        <is>
          <t>名　称</t>
        </is>
      </c>
      <c r="L65" s="4110" t="n"/>
      <c r="M65" s="4111" t="n"/>
      <c r="N65" s="4123" t="n"/>
      <c r="O65" s="4110" t="n"/>
      <c r="P65" s="4110" t="n"/>
      <c r="Q65" s="4110" t="n"/>
      <c r="R65" s="4110" t="n"/>
      <c r="S65" s="4110" t="n"/>
      <c r="T65" s="4110" t="n"/>
      <c r="U65" s="4110" t="n"/>
      <c r="V65" s="4110" t="n"/>
      <c r="W65" s="4110" t="n"/>
      <c r="X65" s="4110" t="n"/>
      <c r="Y65" s="4110" t="n"/>
      <c r="Z65" s="4110" t="n"/>
      <c r="AA65" s="4110" t="n"/>
      <c r="AB65" s="4111" t="n"/>
      <c r="AC65" s="4102" t="n"/>
      <c r="AD65" s="4104" t="n"/>
      <c r="AE65" s="4102" t="n"/>
      <c r="AF65" s="4103" t="n"/>
      <c r="AG65" s="4103" t="n"/>
      <c r="AH65" s="4105" t="n"/>
    </row>
    <row r="66" ht="12" customHeight="1" s="4080">
      <c r="A66" s="2915" t="n"/>
      <c r="B66" s="1264" t="inlineStr">
        <is>
          <t>協力歯科医療機関</t>
        </is>
      </c>
      <c r="C66" s="4098" t="n"/>
      <c r="D66" s="4098" t="n"/>
      <c r="E66" s="4098" t="n"/>
      <c r="F66" s="4098" t="n"/>
      <c r="G66" s="4098" t="n"/>
      <c r="H66" s="4098" t="n"/>
      <c r="I66" s="4098" t="n"/>
      <c r="J66" s="2077" t="n"/>
      <c r="K66" s="4181" t="inlineStr">
        <is>
          <t>ﾌﾘｶﾞﾅ</t>
        </is>
      </c>
      <c r="L66" s="4110" t="n"/>
      <c r="M66" s="4111" t="n"/>
      <c r="N66" s="4489" t="n"/>
      <c r="O66" s="4110" t="n"/>
      <c r="P66" s="4110" t="n"/>
      <c r="Q66" s="4110" t="n"/>
      <c r="R66" s="4110" t="n"/>
      <c r="S66" s="4110" t="n"/>
      <c r="T66" s="4110" t="n"/>
      <c r="U66" s="4110" t="n"/>
      <c r="V66" s="4110" t="n"/>
      <c r="W66" s="4110" t="n"/>
      <c r="X66" s="4110" t="n"/>
      <c r="Y66" s="4110" t="n"/>
      <c r="Z66" s="4110" t="n"/>
      <c r="AA66" s="4110" t="n"/>
      <c r="AB66" s="4110" t="n"/>
      <c r="AC66" s="4110" t="n"/>
      <c r="AD66" s="4110" t="n"/>
      <c r="AE66" s="4110" t="n"/>
      <c r="AF66" s="4110" t="n"/>
      <c r="AG66" s="4110" t="n"/>
      <c r="AH66" s="4113" t="n"/>
    </row>
    <row r="67" ht="20.1" customHeight="1" s="4080">
      <c r="A67" s="4114" t="n"/>
      <c r="B67" s="4103" t="n"/>
      <c r="C67" s="4103" t="n"/>
      <c r="D67" s="4103" t="n"/>
      <c r="E67" s="4103" t="n"/>
      <c r="F67" s="4103" t="n"/>
      <c r="G67" s="4103" t="n"/>
      <c r="H67" s="4103" t="n"/>
      <c r="I67" s="4103" t="n"/>
      <c r="J67" s="4104" t="n"/>
      <c r="K67" s="2164" t="inlineStr">
        <is>
          <t>名　称</t>
        </is>
      </c>
      <c r="L67" s="4110" t="n"/>
      <c r="M67" s="4111" t="n"/>
      <c r="N67" s="4230" t="n"/>
      <c r="O67" s="4110" t="n"/>
      <c r="P67" s="4110" t="n"/>
      <c r="Q67" s="4110" t="n"/>
      <c r="R67" s="4110" t="n"/>
      <c r="S67" s="4110" t="n"/>
      <c r="T67" s="4110" t="n"/>
      <c r="U67" s="4110" t="n"/>
      <c r="V67" s="4110" t="n"/>
      <c r="W67" s="4110" t="n"/>
      <c r="X67" s="4110" t="n"/>
      <c r="Y67" s="4110" t="n"/>
      <c r="Z67" s="4110" t="n"/>
      <c r="AA67" s="4110" t="n"/>
      <c r="AB67" s="4110" t="n"/>
      <c r="AC67" s="4110" t="n"/>
      <c r="AD67" s="4110" t="n"/>
      <c r="AE67" s="4110" t="n"/>
      <c r="AF67" s="4110" t="n"/>
      <c r="AG67" s="4110" t="n"/>
      <c r="AH67" s="4113" t="n"/>
    </row>
    <row r="68" ht="15.95" customHeight="1" s="4080" thickBot="1">
      <c r="A68" s="1426" t="n"/>
      <c r="B68" s="1618" t="inlineStr">
        <is>
          <t>添付書類</t>
        </is>
      </c>
      <c r="C68" s="4153" t="n"/>
      <c r="D68" s="4153" t="n"/>
      <c r="E68" s="4153" t="n"/>
      <c r="F68" s="4153" t="n"/>
      <c r="G68" s="4153" t="n"/>
      <c r="H68" s="4153" t="n"/>
      <c r="I68" s="4153" t="n"/>
      <c r="J68" s="1428" t="n"/>
      <c r="K68" s="4235" t="inlineStr">
        <is>
          <t xml:space="preserve">　別紙「添付書類一覧表」のとおり</t>
        </is>
      </c>
      <c r="L68" s="4153" t="n"/>
      <c r="M68" s="4153" t="n"/>
      <c r="N68" s="4153" t="n"/>
      <c r="O68" s="4153" t="n"/>
      <c r="P68" s="4153" t="n"/>
      <c r="Q68" s="4153" t="n"/>
      <c r="R68" s="4153" t="n"/>
      <c r="S68" s="4153" t="n"/>
      <c r="T68" s="4153" t="n"/>
      <c r="U68" s="4153" t="n"/>
      <c r="V68" s="4153" t="n"/>
      <c r="W68" s="4153" t="n"/>
      <c r="X68" s="4153" t="n"/>
      <c r="Y68" s="4153" t="n"/>
      <c r="Z68" s="4153" t="n"/>
      <c r="AA68" s="4153" t="n"/>
      <c r="AB68" s="4153" t="n"/>
      <c r="AC68" s="4153" t="n"/>
      <c r="AD68" s="4153" t="n"/>
      <c r="AE68" s="4153" t="n"/>
      <c r="AF68" s="4153" t="n"/>
      <c r="AG68" s="4153" t="n"/>
      <c r="AH68" s="4155" t="n"/>
    </row>
  </sheetData>
  <mergeCells count="246">
    <mergeCell ref="K49:L49"/>
    <mergeCell ref="Z43:AB43"/>
    <mergeCell ref="C14:E16"/>
    <mergeCell ref="C23:L23"/>
    <mergeCell ref="A26:A39"/>
    <mergeCell ref="N42:P42"/>
    <mergeCell ref="K11:AH11"/>
    <mergeCell ref="K44:P44"/>
    <mergeCell ref="T33:X33"/>
    <mergeCell ref="T49:U49"/>
    <mergeCell ref="C42:J42"/>
    <mergeCell ref="W32:AH32"/>
    <mergeCell ref="AF49:AG49"/>
    <mergeCell ref="X27:AH29"/>
    <mergeCell ref="F27:I29"/>
    <mergeCell ref="J33:M33"/>
    <mergeCell ref="K55:O55"/>
    <mergeCell ref="M21:X21"/>
    <mergeCell ref="P34:Q36"/>
    <mergeCell ref="Q44:V44"/>
    <mergeCell ref="B64:I65"/>
    <mergeCell ref="Z50:AA50"/>
    <mergeCell ref="N67:AH67"/>
    <mergeCell ref="V18:AH18"/>
    <mergeCell ref="AF42:AH42"/>
    <mergeCell ref="K50:L50"/>
    <mergeCell ref="B33:B39"/>
    <mergeCell ref="T50:U50"/>
    <mergeCell ref="AC44:AH44"/>
    <mergeCell ref="AE64:AH65"/>
    <mergeCell ref="P55:AH55"/>
    <mergeCell ref="W50:X50"/>
    <mergeCell ref="L59:N59"/>
    <mergeCell ref="M24:X24"/>
    <mergeCell ref="C10:E11"/>
    <mergeCell ref="K56:O56"/>
    <mergeCell ref="I10:K10"/>
    <mergeCell ref="Q41:S41"/>
    <mergeCell ref="K66:M66"/>
    <mergeCell ref="K45:Q47"/>
    <mergeCell ref="Y52:Z52"/>
    <mergeCell ref="C7:E9"/>
    <mergeCell ref="AC41:AE41"/>
    <mergeCell ref="J34:M36"/>
    <mergeCell ref="T48:V48"/>
    <mergeCell ref="Q49:R49"/>
    <mergeCell ref="T34:V36"/>
    <mergeCell ref="A4:B11"/>
    <mergeCell ref="AA2:AA3"/>
    <mergeCell ref="Q43:S43"/>
    <mergeCell ref="P56:AH56"/>
    <mergeCell ref="W40:AB40"/>
    <mergeCell ref="X14:AH16"/>
    <mergeCell ref="AA52:AC52"/>
    <mergeCell ref="AF48:AH48"/>
    <mergeCell ref="AC2:AC3"/>
    <mergeCell ref="B68:I68"/>
    <mergeCell ref="D48:G48"/>
    <mergeCell ref="C22:L22"/>
    <mergeCell ref="N30:R30"/>
    <mergeCell ref="Q42:S42"/>
    <mergeCell ref="V31:AH31"/>
    <mergeCell ref="Y22:AH22"/>
    <mergeCell ref="A12:S12"/>
    <mergeCell ref="V62:W62"/>
    <mergeCell ref="W30:AH30"/>
    <mergeCell ref="N8:O9"/>
    <mergeCell ref="F13:I13"/>
    <mergeCell ref="E63:J63"/>
    <mergeCell ref="F5:AH6"/>
    <mergeCell ref="AC43:AE43"/>
    <mergeCell ref="X62:Z62"/>
    <mergeCell ref="AF10:AH10"/>
    <mergeCell ref="S17:U19"/>
    <mergeCell ref="Z49:AA49"/>
    <mergeCell ref="N50:O50"/>
    <mergeCell ref="C40:J41"/>
    <mergeCell ref="C37:M39"/>
    <mergeCell ref="N32:R32"/>
    <mergeCell ref="M22:X22"/>
    <mergeCell ref="H50:I50"/>
    <mergeCell ref="AC42:AE42"/>
    <mergeCell ref="P33:S33"/>
    <mergeCell ref="AC12:AD12"/>
    <mergeCell ref="O59:Q59"/>
    <mergeCell ref="C30:M32"/>
    <mergeCell ref="AE12:AF12"/>
    <mergeCell ref="Z42:AB42"/>
    <mergeCell ref="N64:AB64"/>
    <mergeCell ref="Y23:AH23"/>
    <mergeCell ref="D50:G50"/>
    <mergeCell ref="Z48:AB48"/>
    <mergeCell ref="S37:U39"/>
    <mergeCell ref="P26:S26"/>
    <mergeCell ref="H49:I49"/>
    <mergeCell ref="C20:AH20"/>
    <mergeCell ref="N62:U62"/>
    <mergeCell ref="W48:Y48"/>
    <mergeCell ref="S30:U32"/>
    <mergeCell ref="P27:Q29"/>
    <mergeCell ref="C24:L24"/>
    <mergeCell ref="AF2:AF3"/>
    <mergeCell ref="Q48:S48"/>
    <mergeCell ref="AH2:AH3"/>
    <mergeCell ref="N54:AC54"/>
    <mergeCell ref="Y24:AH24"/>
    <mergeCell ref="K65:M65"/>
    <mergeCell ref="N17:R17"/>
    <mergeCell ref="B26:B32"/>
    <mergeCell ref="C13:E13"/>
    <mergeCell ref="M23:X23"/>
    <mergeCell ref="K62:M62"/>
    <mergeCell ref="J7:N7"/>
    <mergeCell ref="X34:AH36"/>
    <mergeCell ref="T27:V29"/>
    <mergeCell ref="F34:I36"/>
    <mergeCell ref="T10:W10"/>
    <mergeCell ref="N65:AB65"/>
    <mergeCell ref="AC48:AE48"/>
    <mergeCell ref="A1:AH1"/>
    <mergeCell ref="N19:R19"/>
    <mergeCell ref="AD52:AF52"/>
    <mergeCell ref="F33:I33"/>
    <mergeCell ref="AF45:AG47"/>
    <mergeCell ref="C25:L25"/>
    <mergeCell ref="C33:E33"/>
    <mergeCell ref="A55:B63"/>
    <mergeCell ref="V39:AH39"/>
    <mergeCell ref="T42:V42"/>
    <mergeCell ref="J64:J65"/>
    <mergeCell ref="C26:E26"/>
    <mergeCell ref="K57:O57"/>
    <mergeCell ref="J27:M29"/>
    <mergeCell ref="Y25:AH25"/>
    <mergeCell ref="AH45:AH47"/>
    <mergeCell ref="F11:J11"/>
    <mergeCell ref="P13:S13"/>
    <mergeCell ref="Q10:S10"/>
    <mergeCell ref="AF62:AH62"/>
    <mergeCell ref="K63:AH63"/>
    <mergeCell ref="P57:AH57"/>
    <mergeCell ref="W45:AE47"/>
    <mergeCell ref="F4:AH4"/>
    <mergeCell ref="A40:B44"/>
    <mergeCell ref="K67:M67"/>
    <mergeCell ref="U2:X3"/>
    <mergeCell ref="P7:AH9"/>
    <mergeCell ref="Q40:V40"/>
    <mergeCell ref="N13:O16"/>
    <mergeCell ref="N37:R37"/>
    <mergeCell ref="V37:AH37"/>
    <mergeCell ref="F14:I16"/>
    <mergeCell ref="A51:F54"/>
    <mergeCell ref="T41:V41"/>
    <mergeCell ref="C27:E29"/>
    <mergeCell ref="R58:AA60"/>
    <mergeCell ref="C5:E6"/>
    <mergeCell ref="K61:M61"/>
    <mergeCell ref="Z2:Z3"/>
    <mergeCell ref="AF41:AH41"/>
    <mergeCell ref="A13:B25"/>
    <mergeCell ref="K48:M48"/>
    <mergeCell ref="AB2:AB3"/>
    <mergeCell ref="AD2:AD3"/>
    <mergeCell ref="J14:M16"/>
    <mergeCell ref="G51:L53"/>
    <mergeCell ref="T43:V43"/>
    <mergeCell ref="X10:Z10"/>
    <mergeCell ref="V38:AH38"/>
    <mergeCell ref="J66:J67"/>
    <mergeCell ref="U12:V12"/>
    <mergeCell ref="AB10:AD10"/>
    <mergeCell ref="W12:X12"/>
    <mergeCell ref="C43:J43"/>
    <mergeCell ref="T26:X26"/>
    <mergeCell ref="F7:I7"/>
    <mergeCell ref="E2:I2"/>
    <mergeCell ref="F8:H9"/>
    <mergeCell ref="D49:G49"/>
    <mergeCell ref="Y21:AH21"/>
    <mergeCell ref="C34:E36"/>
    <mergeCell ref="T13:X13"/>
    <mergeCell ref="J26:M26"/>
    <mergeCell ref="AC59:AG59"/>
    <mergeCell ref="C4:E4"/>
    <mergeCell ref="AC64:AD65"/>
    <mergeCell ref="E61:J62"/>
    <mergeCell ref="N66:AH66"/>
    <mergeCell ref="J45:J47"/>
    <mergeCell ref="K41:M41"/>
    <mergeCell ref="W49:X49"/>
    <mergeCell ref="M10:O10"/>
    <mergeCell ref="W41:Y41"/>
    <mergeCell ref="K40:P40"/>
    <mergeCell ref="P14:Q16"/>
    <mergeCell ref="K43:M43"/>
    <mergeCell ref="N48:P48"/>
    <mergeCell ref="AE2:AE3"/>
    <mergeCell ref="AG2:AG3"/>
    <mergeCell ref="N61:AH61"/>
    <mergeCell ref="A66:A67"/>
    <mergeCell ref="I8:M9"/>
    <mergeCell ref="Y2:Y3"/>
    <mergeCell ref="W43:Y43"/>
    <mergeCell ref="M25:X25"/>
    <mergeCell ref="K42:M42"/>
    <mergeCell ref="AC50:AE50"/>
    <mergeCell ref="W42:Y42"/>
    <mergeCell ref="AC40:AH40"/>
    <mergeCell ref="C44:J44"/>
    <mergeCell ref="Q50:R50"/>
    <mergeCell ref="H45:I47"/>
    <mergeCell ref="H48:J48"/>
    <mergeCell ref="W17:AH17"/>
    <mergeCell ref="G54:L54"/>
    <mergeCell ref="N39:R39"/>
    <mergeCell ref="A45:G47"/>
    <mergeCell ref="AC49:AE49"/>
    <mergeCell ref="B66:I67"/>
    <mergeCell ref="J13:M13"/>
    <mergeCell ref="D55:I57"/>
    <mergeCell ref="AB62:AD62"/>
    <mergeCell ref="K2:O2"/>
    <mergeCell ref="W19:AH19"/>
    <mergeCell ref="AF43:AH43"/>
    <mergeCell ref="N26:O29"/>
    <mergeCell ref="W44:AB44"/>
    <mergeCell ref="AF50:AG50"/>
    <mergeCell ref="F10:H10"/>
    <mergeCell ref="Y12:Z12"/>
    <mergeCell ref="F26:I26"/>
    <mergeCell ref="N41:P41"/>
    <mergeCell ref="C17:M19"/>
    <mergeCell ref="AA12:AB12"/>
    <mergeCell ref="T14:V16"/>
    <mergeCell ref="K68:AH68"/>
    <mergeCell ref="C58:D63"/>
    <mergeCell ref="E58:J60"/>
    <mergeCell ref="A64:A65"/>
    <mergeCell ref="A48:C50"/>
    <mergeCell ref="Z41:AB41"/>
    <mergeCell ref="C21:L21"/>
    <mergeCell ref="N49:O49"/>
    <mergeCell ref="K64:M64"/>
    <mergeCell ref="N43:P43"/>
    <mergeCell ref="N33:O36"/>
  </mergeCells>
  <conditionalFormatting sqref="Z49:AA50">
    <cfRule type="cellIs" priority="1" operator="lessThanOrEqual" dxfId="0" stopIfTrue="1">
      <formula>0</formula>
    </cfRule>
  </conditionalFormatting>
  <dataValidations count="11">
    <dataValidation sqref="M52 M54" showDropDown="0" showInputMessage="1" showErrorMessage="1" allowBlank="1" type="list">
      <formula1>"　,○"</formula1>
    </dataValidation>
    <dataValidation sqref="M55:M56" showDropDown="0" showInputMessage="1" showErrorMessage="1" allowBlank="1" type="list">
      <formula1>" ,○"</formula1>
    </dataValidation>
    <dataValidation sqref="M10:O10 Q10 AB10:AD10 AF10" showDropDown="0" showInputMessage="1" showErrorMessage="1" allowBlank="1" error="全角数字で入力してください" imeMode="fullAlpha"/>
    <dataValidation sqref="V31:AH31 V38:AH38" showDropDown="0" showInputMessage="1" showErrorMessage="1" allowBlank="1" prompt="サービス管理責任者は、サービス提供職員との兼務はできません。" type="list" errorStyle="warning">
      <formula1>"　,管理者,事務職員,管理者、事務職員"</formula1>
    </dataValidation>
    <dataValidation sqref="H49:AA50" showDropDown="0" showInputMessage="1" showErrorMessage="1" allowBlank="1" imeMode="halfAlpha"/>
    <dataValidation sqref="AC40" showDropDown="0" showInputMessage="1" showErrorMessage="1" allowBlank="1" type="list" errorStyle="warning">
      <formula1>"　,事務職員"</formula1>
    </dataValidation>
    <dataValidation sqref="U47" showDropDown="0" showInputMessage="1" showErrorMessage="1" allowBlank="1" type="list" imeMode="fullAlpha">
      <formula1>"　,）"</formula1>
    </dataValidation>
    <dataValidation sqref="F4 F13 F26 F33 J13 J26 J33 J64 J66 N64 N66" showDropDown="0" showInputMessage="1" showErrorMessage="1" allowBlank="1" imeMode="halfKatakana"/>
    <dataValidation sqref="P57" showDropDown="0" showInputMessage="1" showErrorMessage="1" allowBlank="1" type="list">
      <formula1>"　,世話人の確保、世話人に対する研修の実施、緊急時の対応"</formula1>
    </dataValidation>
    <dataValidation sqref="P55" showDropDown="0" showInputMessage="1" showErrorMessage="1" allowBlank="1" type="list">
      <formula1>"　,指定身体障害者更生施設,指定身体障害者療護施設,指定身体障害者入所授産施設,指定特定身体障害者通所授産施設,指定知的障害者入所更生施設,指定知的障害者通所更生施設,指定知的障害者入所授産施設,指定特定知的障害者通所授産施設,指定知的障害者通勤寮,児童養護施設,肢体不自由児施設,知的障害児施設,特別養護老人ホーム,障害福祉サービス事業所,障害者地域移行支援センター,身体障害者小規模通所授産施設,知的障害者小規模通所授産施設"</formula1>
    </dataValidation>
    <dataValidation sqref="I10 J7:N7 K42:K44 N42:N43 Q42:Q44 T13:X13 T26:X26 T33:X33 T42:T43 U12:V12 W42:W44 X10 X62 Y2:AH3 Y12:Z12 Z42:Z43 AA52:AC52 AB62:AD62 AC12:AD12 AC42:AC44 AF42:AF43 AF62" showDropDown="0" showInputMessage="1" showErrorMessage="1" allowBlank="1" imeMode="fullAlpha"/>
  </dataValidations>
  <pageMargins left="0.6899999999999999" right="0.5905511811023623" top="0.3937007874015748" bottom="0.3937007874015748" header="0.5118110236220472" footer="0.5118110236220472"/>
  <pageSetup orientation="portrait" paperSize="9"/>
  <legacyDrawing xmlns:r="http://schemas.openxmlformats.org/officeDocument/2006/relationships" r:id="anysvml"/>
</worksheet>
</file>

<file path=xl/worksheets/sheet22.xml><?xml version="1.0" encoding="utf-8"?>
<worksheet xmlns="http://schemas.openxmlformats.org/spreadsheetml/2006/main">
  <sheetPr codeName="Sheet21">
    <outlinePr summaryBelow="1" summaryRight="1"/>
    <pageSetUpPr/>
  </sheetPr>
  <dimension ref="A1:AO68"/>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5"/>
    <col width="9" customWidth="1" style="1667" min="36" max="16384"/>
  </cols>
  <sheetData>
    <row r="1" ht="17.1" customHeight="1" s="4080" thickBot="1">
      <c r="A1" s="1213" t="inlineStr">
        <is>
          <t>付表１３　共同生活援助事業所（グループホーム）の指定に係る記載事項　その１</t>
        </is>
      </c>
      <c r="AO1" s="719">
        <f>HYPERLINK("#目次!A1","目次へ戻る")</f>
        <v/>
      </c>
    </row>
    <row r="2" ht="12" customHeight="1" s="4080">
      <c r="B2" s="45" t="n"/>
      <c r="C2" s="45" t="n"/>
      <c r="E2" s="1889" t="n"/>
      <c r="J2" s="2069" t="n"/>
      <c r="K2" s="1889" t="n"/>
      <c r="P2" s="45" t="n"/>
      <c r="Q2" s="1889" t="n"/>
      <c r="R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5" customHeight="1" s="4080">
      <c r="A4" s="4610" t="inlineStr">
        <is>
          <t>主たる事業所</t>
        </is>
      </c>
      <c r="B4" s="4082" t="n"/>
      <c r="C4" s="4180" t="inlineStr">
        <is>
          <t>ﾌﾘｶﾞﾅ</t>
        </is>
      </c>
      <c r="D4" s="4093" t="n"/>
      <c r="E4" s="4094" t="n"/>
      <c r="F4" s="4236" t="inlineStr">
        <is>
          <t>ｸﾞﾙｰﾌﾟﾎｰﾑﾅｶﾉｼﾏ</t>
        </is>
      </c>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2" customHeight="1" s="4080">
      <c r="A5" s="4097" t="n"/>
      <c r="C5" s="4181" t="inlineStr">
        <is>
          <t>名　称</t>
        </is>
      </c>
      <c r="D5" s="4098" t="n"/>
      <c r="E5" s="4099" t="n"/>
      <c r="F5" s="4237" t="inlineStr">
        <is>
          <t>グループホーム中之島</t>
        </is>
      </c>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2"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3.5" customHeight="1" s="4080">
      <c r="A7" s="4097" t="n"/>
      <c r="C7" s="4268" t="inlineStr">
        <is>
          <t>所在地</t>
        </is>
      </c>
      <c r="D7" s="4098" t="n"/>
      <c r="E7" s="4099" t="n"/>
      <c r="F7" s="1244" t="inlineStr">
        <is>
          <t>郵便番号（</t>
        </is>
      </c>
      <c r="G7" s="4098" t="n"/>
      <c r="H7" s="4098" t="n"/>
      <c r="I7" s="4098" t="n"/>
      <c r="J7" s="2094" t="inlineStr">
        <is>
          <t>５３０－８２０１</t>
        </is>
      </c>
      <c r="K7" s="4098" t="n"/>
      <c r="L7" s="4098" t="n"/>
      <c r="M7" s="4098" t="n"/>
      <c r="N7" s="4098" t="n"/>
      <c r="O7" s="1329" t="inlineStr">
        <is>
          <t>）</t>
        </is>
      </c>
      <c r="P7" s="4434" t="inlineStr">
        <is>
          <t>中之島１－３－２０</t>
        </is>
      </c>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3.5" customHeight="1" s="4080">
      <c r="A8" s="4097" t="n"/>
      <c r="C8" s="4106" t="n"/>
      <c r="E8" s="4107" t="n"/>
      <c r="F8" s="1255" t="inlineStr">
        <is>
          <t>大阪市</t>
        </is>
      </c>
      <c r="I8" s="2093" t="inlineStr">
        <is>
          <t>北</t>
        </is>
      </c>
      <c r="N8" s="1260" t="inlineStr">
        <is>
          <t>区</t>
        </is>
      </c>
      <c r="AH8" s="4109" t="n"/>
    </row>
    <row r="9" ht="3.95" customHeight="1" s="4080">
      <c r="A9" s="4097" t="n"/>
      <c r="C9" s="4106" t="n"/>
      <c r="E9" s="4107"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1479" t="inlineStr">
        <is>
          <t>０６</t>
        </is>
      </c>
      <c r="J10" s="4110" t="n"/>
      <c r="K10" s="4110" t="n"/>
      <c r="L10" s="53" t="inlineStr">
        <is>
          <t>－</t>
        </is>
      </c>
      <c r="M10" s="1150" t="inlineStr">
        <is>
          <t>６２４１</t>
        </is>
      </c>
      <c r="N10" s="4110" t="n"/>
      <c r="O10" s="4110" t="n"/>
      <c r="P10" s="53" t="inlineStr">
        <is>
          <t>－</t>
        </is>
      </c>
      <c r="Q10" s="1482" t="inlineStr">
        <is>
          <t>６５２０</t>
        </is>
      </c>
      <c r="R10" s="4110" t="n"/>
      <c r="S10" s="4111" t="n"/>
      <c r="T10" s="4184" t="inlineStr">
        <is>
          <t>ＦＡＸ番号</t>
        </is>
      </c>
      <c r="U10" s="4110" t="n"/>
      <c r="V10" s="4110" t="n"/>
      <c r="W10" s="4111" t="n"/>
      <c r="X10" s="1479" t="inlineStr">
        <is>
          <t>０６</t>
        </is>
      </c>
      <c r="Y10" s="4110" t="n"/>
      <c r="Z10" s="4110" t="n"/>
      <c r="AA10" s="53" t="inlineStr">
        <is>
          <t>－</t>
        </is>
      </c>
      <c r="AB10" s="1150" t="inlineStr">
        <is>
          <t>６２４１</t>
        </is>
      </c>
      <c r="AC10" s="4110" t="n"/>
      <c r="AD10" s="4110" t="n"/>
      <c r="AE10" s="53" t="inlineStr">
        <is>
          <t>－</t>
        </is>
      </c>
      <c r="AF10" s="1483" t="inlineStr">
        <is>
          <t>６６０８</t>
        </is>
      </c>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239" t="inlineStr">
        <is>
          <t>fa0260@city.osaka.lg.jp</t>
        </is>
      </c>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5"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1150" t="inlineStr">
        <is>
          <t>２</t>
        </is>
      </c>
      <c r="V12" s="4110" t="n"/>
      <c r="W12" s="1264" t="inlineStr">
        <is>
          <t>条第</t>
        </is>
      </c>
      <c r="X12" s="4110" t="n"/>
      <c r="Y12" s="1150" t="inlineStr">
        <is>
          <t>１</t>
        </is>
      </c>
      <c r="Z12" s="4110" t="n"/>
      <c r="AA12" s="1264" t="inlineStr">
        <is>
          <t>項第</t>
        </is>
      </c>
      <c r="AB12" s="4110" t="n"/>
      <c r="AC12" s="1150" t="inlineStr">
        <is>
          <t>１４</t>
        </is>
      </c>
      <c r="AD12" s="4110" t="n"/>
      <c r="AE12" s="1264" t="inlineStr">
        <is>
          <t>号（</t>
        </is>
      </c>
      <c r="AF12" s="4110" t="n"/>
      <c r="AG12" s="1150" t="inlineStr">
        <is>
          <t>ア</t>
        </is>
      </c>
      <c r="AH12" s="2827" t="inlineStr">
        <is>
          <t>）</t>
        </is>
      </c>
    </row>
    <row r="13" ht="15" customHeight="1" s="4080">
      <c r="A13" s="4188" t="inlineStr">
        <is>
          <t>管　　理　　者</t>
        </is>
      </c>
      <c r="B13" s="4099" t="n"/>
      <c r="C13" s="4184" t="inlineStr">
        <is>
          <t>ﾌﾘｶﾞﾅ</t>
        </is>
      </c>
      <c r="D13" s="4110" t="n"/>
      <c r="E13" s="4111" t="n"/>
      <c r="F13" s="1487" t="inlineStr">
        <is>
          <t>ｵｵｻｶ</t>
        </is>
      </c>
      <c r="G13" s="4110" t="n"/>
      <c r="H13" s="4110" t="n"/>
      <c r="I13" s="4189" t="n"/>
      <c r="J13" s="1488" t="inlineStr">
        <is>
          <t>ﾀﾛｳ</t>
        </is>
      </c>
      <c r="K13" s="4110" t="n"/>
      <c r="L13" s="4110" t="n"/>
      <c r="M13" s="4189" t="n"/>
      <c r="N13" s="4185" t="inlineStr">
        <is>
          <t>住所</t>
        </is>
      </c>
      <c r="O13" s="4099" t="n"/>
      <c r="P13" s="1328" t="inlineStr">
        <is>
          <t>郵便番号（</t>
        </is>
      </c>
      <c r="Q13" s="4098" t="n"/>
      <c r="R13" s="4098" t="n"/>
      <c r="S13" s="4098" t="n"/>
      <c r="T13" s="1742" t="inlineStr">
        <is>
          <t>５４０－８５７０</t>
        </is>
      </c>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2178" t="inlineStr">
        <is>
          <t>氏　　名</t>
        </is>
      </c>
      <c r="D14" s="4098" t="n"/>
      <c r="E14" s="4099" t="n"/>
      <c r="F14" s="1487" t="inlineStr">
        <is>
          <t>大阪</t>
        </is>
      </c>
      <c r="G14" s="4098" t="n"/>
      <c r="H14" s="4098" t="n"/>
      <c r="I14" s="4190" t="n"/>
      <c r="J14" s="1488" t="inlineStr">
        <is>
          <t>太郎</t>
        </is>
      </c>
      <c r="K14" s="4098" t="n"/>
      <c r="L14" s="4098" t="n"/>
      <c r="M14" s="4190" t="n"/>
      <c r="N14" s="4106" t="n"/>
      <c r="O14" s="4107" t="n"/>
      <c r="P14" s="1509" t="inlineStr">
        <is>
          <t>大阪</t>
        </is>
      </c>
      <c r="R14" s="2378" t="inlineStr">
        <is>
          <t>都</t>
        </is>
      </c>
      <c r="S14" s="2378" t="inlineStr">
        <is>
          <t>道</t>
        </is>
      </c>
      <c r="T14" s="1510" t="inlineStr">
        <is>
          <t>大阪</t>
        </is>
      </c>
      <c r="W14" s="2378" t="inlineStr">
        <is>
          <t>郡</t>
        </is>
      </c>
      <c r="X14" s="1512" t="inlineStr">
        <is>
          <t>中央区大手前○丁目○番○号　○○マンション○○○号室</t>
        </is>
      </c>
      <c r="AH14" s="4109" t="n"/>
    </row>
    <row r="15" ht="12" customHeight="1" s="4080">
      <c r="A15" s="4097" t="n"/>
      <c r="B15" s="4107" t="n"/>
      <c r="C15" s="4106" t="n"/>
      <c r="E15" s="4107" t="n"/>
      <c r="F15" s="4106" t="n"/>
      <c r="I15" s="4191" t="n"/>
      <c r="J15" s="4192" t="n"/>
      <c r="M15" s="4191" t="n"/>
      <c r="N15" s="4106" t="n"/>
      <c r="O15" s="4107" t="n"/>
      <c r="P15" s="4106" t="n"/>
      <c r="R15" s="79" t="inlineStr">
        <is>
          <t>府</t>
        </is>
      </c>
      <c r="S15" s="2378" t="inlineStr">
        <is>
          <t>県</t>
        </is>
      </c>
      <c r="W15" s="79" t="inlineStr">
        <is>
          <t>市</t>
        </is>
      </c>
      <c r="AH15" s="4109" t="n"/>
    </row>
    <row r="16" ht="3.95" customHeight="1" s="4080">
      <c r="A16" s="4097" t="n"/>
      <c r="B16" s="4107" t="n"/>
      <c r="C16" s="4106" t="n"/>
      <c r="E16" s="4107"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Height="1" s="4080">
      <c r="A17" s="4097" t="n"/>
      <c r="B17" s="4107" t="n"/>
      <c r="C17" s="1322"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78"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80" t="inlineStr">
        <is>
          <t>無</t>
        </is>
      </c>
      <c r="R18" s="1332" t="n"/>
      <c r="S18" s="4106" t="n"/>
      <c r="U18" s="4107" t="n"/>
      <c r="V18" s="4312" t="n"/>
      <c r="AH18" s="4109" t="n"/>
    </row>
    <row r="19" ht="3.95" customHeight="1" s="4080">
      <c r="A19" s="4097" t="n"/>
      <c r="B19" s="4107" t="n"/>
      <c r="C19" s="4106" t="n"/>
      <c r="N19" s="4611" t="n"/>
      <c r="R19" s="4107" t="n"/>
      <c r="S19" s="4106" t="n"/>
      <c r="U19" s="4107" t="n"/>
      <c r="V19" s="1324" t="n"/>
      <c r="W19" s="2402" t="n"/>
      <c r="AH19" s="4109" t="n"/>
    </row>
    <row r="20" ht="17.25" customHeight="1" s="4080">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Height="1" s="4080">
      <c r="A21" s="4097" t="n"/>
      <c r="B21" s="4107" t="n"/>
      <c r="C21" s="4240" t="inlineStr">
        <is>
          <t>事　業　所　名</t>
        </is>
      </c>
      <c r="D21" s="4110" t="n"/>
      <c r="E21" s="4110" t="n"/>
      <c r="F21" s="4110" t="n"/>
      <c r="G21" s="4110" t="n"/>
      <c r="H21" s="4110" t="n"/>
      <c r="I21" s="4110" t="n"/>
      <c r="J21" s="4110" t="n"/>
      <c r="K21" s="4110" t="n"/>
      <c r="L21" s="4189" t="n"/>
      <c r="M21" s="4241" t="inlineStr">
        <is>
          <t>サービス種別</t>
        </is>
      </c>
      <c r="N21" s="4110" t="n"/>
      <c r="O21" s="4110" t="n"/>
      <c r="P21" s="4110" t="n"/>
      <c r="Q21" s="4110" t="n"/>
      <c r="R21" s="4110" t="n"/>
      <c r="S21" s="4110" t="n"/>
      <c r="T21" s="4110" t="n"/>
      <c r="U21" s="4110" t="n"/>
      <c r="V21" s="4110" t="n"/>
      <c r="W21" s="4110" t="n"/>
      <c r="X21" s="4189" t="n"/>
      <c r="Y21" s="4242" t="inlineStr">
        <is>
          <t>職　　　種</t>
        </is>
      </c>
      <c r="Z21" s="4110" t="n"/>
      <c r="AA21" s="4110" t="n"/>
      <c r="AB21" s="4110" t="n"/>
      <c r="AC21" s="4110" t="n"/>
      <c r="AD21" s="4110" t="n"/>
      <c r="AE21" s="4110" t="n"/>
      <c r="AF21" s="4110" t="n"/>
      <c r="AG21" s="4110" t="n"/>
      <c r="AH21" s="4113" t="n"/>
    </row>
    <row r="22" ht="15" customHeight="1" s="4080">
      <c r="A22" s="4097" t="n"/>
      <c r="B22" s="4107" t="n"/>
      <c r="C22" s="4243" t="inlineStr">
        <is>
          <t>大阪市障がい福祉サービス</t>
        </is>
      </c>
      <c r="D22" s="4138" t="n"/>
      <c r="E22" s="4138" t="n"/>
      <c r="F22" s="4138" t="n"/>
      <c r="G22" s="4138" t="n"/>
      <c r="H22" s="4138" t="n"/>
      <c r="I22" s="4138" t="n"/>
      <c r="J22" s="4138" t="n"/>
      <c r="K22" s="4138" t="n"/>
      <c r="L22" s="4198" t="n"/>
      <c r="M22" s="4244" t="inlineStr">
        <is>
          <t>就労継続支援B型</t>
        </is>
      </c>
      <c r="N22" s="4138" t="n"/>
      <c r="O22" s="4138" t="n"/>
      <c r="P22" s="4138" t="n"/>
      <c r="Q22" s="4138" t="n"/>
      <c r="R22" s="4138" t="n"/>
      <c r="S22" s="4138" t="n"/>
      <c r="T22" s="4138" t="n"/>
      <c r="U22" s="4138" t="n"/>
      <c r="V22" s="4138" t="n"/>
      <c r="W22" s="4138" t="n"/>
      <c r="X22" s="4198" t="n"/>
      <c r="Y22" s="4245" t="inlineStr">
        <is>
          <t>管理者</t>
        </is>
      </c>
      <c r="Z22" s="4138" t="n"/>
      <c r="AA22" s="4138" t="n"/>
      <c r="AB22" s="4138" t="n"/>
      <c r="AC22" s="4138" t="n"/>
      <c r="AD22" s="4138" t="n"/>
      <c r="AE22" s="4138" t="n"/>
      <c r="AF22" s="4138" t="n"/>
      <c r="AG22" s="4138" t="n"/>
      <c r="AH22" s="4246" t="n"/>
    </row>
    <row r="23" ht="15" customHeight="1" s="4080">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2" t="n"/>
      <c r="Z23" s="4199" t="n"/>
      <c r="AA23" s="4199" t="n"/>
      <c r="AB23" s="4199" t="n"/>
      <c r="AC23" s="4199" t="n"/>
      <c r="AD23" s="4199" t="n"/>
      <c r="AE23" s="4199" t="n"/>
      <c r="AF23" s="4199" t="n"/>
      <c r="AG23" s="4199" t="n"/>
      <c r="AH23" s="4247" t="n"/>
    </row>
    <row r="24" ht="15" customHeight="1" s="4080">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2" t="n"/>
      <c r="Z24" s="4199" t="n"/>
      <c r="AA24" s="4199" t="n"/>
      <c r="AB24" s="4199" t="n"/>
      <c r="AC24" s="4199" t="n"/>
      <c r="AD24" s="4199" t="n"/>
      <c r="AE24" s="4199" t="n"/>
      <c r="AF24" s="4199" t="n"/>
      <c r="AG24" s="4199" t="n"/>
      <c r="AH24" s="4247" t="n"/>
    </row>
    <row r="25" ht="15" customHeight="1" s="4080">
      <c r="A25" s="4097" t="n"/>
      <c r="B25" s="4107" t="n"/>
      <c r="C25" s="4248" t="n"/>
      <c r="D25" s="4140" t="n"/>
      <c r="E25" s="4140" t="n"/>
      <c r="F25" s="4140" t="n"/>
      <c r="G25" s="4140" t="n"/>
      <c r="H25" s="4140" t="n"/>
      <c r="I25" s="4140" t="n"/>
      <c r="J25" s="4140" t="n"/>
      <c r="K25" s="4140" t="n"/>
      <c r="L25" s="4249" t="n"/>
      <c r="M25" s="4250" t="n"/>
      <c r="N25" s="4140" t="n"/>
      <c r="O25" s="4140" t="n"/>
      <c r="P25" s="4140" t="n"/>
      <c r="Q25" s="4140" t="n"/>
      <c r="R25" s="4140" t="n"/>
      <c r="S25" s="4140" t="n"/>
      <c r="T25" s="4140" t="n"/>
      <c r="U25" s="4140" t="n"/>
      <c r="V25" s="4140" t="n"/>
      <c r="W25" s="4140" t="n"/>
      <c r="X25" s="4249" t="n"/>
      <c r="Y25" s="4251" t="n"/>
      <c r="Z25" s="4140" t="n"/>
      <c r="AA25" s="4140" t="n"/>
      <c r="AB25" s="4140" t="n"/>
      <c r="AC25" s="4140" t="n"/>
      <c r="AD25" s="4140" t="n"/>
      <c r="AE25" s="4140" t="n"/>
      <c r="AF25" s="4140" t="n"/>
      <c r="AG25" s="4140" t="n"/>
      <c r="AH25" s="4252" t="n"/>
    </row>
    <row r="26" ht="12" customHeight="1" s="4080">
      <c r="A26" s="1766" t="inlineStr">
        <is>
          <t>サービス管理責任者</t>
        </is>
      </c>
      <c r="B26" s="2709" t="inlineStr">
        <is>
          <t>１</t>
        </is>
      </c>
      <c r="C26" s="4184" t="inlineStr">
        <is>
          <t>ﾌﾘｶﾞﾅ</t>
        </is>
      </c>
      <c r="D26" s="4110" t="n"/>
      <c r="E26" s="4111" t="n"/>
      <c r="F26" s="4253" t="inlineStr">
        <is>
          <t>ﾖﾄﾞﾔﾊﾞｼ</t>
        </is>
      </c>
      <c r="G26" s="4110" t="n"/>
      <c r="H26" s="4110" t="n"/>
      <c r="I26" s="4204" t="n"/>
      <c r="J26" s="4254" t="inlineStr">
        <is>
          <t>ﾊﾅｺ</t>
        </is>
      </c>
      <c r="K26" s="4110" t="n"/>
      <c r="L26" s="4110" t="n"/>
      <c r="M26" s="4111" t="n"/>
      <c r="N26" s="2164" t="inlineStr">
        <is>
          <t>住所</t>
        </is>
      </c>
      <c r="O26" s="4099" t="n"/>
      <c r="P26" s="1244" t="inlineStr">
        <is>
          <t>郵便番号（</t>
        </is>
      </c>
      <c r="Q26" s="4098" t="n"/>
      <c r="R26" s="4098" t="n"/>
      <c r="S26" s="4098" t="n"/>
      <c r="T26" s="1742" t="inlineStr">
        <is>
          <t>５４０－８５７０</t>
        </is>
      </c>
      <c r="U26" s="4098" t="n"/>
      <c r="V26" s="4098" t="n"/>
      <c r="W26" s="4098" t="n"/>
      <c r="X26" s="4098" t="n"/>
      <c r="Y26" s="1329" t="inlineStr">
        <is>
          <t>）</t>
        </is>
      </c>
      <c r="Z26" s="1017" t="n"/>
      <c r="AA26" s="1017" t="n"/>
      <c r="AB26" s="1017" t="n"/>
      <c r="AC26" s="1017" t="n"/>
      <c r="AD26" s="1017" t="n"/>
      <c r="AE26" s="120" t="n"/>
      <c r="AF26" s="119" t="n"/>
      <c r="AG26" s="119" t="n"/>
      <c r="AH26" s="118" t="n"/>
    </row>
    <row r="27" ht="11.1" customHeight="1" s="4080">
      <c r="A27" s="4208" t="n"/>
      <c r="B27" s="4122" t="n"/>
      <c r="C27" s="4209" t="inlineStr">
        <is>
          <t>氏　　名</t>
        </is>
      </c>
      <c r="D27" s="4098" t="n"/>
      <c r="E27" s="4099" t="n"/>
      <c r="F27" s="4253" t="inlineStr">
        <is>
          <t>淀屋橋</t>
        </is>
      </c>
      <c r="G27" s="4098" t="n"/>
      <c r="H27" s="4098" t="n"/>
      <c r="I27" s="4210" t="n"/>
      <c r="J27" s="4254" t="inlineStr">
        <is>
          <t>花子</t>
        </is>
      </c>
      <c r="K27" s="4098" t="n"/>
      <c r="L27" s="4098" t="n"/>
      <c r="M27" s="4099" t="n"/>
      <c r="N27" s="4106" t="n"/>
      <c r="O27" s="4107" t="n"/>
      <c r="P27" s="1509" t="inlineStr">
        <is>
          <t>大阪</t>
        </is>
      </c>
      <c r="R27" s="2378" t="inlineStr">
        <is>
          <t>都</t>
        </is>
      </c>
      <c r="S27" s="2378" t="inlineStr">
        <is>
          <t>道</t>
        </is>
      </c>
      <c r="T27" s="1510" t="inlineStr">
        <is>
          <t>大阪</t>
        </is>
      </c>
      <c r="W27" s="2378" t="inlineStr">
        <is>
          <t>郡</t>
        </is>
      </c>
      <c r="X27" s="1512" t="inlineStr">
        <is>
          <t>中央区大手前○丁目○番○号　○○マンション○○○号室</t>
        </is>
      </c>
      <c r="AH27" s="4109" t="n"/>
    </row>
    <row r="28" ht="11.1" customHeight="1" s="4080">
      <c r="A28" s="4208" t="n"/>
      <c r="B28" s="4122" t="n"/>
      <c r="C28" s="4106" t="n"/>
      <c r="E28" s="4107" t="n"/>
      <c r="F28" s="4106" t="n"/>
      <c r="I28" s="4212" t="n"/>
      <c r="J28" s="4213" t="n"/>
      <c r="M28" s="4107" t="n"/>
      <c r="N28" s="4106" t="n"/>
      <c r="O28" s="4107" t="n"/>
      <c r="P28" s="4106" t="n"/>
      <c r="R28" s="79" t="inlineStr">
        <is>
          <t>府</t>
        </is>
      </c>
      <c r="S28" s="2378" t="inlineStr">
        <is>
          <t>県</t>
        </is>
      </c>
      <c r="W28" s="79" t="inlineStr">
        <is>
          <t>市</t>
        </is>
      </c>
      <c r="AH28" s="4109" t="n"/>
    </row>
    <row r="29" ht="3" customHeight="1" s="4080">
      <c r="A29" s="4208" t="n"/>
      <c r="B29" s="4122" t="n"/>
      <c r="C29" s="4102" t="n"/>
      <c r="D29" s="4103" t="n"/>
      <c r="E29" s="4104" t="n"/>
      <c r="F29" s="4102" t="n"/>
      <c r="G29" s="4103" t="n"/>
      <c r="H29" s="4103" t="n"/>
      <c r="I29" s="4215" t="n"/>
      <c r="J29" s="4216" t="n"/>
      <c r="K29" s="4103" t="n"/>
      <c r="L29" s="4103" t="n"/>
      <c r="M29" s="4104" t="n"/>
      <c r="N29" s="4102" t="n"/>
      <c r="O29" s="4104" t="n"/>
      <c r="P29" s="4102" t="n"/>
      <c r="Q29" s="4103" t="n"/>
      <c r="R29" s="1810" t="n"/>
      <c r="S29" s="1810" t="n"/>
      <c r="T29" s="4103" t="n"/>
      <c r="U29" s="4103" t="n"/>
      <c r="V29" s="4103" t="n"/>
      <c r="W29" s="1810" t="n"/>
      <c r="AH29" s="4109" t="n"/>
    </row>
    <row r="30" ht="3.95" customHeight="1" s="4080">
      <c r="A30" s="4208" t="n"/>
      <c r="B30" s="4122" t="n"/>
      <c r="C30" s="1393" t="inlineStr">
        <is>
          <t>他の職務との兼務の有無及び職種</t>
        </is>
      </c>
      <c r="D30" s="4098" t="n"/>
      <c r="E30" s="4098" t="n"/>
      <c r="F30" s="4098" t="n"/>
      <c r="G30" s="4098" t="n"/>
      <c r="H30" s="4098" t="n"/>
      <c r="I30" s="4098" t="n"/>
      <c r="J30" s="4098" t="n"/>
      <c r="K30" s="4098" t="n"/>
      <c r="L30" s="4098" t="n"/>
      <c r="M30" s="4098" t="n"/>
      <c r="N30" s="4195" t="n"/>
      <c r="O30" s="4098" t="n"/>
      <c r="P30" s="4098" t="n"/>
      <c r="Q30" s="4098" t="n"/>
      <c r="R30" s="4099" t="n"/>
      <c r="S30" s="2163" t="inlineStr">
        <is>
          <t>職　　種</t>
        </is>
      </c>
      <c r="T30" s="4098" t="n"/>
      <c r="U30" s="4099" t="n"/>
      <c r="V30" s="1322" t="n"/>
      <c r="W30" s="1335" t="inlineStr">
        <is>
          <t xml:space="preserve">　</t>
        </is>
      </c>
      <c r="X30" s="4098" t="n"/>
      <c r="Y30" s="4098" t="n"/>
      <c r="Z30" s="4098" t="n"/>
      <c r="AA30" s="4098" t="n"/>
      <c r="AB30" s="4098" t="n"/>
      <c r="AC30" s="4098" t="n"/>
      <c r="AD30" s="4098" t="n"/>
      <c r="AE30" s="4098" t="n"/>
      <c r="AF30" s="4098" t="n"/>
      <c r="AG30" s="4098" t="n"/>
      <c r="AH30" s="4101" t="n"/>
    </row>
    <row r="31" ht="12" customHeight="1" s="4080">
      <c r="A31" s="4208" t="n"/>
      <c r="B31" s="4122" t="n"/>
      <c r="C31" s="4106" t="n"/>
      <c r="N31" s="1354" t="n"/>
      <c r="O31" s="1325" t="inlineStr">
        <is>
          <t>有</t>
        </is>
      </c>
      <c r="P31" s="1325" t="inlineStr">
        <is>
          <t>・</t>
        </is>
      </c>
      <c r="Q31" s="1325" t="inlineStr">
        <is>
          <t>無</t>
        </is>
      </c>
      <c r="R31" s="1332" t="n"/>
      <c r="S31" s="4106" t="n"/>
      <c r="U31" s="4107" t="n"/>
      <c r="V31" s="4312" t="n"/>
      <c r="AH31" s="4109" t="n"/>
    </row>
    <row r="32" ht="3.95" customHeight="1" s="4080">
      <c r="A32" s="4208" t="n"/>
      <c r="B32" s="4122" t="n"/>
      <c r="C32" s="4102" t="n"/>
      <c r="D32" s="4103" t="n"/>
      <c r="E32" s="4103" t="n"/>
      <c r="F32" s="4103" t="n"/>
      <c r="G32" s="4103" t="n"/>
      <c r="H32" s="4103" t="n"/>
      <c r="I32" s="4103" t="n"/>
      <c r="J32" s="4103" t="n"/>
      <c r="K32" s="4103" t="n"/>
      <c r="L32" s="4103" t="n"/>
      <c r="M32" s="4103" t="n"/>
      <c r="N32" s="4197" t="n"/>
      <c r="O32" s="4103" t="n"/>
      <c r="P32" s="4103" t="n"/>
      <c r="Q32" s="4103" t="n"/>
      <c r="R32" s="4104" t="n"/>
      <c r="S32" s="4102" t="n"/>
      <c r="T32" s="4103" t="n"/>
      <c r="U32" s="4104" t="n"/>
      <c r="V32" s="1326" t="n"/>
      <c r="W32" s="1299" t="n"/>
      <c r="X32" s="4103" t="n"/>
      <c r="Y32" s="4103" t="n"/>
      <c r="Z32" s="4103" t="n"/>
      <c r="AA32" s="4103" t="n"/>
      <c r="AB32" s="4103" t="n"/>
      <c r="AC32" s="4103" t="n"/>
      <c r="AD32" s="4103" t="n"/>
      <c r="AE32" s="4103" t="n"/>
      <c r="AF32" s="4103" t="n"/>
      <c r="AG32" s="4103" t="n"/>
      <c r="AH32" s="4105" t="n"/>
    </row>
    <row r="33" ht="12" customHeight="1" s="4080">
      <c r="A33" s="4208" t="n"/>
      <c r="B33" s="2709" t="inlineStr">
        <is>
          <t>２</t>
        </is>
      </c>
      <c r="C33" s="4184" t="inlineStr">
        <is>
          <t>ﾌﾘｶﾞﾅ</t>
        </is>
      </c>
      <c r="D33" s="4110" t="n"/>
      <c r="E33" s="4111" t="n"/>
      <c r="F33" s="4612" t="n"/>
      <c r="G33" s="4110" t="n"/>
      <c r="H33" s="4110" t="n"/>
      <c r="I33" s="4204" t="n"/>
      <c r="J33" s="4613" t="n"/>
      <c r="K33" s="4110" t="n"/>
      <c r="L33" s="4110" t="n"/>
      <c r="M33" s="4111" t="n"/>
      <c r="N33" s="2164" t="inlineStr">
        <is>
          <t>住所</t>
        </is>
      </c>
      <c r="O33" s="4099" t="n"/>
      <c r="P33" s="1244" t="inlineStr">
        <is>
          <t>郵便番号（</t>
        </is>
      </c>
      <c r="Q33" s="4098" t="n"/>
      <c r="R33" s="4098" t="n"/>
      <c r="S33" s="4098" t="n"/>
      <c r="T33" s="1287" t="n"/>
      <c r="U33" s="4098" t="n"/>
      <c r="V33" s="4098" t="n"/>
      <c r="W33" s="4098" t="n"/>
      <c r="X33" s="4098" t="n"/>
      <c r="Y33" s="1329" t="inlineStr">
        <is>
          <t>）</t>
        </is>
      </c>
      <c r="Z33" s="1017" t="n"/>
      <c r="AA33" s="1017" t="n"/>
      <c r="AB33" s="1017" t="n"/>
      <c r="AC33" s="1017" t="n"/>
      <c r="AD33" s="1017" t="n"/>
      <c r="AE33" s="120" t="n"/>
      <c r="AF33" s="119" t="n"/>
      <c r="AG33" s="119" t="n"/>
      <c r="AH33" s="118" t="n"/>
    </row>
    <row r="34" ht="11.1" customHeight="1" s="4080">
      <c r="A34" s="4208" t="n"/>
      <c r="B34" s="4122" t="n"/>
      <c r="C34" s="4209" t="inlineStr">
        <is>
          <t>氏　　名</t>
        </is>
      </c>
      <c r="D34" s="4098" t="n"/>
      <c r="E34" s="4099" t="n"/>
      <c r="F34" s="4612" t="n"/>
      <c r="G34" s="4098" t="n"/>
      <c r="H34" s="4098" t="n"/>
      <c r="I34" s="4210" t="n"/>
      <c r="J34" s="4613" t="n"/>
      <c r="K34" s="4098" t="n"/>
      <c r="L34" s="4098" t="n"/>
      <c r="M34" s="4099" t="n"/>
      <c r="N34" s="4106" t="n"/>
      <c r="O34" s="4107" t="n"/>
      <c r="P34" s="1318" t="n"/>
      <c r="R34" s="2378" t="inlineStr">
        <is>
          <t>都</t>
        </is>
      </c>
      <c r="S34" s="2378" t="inlineStr">
        <is>
          <t>道</t>
        </is>
      </c>
      <c r="T34" s="1389" t="n"/>
      <c r="W34" s="2378" t="inlineStr">
        <is>
          <t>郡</t>
        </is>
      </c>
      <c r="X34" s="1686" t="n"/>
      <c r="AH34" s="4109" t="n"/>
    </row>
    <row r="35" ht="11.1" customHeight="1" s="4080">
      <c r="A35" s="4208" t="n"/>
      <c r="B35" s="4122" t="n"/>
      <c r="C35" s="4106" t="n"/>
      <c r="E35" s="4107" t="n"/>
      <c r="F35" s="4106" t="n"/>
      <c r="I35" s="4212" t="n"/>
      <c r="J35" s="4213" t="n"/>
      <c r="M35" s="4107" t="n"/>
      <c r="N35" s="4106" t="n"/>
      <c r="O35" s="4107" t="n"/>
      <c r="P35" s="4106" t="n"/>
      <c r="R35" s="2378" t="inlineStr">
        <is>
          <t>府</t>
        </is>
      </c>
      <c r="S35" s="2378" t="inlineStr">
        <is>
          <t>県</t>
        </is>
      </c>
      <c r="W35" s="2378" t="inlineStr">
        <is>
          <t>市</t>
        </is>
      </c>
      <c r="AH35" s="4109" t="n"/>
    </row>
    <row r="36" ht="3" customHeight="1" s="4080">
      <c r="A36" s="4208" t="n"/>
      <c r="B36" s="4122" t="n"/>
      <c r="C36" s="4102" t="n"/>
      <c r="D36" s="4103" t="n"/>
      <c r="E36" s="4104" t="n"/>
      <c r="F36" s="4102" t="n"/>
      <c r="G36" s="4103" t="n"/>
      <c r="H36" s="4103" t="n"/>
      <c r="I36" s="4215" t="n"/>
      <c r="J36" s="4216" t="n"/>
      <c r="K36" s="4103" t="n"/>
      <c r="L36" s="4103" t="n"/>
      <c r="M36" s="4104" t="n"/>
      <c r="N36" s="4102" t="n"/>
      <c r="O36" s="4104" t="n"/>
      <c r="P36" s="4102" t="n"/>
      <c r="Q36" s="4103" t="n"/>
      <c r="R36" s="2378" t="n"/>
      <c r="S36" s="2378" t="n"/>
      <c r="T36" s="4103" t="n"/>
      <c r="U36" s="4103" t="n"/>
      <c r="V36" s="4103" t="n"/>
      <c r="W36" s="63" t="n"/>
      <c r="X36" s="4103" t="n"/>
      <c r="Y36" s="4103" t="n"/>
      <c r="Z36" s="4103" t="n"/>
      <c r="AA36" s="4103" t="n"/>
      <c r="AB36" s="4103" t="n"/>
      <c r="AC36" s="4103" t="n"/>
      <c r="AD36" s="4103" t="n"/>
      <c r="AE36" s="4103" t="n"/>
      <c r="AF36" s="4103" t="n"/>
      <c r="AG36" s="4103" t="n"/>
      <c r="AH36" s="4105" t="n"/>
    </row>
    <row r="37" ht="3.95" customHeight="1" s="4080">
      <c r="A37" s="4208" t="n"/>
      <c r="B37" s="4122" t="n"/>
      <c r="C37" s="1393" t="inlineStr">
        <is>
          <t>他の職務との兼務の有無及び職種</t>
        </is>
      </c>
      <c r="D37" s="4098" t="n"/>
      <c r="E37" s="4098" t="n"/>
      <c r="F37" s="4098" t="n"/>
      <c r="G37" s="4098" t="n"/>
      <c r="H37" s="4098" t="n"/>
      <c r="I37" s="4098" t="n"/>
      <c r="J37" s="4098" t="n"/>
      <c r="K37" s="4098" t="n"/>
      <c r="L37" s="4098" t="n"/>
      <c r="M37" s="4098" t="n"/>
      <c r="N37" s="4195" t="n"/>
      <c r="O37" s="4098" t="n"/>
      <c r="P37" s="4098" t="n"/>
      <c r="Q37" s="4098" t="n"/>
      <c r="R37" s="4099" t="n"/>
      <c r="S37" s="2163" t="inlineStr">
        <is>
          <t>職　　種</t>
        </is>
      </c>
      <c r="T37" s="4098" t="n"/>
      <c r="U37" s="4099" t="n"/>
      <c r="V37" s="4614" t="inlineStr">
        <is>
          <t xml:space="preserve">　</t>
        </is>
      </c>
      <c r="W37" s="4098" t="n"/>
      <c r="X37" s="4098" t="n"/>
      <c r="Y37" s="4098" t="n"/>
      <c r="Z37" s="4098" t="n"/>
      <c r="AA37" s="4098" t="n"/>
      <c r="AB37" s="4098" t="n"/>
      <c r="AC37" s="4098" t="n"/>
      <c r="AD37" s="4098" t="n"/>
      <c r="AE37" s="4098" t="n"/>
      <c r="AF37" s="4098" t="n"/>
      <c r="AG37" s="4098" t="n"/>
      <c r="AH37" s="4101" t="n"/>
    </row>
    <row r="38" ht="12" customHeight="1" s="4080">
      <c r="A38" s="4208" t="n"/>
      <c r="B38" s="4122" t="n"/>
      <c r="C38" s="4106" t="n"/>
      <c r="N38" s="1354" t="n"/>
      <c r="O38" s="1325" t="inlineStr">
        <is>
          <t>有</t>
        </is>
      </c>
      <c r="P38" s="1325" t="inlineStr">
        <is>
          <t>・</t>
        </is>
      </c>
      <c r="Q38" s="1325" t="inlineStr">
        <is>
          <t>無</t>
        </is>
      </c>
      <c r="R38" s="1332" t="n"/>
      <c r="S38" s="4106" t="n"/>
      <c r="U38" s="4107" t="n"/>
      <c r="V38" s="4312" t="n"/>
      <c r="AH38" s="4109" t="n"/>
    </row>
    <row r="39" ht="3.95" customHeight="1" s="4080">
      <c r="A39" s="4208" t="n"/>
      <c r="B39" s="4122" t="n"/>
      <c r="C39" s="4102" t="n"/>
      <c r="D39" s="4103" t="n"/>
      <c r="E39" s="4103" t="n"/>
      <c r="F39" s="4103" t="n"/>
      <c r="G39" s="4103" t="n"/>
      <c r="H39" s="4103" t="n"/>
      <c r="I39" s="4103" t="n"/>
      <c r="J39" s="4103" t="n"/>
      <c r="K39" s="4103" t="n"/>
      <c r="L39" s="4103" t="n"/>
      <c r="M39" s="4103" t="n"/>
      <c r="N39" s="4197" t="n"/>
      <c r="O39" s="4103" t="n"/>
      <c r="P39" s="4103" t="n"/>
      <c r="Q39" s="4103" t="n"/>
      <c r="R39" s="4104" t="n"/>
      <c r="S39" s="4102" t="n"/>
      <c r="T39" s="4103" t="n"/>
      <c r="U39" s="4104" t="n"/>
      <c r="V39" s="4615" t="n"/>
      <c r="W39" s="4103" t="n"/>
      <c r="X39" s="4103" t="n"/>
      <c r="Y39" s="4103" t="n"/>
      <c r="Z39" s="4103" t="n"/>
      <c r="AA39" s="4103" t="n"/>
      <c r="AB39" s="4103" t="n"/>
      <c r="AC39" s="4103" t="n"/>
      <c r="AD39" s="4103" t="n"/>
      <c r="AE39" s="4103" t="n"/>
      <c r="AF39" s="4103" t="n"/>
      <c r="AG39" s="4103" t="n"/>
      <c r="AH39" s="4105" t="n"/>
    </row>
    <row r="40" ht="15" customHeight="1" s="4080">
      <c r="A40" s="4271" t="inlineStr">
        <is>
          <t>職　員　の
職種・員数</t>
        </is>
      </c>
      <c r="B40" s="4099" t="n"/>
      <c r="C40" s="4272" t="inlineStr">
        <is>
          <t xml:space="preserve">　　　　　　 職種・勤務形態
常勤・非常勤の別</t>
        </is>
      </c>
      <c r="D40" s="4098" t="n"/>
      <c r="E40" s="4098" t="n"/>
      <c r="F40" s="4098" t="n"/>
      <c r="G40" s="4098" t="n"/>
      <c r="H40" s="4098" t="n"/>
      <c r="I40" s="4098" t="n"/>
      <c r="J40" s="4099" t="n"/>
      <c r="K40" s="4185" t="inlineStr">
        <is>
          <t>サービス管理責任者</t>
        </is>
      </c>
      <c r="L40" s="4110" t="n"/>
      <c r="M40" s="4110" t="n"/>
      <c r="N40" s="4110" t="n"/>
      <c r="O40" s="4110" t="n"/>
      <c r="P40" s="4111" t="n"/>
      <c r="Q40" s="4185" t="inlineStr">
        <is>
          <t>世　話　人</t>
        </is>
      </c>
      <c r="R40" s="4110" t="n"/>
      <c r="S40" s="4110" t="n"/>
      <c r="T40" s="4110" t="n"/>
      <c r="U40" s="4110" t="n"/>
      <c r="V40" s="4111" t="n"/>
      <c r="W40" s="4185" t="inlineStr">
        <is>
          <t>生活支援員</t>
        </is>
      </c>
      <c r="X40" s="4110" t="n"/>
      <c r="Y40" s="4110" t="n"/>
      <c r="Z40" s="4110" t="n"/>
      <c r="AA40" s="4110" t="n"/>
      <c r="AB40" s="4111" t="n"/>
      <c r="AC40" s="4637" t="inlineStr">
        <is>
          <t>事務職員</t>
        </is>
      </c>
      <c r="AD40" s="4110" t="n"/>
      <c r="AE40" s="4110" t="n"/>
      <c r="AF40" s="4110" t="n"/>
      <c r="AG40" s="4110" t="n"/>
      <c r="AH40" s="4113" t="n"/>
    </row>
    <row r="41" ht="15" customHeight="1" s="4080">
      <c r="A41" s="4097" t="n"/>
      <c r="B41" s="4107" t="n"/>
      <c r="C41" s="4102" t="n"/>
      <c r="D41" s="4103" t="n"/>
      <c r="E41" s="4103" t="n"/>
      <c r="F41" s="4103" t="n"/>
      <c r="G41" s="4103" t="n"/>
      <c r="H41" s="4103" t="n"/>
      <c r="I41" s="4103" t="n"/>
      <c r="J41" s="4104" t="n"/>
      <c r="K41" s="1617" t="inlineStr">
        <is>
          <t>専従</t>
        </is>
      </c>
      <c r="L41" s="4110" t="n"/>
      <c r="M41" s="4189" t="n"/>
      <c r="N41" s="1603" t="inlineStr">
        <is>
          <t>兼務</t>
        </is>
      </c>
      <c r="O41" s="4110" t="n"/>
      <c r="P41" s="4189" t="n"/>
      <c r="Q41" s="1617" t="inlineStr">
        <is>
          <t>専従</t>
        </is>
      </c>
      <c r="R41" s="4110" t="n"/>
      <c r="S41" s="4189" t="n"/>
      <c r="T41" s="1603" t="inlineStr">
        <is>
          <t>兼務</t>
        </is>
      </c>
      <c r="U41" s="4110" t="n"/>
      <c r="V41" s="4189" t="n"/>
      <c r="W41" s="1617" t="inlineStr">
        <is>
          <t>専従</t>
        </is>
      </c>
      <c r="X41" s="4110" t="n"/>
      <c r="Y41" s="4189" t="n"/>
      <c r="Z41" s="1603" t="inlineStr">
        <is>
          <t>兼務</t>
        </is>
      </c>
      <c r="AA41" s="4110" t="n"/>
      <c r="AB41" s="4189" t="n"/>
      <c r="AC41" s="1617" t="inlineStr">
        <is>
          <t>専従</t>
        </is>
      </c>
      <c r="AD41" s="4110" t="n"/>
      <c r="AE41" s="4189" t="n"/>
      <c r="AF41" s="1603" t="inlineStr">
        <is>
          <t>兼務</t>
        </is>
      </c>
      <c r="AG41" s="4110" t="n"/>
      <c r="AH41" s="4189" t="n"/>
    </row>
    <row r="42" ht="15" customHeight="1" s="4080">
      <c r="A42" s="4097" t="n"/>
      <c r="B42" s="4107" t="n"/>
      <c r="C42" s="1268" t="inlineStr">
        <is>
          <t>常　　　　　勤（人）</t>
        </is>
      </c>
      <c r="D42" s="4110" t="n"/>
      <c r="E42" s="4110" t="n"/>
      <c r="F42" s="4110" t="n"/>
      <c r="G42" s="4110" t="n"/>
      <c r="H42" s="4110" t="n"/>
      <c r="I42" s="4110" t="n"/>
      <c r="J42" s="4111" t="n"/>
      <c r="K42" s="4638" t="n"/>
      <c r="L42" s="4110" t="n"/>
      <c r="M42" s="4189" t="n"/>
      <c r="N42" s="4639" t="n">
        <v>1</v>
      </c>
      <c r="O42" s="4110" t="n"/>
      <c r="P42" s="4111" t="n"/>
      <c r="Q42" s="4638" t="n">
        <v>2</v>
      </c>
      <c r="R42" s="4110" t="n"/>
      <c r="S42" s="4189" t="n"/>
      <c r="T42" s="4639" t="n"/>
      <c r="U42" s="4110" t="n"/>
      <c r="V42" s="4111" t="n"/>
      <c r="W42" s="4638" t="n">
        <v>1</v>
      </c>
      <c r="X42" s="4110" t="n"/>
      <c r="Y42" s="4189" t="n"/>
      <c r="Z42" s="4639" t="n"/>
      <c r="AA42" s="4110" t="n"/>
      <c r="AB42" s="4111" t="n"/>
      <c r="AC42" s="4638" t="n"/>
      <c r="AD42" s="4110" t="n"/>
      <c r="AE42" s="4189" t="n"/>
      <c r="AF42" s="4640" t="n">
        <v>1</v>
      </c>
      <c r="AG42" s="4110" t="n"/>
      <c r="AH42" s="4113" t="n"/>
    </row>
    <row r="43" ht="15" customHeight="1" s="4080">
      <c r="A43" s="4097" t="n"/>
      <c r="B43" s="4107" t="n"/>
      <c r="C43" s="1286" t="inlineStr">
        <is>
          <t>非　　常　　勤（人）</t>
        </is>
      </c>
      <c r="D43" s="4103" t="n"/>
      <c r="E43" s="4103" t="n"/>
      <c r="F43" s="4103" t="n"/>
      <c r="G43" s="4103" t="n"/>
      <c r="H43" s="4103" t="n"/>
      <c r="I43" s="4103" t="n"/>
      <c r="J43" s="4104" t="n"/>
      <c r="K43" s="4638" t="n"/>
      <c r="L43" s="4110" t="n"/>
      <c r="M43" s="4189" t="n"/>
      <c r="N43" s="4639" t="n"/>
      <c r="O43" s="4110" t="n"/>
      <c r="P43" s="4111" t="n"/>
      <c r="Q43" s="4638" t="n">
        <v>5</v>
      </c>
      <c r="R43" s="4110" t="n"/>
      <c r="S43" s="4189" t="n"/>
      <c r="T43" s="4639" t="n"/>
      <c r="U43" s="4110" t="n"/>
      <c r="V43" s="4111" t="n"/>
      <c r="W43" s="4638" t="n">
        <v>4</v>
      </c>
      <c r="X43" s="4110" t="n"/>
      <c r="Y43" s="4189" t="n"/>
      <c r="Z43" s="4639" t="n"/>
      <c r="AA43" s="4110" t="n"/>
      <c r="AB43" s="4111" t="n"/>
      <c r="AC43" s="4638" t="n"/>
      <c r="AD43" s="4110" t="n"/>
      <c r="AE43" s="4189" t="n"/>
      <c r="AF43" s="4640" t="n"/>
      <c r="AG43" s="4110" t="n"/>
      <c r="AH43" s="4113" t="n"/>
    </row>
    <row r="44" ht="15" customHeight="1" s="4080">
      <c r="A44" s="4114" t="n"/>
      <c r="B44" s="4104" t="n"/>
      <c r="C44" s="1268" t="inlineStr">
        <is>
          <t>常勤換算後の人数（人）</t>
        </is>
      </c>
      <c r="D44" s="4110" t="n"/>
      <c r="E44" s="4110" t="n"/>
      <c r="F44" s="4110" t="n"/>
      <c r="G44" s="4110" t="n"/>
      <c r="H44" s="4110" t="n"/>
      <c r="I44" s="4110" t="n"/>
      <c r="J44" s="4111" t="n"/>
      <c r="K44" s="4641" t="n">
        <v>1</v>
      </c>
      <c r="L44" s="4110" t="n"/>
      <c r="M44" s="4110" t="n"/>
      <c r="N44" s="4110" t="n"/>
      <c r="O44" s="4110" t="n"/>
      <c r="P44" s="4111" t="n"/>
      <c r="Q44" s="4641" t="n">
        <v>3.5</v>
      </c>
      <c r="R44" s="4110" t="n"/>
      <c r="S44" s="4110" t="n"/>
      <c r="T44" s="4110" t="n"/>
      <c r="U44" s="4110" t="n"/>
      <c r="V44" s="4111" t="n"/>
      <c r="W44" s="4641" t="n">
        <v>3</v>
      </c>
      <c r="X44" s="4110" t="n"/>
      <c r="Y44" s="4110" t="n"/>
      <c r="Z44" s="4110" t="n"/>
      <c r="AA44" s="4110" t="n"/>
      <c r="AB44" s="4111" t="n"/>
      <c r="AC44" s="4642" t="n"/>
      <c r="AD44" s="4110" t="n"/>
      <c r="AE44" s="4110" t="n"/>
      <c r="AF44" s="4110" t="n"/>
      <c r="AG44" s="4110" t="n"/>
      <c r="AH44" s="4113" t="n"/>
    </row>
    <row r="45" ht="3" customHeight="1" s="4080">
      <c r="A45" s="4618" t="inlineStr">
        <is>
          <t>利用定員</t>
        </is>
      </c>
      <c r="B45" s="4098" t="n"/>
      <c r="C45" s="4098" t="n"/>
      <c r="D45" s="4098" t="n"/>
      <c r="E45" s="4098" t="n"/>
      <c r="F45" s="4098" t="n"/>
      <c r="G45" s="4099" t="n"/>
      <c r="H45" s="1145" t="inlineStr">
        <is>
          <t>10</t>
        </is>
      </c>
      <c r="I45" s="4098" t="n"/>
      <c r="J45" s="4619" t="inlineStr">
        <is>
          <t>人</t>
        </is>
      </c>
      <c r="K45" s="2163" t="inlineStr">
        <is>
          <t>短期入所実施の有無</t>
        </is>
      </c>
      <c r="L45" s="4098" t="n"/>
      <c r="M45" s="4098" t="n"/>
      <c r="N45" s="4098" t="n"/>
      <c r="O45" s="4098" t="n"/>
      <c r="P45" s="4098" t="n"/>
      <c r="Q45" s="4099" t="n"/>
      <c r="R45" s="369" t="n"/>
      <c r="S45" s="1591" t="n"/>
      <c r="T45" s="1591" t="n"/>
      <c r="U45" s="4620" t="n"/>
      <c r="V45" s="4621" t="n"/>
      <c r="W45" s="2163" t="inlineStr">
        <is>
          <t>短期入所実施の利用定員</t>
        </is>
      </c>
      <c r="X45" s="4098" t="n"/>
      <c r="Y45" s="4098" t="n"/>
      <c r="Z45" s="4098" t="n"/>
      <c r="AA45" s="4098" t="n"/>
      <c r="AB45" s="4098" t="n"/>
      <c r="AC45" s="4098" t="n"/>
      <c r="AD45" s="4098" t="n"/>
      <c r="AE45" s="4099" t="n"/>
      <c r="AF45" s="967" t="n"/>
      <c r="AG45" s="4098" t="n"/>
      <c r="AH45" s="1302" t="inlineStr">
        <is>
          <t>人</t>
        </is>
      </c>
    </row>
    <row r="46" ht="15" customHeight="1" s="4080">
      <c r="A46" s="4097" t="n"/>
      <c r="G46" s="4107" t="n"/>
      <c r="H46" s="4106" t="n"/>
      <c r="J46" s="4107" t="n"/>
      <c r="K46" s="4106" t="n"/>
      <c r="Q46" s="4107" t="n"/>
      <c r="R46" s="373" t="n"/>
      <c r="S46" s="398" t="inlineStr">
        <is>
          <t>無</t>
        </is>
      </c>
      <c r="T46" s="374" t="inlineStr">
        <is>
          <t>・</t>
        </is>
      </c>
      <c r="U46" s="3376" t="inlineStr">
        <is>
          <t>有</t>
        </is>
      </c>
      <c r="V46" s="376" t="n"/>
      <c r="W46" s="4106" t="n"/>
      <c r="AE46" s="4107" t="n"/>
      <c r="AF46" s="4106" t="n"/>
      <c r="AH46" s="4109" t="n"/>
    </row>
    <row r="47" ht="3" customHeight="1" s="4080">
      <c r="A47" s="4114" t="n"/>
      <c r="B47" s="4103" t="n"/>
      <c r="C47" s="4103" t="n"/>
      <c r="D47" s="4103" t="n"/>
      <c r="E47" s="4103" t="n"/>
      <c r="F47" s="4103" t="n"/>
      <c r="G47" s="4104" t="n"/>
      <c r="H47" s="4102" t="n"/>
      <c r="I47" s="4103" t="n"/>
      <c r="J47" s="4104" t="n"/>
      <c r="K47" s="4102" t="n"/>
      <c r="L47" s="4103" t="n"/>
      <c r="M47" s="4103" t="n"/>
      <c r="N47" s="4103" t="n"/>
      <c r="O47" s="4103" t="n"/>
      <c r="P47" s="4103" t="n"/>
      <c r="Q47" s="4104" t="n"/>
      <c r="R47" s="377" t="n"/>
      <c r="S47" s="1687" t="n"/>
      <c r="T47" s="1687" t="n"/>
      <c r="U47" s="2836" t="n"/>
      <c r="V47" s="2838" t="n"/>
      <c r="W47" s="4102" t="n"/>
      <c r="X47" s="4103" t="n"/>
      <c r="Y47" s="4103" t="n"/>
      <c r="Z47" s="4103" t="n"/>
      <c r="AA47" s="4103" t="n"/>
      <c r="AB47" s="4103" t="n"/>
      <c r="AC47" s="4103" t="n"/>
      <c r="AD47" s="4103" t="n"/>
      <c r="AE47" s="4104" t="n"/>
      <c r="AF47" s="4102" t="n"/>
      <c r="AG47" s="4103" t="n"/>
      <c r="AH47" s="4105" t="n"/>
    </row>
    <row r="48" ht="24" customHeight="1" s="4080">
      <c r="A48" s="4622" t="inlineStr">
        <is>
          <t>前年度利用者数
(又は推定数)</t>
        </is>
      </c>
      <c r="B48" s="4098" t="n"/>
      <c r="C48" s="4099" t="n"/>
      <c r="D48" s="4623" t="n"/>
      <c r="E48" s="4110" t="n"/>
      <c r="F48" s="4110" t="n"/>
      <c r="G48" s="4111" t="n"/>
      <c r="H48" s="2165" t="inlineStr">
        <is>
          <t>区分１</t>
        </is>
      </c>
      <c r="I48" s="4110" t="n"/>
      <c r="J48" s="4111" t="n"/>
      <c r="K48" s="2165" t="inlineStr">
        <is>
          <t>区分２</t>
        </is>
      </c>
      <c r="L48" s="4110" t="n"/>
      <c r="M48" s="4111" t="n"/>
      <c r="N48" s="2165" t="inlineStr">
        <is>
          <t>区分３</t>
        </is>
      </c>
      <c r="O48" s="4110" t="n"/>
      <c r="P48" s="4111" t="n"/>
      <c r="Q48" s="2165" t="inlineStr">
        <is>
          <t>区分４</t>
        </is>
      </c>
      <c r="R48" s="4110" t="n"/>
      <c r="S48" s="4111" t="n"/>
      <c r="T48" s="2165" t="inlineStr">
        <is>
          <t>区分５</t>
        </is>
      </c>
      <c r="U48" s="4110" t="n"/>
      <c r="V48" s="4111" t="n"/>
      <c r="W48" s="2165" t="inlineStr">
        <is>
          <t>区分６</t>
        </is>
      </c>
      <c r="X48" s="4110" t="n"/>
      <c r="Y48" s="4111" t="n"/>
      <c r="Z48" s="4628" t="inlineStr">
        <is>
          <t>前年度
開所日数</t>
        </is>
      </c>
      <c r="AA48" s="4110" t="n"/>
      <c r="AB48" s="4111" t="n"/>
      <c r="AC48" s="4626" t="inlineStr">
        <is>
          <t>平均障がい
支援区分</t>
        </is>
      </c>
      <c r="AD48" s="4110" t="n"/>
      <c r="AE48" s="4111" t="n"/>
      <c r="AF48" s="4643" t="inlineStr">
        <is>
          <t>平均
利用者数</t>
        </is>
      </c>
      <c r="AG48" s="4110" t="n"/>
      <c r="AH48" s="4113" t="n"/>
    </row>
    <row r="49" ht="15" customHeight="1" s="4080">
      <c r="A49" s="4097" t="n"/>
      <c r="C49" s="4107" t="n"/>
      <c r="D49" s="4628" t="inlineStr">
        <is>
          <t>共同生活援助</t>
        </is>
      </c>
      <c r="E49" s="4110" t="n"/>
      <c r="F49" s="4110" t="n"/>
      <c r="G49" s="4111" t="n"/>
      <c r="H49" s="4644" t="n"/>
      <c r="I49" s="4110" t="n"/>
      <c r="J49" s="4350" t="inlineStr">
        <is>
          <t>人</t>
        </is>
      </c>
      <c r="K49" s="4644" t="n">
        <v>1825</v>
      </c>
      <c r="L49" s="4110" t="n"/>
      <c r="M49" s="4350" t="inlineStr">
        <is>
          <t>人</t>
        </is>
      </c>
      <c r="N49" s="4644" t="n">
        <v>730</v>
      </c>
      <c r="O49" s="4110" t="n"/>
      <c r="P49" s="4350" t="inlineStr">
        <is>
          <t>人</t>
        </is>
      </c>
      <c r="Q49" s="4644" t="n">
        <v>365</v>
      </c>
      <c r="R49" s="4110" t="n"/>
      <c r="S49" s="4350" t="inlineStr">
        <is>
          <t>人</t>
        </is>
      </c>
      <c r="T49" s="4644" t="n">
        <v>730</v>
      </c>
      <c r="U49" s="4110" t="n"/>
      <c r="V49" s="4350" t="inlineStr">
        <is>
          <t>人</t>
        </is>
      </c>
      <c r="W49" s="4644" t="n"/>
      <c r="X49" s="4110" t="n"/>
      <c r="Y49" s="4350" t="inlineStr">
        <is>
          <t>人</t>
        </is>
      </c>
      <c r="Z49" s="4644" t="n">
        <v>365</v>
      </c>
      <c r="AA49" s="4110" t="n"/>
      <c r="AB49" s="4629" t="inlineStr">
        <is>
          <t>日</t>
        </is>
      </c>
      <c r="AC49" s="4645">
        <f>IF(Z49=0," ",ROUND(((3*N49)+(4*Q49)+(5*T49)+(6*W49)+(1*H49)+(2*K49))/(H49+K49+N49+Q49+T49+W49),1))</f>
        <v/>
      </c>
      <c r="AD49" s="4110" t="n"/>
      <c r="AE49" s="4111" t="n"/>
      <c r="AF49" s="4646">
        <f>IF(Z49=0," ",ROUNDUP((H49+K49+N49+Q49+T49+W49)/Z49,1))</f>
        <v/>
      </c>
      <c r="AG49" s="4110" t="n"/>
      <c r="AH49" s="4632" t="inlineStr">
        <is>
          <t>人</t>
        </is>
      </c>
    </row>
    <row r="50" ht="15" customHeight="1" s="4080">
      <c r="A50" s="4114" t="n"/>
      <c r="B50" s="4103" t="n"/>
      <c r="C50" s="4104" t="n"/>
      <c r="D50" s="2744" t="inlineStr">
        <is>
          <t>短期入所</t>
        </is>
      </c>
      <c r="E50" s="4110" t="n"/>
      <c r="F50" s="4110" t="n"/>
      <c r="G50" s="4111" t="n"/>
      <c r="H50" s="4644" t="n"/>
      <c r="I50" s="4110" t="n"/>
      <c r="J50" s="4350" t="inlineStr">
        <is>
          <t>人</t>
        </is>
      </c>
      <c r="K50" s="4644" t="n"/>
      <c r="L50" s="4110" t="n"/>
      <c r="M50" s="4350" t="inlineStr">
        <is>
          <t>人</t>
        </is>
      </c>
      <c r="N50" s="4644" t="n"/>
      <c r="O50" s="4110" t="n"/>
      <c r="P50" s="4350" t="inlineStr">
        <is>
          <t>人</t>
        </is>
      </c>
      <c r="Q50" s="4644" t="n"/>
      <c r="R50" s="4110" t="n"/>
      <c r="S50" s="4350" t="inlineStr">
        <is>
          <t>人</t>
        </is>
      </c>
      <c r="T50" s="4644" t="n"/>
      <c r="U50" s="4110" t="n"/>
      <c r="V50" s="4350" t="inlineStr">
        <is>
          <t>人</t>
        </is>
      </c>
      <c r="W50" s="4644" t="n"/>
      <c r="X50" s="4110" t="n"/>
      <c r="Y50" s="4350" t="inlineStr">
        <is>
          <t>人</t>
        </is>
      </c>
      <c r="Z50" s="4644" t="n"/>
      <c r="AA50" s="4110" t="n"/>
      <c r="AB50" s="4629" t="inlineStr">
        <is>
          <t>日</t>
        </is>
      </c>
      <c r="AC50" s="4645">
        <f>IF(Z50=0," ",ROUND(((3*N50)+(4*Q50)+(5*T50)+(6*W50)+(1*H50)+(2*K50))/(H50+K50+N50+Q50+T50+W50),1))</f>
        <v/>
      </c>
      <c r="AD50" s="4110" t="n"/>
      <c r="AE50" s="4111" t="n"/>
      <c r="AF50" s="4646">
        <f>IF(Z50=0," ",ROUNDUP((H50+K50+N50+Q50+T50+W50)/Z50,1))</f>
        <v/>
      </c>
      <c r="AG50" s="4110" t="n"/>
      <c r="AH50" s="4632" t="inlineStr">
        <is>
          <t>人</t>
        </is>
      </c>
    </row>
    <row r="51" ht="3.95" customHeight="1" s="4080">
      <c r="A51" s="4633" t="inlineStr">
        <is>
          <t>サービスの提供形態（該当部分に○）</t>
        </is>
      </c>
      <c r="B51" s="4098" t="n"/>
      <c r="C51" s="4098" t="n"/>
      <c r="D51" s="4098" t="n"/>
      <c r="E51" s="4098" t="n"/>
      <c r="F51" s="4099" t="n"/>
      <c r="G51" s="4634" t="inlineStr">
        <is>
          <t>介護サービス包括型</t>
        </is>
      </c>
      <c r="H51" s="4098" t="n"/>
      <c r="I51" s="4098" t="n"/>
      <c r="J51" s="4098" t="n"/>
      <c r="K51" s="4098" t="n"/>
      <c r="L51" s="4099" t="n"/>
      <c r="M51" s="382" t="n"/>
      <c r="N51" s="2069" t="n"/>
      <c r="O51" s="2069" t="n"/>
      <c r="P51" s="2069" t="n"/>
      <c r="Q51" s="1290" t="n"/>
      <c r="R51" s="1325" t="n"/>
      <c r="V51" s="1661" t="n"/>
      <c r="W51" s="1661" t="n"/>
      <c r="X51" s="1661" t="n"/>
      <c r="Y51" s="1661" t="n"/>
      <c r="Z51" s="1661" t="n"/>
      <c r="AA51" s="1661" t="n"/>
      <c r="AB51" s="1661" t="n"/>
      <c r="AC51" s="1661" t="n"/>
      <c r="AD51" s="1661" t="n"/>
      <c r="AE51" s="1661" t="n"/>
      <c r="AF51" s="1661" t="n"/>
      <c r="AG51" s="1661" t="n"/>
      <c r="AH51" s="1662" t="n"/>
    </row>
    <row r="52" ht="13.5" customHeight="1" s="4080">
      <c r="A52" s="4097" t="n"/>
      <c r="F52" s="4107" t="n"/>
      <c r="G52" s="4106" t="n"/>
      <c r="L52" s="4107" t="n"/>
      <c r="M52" s="399" t="inlineStr">
        <is>
          <t>○</t>
        </is>
      </c>
      <c r="N52" s="385" t="inlineStr">
        <is>
          <t>生活支援員の業務の外部委託の予定</t>
        </is>
      </c>
      <c r="V52" s="1658" t="n"/>
      <c r="W52" s="1658" t="n"/>
      <c r="X52" s="1453" t="inlineStr">
        <is>
          <t>有</t>
        </is>
      </c>
      <c r="Y52" s="2754" t="inlineStr">
        <is>
          <t>（月</t>
        </is>
      </c>
      <c r="AA52" s="2755" t="n"/>
      <c r="AD52" s="2756" t="inlineStr">
        <is>
          <t>時間）・</t>
        </is>
      </c>
      <c r="AG52" s="400" t="inlineStr">
        <is>
          <t>無</t>
        </is>
      </c>
      <c r="AH52" s="1659" t="n"/>
    </row>
    <row r="53" ht="3.95" customHeight="1" s="4080">
      <c r="A53" s="4097" t="n"/>
      <c r="F53" s="4107" t="n"/>
      <c r="G53" s="4102" t="n"/>
      <c r="H53" s="4103" t="n"/>
      <c r="I53" s="4103" t="n"/>
      <c r="J53" s="4103" t="n"/>
      <c r="K53" s="4103" t="n"/>
      <c r="L53" s="4104" t="n"/>
      <c r="M53" s="388" t="n"/>
      <c r="N53" s="2069" t="n"/>
      <c r="O53" s="2069" t="n"/>
      <c r="P53" s="2069" t="n"/>
      <c r="Q53" s="1889" t="n"/>
      <c r="S53" s="1889" t="n"/>
      <c r="T53" s="1889" t="n"/>
      <c r="U53" s="1889" t="n"/>
      <c r="V53" s="1658" t="n"/>
      <c r="W53" s="1658" t="n"/>
      <c r="X53" s="1658" t="n"/>
      <c r="Y53" s="1658" t="n"/>
      <c r="Z53" s="1658" t="n"/>
      <c r="AA53" s="1658" t="n"/>
      <c r="AB53" s="1658" t="n"/>
      <c r="AC53" s="1658" t="n"/>
      <c r="AD53" s="389" t="n"/>
      <c r="AE53" s="389" t="n"/>
      <c r="AF53" s="389" t="n"/>
      <c r="AG53" s="389" t="n"/>
      <c r="AH53" s="390" t="n"/>
    </row>
    <row r="54" ht="21" customHeight="1" s="4080">
      <c r="A54" s="4114" t="n"/>
      <c r="B54" s="4103" t="n"/>
      <c r="C54" s="4103" t="n"/>
      <c r="D54" s="4103" t="n"/>
      <c r="E54" s="4103" t="n"/>
      <c r="F54" s="4104" t="n"/>
      <c r="G54" s="4634" t="inlineStr">
        <is>
          <t>外部サービス利用型</t>
        </is>
      </c>
      <c r="H54" s="4110" t="n"/>
      <c r="I54" s="4110" t="n"/>
      <c r="J54" s="4110" t="n"/>
      <c r="K54" s="4110" t="n"/>
      <c r="L54" s="4111" t="n"/>
      <c r="M54" s="391" t="n"/>
      <c r="N54" s="2757" t="inlineStr">
        <is>
          <t>受託居宅介護サービス事業者が事業を行う事業所の名称
及び所在地並びに当該事業者の名称及び所在地</t>
        </is>
      </c>
      <c r="O54" s="4110" t="n"/>
      <c r="P54" s="4110" t="n"/>
      <c r="Q54" s="4110" t="n"/>
      <c r="R54" s="4110" t="n"/>
      <c r="S54" s="4110" t="n"/>
      <c r="T54" s="4110" t="n"/>
      <c r="U54" s="4110" t="n"/>
      <c r="V54" s="4110" t="n"/>
      <c r="W54" s="4110" t="n"/>
      <c r="X54" s="4110" t="n"/>
      <c r="Y54" s="4110" t="n"/>
      <c r="Z54" s="4110" t="n"/>
      <c r="AA54" s="4110" t="n"/>
      <c r="AB54" s="4110" t="n"/>
      <c r="AC54" s="4110" t="n"/>
      <c r="AD54" s="392" t="inlineStr">
        <is>
          <t>別紙のとおり</t>
        </is>
      </c>
      <c r="AF54" s="393" t="n"/>
      <c r="AG54" s="393" t="n"/>
      <c r="AH54" s="394" t="n"/>
    </row>
    <row r="55" ht="15" customHeight="1" s="4080">
      <c r="A55" s="4635" t="inlineStr">
        <is>
          <t>主な掲示事項</t>
        </is>
      </c>
      <c r="B55" s="4099" t="n"/>
      <c r="C55" s="1411" t="n"/>
      <c r="D55" s="1827" t="inlineStr">
        <is>
          <t>障害者支援施設等
との連携体制等</t>
        </is>
      </c>
      <c r="E55" s="4098" t="n"/>
      <c r="F55" s="4098" t="n"/>
      <c r="G55" s="4098" t="n"/>
      <c r="H55" s="4098" t="n"/>
      <c r="I55" s="4098" t="n"/>
      <c r="J55" s="1414" t="n"/>
      <c r="K55" s="2164" t="inlineStr">
        <is>
          <t>連携施設の種別</t>
        </is>
      </c>
      <c r="L55" s="4110" t="n"/>
      <c r="M55" s="4110" t="n"/>
      <c r="N55" s="4110" t="n"/>
      <c r="O55" s="4111" t="n"/>
      <c r="P55" s="4261" t="inlineStr">
        <is>
          <t>障害福祉サービス事業所</t>
        </is>
      </c>
      <c r="Q55" s="4110" t="n"/>
      <c r="R55" s="4110" t="n"/>
      <c r="S55" s="4110" t="n"/>
      <c r="T55" s="4110" t="n"/>
      <c r="U55" s="4110" t="n"/>
      <c r="V55" s="4110" t="n"/>
      <c r="W55" s="4110" t="n"/>
      <c r="X55" s="4110" t="n"/>
      <c r="Y55" s="4110" t="n"/>
      <c r="Z55" s="4110" t="n"/>
      <c r="AA55" s="4110" t="n"/>
      <c r="AB55" s="4110" t="n"/>
      <c r="AC55" s="4110" t="n"/>
      <c r="AD55" s="4110" t="n"/>
      <c r="AE55" s="4110" t="n"/>
      <c r="AF55" s="4110" t="n"/>
      <c r="AG55" s="4110" t="n"/>
      <c r="AH55" s="4113" t="n"/>
    </row>
    <row r="56" ht="15" customHeight="1" s="4080">
      <c r="A56" s="4097" t="n"/>
      <c r="B56" s="4107" t="n"/>
      <c r="C56" s="1795" t="n"/>
      <c r="J56" s="1797" t="n"/>
      <c r="K56" s="2164" t="inlineStr">
        <is>
          <t>連携施設の名称</t>
        </is>
      </c>
      <c r="L56" s="4110" t="n"/>
      <c r="M56" s="4110" t="n"/>
      <c r="N56" s="4110" t="n"/>
      <c r="O56" s="4111" t="n"/>
      <c r="P56" s="4261" t="inlineStr">
        <is>
          <t>中之島障がい福祉サービスセンター</t>
        </is>
      </c>
      <c r="Q56" s="4110" t="n"/>
      <c r="R56" s="4110" t="n"/>
      <c r="S56" s="4110" t="n"/>
      <c r="T56" s="4110" t="n"/>
      <c r="U56" s="4110" t="n"/>
      <c r="V56" s="4110" t="n"/>
      <c r="W56" s="4110" t="n"/>
      <c r="X56" s="4110" t="n"/>
      <c r="Y56" s="4110" t="n"/>
      <c r="Z56" s="4110" t="n"/>
      <c r="AA56" s="4110" t="n"/>
      <c r="AB56" s="4110" t="n"/>
      <c r="AC56" s="4110" t="n"/>
      <c r="AD56" s="4110" t="n"/>
      <c r="AE56" s="4110" t="n"/>
      <c r="AF56" s="4110" t="n"/>
      <c r="AG56" s="4110" t="n"/>
      <c r="AH56" s="4113" t="n"/>
    </row>
    <row r="57" ht="15" customHeight="1" s="4080">
      <c r="A57" s="4097" t="n"/>
      <c r="B57" s="4107" t="n"/>
      <c r="C57" s="1412" t="n"/>
      <c r="D57" s="4103" t="n"/>
      <c r="E57" s="4103" t="n"/>
      <c r="F57" s="4103" t="n"/>
      <c r="G57" s="4103" t="n"/>
      <c r="H57" s="4103" t="n"/>
      <c r="I57" s="4103" t="n"/>
      <c r="J57" s="1415" t="n"/>
      <c r="K57" s="2164" t="inlineStr">
        <is>
          <t>連携体制の概要</t>
        </is>
      </c>
      <c r="L57" s="4110" t="n"/>
      <c r="M57" s="4110" t="n"/>
      <c r="N57" s="4110" t="n"/>
      <c r="O57" s="4111" t="n"/>
      <c r="P57" s="4647" t="inlineStr">
        <is>
          <t>世話人の確保、世話人に対する研修の実施、緊急時の対応</t>
        </is>
      </c>
      <c r="Q57" s="4110" t="n"/>
      <c r="R57" s="4110" t="n"/>
      <c r="S57" s="4110" t="n"/>
      <c r="T57" s="4110" t="n"/>
      <c r="U57" s="4110" t="n"/>
      <c r="V57" s="4110" t="n"/>
      <c r="W57" s="4110" t="n"/>
      <c r="X57" s="4110" t="n"/>
      <c r="Y57" s="4110" t="n"/>
      <c r="Z57" s="4110" t="n"/>
      <c r="AA57" s="4110" t="n"/>
      <c r="AB57" s="4110" t="n"/>
      <c r="AC57" s="4110" t="n"/>
      <c r="AD57" s="4110" t="n"/>
      <c r="AE57" s="4110" t="n"/>
      <c r="AF57" s="4110" t="n"/>
      <c r="AG57" s="4110" t="n"/>
      <c r="AH57" s="4113" t="n"/>
    </row>
    <row r="58" ht="3.95" customHeight="1" s="4080">
      <c r="A58" s="4097" t="n"/>
      <c r="B58" s="4107" t="n"/>
      <c r="C58" s="4231" t="inlineStr">
        <is>
          <t>その他参考
となる事項</t>
        </is>
      </c>
      <c r="D58" s="4099" t="n"/>
      <c r="E58" s="2753" t="inlineStr">
        <is>
          <t>第三者評価の実施状況</t>
        </is>
      </c>
      <c r="F58" s="4098" t="n"/>
      <c r="G58" s="4098" t="n"/>
      <c r="H58" s="4098" t="n"/>
      <c r="I58" s="4098" t="n"/>
      <c r="J58" s="4099" t="n"/>
      <c r="K58" s="1657" t="n"/>
      <c r="L58" s="1658" t="n"/>
      <c r="M58" s="1658" t="n"/>
      <c r="N58" s="1658" t="n"/>
      <c r="O58" s="1658" t="n"/>
      <c r="P58" s="1658" t="n"/>
      <c r="Q58" s="1658" t="n"/>
      <c r="R58" s="4232" t="n"/>
      <c r="S58" s="4098" t="n"/>
      <c r="T58" s="4098" t="n"/>
      <c r="U58" s="4098" t="n"/>
      <c r="V58" s="4098" t="n"/>
      <c r="W58" s="4098" t="n"/>
      <c r="X58" s="4098" t="n"/>
      <c r="Y58" s="4098" t="n"/>
      <c r="Z58" s="4098" t="n"/>
      <c r="AA58" s="4098" t="n"/>
      <c r="AB58" s="1658" t="n"/>
      <c r="AC58" s="1658" t="n"/>
      <c r="AD58" s="1658" t="n"/>
      <c r="AE58" s="1658" t="n"/>
      <c r="AF58" s="1658" t="n"/>
      <c r="AG58" s="1658" t="n"/>
      <c r="AH58" s="1659" t="n"/>
    </row>
    <row r="59" ht="15" customHeight="1" s="4080">
      <c r="A59" s="4097" t="n"/>
      <c r="B59" s="4107" t="n"/>
      <c r="C59" s="4106" t="n"/>
      <c r="D59" s="4107" t="n"/>
      <c r="J59" s="4107" t="n"/>
      <c r="K59" s="1372" t="n"/>
      <c r="L59" s="1432" t="inlineStr">
        <is>
          <t>している</t>
        </is>
      </c>
      <c r="O59" s="1458" t="inlineStr">
        <is>
          <t>(実施先：</t>
        </is>
      </c>
      <c r="AB59" s="1889" t="inlineStr">
        <is>
          <t>)・</t>
        </is>
      </c>
      <c r="AC59" s="4264" t="inlineStr">
        <is>
          <t>していない</t>
        </is>
      </c>
      <c r="AD59" s="4265" t="n"/>
      <c r="AE59" s="4265" t="n"/>
      <c r="AF59" s="4265" t="n"/>
      <c r="AG59" s="4266" t="n"/>
      <c r="AH59" s="1668" t="n"/>
    </row>
    <row r="60" ht="3.95" customHeight="1" s="4080">
      <c r="A60" s="4097" t="n"/>
      <c r="B60" s="4107" t="n"/>
      <c r="C60" s="4106" t="n"/>
      <c r="D60" s="4107" t="n"/>
      <c r="E60" s="4103" t="n"/>
      <c r="F60" s="4103" t="n"/>
      <c r="G60" s="4103" t="n"/>
      <c r="H60" s="4103" t="n"/>
      <c r="I60" s="4103" t="n"/>
      <c r="J60" s="4104" t="n"/>
      <c r="K60" s="1657" t="n"/>
      <c r="L60" s="1658" t="n"/>
      <c r="M60" s="1658" t="n"/>
      <c r="N60" s="1658" t="n"/>
      <c r="O60" s="1658" t="n"/>
      <c r="P60" s="1658" t="n"/>
      <c r="Q60" s="1658" t="n"/>
      <c r="R60" s="4103" t="n"/>
      <c r="S60" s="4103" t="n"/>
      <c r="T60" s="4103" t="n"/>
      <c r="U60" s="4103" t="n"/>
      <c r="V60" s="4103" t="n"/>
      <c r="W60" s="4103" t="n"/>
      <c r="X60" s="4103" t="n"/>
      <c r="Y60" s="4103" t="n"/>
      <c r="Z60" s="4103" t="n"/>
      <c r="AA60" s="4103" t="n"/>
      <c r="AB60" s="1658" t="n"/>
      <c r="AC60" s="1658" t="n"/>
      <c r="AD60" s="1658" t="n"/>
      <c r="AE60" s="1658" t="n"/>
      <c r="AF60" s="1658" t="n"/>
      <c r="AG60" s="1658" t="n"/>
      <c r="AH60" s="1659" t="n"/>
    </row>
    <row r="61" ht="15" customHeight="1" s="4080">
      <c r="A61" s="4097" t="n"/>
      <c r="B61" s="4107" t="n"/>
      <c r="C61" s="4106" t="n"/>
      <c r="D61" s="4107" t="n"/>
      <c r="E61" s="1439" t="inlineStr">
        <is>
          <t>苦情解決の措置概要</t>
        </is>
      </c>
      <c r="F61" s="4098" t="n"/>
      <c r="G61" s="4098" t="n"/>
      <c r="H61" s="4098" t="n"/>
      <c r="I61" s="4098" t="n"/>
      <c r="J61" s="4099" t="n"/>
      <c r="K61" s="2542" t="inlineStr">
        <is>
          <t>窓　口</t>
        </is>
      </c>
      <c r="L61" s="4110" t="n"/>
      <c r="M61" s="4111" t="n"/>
      <c r="N61" s="4267" t="inlineStr">
        <is>
          <t>中之島障がい福祉サービスセンター</t>
        </is>
      </c>
      <c r="O61" s="4110" t="n"/>
      <c r="P61" s="4110" t="n"/>
      <c r="Q61" s="4110" t="n"/>
      <c r="R61" s="4110" t="n"/>
      <c r="S61" s="4110" t="n"/>
      <c r="T61" s="4110" t="n"/>
      <c r="U61" s="4110" t="n"/>
      <c r="V61" s="4110" t="n"/>
      <c r="W61" s="4110" t="n"/>
      <c r="X61" s="4110" t="n"/>
      <c r="Y61" s="4110" t="n"/>
      <c r="Z61" s="4110" t="n"/>
      <c r="AA61" s="4110" t="n"/>
      <c r="AB61" s="4110" t="n"/>
      <c r="AC61" s="4110" t="n"/>
      <c r="AD61" s="4110" t="n"/>
      <c r="AE61" s="4110" t="n"/>
      <c r="AF61" s="4110" t="n"/>
      <c r="AG61" s="4110" t="n"/>
      <c r="AH61" s="4113" t="n"/>
    </row>
    <row r="62" ht="15" customHeight="1" s="4080">
      <c r="A62" s="4097" t="n"/>
      <c r="B62" s="4107" t="n"/>
      <c r="C62" s="4106" t="n"/>
      <c r="D62" s="4107" t="n"/>
      <c r="E62" s="4103" t="n"/>
      <c r="F62" s="4103" t="n"/>
      <c r="G62" s="4103" t="n"/>
      <c r="H62" s="4103" t="n"/>
      <c r="I62" s="4103" t="n"/>
      <c r="J62" s="4104" t="n"/>
      <c r="K62" s="2542" t="inlineStr">
        <is>
          <t>担当者</t>
        </is>
      </c>
      <c r="L62" s="4110" t="n"/>
      <c r="M62" s="4111" t="n"/>
      <c r="N62" s="4233" t="inlineStr">
        <is>
          <t>淀屋橋花子</t>
        </is>
      </c>
      <c r="O62" s="4110" t="n"/>
      <c r="P62" s="4110" t="n"/>
      <c r="Q62" s="4110" t="n"/>
      <c r="R62" s="4110" t="n"/>
      <c r="S62" s="4110" t="n"/>
      <c r="T62" s="4110" t="n"/>
      <c r="U62" s="4111" t="n"/>
      <c r="V62" s="2163" t="inlineStr">
        <is>
          <t>電話</t>
        </is>
      </c>
      <c r="W62" s="4111" t="n"/>
      <c r="X62" s="1479" t="inlineStr">
        <is>
          <t>０６</t>
        </is>
      </c>
      <c r="Y62" s="4110" t="n"/>
      <c r="Z62" s="4110" t="n"/>
      <c r="AA62" s="1492" t="inlineStr">
        <is>
          <t>－</t>
        </is>
      </c>
      <c r="AB62" s="1150" t="inlineStr">
        <is>
          <t>６２４１</t>
        </is>
      </c>
      <c r="AC62" s="4110" t="n"/>
      <c r="AD62" s="4110" t="n"/>
      <c r="AE62" s="1492" t="inlineStr">
        <is>
          <t>－</t>
        </is>
      </c>
      <c r="AF62" s="1483" t="inlineStr">
        <is>
          <t>６５２０</t>
        </is>
      </c>
      <c r="AG62" s="4110" t="n"/>
      <c r="AH62" s="4113" t="n"/>
    </row>
    <row r="63" ht="15" customHeight="1" s="4080">
      <c r="A63" s="4114" t="n"/>
      <c r="B63" s="4104" t="n"/>
      <c r="C63" s="4102" t="n"/>
      <c r="D63" s="4104" t="n"/>
      <c r="E63" s="1394" t="inlineStr">
        <is>
          <t>そ　　 の 　　他</t>
        </is>
      </c>
      <c r="F63" s="4110" t="n"/>
      <c r="G63" s="4110" t="n"/>
      <c r="H63" s="4110" t="n"/>
      <c r="I63" s="4110" t="n"/>
      <c r="J63" s="4111" t="n"/>
      <c r="K63" s="4121" t="n"/>
      <c r="L63" s="4110" t="n"/>
      <c r="M63" s="4110" t="n"/>
      <c r="N63" s="4110" t="n"/>
      <c r="O63" s="4110" t="n"/>
      <c r="P63" s="4110" t="n"/>
      <c r="Q63" s="4110" t="n"/>
      <c r="R63" s="4110" t="n"/>
      <c r="S63" s="4110" t="n"/>
      <c r="T63" s="4110" t="n"/>
      <c r="U63" s="4110" t="n"/>
      <c r="V63" s="4110" t="n"/>
      <c r="W63" s="4110" t="n"/>
      <c r="X63" s="4110" t="n"/>
      <c r="Y63" s="4110" t="n"/>
      <c r="Z63" s="4110" t="n"/>
      <c r="AA63" s="4110" t="n"/>
      <c r="AB63" s="4110" t="n"/>
      <c r="AC63" s="4110" t="n"/>
      <c r="AD63" s="4110" t="n"/>
      <c r="AE63" s="4110" t="n"/>
      <c r="AF63" s="4110" t="n"/>
      <c r="AG63" s="4110" t="n"/>
      <c r="AH63" s="4113" t="n"/>
    </row>
    <row r="64" ht="12" customHeight="1" s="4080">
      <c r="A64" s="2915" t="n"/>
      <c r="B64" s="1264" t="inlineStr">
        <is>
          <t>協力医療機関</t>
        </is>
      </c>
      <c r="C64" s="4098" t="n"/>
      <c r="D64" s="4098" t="n"/>
      <c r="E64" s="4098" t="n"/>
      <c r="F64" s="4098" t="n"/>
      <c r="G64" s="4098" t="n"/>
      <c r="H64" s="4098" t="n"/>
      <c r="I64" s="4098" t="n"/>
      <c r="J64" s="2077" t="n"/>
      <c r="K64" s="4181" t="inlineStr">
        <is>
          <t>ﾌﾘｶﾞﾅ</t>
        </is>
      </c>
      <c r="L64" s="4110" t="n"/>
      <c r="M64" s="4111" t="n"/>
      <c r="N64" s="4456" t="inlineStr">
        <is>
          <t>ﾏﾙﾏﾙｷﾈﾝﾋﾞｮｳｲﾝ</t>
        </is>
      </c>
      <c r="O64" s="4110" t="n"/>
      <c r="P64" s="4110" t="n"/>
      <c r="Q64" s="4110" t="n"/>
      <c r="R64" s="4110" t="n"/>
      <c r="S64" s="4110" t="n"/>
      <c r="T64" s="4110" t="n"/>
      <c r="U64" s="4110" t="n"/>
      <c r="V64" s="4110" t="n"/>
      <c r="W64" s="4110" t="n"/>
      <c r="X64" s="4110" t="n"/>
      <c r="Y64" s="4110" t="n"/>
      <c r="Z64" s="4110" t="n"/>
      <c r="AA64" s="4110" t="n"/>
      <c r="AB64" s="4111" t="n"/>
      <c r="AC64" s="3362" t="inlineStr">
        <is>
          <t>主な診療科名</t>
        </is>
      </c>
      <c r="AD64" s="4099" t="n"/>
      <c r="AE64" s="4260" t="inlineStr">
        <is>
          <t>内科､外科</t>
        </is>
      </c>
      <c r="AF64" s="4098" t="n"/>
      <c r="AG64" s="4098" t="n"/>
      <c r="AH64" s="4101" t="n"/>
    </row>
    <row r="65" ht="20.1" customHeight="1" s="4080">
      <c r="A65" s="4114" t="n"/>
      <c r="B65" s="4103" t="n"/>
      <c r="C65" s="4103" t="n"/>
      <c r="D65" s="4103" t="n"/>
      <c r="E65" s="4103" t="n"/>
      <c r="F65" s="4103" t="n"/>
      <c r="G65" s="4103" t="n"/>
      <c r="H65" s="4103" t="n"/>
      <c r="I65" s="4103" t="n"/>
      <c r="J65" s="4104" t="n"/>
      <c r="K65" s="2164" t="inlineStr">
        <is>
          <t>名　称</t>
        </is>
      </c>
      <c r="L65" s="4110" t="n"/>
      <c r="M65" s="4111" t="n"/>
      <c r="N65" s="4233" t="inlineStr">
        <is>
          <t>○○記念病院</t>
        </is>
      </c>
      <c r="O65" s="4110" t="n"/>
      <c r="P65" s="4110" t="n"/>
      <c r="Q65" s="4110" t="n"/>
      <c r="R65" s="4110" t="n"/>
      <c r="S65" s="4110" t="n"/>
      <c r="T65" s="4110" t="n"/>
      <c r="U65" s="4110" t="n"/>
      <c r="V65" s="4110" t="n"/>
      <c r="W65" s="4110" t="n"/>
      <c r="X65" s="4110" t="n"/>
      <c r="Y65" s="4110" t="n"/>
      <c r="Z65" s="4110" t="n"/>
      <c r="AA65" s="4110" t="n"/>
      <c r="AB65" s="4111" t="n"/>
      <c r="AC65" s="4103" t="n"/>
      <c r="AD65" s="4104" t="n"/>
      <c r="AE65" s="4102" t="n"/>
      <c r="AF65" s="4103" t="n"/>
      <c r="AG65" s="4103" t="n"/>
      <c r="AH65" s="4105" t="n"/>
    </row>
    <row r="66" ht="12" customHeight="1" s="4080">
      <c r="A66" s="2915" t="n"/>
      <c r="B66" s="1264" t="inlineStr">
        <is>
          <t>協力歯科医療機関</t>
        </is>
      </c>
      <c r="C66" s="4098" t="n"/>
      <c r="D66" s="4098" t="n"/>
      <c r="E66" s="4098" t="n"/>
      <c r="F66" s="4098" t="n"/>
      <c r="G66" s="4098" t="n"/>
      <c r="H66" s="4098" t="n"/>
      <c r="I66" s="4098" t="n"/>
      <c r="J66" s="2077" t="n"/>
      <c r="K66" s="4181" t="inlineStr">
        <is>
          <t>ﾌﾘｶﾞﾅ</t>
        </is>
      </c>
      <c r="L66" s="4110" t="n"/>
      <c r="M66" s="4111" t="n"/>
      <c r="N66" s="4648" t="inlineStr">
        <is>
          <t>ｷﾀﾊﾏﾃﾞﾝﾀﾙｸﾘﾆｯｸ</t>
        </is>
      </c>
      <c r="O66" s="4110" t="n"/>
      <c r="P66" s="4110" t="n"/>
      <c r="Q66" s="4110" t="n"/>
      <c r="R66" s="4110" t="n"/>
      <c r="S66" s="4110" t="n"/>
      <c r="T66" s="4110" t="n"/>
      <c r="U66" s="4110" t="n"/>
      <c r="V66" s="4110" t="n"/>
      <c r="W66" s="4110" t="n"/>
      <c r="X66" s="4110" t="n"/>
      <c r="Y66" s="4110" t="n"/>
      <c r="Z66" s="4110" t="n"/>
      <c r="AA66" s="4110" t="n"/>
      <c r="AB66" s="4110" t="n"/>
      <c r="AC66" s="4110" t="n"/>
      <c r="AD66" s="4110" t="n"/>
      <c r="AE66" s="4110" t="n"/>
      <c r="AF66" s="4110" t="n"/>
      <c r="AG66" s="4110" t="n"/>
      <c r="AH66" s="4113" t="n"/>
    </row>
    <row r="67" ht="20.1" customHeight="1" s="4080">
      <c r="A67" s="4114" t="n"/>
      <c r="B67" s="4103" t="n"/>
      <c r="C67" s="4103" t="n"/>
      <c r="D67" s="4103" t="n"/>
      <c r="E67" s="4103" t="n"/>
      <c r="F67" s="4103" t="n"/>
      <c r="G67" s="4103" t="n"/>
      <c r="H67" s="4103" t="n"/>
      <c r="I67" s="4103" t="n"/>
      <c r="J67" s="4104" t="n"/>
      <c r="K67" s="2164" t="inlineStr">
        <is>
          <t>名　称</t>
        </is>
      </c>
      <c r="L67" s="4110" t="n"/>
      <c r="M67" s="4111" t="n"/>
      <c r="N67" s="4649" t="inlineStr">
        <is>
          <t>北浜デンタルクリニック</t>
        </is>
      </c>
      <c r="O67" s="4110" t="n"/>
      <c r="P67" s="4110" t="n"/>
      <c r="Q67" s="4110" t="n"/>
      <c r="R67" s="4110" t="n"/>
      <c r="S67" s="4110" t="n"/>
      <c r="T67" s="4110" t="n"/>
      <c r="U67" s="4110" t="n"/>
      <c r="V67" s="4110" t="n"/>
      <c r="W67" s="4110" t="n"/>
      <c r="X67" s="4110" t="n"/>
      <c r="Y67" s="4110" t="n"/>
      <c r="Z67" s="4110" t="n"/>
      <c r="AA67" s="4110" t="n"/>
      <c r="AB67" s="4110" t="n"/>
      <c r="AC67" s="4110" t="n"/>
      <c r="AD67" s="4110" t="n"/>
      <c r="AE67" s="4110" t="n"/>
      <c r="AF67" s="4110" t="n"/>
      <c r="AG67" s="4110" t="n"/>
      <c r="AH67" s="4113" t="n"/>
    </row>
    <row r="68" ht="15.95" customHeight="1" s="4080" thickBot="1">
      <c r="A68" s="1426" t="n"/>
      <c r="B68" s="1618" t="inlineStr">
        <is>
          <t>添付書類</t>
        </is>
      </c>
      <c r="C68" s="4153" t="n"/>
      <c r="D68" s="4153" t="n"/>
      <c r="E68" s="4153" t="n"/>
      <c r="F68" s="4153" t="n"/>
      <c r="G68" s="4153" t="n"/>
      <c r="H68" s="4153" t="n"/>
      <c r="I68" s="4153" t="n"/>
      <c r="J68" s="1428" t="n"/>
      <c r="K68" s="4235" t="inlineStr">
        <is>
          <t xml:space="preserve">　別紙「添付書類一覧表」のとおり</t>
        </is>
      </c>
      <c r="L68" s="4153" t="n"/>
      <c r="M68" s="4153" t="n"/>
      <c r="N68" s="4153" t="n"/>
      <c r="O68" s="4153" t="n"/>
      <c r="P68" s="4153" t="n"/>
      <c r="Q68" s="4153" t="n"/>
      <c r="R68" s="4153" t="n"/>
      <c r="S68" s="4153" t="n"/>
      <c r="T68" s="4153" t="n"/>
      <c r="U68" s="4153" t="n"/>
      <c r="V68" s="4153" t="n"/>
      <c r="W68" s="4153" t="n"/>
      <c r="X68" s="4153" t="n"/>
      <c r="Y68" s="4153" t="n"/>
      <c r="Z68" s="4153" t="n"/>
      <c r="AA68" s="4153" t="n"/>
      <c r="AB68" s="4153" t="n"/>
      <c r="AC68" s="4153" t="n"/>
      <c r="AD68" s="4153" t="n"/>
      <c r="AE68" s="4153" t="n"/>
      <c r="AF68" s="4153" t="n"/>
      <c r="AG68" s="4153" t="n"/>
      <c r="AH68" s="4155" t="n"/>
    </row>
  </sheetData>
  <mergeCells count="246">
    <mergeCell ref="K49:L49"/>
    <mergeCell ref="Z43:AB43"/>
    <mergeCell ref="C14:E16"/>
    <mergeCell ref="C23:L23"/>
    <mergeCell ref="A26:A39"/>
    <mergeCell ref="N42:P42"/>
    <mergeCell ref="K11:AH11"/>
    <mergeCell ref="K44:P44"/>
    <mergeCell ref="T33:X33"/>
    <mergeCell ref="T49:U49"/>
    <mergeCell ref="C42:J42"/>
    <mergeCell ref="W32:AH32"/>
    <mergeCell ref="AF49:AG49"/>
    <mergeCell ref="X27:AH29"/>
    <mergeCell ref="F27:I29"/>
    <mergeCell ref="J33:M33"/>
    <mergeCell ref="K55:O55"/>
    <mergeCell ref="M21:X21"/>
    <mergeCell ref="P34:Q36"/>
    <mergeCell ref="Q44:V44"/>
    <mergeCell ref="B64:I65"/>
    <mergeCell ref="Z50:AA50"/>
    <mergeCell ref="N67:AH67"/>
    <mergeCell ref="V18:AH18"/>
    <mergeCell ref="AF42:AH42"/>
    <mergeCell ref="K50:L50"/>
    <mergeCell ref="B33:B39"/>
    <mergeCell ref="T50:U50"/>
    <mergeCell ref="AC44:AH44"/>
    <mergeCell ref="AE64:AH65"/>
    <mergeCell ref="P55:AH55"/>
    <mergeCell ref="W50:X50"/>
    <mergeCell ref="L59:N59"/>
    <mergeCell ref="M24:X24"/>
    <mergeCell ref="C10:E11"/>
    <mergeCell ref="K56:O56"/>
    <mergeCell ref="I10:K10"/>
    <mergeCell ref="Q41:S41"/>
    <mergeCell ref="K66:M66"/>
    <mergeCell ref="K45:Q47"/>
    <mergeCell ref="Y52:Z52"/>
    <mergeCell ref="C7:E9"/>
    <mergeCell ref="AC41:AE41"/>
    <mergeCell ref="J34:M36"/>
    <mergeCell ref="T48:V48"/>
    <mergeCell ref="Q49:R49"/>
    <mergeCell ref="T34:V36"/>
    <mergeCell ref="A4:B11"/>
    <mergeCell ref="AA2:AA3"/>
    <mergeCell ref="Q43:S43"/>
    <mergeCell ref="P56:AH56"/>
    <mergeCell ref="W40:AB40"/>
    <mergeCell ref="X14:AH16"/>
    <mergeCell ref="AA52:AC52"/>
    <mergeCell ref="AF48:AH48"/>
    <mergeCell ref="AC2:AC3"/>
    <mergeCell ref="B68:I68"/>
    <mergeCell ref="D48:G48"/>
    <mergeCell ref="C22:L22"/>
    <mergeCell ref="N30:R30"/>
    <mergeCell ref="Q42:S42"/>
    <mergeCell ref="V31:AH31"/>
    <mergeCell ref="Y22:AH22"/>
    <mergeCell ref="A12:S12"/>
    <mergeCell ref="V62:W62"/>
    <mergeCell ref="W30:AH30"/>
    <mergeCell ref="N8:O9"/>
    <mergeCell ref="F13:I13"/>
    <mergeCell ref="E63:J63"/>
    <mergeCell ref="F5:AH6"/>
    <mergeCell ref="AC43:AE43"/>
    <mergeCell ref="X62:Z62"/>
    <mergeCell ref="AF10:AH10"/>
    <mergeCell ref="S17:U19"/>
    <mergeCell ref="Z49:AA49"/>
    <mergeCell ref="N50:O50"/>
    <mergeCell ref="C40:J41"/>
    <mergeCell ref="C37:M39"/>
    <mergeCell ref="N32:R32"/>
    <mergeCell ref="M22:X22"/>
    <mergeCell ref="H50:I50"/>
    <mergeCell ref="AC42:AE42"/>
    <mergeCell ref="P33:S33"/>
    <mergeCell ref="AC12:AD12"/>
    <mergeCell ref="O59:Q59"/>
    <mergeCell ref="C30:M32"/>
    <mergeCell ref="AE12:AF12"/>
    <mergeCell ref="Z42:AB42"/>
    <mergeCell ref="N64:AB64"/>
    <mergeCell ref="Y23:AH23"/>
    <mergeCell ref="D50:G50"/>
    <mergeCell ref="Z48:AB48"/>
    <mergeCell ref="S37:U39"/>
    <mergeCell ref="P26:S26"/>
    <mergeCell ref="H49:I49"/>
    <mergeCell ref="C20:AH20"/>
    <mergeCell ref="N62:U62"/>
    <mergeCell ref="W48:Y48"/>
    <mergeCell ref="S30:U32"/>
    <mergeCell ref="P27:Q29"/>
    <mergeCell ref="C24:L24"/>
    <mergeCell ref="AF2:AF3"/>
    <mergeCell ref="Q48:S48"/>
    <mergeCell ref="AH2:AH3"/>
    <mergeCell ref="N54:AC54"/>
    <mergeCell ref="Y24:AH24"/>
    <mergeCell ref="K65:M65"/>
    <mergeCell ref="N17:R17"/>
    <mergeCell ref="B26:B32"/>
    <mergeCell ref="C13:E13"/>
    <mergeCell ref="M23:X23"/>
    <mergeCell ref="K62:M62"/>
    <mergeCell ref="J7:N7"/>
    <mergeCell ref="X34:AH36"/>
    <mergeCell ref="T27:V29"/>
    <mergeCell ref="F34:I36"/>
    <mergeCell ref="T10:W10"/>
    <mergeCell ref="N65:AB65"/>
    <mergeCell ref="AC48:AE48"/>
    <mergeCell ref="A1:AH1"/>
    <mergeCell ref="N19:R19"/>
    <mergeCell ref="AD52:AF52"/>
    <mergeCell ref="F33:I33"/>
    <mergeCell ref="AF45:AG47"/>
    <mergeCell ref="C25:L25"/>
    <mergeCell ref="C33:E33"/>
    <mergeCell ref="A55:B63"/>
    <mergeCell ref="V39:AH39"/>
    <mergeCell ref="T42:V42"/>
    <mergeCell ref="J64:J65"/>
    <mergeCell ref="C26:E26"/>
    <mergeCell ref="K57:O57"/>
    <mergeCell ref="J27:M29"/>
    <mergeCell ref="Y25:AH25"/>
    <mergeCell ref="AH45:AH47"/>
    <mergeCell ref="F11:J11"/>
    <mergeCell ref="P13:S13"/>
    <mergeCell ref="Q10:S10"/>
    <mergeCell ref="AF62:AH62"/>
    <mergeCell ref="K63:AH63"/>
    <mergeCell ref="P57:AH57"/>
    <mergeCell ref="W45:AE47"/>
    <mergeCell ref="F4:AH4"/>
    <mergeCell ref="A40:B44"/>
    <mergeCell ref="K67:M67"/>
    <mergeCell ref="U2:X3"/>
    <mergeCell ref="P7:AH9"/>
    <mergeCell ref="Q40:V40"/>
    <mergeCell ref="N13:O16"/>
    <mergeCell ref="N37:R37"/>
    <mergeCell ref="V37:AH37"/>
    <mergeCell ref="F14:I16"/>
    <mergeCell ref="A51:F54"/>
    <mergeCell ref="T41:V41"/>
    <mergeCell ref="C27:E29"/>
    <mergeCell ref="R58:AA60"/>
    <mergeCell ref="C5:E6"/>
    <mergeCell ref="K61:M61"/>
    <mergeCell ref="Z2:Z3"/>
    <mergeCell ref="AF41:AH41"/>
    <mergeCell ref="A13:B25"/>
    <mergeCell ref="K48:M48"/>
    <mergeCell ref="AB2:AB3"/>
    <mergeCell ref="AD2:AD3"/>
    <mergeCell ref="J14:M16"/>
    <mergeCell ref="G51:L53"/>
    <mergeCell ref="T43:V43"/>
    <mergeCell ref="X10:Z10"/>
    <mergeCell ref="V38:AH38"/>
    <mergeCell ref="J66:J67"/>
    <mergeCell ref="U12:V12"/>
    <mergeCell ref="AB10:AD10"/>
    <mergeCell ref="W12:X12"/>
    <mergeCell ref="C43:J43"/>
    <mergeCell ref="T26:X26"/>
    <mergeCell ref="F7:I7"/>
    <mergeCell ref="E2:I2"/>
    <mergeCell ref="F8:H9"/>
    <mergeCell ref="D49:G49"/>
    <mergeCell ref="Y21:AH21"/>
    <mergeCell ref="C34:E36"/>
    <mergeCell ref="T13:X13"/>
    <mergeCell ref="J26:M26"/>
    <mergeCell ref="AC59:AG59"/>
    <mergeCell ref="C4:E4"/>
    <mergeCell ref="AC64:AD65"/>
    <mergeCell ref="E61:J62"/>
    <mergeCell ref="N66:AH66"/>
    <mergeCell ref="J45:J47"/>
    <mergeCell ref="K41:M41"/>
    <mergeCell ref="W49:X49"/>
    <mergeCell ref="M10:O10"/>
    <mergeCell ref="W41:Y41"/>
    <mergeCell ref="K40:P40"/>
    <mergeCell ref="P14:Q16"/>
    <mergeCell ref="K43:M43"/>
    <mergeCell ref="N48:P48"/>
    <mergeCell ref="AE2:AE3"/>
    <mergeCell ref="AG2:AG3"/>
    <mergeCell ref="N61:AH61"/>
    <mergeCell ref="A66:A67"/>
    <mergeCell ref="I8:M9"/>
    <mergeCell ref="Y2:Y3"/>
    <mergeCell ref="W43:Y43"/>
    <mergeCell ref="M25:X25"/>
    <mergeCell ref="K42:M42"/>
    <mergeCell ref="AC50:AE50"/>
    <mergeCell ref="W42:Y42"/>
    <mergeCell ref="AC40:AH40"/>
    <mergeCell ref="C44:J44"/>
    <mergeCell ref="Q50:R50"/>
    <mergeCell ref="H45:I47"/>
    <mergeCell ref="H48:J48"/>
    <mergeCell ref="W17:AH17"/>
    <mergeCell ref="G54:L54"/>
    <mergeCell ref="N39:R39"/>
    <mergeCell ref="A45:G47"/>
    <mergeCell ref="AC49:AE49"/>
    <mergeCell ref="B66:I67"/>
    <mergeCell ref="J13:M13"/>
    <mergeCell ref="D55:I57"/>
    <mergeCell ref="AB62:AD62"/>
    <mergeCell ref="K2:O2"/>
    <mergeCell ref="W19:AH19"/>
    <mergeCell ref="AF43:AH43"/>
    <mergeCell ref="N26:O29"/>
    <mergeCell ref="W44:AB44"/>
    <mergeCell ref="AF50:AG50"/>
    <mergeCell ref="F10:H10"/>
    <mergeCell ref="Y12:Z12"/>
    <mergeCell ref="F26:I26"/>
    <mergeCell ref="N41:P41"/>
    <mergeCell ref="C17:M19"/>
    <mergeCell ref="AA12:AB12"/>
    <mergeCell ref="T14:V16"/>
    <mergeCell ref="K68:AH68"/>
    <mergeCell ref="C58:D63"/>
    <mergeCell ref="E58:J60"/>
    <mergeCell ref="A64:A65"/>
    <mergeCell ref="A48:C50"/>
    <mergeCell ref="Z41:AB41"/>
    <mergeCell ref="C21:L21"/>
    <mergeCell ref="N49:O49"/>
    <mergeCell ref="K64:M64"/>
    <mergeCell ref="N43:P43"/>
    <mergeCell ref="N33:O36"/>
  </mergeCells>
  <conditionalFormatting sqref="Z49:Z50">
    <cfRule type="cellIs" priority="1" operator="lessThanOrEqual" dxfId="0" stopIfTrue="1">
      <formula>0</formula>
    </cfRule>
  </conditionalFormatting>
  <dataValidations count="11">
    <dataValidation sqref="M52 M54" showDropDown="0" showInputMessage="1" showErrorMessage="1" allowBlank="1" type="list">
      <formula1>"　,○"</formula1>
    </dataValidation>
    <dataValidation sqref="V18" showDropDown="0" showInputMessage="1" showErrorMessage="1" allowBlank="1" prompt="管理者は、サービス提供職員との兼務はできません。" type="list" errorStyle="warning">
      <formula1>"　,サービス管理責任者,事務職員,サービス管理責任者、事務職員"</formula1>
    </dataValidation>
    <dataValidation sqref="M10:O10 Q10:S10 X10:Z10 AB10:AD10 AF10:AH10" showDropDown="0" showInputMessage="1" showErrorMessage="1" allowBlank="1" error="全角数字で入力してください" imeMode="fullAlpha"/>
    <dataValidation sqref="V31:AH31 V38:AH38" showDropDown="0" showInputMessage="1" showErrorMessage="1" allowBlank="1" prompt="サービス管理責任者は、サービス提供職員との兼務はできません。" type="list" errorStyle="warning">
      <formula1>"　,管理者,事務職員,管理者、事務職員"</formula1>
    </dataValidation>
    <dataValidation sqref="H49:H50 J49:K50 M49:N50 P49:Q50 S49:T50 V49:W50 Y49:Z50" showDropDown="0" showInputMessage="1" showErrorMessage="1" allowBlank="1" imeMode="halfAlpha"/>
    <dataValidation sqref="F4 F13:M13 F26:M26 F33 J33 J64 J66 N64 N66 AE64" showDropDown="0" showInputMessage="1" showErrorMessage="1" allowBlank="1" imeMode="halfKatakana"/>
    <dataValidation sqref="AC40" showDropDown="0" showInputMessage="1" showErrorMessage="1" allowBlank="1" type="list" errorStyle="warning">
      <formula1>"　,事務職員"</formula1>
    </dataValidation>
    <dataValidation sqref="P57" showDropDown="0" showInputMessage="1" showErrorMessage="1" allowBlank="1" type="list">
      <formula1>"　,世話人の確保、世話人に対する研修の実施、緊急時の対応"</formula1>
    </dataValidation>
    <dataValidation sqref="P55" showDropDown="0" showInputMessage="1" showErrorMessage="1" allowBlank="1" type="list">
      <formula1>"　,指定身体障害者更生施設,指定身体障害者療護施設,指定身体障害者入所授産施設,指定特定身体障害者通所授産施設,指定知的障害者入所更生施設,指定知的障害者通所更生施設,指定知的障害者入所授産施設,指定特定知的障害者通所授産施設,指定知的障害者通勤寮,児童養護施設,肢体不自由児施設,知的障害児施設,特別養護老人ホーム,障害福祉サービス事業所,障害者地域移行支援センター,身体障害者小規模通所授産施設,知的障害者小規模通所授産施設"</formula1>
    </dataValidation>
    <dataValidation sqref="I10:K10 J7:N7 K42:K44 N42:N43 Q42:Q44 T13:X13 T26:X26 T33:X33 T42:T43 U12:V12 W42:W44 X62 Y2:AH3 Y12:Z12 Z42:Z43 AA52:AC52 AB62:AD62 AC12:AD12 AC42:AC44 AF42:AF43 AF62" showDropDown="0" showInputMessage="1" showErrorMessage="1" allowBlank="1" imeMode="fullAlpha"/>
    <dataValidation sqref="U47" showDropDown="0" showInputMessage="1" showErrorMessage="1" allowBlank="1" type="list" imeMode="fullAlpha">
      <formula1>"　,）"</formula1>
    </dataValidation>
  </dataValidations>
  <pageMargins left="0.6899999999999999" right="0.5905511811023623" top="0.3937007874015748" bottom="0.3937007874015748" header="0.5118110236220472" footer="0.5118110236220472"/>
  <pageSetup orientation="portrait" paperSize="9" scale="99"/>
  <legacyDrawing xmlns:r="http://schemas.openxmlformats.org/officeDocument/2006/relationships" r:id="anysvml"/>
</worksheet>
</file>

<file path=xl/worksheets/sheet23.xml><?xml version="1.0" encoding="utf-8"?>
<worksheet xmlns="http://schemas.openxmlformats.org/spreadsheetml/2006/main">
  <sheetPr codeName="Sheet22">
    <outlinePr summaryBelow="1" summaryRight="1"/>
    <pageSetUpPr/>
  </sheetPr>
  <dimension ref="A1:AN61"/>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5"/>
    <col width="9" customWidth="1" style="1667" min="36" max="16384"/>
  </cols>
  <sheetData>
    <row r="1" ht="17.1" customHeight="1" s="4080" thickBot="1">
      <c r="A1" s="1213" t="inlineStr">
        <is>
          <t>付表１３（その２）</t>
        </is>
      </c>
      <c r="AA1" s="1753" t="n"/>
      <c r="AB1" s="4087" t="n"/>
      <c r="AC1" s="2345" t="inlineStr">
        <is>
          <t>枚／</t>
        </is>
      </c>
      <c r="AD1" s="4087" t="n"/>
      <c r="AE1" s="1753" t="n"/>
      <c r="AF1" s="4087" t="n"/>
      <c r="AG1" s="1755" t="inlineStr">
        <is>
          <t>枚</t>
        </is>
      </c>
      <c r="AH1" s="4087" t="n"/>
      <c r="AN1" s="719">
        <f>HYPERLINK("#目次!A1","目次へ戻る")</f>
        <v/>
      </c>
    </row>
    <row r="2" ht="15" customHeight="1" s="4080">
      <c r="B2" s="45" t="n"/>
      <c r="C2" s="45" t="n"/>
      <c r="E2" s="1889" t="n"/>
      <c r="J2" s="2069" t="n"/>
      <c r="K2" s="1889" t="n"/>
      <c r="P2" s="45" t="n"/>
      <c r="Q2" s="1889" t="n"/>
      <c r="R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8" customHeight="1" s="4080">
      <c r="A4" s="4650" t="inlineStr">
        <is>
          <t>主たる
事業所</t>
        </is>
      </c>
      <c r="B4" s="4356"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24" customHeight="1" s="4080" thickBot="1">
      <c r="A5" s="4086" t="n"/>
      <c r="B5" s="4410" t="n"/>
      <c r="C5" s="4268" t="inlineStr">
        <is>
          <t>名　称</t>
        </is>
      </c>
      <c r="D5" s="4098" t="n"/>
      <c r="E5" s="4099" t="n"/>
      <c r="F5" s="4651"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8" customHeight="1" s="4080">
      <c r="A6" s="4652" t="inlineStr">
        <is>
          <t>共　同　生　活　住　居　（１）</t>
        </is>
      </c>
      <c r="B6" s="4356" t="n"/>
      <c r="C6" s="4180" t="inlineStr">
        <is>
          <t>ﾌﾘｶﾞﾅ</t>
        </is>
      </c>
      <c r="D6" s="4093" t="n"/>
      <c r="E6" s="4094" t="n"/>
      <c r="F6" s="4095" t="n"/>
      <c r="G6" s="4093" t="n"/>
      <c r="H6" s="4093" t="n"/>
      <c r="I6" s="4093" t="n"/>
      <c r="J6" s="4093" t="n"/>
      <c r="K6" s="4093" t="n"/>
      <c r="L6" s="4093" t="n"/>
      <c r="M6" s="4093" t="n"/>
      <c r="N6" s="4093" t="n"/>
      <c r="O6" s="4093" t="n"/>
      <c r="P6" s="4093" t="n"/>
      <c r="Q6" s="4093" t="n"/>
      <c r="R6" s="4093" t="n"/>
      <c r="S6" s="4093" t="n"/>
      <c r="T6" s="4093" t="n"/>
      <c r="U6" s="4093" t="n"/>
      <c r="V6" s="4093" t="n"/>
      <c r="W6" s="4093" t="n"/>
      <c r="X6" s="4093" t="n"/>
      <c r="Y6" s="4093" t="n"/>
      <c r="Z6" s="4093" t="n"/>
      <c r="AA6" s="4093" t="n"/>
      <c r="AB6" s="4093" t="n"/>
      <c r="AC6" s="4093" t="n"/>
      <c r="AD6" s="4093" t="n"/>
      <c r="AE6" s="4093" t="n"/>
      <c r="AF6" s="4093" t="n"/>
      <c r="AG6" s="4093" t="n"/>
      <c r="AH6" s="4096" t="n"/>
    </row>
    <row r="7" ht="24" customHeight="1" s="4080">
      <c r="A7" s="4097" t="n"/>
      <c r="B7" s="4107" t="n"/>
      <c r="C7" s="4268" t="inlineStr">
        <is>
          <t>名　称</t>
        </is>
      </c>
      <c r="D7" s="4098" t="n"/>
      <c r="E7" s="4099" t="n"/>
      <c r="F7" s="4651" t="n"/>
      <c r="G7" s="4098" t="n"/>
      <c r="H7" s="4098" t="n"/>
      <c r="I7" s="4098" t="n"/>
      <c r="J7" s="4098" t="n"/>
      <c r="K7" s="4098" t="n"/>
      <c r="L7" s="4098" t="n"/>
      <c r="M7" s="4098" t="n"/>
      <c r="N7" s="4098" t="n"/>
      <c r="O7" s="4098" t="n"/>
      <c r="P7" s="4098"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20.1" customHeight="1" s="4080">
      <c r="A8" s="4097" t="n"/>
      <c r="B8" s="4107" t="n"/>
      <c r="C8" s="4268" t="inlineStr">
        <is>
          <t>所在地</t>
        </is>
      </c>
      <c r="D8" s="4098" t="n"/>
      <c r="E8" s="4099" t="n"/>
      <c r="F8" s="1244" t="inlineStr">
        <is>
          <t>郵便番号（</t>
        </is>
      </c>
      <c r="G8" s="4098" t="n"/>
      <c r="H8" s="4098" t="n"/>
      <c r="I8" s="4098" t="n"/>
      <c r="J8" s="1287" t="n"/>
      <c r="K8" s="4098" t="n"/>
      <c r="L8" s="4098" t="n"/>
      <c r="M8" s="4098" t="n"/>
      <c r="N8" s="4098" t="n"/>
      <c r="O8" s="1329" t="inlineStr">
        <is>
          <t>）</t>
        </is>
      </c>
      <c r="P8" s="4311" t="n"/>
      <c r="Q8" s="4098" t="n"/>
      <c r="R8" s="4098" t="n"/>
      <c r="S8" s="4098" t="n"/>
      <c r="T8" s="4098" t="n"/>
      <c r="U8" s="4098" t="n"/>
      <c r="V8" s="4098" t="n"/>
      <c r="W8" s="4098" t="n"/>
      <c r="X8" s="4098" t="n"/>
      <c r="Y8" s="4098" t="n"/>
      <c r="Z8" s="4098" t="n"/>
      <c r="AA8" s="4098" t="n"/>
      <c r="AB8" s="4098" t="n"/>
      <c r="AC8" s="4098" t="n"/>
      <c r="AD8" s="4098" t="n"/>
      <c r="AE8" s="4098" t="n"/>
      <c r="AF8" s="4098" t="n"/>
      <c r="AG8" s="4098" t="n"/>
      <c r="AH8" s="4101" t="n"/>
    </row>
    <row r="9" ht="18" customHeight="1" s="4080">
      <c r="A9" s="4097" t="n"/>
      <c r="B9" s="4107" t="n"/>
      <c r="C9" s="4106" t="n"/>
      <c r="E9" s="4107" t="n"/>
      <c r="F9" s="1255" t="inlineStr">
        <is>
          <t>大阪市</t>
        </is>
      </c>
      <c r="I9" s="986" t="n"/>
      <c r="N9" s="1260" t="inlineStr">
        <is>
          <t>区</t>
        </is>
      </c>
      <c r="AH9" s="4109" t="n"/>
    </row>
    <row r="10" ht="3" customHeight="1" s="4080">
      <c r="A10" s="4097" t="n"/>
      <c r="B10" s="4107" t="n"/>
      <c r="C10" s="4106" t="n"/>
      <c r="E10" s="4107" t="n"/>
      <c r="F10" s="4102" t="n"/>
      <c r="G10" s="4103" t="n"/>
      <c r="H10" s="4103" t="n"/>
      <c r="I10" s="4103" t="n"/>
      <c r="J10" s="4103" t="n"/>
      <c r="K10" s="4103" t="n"/>
      <c r="L10" s="4103" t="n"/>
      <c r="M10" s="4103" t="n"/>
      <c r="N10" s="4103" t="n"/>
      <c r="O10" s="4103" t="n"/>
      <c r="P10" s="4103" t="n"/>
      <c r="Q10" s="4103" t="n"/>
      <c r="R10" s="4103" t="n"/>
      <c r="S10" s="4103" t="n"/>
      <c r="T10" s="4103" t="n"/>
      <c r="U10" s="4103" t="n"/>
      <c r="V10" s="4103" t="n"/>
      <c r="W10" s="4103" t="n"/>
      <c r="X10" s="4103" t="n"/>
      <c r="Y10" s="4103" t="n"/>
      <c r="Z10" s="4103" t="n"/>
      <c r="AA10" s="4103" t="n"/>
      <c r="AB10" s="4103" t="n"/>
      <c r="AC10" s="4103" t="n"/>
      <c r="AD10" s="4103" t="n"/>
      <c r="AE10" s="4103" t="n"/>
      <c r="AF10" s="4103" t="n"/>
      <c r="AG10" s="4103" t="n"/>
      <c r="AH10" s="4105" t="n"/>
    </row>
    <row r="11" ht="24" customHeight="1" s="4080">
      <c r="A11" s="4097" t="n"/>
      <c r="B11" s="4107" t="n"/>
      <c r="C11" s="4628" t="inlineStr">
        <is>
          <t>主たる事業所からの
移動に要する時間等</t>
        </is>
      </c>
      <c r="D11" s="4110" t="n"/>
      <c r="E11" s="4110" t="n"/>
      <c r="F11" s="4110" t="n"/>
      <c r="G11" s="4110" t="n"/>
      <c r="H11" s="4111" t="n"/>
      <c r="I11" s="2799" t="n"/>
      <c r="J11" s="4110" t="n"/>
      <c r="K11" s="4110" t="n"/>
      <c r="L11" s="4110" t="n"/>
      <c r="M11" s="4110" t="n"/>
      <c r="N11" s="2801" t="inlineStr">
        <is>
          <t>分以内（約</t>
        </is>
      </c>
      <c r="O11" s="4110" t="n"/>
      <c r="P11" s="4110" t="n"/>
      <c r="Q11" s="4110" t="n"/>
      <c r="R11" s="4110" t="n"/>
      <c r="S11" s="2802" t="n"/>
      <c r="T11" s="4110" t="n"/>
      <c r="U11" s="4110" t="n"/>
      <c r="V11" s="2805" t="inlineStr">
        <is>
          <t>ｋｍ）</t>
        </is>
      </c>
      <c r="W11" s="4110" t="n"/>
      <c r="X11" s="4110" t="n"/>
      <c r="Y11" s="4653" t="n"/>
      <c r="Z11" s="4110" t="n"/>
      <c r="AA11" s="4110" t="n"/>
      <c r="AB11" s="4110" t="n"/>
      <c r="AC11" s="4110" t="n"/>
      <c r="AD11" s="4110" t="n"/>
      <c r="AE11" s="4110" t="n"/>
      <c r="AF11" s="4110" t="n"/>
      <c r="AG11" s="4110" t="n"/>
      <c r="AH11" s="4113" t="n"/>
    </row>
    <row r="12" ht="20.1" customHeight="1" s="4080">
      <c r="A12" s="4097" t="n"/>
      <c r="B12" s="4107" t="n"/>
      <c r="C12" s="4181" t="inlineStr">
        <is>
          <t>連絡先電話番号</t>
        </is>
      </c>
      <c r="D12" s="4110" t="n"/>
      <c r="E12" s="4110" t="n"/>
      <c r="F12" s="4110" t="n"/>
      <c r="G12" s="4110" t="n"/>
      <c r="H12" s="4111" t="n"/>
      <c r="I12" s="882" t="n"/>
      <c r="J12" s="4110" t="n"/>
      <c r="K12" s="4110" t="n"/>
      <c r="L12" s="53" t="inlineStr">
        <is>
          <t>－</t>
        </is>
      </c>
      <c r="M12" s="920" t="n"/>
      <c r="N12" s="4110" t="n"/>
      <c r="O12" s="4110" t="n"/>
      <c r="P12" s="53" t="inlineStr">
        <is>
          <t>－</t>
        </is>
      </c>
      <c r="Q12" s="878" t="n"/>
      <c r="R12" s="4110" t="n"/>
      <c r="S12" s="4111" t="n"/>
      <c r="T12" s="4184" t="inlineStr">
        <is>
          <t>ＦＡＸ番号</t>
        </is>
      </c>
      <c r="U12" s="4110" t="n"/>
      <c r="V12" s="4110" t="n"/>
      <c r="W12" s="4111" t="n"/>
      <c r="X12" s="882" t="n"/>
      <c r="Y12" s="4110" t="n"/>
      <c r="Z12" s="4110" t="n"/>
      <c r="AA12" s="53" t="inlineStr">
        <is>
          <t>－</t>
        </is>
      </c>
      <c r="AB12" s="920" t="n"/>
      <c r="AC12" s="4110" t="n"/>
      <c r="AD12" s="4110" t="n"/>
      <c r="AE12" s="53" t="inlineStr">
        <is>
          <t>－</t>
        </is>
      </c>
      <c r="AF12" s="955" t="n"/>
      <c r="AG12" s="4110" t="n"/>
      <c r="AH12" s="4113" t="n"/>
    </row>
    <row r="13" ht="3" customHeight="1" s="4080">
      <c r="A13" s="4097" t="n"/>
      <c r="B13" s="4107" t="n"/>
      <c r="C13" s="2850" t="inlineStr">
        <is>
          <t>建　物　の　形　態</t>
        </is>
      </c>
      <c r="D13" s="1432" t="n"/>
      <c r="E13" s="1432" t="n"/>
      <c r="F13" s="1432" t="n"/>
      <c r="G13" s="1432" t="n"/>
      <c r="H13" s="1432" t="n"/>
      <c r="I13" s="1432" t="n"/>
      <c r="J13" s="1857" t="n"/>
      <c r="K13" s="403" t="n"/>
      <c r="L13" s="1290" t="n"/>
      <c r="M13" s="1290" t="n"/>
      <c r="N13" s="1290" t="n"/>
      <c r="O13" s="1290" t="n"/>
      <c r="P13" s="1290" t="n"/>
      <c r="Q13" s="1290" t="n"/>
      <c r="R13" s="1325" t="n"/>
      <c r="AB13" s="933" t="n"/>
      <c r="AC13" s="1689" t="n"/>
      <c r="AD13" s="4098" t="n"/>
      <c r="AE13" s="4098" t="n"/>
      <c r="AF13" s="4098" t="n"/>
      <c r="AG13" s="4098" t="n"/>
      <c r="AH13" s="1668" t="n"/>
    </row>
    <row r="14" ht="15.95" customHeight="1" s="4080">
      <c r="A14" s="4097" t="n"/>
      <c r="B14" s="4107" t="n"/>
      <c r="C14" s="4122" t="n"/>
      <c r="D14" s="4654" t="inlineStr">
        <is>
          <t>住居区分</t>
        </is>
      </c>
      <c r="J14" s="4107" t="n"/>
      <c r="K14" s="404" t="n"/>
      <c r="L14" s="1889" t="inlineStr">
        <is>
          <t>一戸建て</t>
        </is>
      </c>
      <c r="O14" s="2069" t="inlineStr">
        <is>
          <t>・</t>
        </is>
      </c>
      <c r="P14" s="1889" t="inlineStr">
        <is>
          <t>アパート</t>
        </is>
      </c>
      <c r="S14" s="2069" t="inlineStr">
        <is>
          <t>・</t>
        </is>
      </c>
      <c r="T14" s="1889" t="inlineStr">
        <is>
          <t>マンション</t>
        </is>
      </c>
      <c r="X14" s="2069" t="inlineStr">
        <is>
          <t>・</t>
        </is>
      </c>
      <c r="Y14" s="1889" t="inlineStr">
        <is>
          <t>その他</t>
        </is>
      </c>
      <c r="AB14" s="936" t="inlineStr">
        <is>
          <t>（</t>
        </is>
      </c>
      <c r="AH14" s="1668" t="inlineStr">
        <is>
          <t>）</t>
        </is>
      </c>
    </row>
    <row r="15" ht="3" customHeight="1" s="4080">
      <c r="A15" s="4097" t="n"/>
      <c r="B15" s="4107" t="n"/>
      <c r="C15" s="4122" t="n"/>
      <c r="D15" s="1290" t="n"/>
      <c r="E15" s="1290" t="n"/>
      <c r="F15" s="1290" t="n"/>
      <c r="G15" s="1290" t="n"/>
      <c r="H15" s="1290" t="n"/>
      <c r="I15" s="1290" t="n"/>
      <c r="J15" s="1291" t="n"/>
      <c r="K15" s="1889" t="n"/>
      <c r="L15" s="1889" t="n"/>
      <c r="M15" s="1889" t="n"/>
      <c r="O15" s="1889" t="n"/>
      <c r="P15" s="1889" t="n"/>
      <c r="Q15" s="1889" t="n"/>
      <c r="S15" s="1889" t="n"/>
      <c r="T15" s="1889" t="n"/>
      <c r="U15" s="1889" t="n"/>
      <c r="V15" s="1889" t="n"/>
      <c r="X15" s="1889" t="n"/>
      <c r="Y15" s="1889" t="n"/>
      <c r="Z15" s="1889" t="n"/>
      <c r="AB15" s="939" t="n"/>
      <c r="AC15" s="4103" t="n"/>
      <c r="AD15" s="4103" t="n"/>
      <c r="AE15" s="4103" t="n"/>
      <c r="AF15" s="4103" t="n"/>
      <c r="AG15" s="4103" t="n"/>
      <c r="AH15" s="1668" t="n"/>
    </row>
    <row r="16" ht="20.1" customHeight="1" s="4080">
      <c r="A16" s="4097" t="n"/>
      <c r="B16" s="4107" t="n"/>
      <c r="C16" s="4122" t="n"/>
      <c r="D16" s="4184" t="inlineStr">
        <is>
          <t>建物所有者名</t>
        </is>
      </c>
      <c r="E16" s="4110" t="n"/>
      <c r="F16" s="4110" t="n"/>
      <c r="G16" s="4110" t="n"/>
      <c r="H16" s="4110" t="n"/>
      <c r="I16" s="4110" t="n"/>
      <c r="J16" s="4111" t="n"/>
      <c r="K16" s="4655" t="n"/>
      <c r="L16" s="4110" t="n"/>
      <c r="M16" s="4110" t="n"/>
      <c r="N16" s="4110" t="n"/>
      <c r="O16" s="4110" t="n"/>
      <c r="P16" s="4110" t="n"/>
      <c r="Q16" s="4110" t="n"/>
      <c r="R16" s="4110" t="n"/>
      <c r="S16" s="4110" t="n"/>
      <c r="T16" s="4110" t="n"/>
      <c r="U16" s="4110" t="n"/>
      <c r="V16" s="4110" t="n"/>
      <c r="W16" s="4110" t="n"/>
      <c r="X16" s="4110" t="n"/>
      <c r="Y16" s="4110" t="n"/>
      <c r="Z16" s="4110" t="n"/>
      <c r="AA16" s="4110" t="n"/>
      <c r="AB16" s="4110" t="n"/>
      <c r="AC16" s="4110" t="n"/>
      <c r="AD16" s="4110" t="n"/>
      <c r="AE16" s="4110" t="n"/>
      <c r="AF16" s="4110" t="n"/>
      <c r="AG16" s="4110" t="n"/>
      <c r="AH16" s="4113" t="n"/>
    </row>
    <row r="17" ht="3" customHeight="1" s="4080">
      <c r="A17" s="4097" t="n"/>
      <c r="B17" s="4107" t="n"/>
      <c r="C17" s="4122" t="n"/>
      <c r="D17" s="4184" t="inlineStr">
        <is>
          <t>賃貸借契約の内容</t>
        </is>
      </c>
      <c r="E17" s="4098" t="n"/>
      <c r="F17" s="4099" t="n"/>
      <c r="G17" s="4274" t="inlineStr">
        <is>
          <t>敷金・家賃等</t>
        </is>
      </c>
      <c r="H17" s="4098" t="n"/>
      <c r="I17" s="4098" t="n"/>
      <c r="J17" s="4099" t="n"/>
      <c r="K17" s="403" t="n"/>
      <c r="L17" s="1290" t="n"/>
      <c r="M17" s="1290" t="n"/>
      <c r="N17" s="1290" t="n"/>
      <c r="O17" s="1290" t="n"/>
      <c r="P17" s="1290" t="n"/>
      <c r="Q17" s="1290" t="n"/>
      <c r="R17" s="1325" t="n"/>
      <c r="AB17" s="406" t="n"/>
      <c r="AC17" s="406" t="n"/>
      <c r="AD17" s="406" t="n"/>
      <c r="AE17" s="406" t="n"/>
      <c r="AF17" s="406" t="n"/>
      <c r="AG17" s="406" t="n"/>
      <c r="AH17" s="1668" t="n"/>
    </row>
    <row r="18" ht="15.95" customHeight="1" s="4080">
      <c r="A18" s="4097" t="n"/>
      <c r="B18" s="4107" t="n"/>
      <c r="C18" s="4122" t="n"/>
      <c r="D18" s="4106" t="n"/>
      <c r="F18" s="4107" t="n"/>
      <c r="G18" s="4106" t="n"/>
      <c r="J18" s="4107" t="n"/>
      <c r="K18" s="1354" t="inlineStr">
        <is>
          <t>ア</t>
        </is>
      </c>
      <c r="L18" s="1290" t="inlineStr">
        <is>
          <t>敷金</t>
        </is>
      </c>
      <c r="O18" s="407" t="inlineStr">
        <is>
          <t>（</t>
        </is>
      </c>
      <c r="P18" s="4656" t="n"/>
      <c r="Q18" s="4657" t="n"/>
      <c r="R18" s="4657" t="n"/>
      <c r="S18" s="4657" t="n"/>
      <c r="T18" s="2813" t="inlineStr">
        <is>
          <t>）円</t>
        </is>
      </c>
      <c r="U18" s="4657" t="n"/>
      <c r="W18" s="1355" t="inlineStr">
        <is>
          <t>イ</t>
        </is>
      </c>
      <c r="X18" s="1290" t="inlineStr">
        <is>
          <t>保証金</t>
        </is>
      </c>
      <c r="AB18" s="407" t="inlineStr">
        <is>
          <t>（</t>
        </is>
      </c>
      <c r="AC18" s="4656" t="n"/>
      <c r="AD18" s="4657" t="n"/>
      <c r="AE18" s="4657" t="n"/>
      <c r="AF18" s="4657" t="n"/>
      <c r="AG18" s="2810" t="inlineStr">
        <is>
          <t>）円</t>
        </is>
      </c>
      <c r="AH18" s="4658" t="n"/>
    </row>
    <row r="19" ht="3" customHeight="1" s="4080">
      <c r="A19" s="4097" t="n"/>
      <c r="B19" s="4107" t="n"/>
      <c r="C19" s="4122" t="n"/>
      <c r="D19" s="4106" t="n"/>
      <c r="F19" s="4107" t="n"/>
      <c r="G19" s="4106" t="n"/>
      <c r="J19" s="4107" t="n"/>
      <c r="K19" s="403" t="n"/>
      <c r="L19" s="1290" t="n"/>
      <c r="M19" s="1290" t="n"/>
      <c r="N19" s="1290" t="n"/>
      <c r="O19" s="1290" t="n"/>
      <c r="P19" s="1290" t="n"/>
      <c r="Q19" s="1290" t="n"/>
      <c r="R19" s="1325" t="n"/>
      <c r="AB19" s="408" t="n"/>
      <c r="AC19" s="408" t="n"/>
      <c r="AD19" s="408" t="n"/>
      <c r="AE19" s="408" t="n"/>
      <c r="AF19" s="408" t="n"/>
      <c r="AG19" s="408" t="n"/>
      <c r="AH19" s="1668" t="n"/>
    </row>
    <row r="20" ht="15.95" customHeight="1" s="4080">
      <c r="A20" s="4097" t="n"/>
      <c r="B20" s="4107" t="n"/>
      <c r="C20" s="4122" t="n"/>
      <c r="D20" s="4106" t="n"/>
      <c r="F20" s="4107" t="n"/>
      <c r="G20" s="4106" t="n"/>
      <c r="J20" s="4107" t="n"/>
      <c r="K20" s="1354" t="inlineStr">
        <is>
          <t>ウ</t>
        </is>
      </c>
      <c r="L20" s="1290" t="inlineStr">
        <is>
          <t>礼金</t>
        </is>
      </c>
      <c r="O20" s="45" t="inlineStr">
        <is>
          <t>（</t>
        </is>
      </c>
      <c r="P20" s="4656" t="n"/>
      <c r="Q20" s="4657" t="n"/>
      <c r="R20" s="4657" t="n"/>
      <c r="S20" s="4657" t="n"/>
      <c r="T20" s="1658" t="inlineStr">
        <is>
          <t>）円</t>
        </is>
      </c>
      <c r="V20" s="409" t="n"/>
      <c r="W20" s="1355" t="inlineStr">
        <is>
          <t>エ</t>
        </is>
      </c>
      <c r="X20" s="1290" t="inlineStr">
        <is>
          <t>家賃(月額)</t>
        </is>
      </c>
      <c r="AB20" s="407" t="inlineStr">
        <is>
          <t>（</t>
        </is>
      </c>
      <c r="AC20" s="4656" t="n"/>
      <c r="AD20" s="4657" t="n"/>
      <c r="AE20" s="4657" t="n"/>
      <c r="AF20" s="4657" t="n"/>
      <c r="AG20" s="2810" t="inlineStr">
        <is>
          <t>）円</t>
        </is>
      </c>
      <c r="AH20" s="4658" t="n"/>
    </row>
    <row r="21" ht="3" customHeight="1" s="4080">
      <c r="A21" s="4097" t="n"/>
      <c r="B21" s="4107" t="n"/>
      <c r="C21" s="4122" t="n"/>
      <c r="D21" s="4106" t="n"/>
      <c r="F21" s="4107" t="n"/>
      <c r="G21" s="4102" t="n"/>
      <c r="H21" s="4103" t="n"/>
      <c r="I21" s="4103" t="n"/>
      <c r="J21" s="4104" t="n"/>
      <c r="K21" s="403" t="n"/>
      <c r="L21" s="1290" t="n"/>
      <c r="M21" s="1290" t="n"/>
      <c r="N21" s="1290" t="n"/>
      <c r="O21" s="1290" t="n"/>
      <c r="P21" s="1290" t="n"/>
      <c r="Q21" s="1290" t="n"/>
      <c r="R21" s="1325" t="n"/>
      <c r="AB21" s="408" t="n"/>
      <c r="AC21" s="408" t="n"/>
      <c r="AD21" s="408" t="n"/>
      <c r="AE21" s="408" t="n"/>
      <c r="AF21" s="408" t="n"/>
      <c r="AG21" s="408" t="n"/>
      <c r="AH21" s="1668" t="n"/>
    </row>
    <row r="22" ht="18" customHeight="1" s="4080">
      <c r="A22" s="4097" t="n"/>
      <c r="B22" s="4107" t="n"/>
      <c r="C22" s="4122" t="n"/>
      <c r="D22" s="4106" t="n"/>
      <c r="F22" s="4107" t="n"/>
      <c r="G22" s="1265" t="inlineStr">
        <is>
          <t>契約期間</t>
        </is>
      </c>
      <c r="H22" s="4098" t="n"/>
      <c r="I22" s="4098" t="n"/>
      <c r="J22" s="4099" t="n"/>
      <c r="K22" s="336" t="n"/>
      <c r="L22" s="2825" t="n"/>
      <c r="M22" s="4486" t="n"/>
      <c r="N22" s="4486" t="n"/>
      <c r="O22" s="1245" t="inlineStr">
        <is>
          <t>年</t>
        </is>
      </c>
      <c r="P22" s="981" t="n"/>
      <c r="Q22" s="4098" t="n"/>
      <c r="R22" s="108" t="inlineStr">
        <is>
          <t>月</t>
        </is>
      </c>
      <c r="S22" s="2825" t="n"/>
      <c r="T22" s="4486" t="n"/>
      <c r="U22" s="2826" t="inlineStr">
        <is>
          <t>日～</t>
        </is>
      </c>
      <c r="V22" s="4486" t="n"/>
      <c r="W22" s="4486" t="n"/>
      <c r="X22" s="2825" t="n"/>
      <c r="Y22" s="4486" t="n"/>
      <c r="Z22" s="4486" t="n"/>
      <c r="AA22" s="108" t="inlineStr">
        <is>
          <t>年</t>
        </is>
      </c>
      <c r="AB22" s="981" t="n"/>
      <c r="AC22" s="4098" t="n"/>
      <c r="AD22" s="1329" t="inlineStr">
        <is>
          <t>月</t>
        </is>
      </c>
      <c r="AE22" s="981" t="n"/>
      <c r="AF22" s="4098" t="n"/>
      <c r="AG22" s="1329" t="inlineStr">
        <is>
          <t>日</t>
        </is>
      </c>
      <c r="AH22" s="411" t="n"/>
    </row>
    <row r="23" ht="3" customHeight="1" s="4080">
      <c r="A23" s="4097" t="n"/>
      <c r="B23" s="4107" t="n"/>
      <c r="C23" s="4122" t="n"/>
      <c r="D23" s="4106" t="n"/>
      <c r="F23" s="4107" t="n"/>
      <c r="J23" s="4107" t="n"/>
      <c r="K23" s="4659" t="inlineStr">
        <is>
          <t>契約の自動更新条項の有無</t>
        </is>
      </c>
      <c r="L23" s="4320" t="n"/>
      <c r="M23" s="4320" t="n"/>
      <c r="N23" s="4320" t="n"/>
      <c r="O23" s="4320" t="n"/>
      <c r="P23" s="4320" t="n"/>
      <c r="Q23" s="4320" t="n"/>
      <c r="R23" s="4320" t="n"/>
      <c r="S23" s="4320" t="n"/>
      <c r="T23" s="4320" t="n"/>
      <c r="U23" s="4320" t="n"/>
      <c r="V23" s="4321" t="n"/>
      <c r="W23" s="412" t="n"/>
      <c r="X23" s="412" t="n"/>
      <c r="Y23" s="412" t="n"/>
      <c r="Z23" s="412" t="n"/>
      <c r="AA23" s="412" t="n"/>
      <c r="AB23" s="412" t="n"/>
      <c r="AC23" s="412" t="n"/>
      <c r="AD23" s="412" t="n"/>
      <c r="AE23" s="412" t="n"/>
      <c r="AF23" s="412" t="n"/>
      <c r="AG23" s="412" t="n"/>
      <c r="AH23" s="413" t="n"/>
    </row>
    <row r="24" ht="15.95" customHeight="1" s="4080">
      <c r="A24" s="4097" t="n"/>
      <c r="B24" s="4107" t="n"/>
      <c r="C24" s="4122" t="n"/>
      <c r="D24" s="4106" t="n"/>
      <c r="F24" s="4107" t="n"/>
      <c r="J24" s="4107" t="n"/>
      <c r="K24" s="4106" t="n"/>
      <c r="V24" s="4107" t="n"/>
      <c r="W24" s="414" t="n"/>
      <c r="X24" s="1325" t="inlineStr">
        <is>
          <t>有</t>
        </is>
      </c>
      <c r="Y24" s="1325" t="inlineStr">
        <is>
          <t>（</t>
        </is>
      </c>
      <c r="Z24" s="1626" t="n"/>
      <c r="AC24" s="1355" t="inlineStr">
        <is>
          <t>年ごと）・</t>
        </is>
      </c>
      <c r="AG24" s="1325" t="inlineStr">
        <is>
          <t>無</t>
        </is>
      </c>
      <c r="AH24" s="415" t="n"/>
    </row>
    <row r="25" ht="3" customHeight="1" s="4080">
      <c r="A25" s="4097" t="n"/>
      <c r="B25" s="4107" t="n"/>
      <c r="C25" s="4122" t="n"/>
      <c r="D25" s="4106" t="n"/>
      <c r="F25" s="4107" t="n"/>
      <c r="G25" s="4103" t="n"/>
      <c r="H25" s="4103" t="n"/>
      <c r="I25" s="4103" t="n"/>
      <c r="J25" s="4104" t="n"/>
      <c r="K25" s="4102" t="n"/>
      <c r="L25" s="4103" t="n"/>
      <c r="M25" s="4103" t="n"/>
      <c r="N25" s="4103" t="n"/>
      <c r="O25" s="4103" t="n"/>
      <c r="P25" s="4103" t="n"/>
      <c r="Q25" s="4103" t="n"/>
      <c r="R25" s="4103" t="n"/>
      <c r="S25" s="4103" t="n"/>
      <c r="T25" s="4103" t="n"/>
      <c r="U25" s="4103" t="n"/>
      <c r="V25" s="4104" t="n"/>
      <c r="W25" s="416" t="n"/>
      <c r="X25" s="416" t="n"/>
      <c r="Y25" s="416" t="n"/>
      <c r="Z25" s="416" t="n"/>
      <c r="AA25" s="416" t="n"/>
      <c r="AB25" s="416" t="n"/>
      <c r="AC25" s="416" t="n"/>
      <c r="AD25" s="416" t="n"/>
      <c r="AE25" s="416" t="n"/>
      <c r="AF25" s="416" t="n"/>
      <c r="AG25" s="416" t="n"/>
      <c r="AH25" s="417" t="n"/>
    </row>
    <row r="26" ht="20.1" customHeight="1" s="4080">
      <c r="A26" s="4097" t="n"/>
      <c r="B26" s="4107" t="n"/>
      <c r="C26" s="4122" t="n"/>
      <c r="D26" s="4102" t="n"/>
      <c r="E26" s="4103" t="n"/>
      <c r="F26" s="4104" t="n"/>
      <c r="G26" s="2824" t="inlineStr">
        <is>
          <t>賃貸料がない
場合の理由</t>
        </is>
      </c>
      <c r="H26" s="4110" t="n"/>
      <c r="I26" s="4110" t="n"/>
      <c r="J26" s="4111" t="n"/>
      <c r="K26" s="4230" t="n"/>
      <c r="L26" s="4110" t="n"/>
      <c r="M26" s="4110" t="n"/>
      <c r="N26" s="4110" t="n"/>
      <c r="O26" s="4110" t="n"/>
      <c r="P26" s="4110" t="n"/>
      <c r="Q26" s="4110" t="n"/>
      <c r="R26" s="4110" t="n"/>
      <c r="S26" s="4110" t="n"/>
      <c r="T26" s="4110" t="n"/>
      <c r="U26" s="4110" t="n"/>
      <c r="V26" s="4110" t="n"/>
      <c r="W26" s="4110" t="n"/>
      <c r="X26" s="4110" t="n"/>
      <c r="Y26" s="4110" t="n"/>
      <c r="Z26" s="4110" t="n"/>
      <c r="AA26" s="4110" t="n"/>
      <c r="AB26" s="4110" t="n"/>
      <c r="AC26" s="4110" t="n"/>
      <c r="AD26" s="4110" t="n"/>
      <c r="AE26" s="4110" t="n"/>
      <c r="AF26" s="4110" t="n"/>
      <c r="AG26" s="4110" t="n"/>
      <c r="AH26" s="4113" t="n"/>
    </row>
    <row r="27" ht="15" customHeight="1" s="4080">
      <c r="A27" s="4097" t="n"/>
      <c r="B27" s="4107" t="n"/>
      <c r="C27" s="4122" t="n"/>
      <c r="D27" s="4184" t="inlineStr">
        <is>
          <t>住居の利用定員</t>
        </is>
      </c>
      <c r="E27" s="4098" t="n"/>
      <c r="F27" s="4098" t="n"/>
      <c r="G27" s="4098" t="n"/>
      <c r="H27" s="4098" t="n"/>
      <c r="I27" s="4098" t="n"/>
      <c r="J27" s="4099" t="n"/>
      <c r="K27" s="1644" t="n"/>
      <c r="L27" s="4098" t="n"/>
      <c r="M27" s="4098" t="n"/>
      <c r="N27" s="4098" t="n"/>
      <c r="O27" s="4098" t="n"/>
      <c r="P27" s="4660" t="inlineStr">
        <is>
          <t>人</t>
        </is>
      </c>
      <c r="Q27" s="4184" t="inlineStr">
        <is>
          <t>居室数</t>
        </is>
      </c>
      <c r="R27" s="4110" t="n"/>
      <c r="S27" s="4110" t="n"/>
      <c r="T27" s="4110" t="n"/>
      <c r="U27" s="4110" t="n"/>
      <c r="V27" s="4111" t="n"/>
      <c r="W27" s="882" t="n"/>
      <c r="X27" s="4110" t="n"/>
      <c r="Y27" s="4110" t="n"/>
      <c r="Z27" s="1261" t="inlineStr">
        <is>
          <t>室（うち個室</t>
        </is>
      </c>
      <c r="AA27" s="4110" t="n"/>
      <c r="AB27" s="4110" t="n"/>
      <c r="AC27" s="4110" t="n"/>
      <c r="AD27" s="883" t="n"/>
      <c r="AE27" s="4110" t="n"/>
      <c r="AF27" s="4110" t="n"/>
      <c r="AG27" s="2827" t="inlineStr">
        <is>
          <t>室 ）</t>
        </is>
      </c>
      <c r="AH27" s="4113" t="n"/>
    </row>
    <row r="28" ht="15" customHeight="1" s="4080">
      <c r="A28" s="4097" t="n"/>
      <c r="B28" s="4107" t="n"/>
      <c r="C28" s="4122" t="n"/>
      <c r="D28" s="4102" t="n"/>
      <c r="E28" s="4103" t="n"/>
      <c r="F28" s="4103" t="n"/>
      <c r="G28" s="4103" t="n"/>
      <c r="H28" s="4103" t="n"/>
      <c r="I28" s="4103" t="n"/>
      <c r="J28" s="4104" t="n"/>
      <c r="K28" s="4102" t="n"/>
      <c r="L28" s="4103" t="n"/>
      <c r="M28" s="4103" t="n"/>
      <c r="N28" s="4103" t="n"/>
      <c r="O28" s="4103" t="n"/>
      <c r="P28" s="4104" t="n"/>
      <c r="Q28" s="4274" t="inlineStr">
        <is>
          <t>入居者１人当たりの居室の最小床面積</t>
        </is>
      </c>
      <c r="R28" s="4110" t="n"/>
      <c r="S28" s="4110" t="n"/>
      <c r="T28" s="4110" t="n"/>
      <c r="U28" s="4110" t="n"/>
      <c r="V28" s="4110" t="n"/>
      <c r="W28" s="4110" t="n"/>
      <c r="X28" s="4110" t="n"/>
      <c r="Y28" s="4110" t="n"/>
      <c r="Z28" s="4110" t="n"/>
      <c r="AA28" s="4110" t="n"/>
      <c r="AB28" s="4111" t="n"/>
      <c r="AC28" s="4661" t="n"/>
      <c r="AD28" s="4110" t="n"/>
      <c r="AE28" s="4110" t="n"/>
      <c r="AF28" s="4110" t="n"/>
      <c r="AG28" s="4110" t="n"/>
      <c r="AH28" s="2827" t="inlineStr">
        <is>
          <t>㎡</t>
        </is>
      </c>
    </row>
    <row r="29" ht="30" customHeight="1" s="4080">
      <c r="A29" s="4097" t="n"/>
      <c r="B29" s="4107" t="n"/>
      <c r="C29" s="4122" t="n"/>
      <c r="D29" s="4662" t="inlineStr">
        <is>
          <t>一体的に運営する
サテライト型住居</t>
        </is>
      </c>
      <c r="E29" s="4098" t="n"/>
      <c r="F29" s="4098" t="n"/>
      <c r="G29" s="4098" t="n"/>
      <c r="H29" s="4098" t="n"/>
      <c r="I29" s="4098" t="n"/>
      <c r="J29" s="4099" t="n"/>
      <c r="K29" s="1644" t="n"/>
      <c r="L29" s="4110" t="n"/>
      <c r="M29" s="4110" t="n"/>
      <c r="N29" s="4110" t="n"/>
      <c r="O29" s="1394" t="inlineStr">
        <is>
          <t>か所</t>
        </is>
      </c>
      <c r="P29" s="4111" t="n"/>
      <c r="Q29" s="4426" t="inlineStr">
        <is>
          <t>一体的に運営するサテライト型住居の利用者から連絡を受ける通信機器</t>
        </is>
      </c>
      <c r="R29" s="4110" t="n"/>
      <c r="S29" s="4110" t="n"/>
      <c r="T29" s="4110" t="n"/>
      <c r="U29" s="4110" t="n"/>
      <c r="V29" s="4110" t="n"/>
      <c r="W29" s="4110" t="n"/>
      <c r="X29" s="4110" t="n"/>
      <c r="Y29" s="4110" t="n"/>
      <c r="Z29" s="4111" t="n"/>
      <c r="AA29" s="4636" t="n"/>
      <c r="AB29" s="4110" t="n"/>
      <c r="AC29" s="4110" t="n"/>
      <c r="AD29" s="4110" t="n"/>
      <c r="AE29" s="4110" t="n"/>
      <c r="AF29" s="4110" t="n"/>
      <c r="AG29" s="4110" t="n"/>
      <c r="AH29" s="4113" t="n"/>
    </row>
    <row r="30" ht="15" customHeight="1" s="4080">
      <c r="A30" s="4097" t="n"/>
      <c r="B30" s="4107" t="n"/>
      <c r="C30" s="4122" t="n"/>
      <c r="D30" s="4663" t="inlineStr">
        <is>
          <t>サービスを提供
する主たる対象者</t>
        </is>
      </c>
      <c r="E30" s="4098" t="n"/>
      <c r="F30" s="4098" t="n"/>
      <c r="G30" s="4098" t="n"/>
      <c r="H30" s="4098" t="n"/>
      <c r="I30" s="4098" t="n"/>
      <c r="J30" s="4099" t="n"/>
      <c r="K30" s="1669" t="inlineStr">
        <is>
          <t>身体障害者</t>
        </is>
      </c>
      <c r="L30" s="4138" t="n"/>
      <c r="M30" s="4138" t="n"/>
      <c r="N30" s="4138" t="n"/>
      <c r="O30" s="4138" t="n"/>
      <c r="P30" s="4139" t="n"/>
      <c r="Q30" s="1669" t="inlineStr">
        <is>
          <t>知的障害者</t>
        </is>
      </c>
      <c r="R30" s="4138" t="n"/>
      <c r="S30" s="4138" t="n"/>
      <c r="T30" s="4138" t="n"/>
      <c r="U30" s="4138" t="n"/>
      <c r="V30" s="4139" t="n"/>
      <c r="W30" s="1669" t="inlineStr">
        <is>
          <t>精神障害者</t>
        </is>
      </c>
      <c r="X30" s="4138" t="n"/>
      <c r="Y30" s="4138" t="n"/>
      <c r="Z30" s="4138" t="n"/>
      <c r="AA30" s="4138" t="n"/>
      <c r="AB30" s="4139" t="n"/>
      <c r="AC30" s="4664" t="inlineStr">
        <is>
          <t>難病等対象者</t>
        </is>
      </c>
      <c r="AD30" s="4138" t="n"/>
      <c r="AE30" s="4138" t="n"/>
      <c r="AF30" s="4138" t="n"/>
      <c r="AG30" s="4138" t="n"/>
      <c r="AH30" s="4246" t="n"/>
    </row>
    <row r="31" ht="15" customHeight="1" s="4080">
      <c r="A31" s="4097" t="n"/>
      <c r="B31" s="4107" t="n"/>
      <c r="C31" s="4122" t="n"/>
      <c r="D31" s="4102" t="n"/>
      <c r="E31" s="4103" t="n"/>
      <c r="F31" s="4103" t="n"/>
      <c r="G31" s="4103" t="n"/>
      <c r="H31" s="4103" t="n"/>
      <c r="I31" s="4103" t="n"/>
      <c r="J31" s="4104" t="n"/>
      <c r="K31" s="1663" t="n"/>
      <c r="L31" s="4140" t="n"/>
      <c r="M31" s="4140" t="n"/>
      <c r="N31" s="4140" t="n"/>
      <c r="O31" s="4140" t="n"/>
      <c r="P31" s="4141" t="n"/>
      <c r="Q31" s="1663" t="n"/>
      <c r="R31" s="4140" t="n"/>
      <c r="S31" s="4140" t="n"/>
      <c r="T31" s="4140" t="n"/>
      <c r="U31" s="4140" t="n"/>
      <c r="V31" s="4141" t="n"/>
      <c r="W31" s="1663" t="n"/>
      <c r="X31" s="4140" t="n"/>
      <c r="Y31" s="4140" t="n"/>
      <c r="Z31" s="4140" t="n"/>
      <c r="AA31" s="4140" t="n"/>
      <c r="AB31" s="4141" t="n"/>
      <c r="AC31" s="3101" t="n"/>
      <c r="AD31" s="4140" t="n"/>
      <c r="AE31" s="4140" t="n"/>
      <c r="AF31" s="4140" t="n"/>
      <c r="AG31" s="4140" t="n"/>
      <c r="AH31" s="4252" t="n"/>
    </row>
    <row r="32" ht="20.1" customHeight="1" s="4080">
      <c r="A32" s="4097" t="n"/>
      <c r="B32" s="4107" t="n"/>
      <c r="C32" s="4122" t="n"/>
      <c r="D32" s="4184" t="inlineStr">
        <is>
          <t>利用料</t>
        </is>
      </c>
      <c r="E32" s="4110" t="n"/>
      <c r="F32" s="4110" t="n"/>
      <c r="G32" s="4110" t="n"/>
      <c r="H32" s="4110" t="n"/>
      <c r="I32" s="4110" t="n"/>
      <c r="J32" s="4111" t="n"/>
      <c r="K32" s="4227" t="n"/>
      <c r="L32" s="4110" t="n"/>
      <c r="M32" s="4110" t="n"/>
      <c r="N32" s="4110" t="n"/>
      <c r="O32" s="4110" t="n"/>
      <c r="P32" s="4110" t="n"/>
      <c r="Q32" s="4110" t="n"/>
      <c r="R32" s="4110" t="n"/>
      <c r="S32" s="4110" t="n"/>
      <c r="T32" s="4110" t="n"/>
      <c r="U32" s="4110" t="n"/>
      <c r="V32" s="4110" t="n"/>
      <c r="W32" s="4110" t="n"/>
      <c r="X32" s="4110" t="n"/>
      <c r="Y32" s="4110" t="n"/>
      <c r="Z32" s="4110" t="n"/>
      <c r="AA32" s="4110" t="n"/>
      <c r="AB32" s="4110" t="n"/>
      <c r="AC32" s="4110" t="n"/>
      <c r="AD32" s="4110" t="n"/>
      <c r="AE32" s="4110" t="n"/>
      <c r="AF32" s="4110" t="n"/>
      <c r="AG32" s="4110" t="n"/>
      <c r="AH32" s="4113" t="n"/>
    </row>
    <row r="33" ht="37.5" customHeight="1" s="4080" thickBot="1">
      <c r="A33" s="4097" t="n"/>
      <c r="B33" s="4107" t="n"/>
      <c r="C33" s="4122" t="n"/>
      <c r="D33" s="4665" t="inlineStr">
        <is>
          <t>その他の費用</t>
        </is>
      </c>
      <c r="E33" s="4153" t="n"/>
      <c r="F33" s="4153" t="n"/>
      <c r="G33" s="4153" t="n"/>
      <c r="H33" s="4153" t="n"/>
      <c r="I33" s="4153" t="n"/>
      <c r="J33" s="4154" t="n"/>
      <c r="K33" s="4666" t="n"/>
      <c r="L33" s="4153" t="n"/>
      <c r="M33" s="4153" t="n"/>
      <c r="N33" s="4153" t="n"/>
      <c r="O33" s="4153" t="n"/>
      <c r="P33" s="4153" t="n"/>
      <c r="Q33" s="4153" t="n"/>
      <c r="R33" s="4153" t="n"/>
      <c r="S33" s="4153" t="n"/>
      <c r="T33" s="4153" t="n"/>
      <c r="U33" s="4153" t="n"/>
      <c r="V33" s="4153" t="n"/>
      <c r="W33" s="4153" t="n"/>
      <c r="X33" s="4153" t="n"/>
      <c r="Y33" s="4153" t="n"/>
      <c r="Z33" s="4153" t="n"/>
      <c r="AA33" s="4153" t="n"/>
      <c r="AB33" s="4153" t="n"/>
      <c r="AC33" s="4153" t="n"/>
      <c r="AD33" s="4153" t="n"/>
      <c r="AE33" s="4153" t="n"/>
      <c r="AF33" s="4153" t="n"/>
      <c r="AG33" s="4153" t="n"/>
      <c r="AH33" s="4155" t="n"/>
    </row>
    <row r="34" ht="20.1" customHeight="1" s="4080">
      <c r="A34" s="4667" t="inlineStr">
        <is>
          <t>共　同　生　活　住　居　（２）</t>
        </is>
      </c>
      <c r="B34" s="4356" t="n"/>
      <c r="C34" s="4180" t="inlineStr">
        <is>
          <t>ﾌﾘｶﾞﾅ</t>
        </is>
      </c>
      <c r="D34" s="4093" t="n"/>
      <c r="E34" s="4094" t="n"/>
      <c r="F34" s="4095" t="n"/>
      <c r="G34" s="4093" t="n"/>
      <c r="H34" s="4093" t="n"/>
      <c r="I34" s="4093" t="n"/>
      <c r="J34" s="4093" t="n"/>
      <c r="K34" s="4093" t="n"/>
      <c r="L34" s="4093" t="n"/>
      <c r="M34" s="4093" t="n"/>
      <c r="N34" s="4093" t="n"/>
      <c r="O34" s="4093" t="n"/>
      <c r="P34" s="4093" t="n"/>
      <c r="Q34" s="4093" t="n"/>
      <c r="R34" s="4093" t="n"/>
      <c r="S34" s="4093" t="n"/>
      <c r="T34" s="4093" t="n"/>
      <c r="U34" s="4093" t="n"/>
      <c r="V34" s="4093" t="n"/>
      <c r="W34" s="4093" t="n"/>
      <c r="X34" s="4093" t="n"/>
      <c r="Y34" s="4093" t="n"/>
      <c r="Z34" s="4093" t="n"/>
      <c r="AA34" s="4093" t="n"/>
      <c r="AB34" s="4093" t="n"/>
      <c r="AC34" s="4093" t="n"/>
      <c r="AD34" s="4093" t="n"/>
      <c r="AE34" s="4093" t="n"/>
      <c r="AF34" s="4093" t="n"/>
      <c r="AG34" s="4093" t="n"/>
      <c r="AH34" s="4096" t="n"/>
    </row>
    <row r="35" ht="24" customHeight="1" s="4080">
      <c r="A35" s="4097" t="n"/>
      <c r="B35" s="4107" t="n"/>
      <c r="C35" s="4268" t="inlineStr">
        <is>
          <t>名　称</t>
        </is>
      </c>
      <c r="D35" s="4098" t="n"/>
      <c r="E35" s="4099" t="n"/>
      <c r="F35" s="4651" t="n"/>
      <c r="G35" s="4098" t="n"/>
      <c r="H35" s="4098" t="n"/>
      <c r="I35" s="4098" t="n"/>
      <c r="J35" s="4098" t="n"/>
      <c r="K35" s="4098" t="n"/>
      <c r="L35" s="4098" t="n"/>
      <c r="M35" s="4098" t="n"/>
      <c r="N35" s="4098" t="n"/>
      <c r="O35" s="4098" t="n"/>
      <c r="P35" s="4098" t="n"/>
      <c r="Q35" s="4098" t="n"/>
      <c r="R35" s="4098" t="n"/>
      <c r="S35" s="4098" t="n"/>
      <c r="T35" s="4098" t="n"/>
      <c r="U35" s="4098" t="n"/>
      <c r="V35" s="4098" t="n"/>
      <c r="W35" s="4098" t="n"/>
      <c r="X35" s="4098" t="n"/>
      <c r="Y35" s="4098" t="n"/>
      <c r="Z35" s="4098" t="n"/>
      <c r="AA35" s="4098" t="n"/>
      <c r="AB35" s="4098" t="n"/>
      <c r="AC35" s="4098" t="n"/>
      <c r="AD35" s="4098" t="n"/>
      <c r="AE35" s="4098" t="n"/>
      <c r="AF35" s="4098" t="n"/>
      <c r="AG35" s="4098" t="n"/>
      <c r="AH35" s="4101" t="n"/>
    </row>
    <row r="36" ht="20.1" customHeight="1" s="4080">
      <c r="A36" s="4097" t="n"/>
      <c r="B36" s="4107" t="n"/>
      <c r="C36" s="4268" t="inlineStr">
        <is>
          <t>所在地</t>
        </is>
      </c>
      <c r="D36" s="4098" t="n"/>
      <c r="E36" s="4099" t="n"/>
      <c r="F36" s="1244" t="inlineStr">
        <is>
          <t>郵便番号（</t>
        </is>
      </c>
      <c r="G36" s="4098" t="n"/>
      <c r="H36" s="4098" t="n"/>
      <c r="I36" s="4098" t="n"/>
      <c r="J36" s="1287" t="n"/>
      <c r="K36" s="4098" t="n"/>
      <c r="L36" s="4098" t="n"/>
      <c r="M36" s="4098" t="n"/>
      <c r="N36" s="4098" t="n"/>
      <c r="O36" s="1329" t="inlineStr">
        <is>
          <t>）</t>
        </is>
      </c>
      <c r="P36" s="4311" t="n"/>
      <c r="Q36" s="4098" t="n"/>
      <c r="R36" s="4098" t="n"/>
      <c r="S36" s="4098" t="n"/>
      <c r="T36" s="4098" t="n"/>
      <c r="U36" s="4098" t="n"/>
      <c r="V36" s="4098" t="n"/>
      <c r="W36" s="4098" t="n"/>
      <c r="X36" s="4098" t="n"/>
      <c r="Y36" s="4098" t="n"/>
      <c r="Z36" s="4098" t="n"/>
      <c r="AA36" s="4098" t="n"/>
      <c r="AB36" s="4098" t="n"/>
      <c r="AC36" s="4098" t="n"/>
      <c r="AD36" s="4098" t="n"/>
      <c r="AE36" s="4098" t="n"/>
      <c r="AF36" s="4098" t="n"/>
      <c r="AG36" s="4098" t="n"/>
      <c r="AH36" s="4101" t="n"/>
    </row>
    <row r="37" ht="18" customHeight="1" s="4080">
      <c r="A37" s="4097" t="n"/>
      <c r="B37" s="4107" t="n"/>
      <c r="C37" s="4106" t="n"/>
      <c r="E37" s="4107" t="n"/>
      <c r="F37" s="1255" t="inlineStr">
        <is>
          <t>大阪市</t>
        </is>
      </c>
      <c r="I37" s="986" t="n"/>
      <c r="N37" s="1260" t="inlineStr">
        <is>
          <t>区</t>
        </is>
      </c>
      <c r="AH37" s="4109" t="n"/>
    </row>
    <row r="38" ht="3" customHeight="1" s="4080">
      <c r="A38" s="4097" t="n"/>
      <c r="B38" s="4107" t="n"/>
      <c r="C38" s="4106" t="n"/>
      <c r="E38" s="4107" t="n"/>
      <c r="F38" s="4102" t="n"/>
      <c r="G38" s="4103" t="n"/>
      <c r="H38" s="4103" t="n"/>
      <c r="I38" s="4103" t="n"/>
      <c r="J38" s="4103" t="n"/>
      <c r="K38" s="4103" t="n"/>
      <c r="L38" s="4103" t="n"/>
      <c r="M38" s="4103" t="n"/>
      <c r="N38" s="4103" t="n"/>
      <c r="O38" s="4103" t="n"/>
      <c r="P38" s="4103" t="n"/>
      <c r="Q38" s="4103" t="n"/>
      <c r="R38" s="4103" t="n"/>
      <c r="S38" s="4103" t="n"/>
      <c r="T38" s="4103" t="n"/>
      <c r="U38" s="4103" t="n"/>
      <c r="V38" s="4103" t="n"/>
      <c r="W38" s="4103" t="n"/>
      <c r="X38" s="4103" t="n"/>
      <c r="Y38" s="4103" t="n"/>
      <c r="Z38" s="4103" t="n"/>
      <c r="AA38" s="4103" t="n"/>
      <c r="AB38" s="4103" t="n"/>
      <c r="AC38" s="4103" t="n"/>
      <c r="AD38" s="4103" t="n"/>
      <c r="AE38" s="4103" t="n"/>
      <c r="AF38" s="4103" t="n"/>
      <c r="AG38" s="4103" t="n"/>
      <c r="AH38" s="4105" t="n"/>
    </row>
    <row r="39" ht="24" customHeight="1" s="4080">
      <c r="A39" s="4097" t="n"/>
      <c r="B39" s="4107" t="n"/>
      <c r="C39" s="4628" t="inlineStr">
        <is>
          <t>主たる事業所からの
移動に要する時間等</t>
        </is>
      </c>
      <c r="D39" s="4110" t="n"/>
      <c r="E39" s="4110" t="n"/>
      <c r="F39" s="4110" t="n"/>
      <c r="G39" s="4110" t="n"/>
      <c r="H39" s="4111" t="n"/>
      <c r="I39" s="2799" t="n"/>
      <c r="J39" s="4110" t="n"/>
      <c r="K39" s="4110" t="n"/>
      <c r="L39" s="4110" t="n"/>
      <c r="M39" s="4110" t="n"/>
      <c r="N39" s="2801" t="inlineStr">
        <is>
          <t>分以内（約</t>
        </is>
      </c>
      <c r="O39" s="4110" t="n"/>
      <c r="P39" s="4110" t="n"/>
      <c r="Q39" s="4110" t="n"/>
      <c r="R39" s="4110" t="n"/>
      <c r="S39" s="2858" t="n"/>
      <c r="T39" s="4110" t="n"/>
      <c r="U39" s="4110" t="n"/>
      <c r="V39" s="2805" t="inlineStr">
        <is>
          <t>ｋｍ）</t>
        </is>
      </c>
      <c r="W39" s="4110" t="n"/>
      <c r="X39" s="4110" t="n"/>
      <c r="Y39" s="4653" t="n"/>
      <c r="Z39" s="4110" t="n"/>
      <c r="AA39" s="4110" t="n"/>
      <c r="AB39" s="4110" t="n"/>
      <c r="AC39" s="4110" t="n"/>
      <c r="AD39" s="4110" t="n"/>
      <c r="AE39" s="4110" t="n"/>
      <c r="AF39" s="4110" t="n"/>
      <c r="AG39" s="4110" t="n"/>
      <c r="AH39" s="4113" t="n"/>
    </row>
    <row r="40" ht="20.1" customHeight="1" s="4080">
      <c r="A40" s="4097" t="n"/>
      <c r="B40" s="4107" t="n"/>
      <c r="C40" s="4181" t="inlineStr">
        <is>
          <t>連絡先電話番号</t>
        </is>
      </c>
      <c r="D40" s="4110" t="n"/>
      <c r="E40" s="4110" t="n"/>
      <c r="F40" s="4110" t="n"/>
      <c r="G40" s="4110" t="n"/>
      <c r="H40" s="4111" t="n"/>
      <c r="I40" s="882" t="n"/>
      <c r="J40" s="4110" t="n"/>
      <c r="K40" s="4110" t="n"/>
      <c r="L40" s="53" t="inlineStr">
        <is>
          <t>－</t>
        </is>
      </c>
      <c r="M40" s="920" t="n"/>
      <c r="N40" s="4110" t="n"/>
      <c r="O40" s="4110" t="n"/>
      <c r="P40" s="53" t="inlineStr">
        <is>
          <t>－</t>
        </is>
      </c>
      <c r="Q40" s="878" t="n"/>
      <c r="R40" s="4110" t="n"/>
      <c r="S40" s="4111" t="n"/>
      <c r="T40" s="4184" t="inlineStr">
        <is>
          <t>ＦＡＸ番号</t>
        </is>
      </c>
      <c r="U40" s="4110" t="n"/>
      <c r="V40" s="4110" t="n"/>
      <c r="W40" s="4111" t="n"/>
      <c r="X40" s="882" t="n"/>
      <c r="Y40" s="4110" t="n"/>
      <c r="Z40" s="4110" t="n"/>
      <c r="AA40" s="53" t="inlineStr">
        <is>
          <t>－</t>
        </is>
      </c>
      <c r="AB40" s="920" t="n"/>
      <c r="AC40" s="4110" t="n"/>
      <c r="AD40" s="4110" t="n"/>
      <c r="AE40" s="53" t="inlineStr">
        <is>
          <t>－</t>
        </is>
      </c>
      <c r="AF40" s="955" t="n"/>
      <c r="AG40" s="4110" t="n"/>
      <c r="AH40" s="4113" t="n"/>
    </row>
    <row r="41" ht="3" customHeight="1" s="4080">
      <c r="A41" s="4097" t="n"/>
      <c r="B41" s="4107" t="n"/>
      <c r="C41" s="4668" t="inlineStr">
        <is>
          <t>建　物　の　形　態</t>
        </is>
      </c>
      <c r="D41" s="1432" t="n"/>
      <c r="E41" s="1432" t="n"/>
      <c r="F41" s="1432" t="n"/>
      <c r="G41" s="1432" t="n"/>
      <c r="H41" s="1432" t="n"/>
      <c r="I41" s="1432" t="n"/>
      <c r="J41" s="1857" t="n"/>
      <c r="K41" s="403" t="n"/>
      <c r="L41" s="1290" t="n"/>
      <c r="M41" s="1290" t="n"/>
      <c r="N41" s="1290" t="n"/>
      <c r="O41" s="1290" t="n"/>
      <c r="P41" s="1290" t="n"/>
      <c r="Q41" s="1290" t="n"/>
      <c r="R41" s="1325" t="n"/>
      <c r="AB41" s="933" t="n"/>
      <c r="AC41" s="1689" t="n"/>
      <c r="AD41" s="4098" t="n"/>
      <c r="AE41" s="4098" t="n"/>
      <c r="AF41" s="4098" t="n"/>
      <c r="AG41" s="4098" t="n"/>
      <c r="AH41" s="1668" t="n"/>
    </row>
    <row r="42" ht="15.95" customHeight="1" s="4080">
      <c r="A42" s="4097" t="n"/>
      <c r="B42" s="4107" t="n"/>
      <c r="C42" s="4122" t="n"/>
      <c r="D42" s="4654" t="inlineStr">
        <is>
          <t>住居区分</t>
        </is>
      </c>
      <c r="J42" s="4107" t="n"/>
      <c r="K42" s="404" t="n"/>
      <c r="L42" s="1889" t="inlineStr">
        <is>
          <t>一戸建て</t>
        </is>
      </c>
      <c r="O42" s="2069" t="inlineStr">
        <is>
          <t>・</t>
        </is>
      </c>
      <c r="P42" s="1889" t="inlineStr">
        <is>
          <t>アパート</t>
        </is>
      </c>
      <c r="S42" s="2069" t="inlineStr">
        <is>
          <t>・</t>
        </is>
      </c>
      <c r="T42" s="1889" t="inlineStr">
        <is>
          <t>マンション</t>
        </is>
      </c>
      <c r="X42" s="2069" t="inlineStr">
        <is>
          <t>・</t>
        </is>
      </c>
      <c r="Y42" s="1889" t="inlineStr">
        <is>
          <t>その他</t>
        </is>
      </c>
      <c r="AB42" s="936" t="inlineStr">
        <is>
          <t>（</t>
        </is>
      </c>
      <c r="AH42" s="1668" t="inlineStr">
        <is>
          <t>）</t>
        </is>
      </c>
    </row>
    <row r="43" ht="3" customHeight="1" s="4080">
      <c r="A43" s="4097" t="n"/>
      <c r="B43" s="4107" t="n"/>
      <c r="C43" s="4122" t="n"/>
      <c r="D43" s="1290" t="n"/>
      <c r="E43" s="1290" t="n"/>
      <c r="F43" s="1290" t="n"/>
      <c r="G43" s="1290" t="n"/>
      <c r="H43" s="1290" t="n"/>
      <c r="I43" s="1290" t="n"/>
      <c r="J43" s="1291" t="n"/>
      <c r="K43" s="1889" t="n"/>
      <c r="L43" s="1889" t="n"/>
      <c r="M43" s="1889" t="n"/>
      <c r="O43" s="1889" t="n"/>
      <c r="P43" s="1889" t="n"/>
      <c r="Q43" s="1889" t="n"/>
      <c r="S43" s="1889" t="n"/>
      <c r="T43" s="1889" t="n"/>
      <c r="U43" s="1889" t="n"/>
      <c r="V43" s="1889" t="n"/>
      <c r="X43" s="1889" t="n"/>
      <c r="Y43" s="1889" t="n"/>
      <c r="Z43" s="1889" t="n"/>
      <c r="AB43" s="939" t="n"/>
      <c r="AC43" s="4103" t="n"/>
      <c r="AD43" s="4103" t="n"/>
      <c r="AE43" s="4103" t="n"/>
      <c r="AF43" s="4103" t="n"/>
      <c r="AG43" s="4103" t="n"/>
      <c r="AH43" s="1668" t="n"/>
    </row>
    <row r="44" ht="20.1" customHeight="1" s="4080">
      <c r="A44" s="4097" t="n"/>
      <c r="B44" s="4107" t="n"/>
      <c r="C44" s="4122" t="n"/>
      <c r="D44" s="4184" t="inlineStr">
        <is>
          <t>建物所有者名</t>
        </is>
      </c>
      <c r="E44" s="4110" t="n"/>
      <c r="F44" s="4110" t="n"/>
      <c r="G44" s="4110" t="n"/>
      <c r="H44" s="4110" t="n"/>
      <c r="I44" s="4110" t="n"/>
      <c r="J44" s="4111" t="n"/>
      <c r="K44" s="4655" t="n"/>
      <c r="L44" s="4110" t="n"/>
      <c r="M44" s="4110" t="n"/>
      <c r="N44" s="4110" t="n"/>
      <c r="O44" s="4110" t="n"/>
      <c r="P44" s="4110" t="n"/>
      <c r="Q44" s="4110" t="n"/>
      <c r="R44" s="4110" t="n"/>
      <c r="S44" s="4110" t="n"/>
      <c r="T44" s="4110" t="n"/>
      <c r="U44" s="4110" t="n"/>
      <c r="V44" s="4110" t="n"/>
      <c r="W44" s="4110" t="n"/>
      <c r="X44" s="4110" t="n"/>
      <c r="Y44" s="4110" t="n"/>
      <c r="Z44" s="4110" t="n"/>
      <c r="AA44" s="4110" t="n"/>
      <c r="AB44" s="4110" t="n"/>
      <c r="AC44" s="4110" t="n"/>
      <c r="AD44" s="4110" t="n"/>
      <c r="AE44" s="4110" t="n"/>
      <c r="AF44" s="4110" t="n"/>
      <c r="AG44" s="4110" t="n"/>
      <c r="AH44" s="4113" t="n"/>
    </row>
    <row r="45" ht="3" customHeight="1" s="4080">
      <c r="A45" s="4097" t="n"/>
      <c r="B45" s="4107" t="n"/>
      <c r="C45" s="4122" t="n"/>
      <c r="D45" s="4184" t="inlineStr">
        <is>
          <t>賃貸借契約の内容</t>
        </is>
      </c>
      <c r="E45" s="4098" t="n"/>
      <c r="F45" s="4099" t="n"/>
      <c r="G45" s="4274" t="inlineStr">
        <is>
          <t>敷金・家賃等</t>
        </is>
      </c>
      <c r="H45" s="4098" t="n"/>
      <c r="I45" s="4098" t="n"/>
      <c r="J45" s="4099" t="n"/>
      <c r="K45" s="403" t="n"/>
      <c r="L45" s="1290" t="n"/>
      <c r="M45" s="1290" t="n"/>
      <c r="N45" s="1290" t="n"/>
      <c r="O45" s="1290" t="n"/>
      <c r="P45" s="1290" t="n"/>
      <c r="Q45" s="1290" t="n"/>
      <c r="R45" s="1325" t="n"/>
      <c r="AB45" s="406" t="n"/>
      <c r="AC45" s="406" t="n"/>
      <c r="AD45" s="406" t="n"/>
      <c r="AE45" s="406" t="n"/>
      <c r="AF45" s="406" t="n"/>
      <c r="AG45" s="406" t="n"/>
      <c r="AH45" s="1668" t="n"/>
    </row>
    <row r="46" ht="15.95" customHeight="1" s="4080">
      <c r="A46" s="4097" t="n"/>
      <c r="B46" s="4107" t="n"/>
      <c r="C46" s="4122" t="n"/>
      <c r="D46" s="4106" t="n"/>
      <c r="F46" s="4107" t="n"/>
      <c r="G46" s="4106" t="n"/>
      <c r="J46" s="4107" t="n"/>
      <c r="K46" s="1354" t="inlineStr">
        <is>
          <t>ア</t>
        </is>
      </c>
      <c r="L46" s="1290" t="inlineStr">
        <is>
          <t>敷金</t>
        </is>
      </c>
      <c r="O46" s="407" t="inlineStr">
        <is>
          <t>（</t>
        </is>
      </c>
      <c r="P46" s="4656" t="n"/>
      <c r="Q46" s="4657" t="n"/>
      <c r="R46" s="4657" t="n"/>
      <c r="S46" s="4657" t="n"/>
      <c r="T46" s="2813" t="inlineStr">
        <is>
          <t>）円</t>
        </is>
      </c>
      <c r="U46" s="4657" t="n"/>
      <c r="W46" s="1355" t="inlineStr">
        <is>
          <t>イ</t>
        </is>
      </c>
      <c r="X46" s="1290" t="inlineStr">
        <is>
          <t>保証金</t>
        </is>
      </c>
      <c r="AB46" s="407" t="inlineStr">
        <is>
          <t>（</t>
        </is>
      </c>
      <c r="AC46" s="4656" t="n"/>
      <c r="AD46" s="4657" t="n"/>
      <c r="AE46" s="4657" t="n"/>
      <c r="AF46" s="4657" t="n"/>
      <c r="AG46" s="2810" t="inlineStr">
        <is>
          <t>）円</t>
        </is>
      </c>
      <c r="AH46" s="4658" t="n"/>
    </row>
    <row r="47" ht="3" customHeight="1" s="4080">
      <c r="A47" s="4097" t="n"/>
      <c r="B47" s="4107" t="n"/>
      <c r="C47" s="4122" t="n"/>
      <c r="D47" s="4106" t="n"/>
      <c r="F47" s="4107" t="n"/>
      <c r="G47" s="4106" t="n"/>
      <c r="J47" s="4107" t="n"/>
      <c r="K47" s="403" t="n"/>
      <c r="L47" s="1290" t="n"/>
      <c r="M47" s="1290" t="n"/>
      <c r="N47" s="1290" t="n"/>
      <c r="O47" s="1290" t="n"/>
      <c r="P47" s="1290" t="n"/>
      <c r="Q47" s="1290" t="n"/>
      <c r="R47" s="1325" t="n"/>
      <c r="AB47" s="408" t="n"/>
      <c r="AC47" s="408" t="n"/>
      <c r="AD47" s="408" t="n"/>
      <c r="AE47" s="408" t="n"/>
      <c r="AF47" s="408" t="n"/>
      <c r="AG47" s="408" t="n"/>
      <c r="AH47" s="1668" t="n"/>
    </row>
    <row r="48" ht="15.95" customHeight="1" s="4080">
      <c r="A48" s="4097" t="n"/>
      <c r="B48" s="4107" t="n"/>
      <c r="C48" s="4122" t="n"/>
      <c r="D48" s="4106" t="n"/>
      <c r="F48" s="4107" t="n"/>
      <c r="G48" s="4106" t="n"/>
      <c r="J48" s="4107" t="n"/>
      <c r="K48" s="1354" t="inlineStr">
        <is>
          <t>ウ</t>
        </is>
      </c>
      <c r="L48" s="1290" t="inlineStr">
        <is>
          <t>礼金</t>
        </is>
      </c>
      <c r="O48" s="45" t="inlineStr">
        <is>
          <t>（</t>
        </is>
      </c>
      <c r="P48" s="4656" t="n"/>
      <c r="Q48" s="4657" t="n"/>
      <c r="R48" s="4657" t="n"/>
      <c r="S48" s="4657" t="n"/>
      <c r="T48" s="1658" t="inlineStr">
        <is>
          <t>）円</t>
        </is>
      </c>
      <c r="V48" s="409" t="n"/>
      <c r="W48" s="1355" t="inlineStr">
        <is>
          <t>エ</t>
        </is>
      </c>
      <c r="X48" s="1290" t="inlineStr">
        <is>
          <t>家賃(月額)</t>
        </is>
      </c>
      <c r="AB48" s="407" t="inlineStr">
        <is>
          <t>（</t>
        </is>
      </c>
      <c r="AC48" s="4656" t="n"/>
      <c r="AD48" s="4657" t="n"/>
      <c r="AE48" s="4657" t="n"/>
      <c r="AF48" s="4657" t="n"/>
      <c r="AG48" s="2810" t="inlineStr">
        <is>
          <t>）円</t>
        </is>
      </c>
      <c r="AH48" s="4658" t="n"/>
    </row>
    <row r="49" ht="3" customHeight="1" s="4080">
      <c r="A49" s="4097" t="n"/>
      <c r="B49" s="4107" t="n"/>
      <c r="C49" s="4122" t="n"/>
      <c r="D49" s="4106" t="n"/>
      <c r="F49" s="4107" t="n"/>
      <c r="G49" s="4102" t="n"/>
      <c r="H49" s="4103" t="n"/>
      <c r="I49" s="4103" t="n"/>
      <c r="J49" s="4104" t="n"/>
      <c r="K49" s="403" t="n"/>
      <c r="L49" s="1290" t="n"/>
      <c r="M49" s="1290" t="n"/>
      <c r="N49" s="1290" t="n"/>
      <c r="O49" s="1290" t="n"/>
      <c r="P49" s="1290" t="n"/>
      <c r="Q49" s="1290" t="n"/>
      <c r="R49" s="1325" t="n"/>
      <c r="AB49" s="408" t="n"/>
      <c r="AC49" s="408" t="n"/>
      <c r="AD49" s="408" t="n"/>
      <c r="AE49" s="408" t="n"/>
      <c r="AF49" s="408" t="n"/>
      <c r="AG49" s="408" t="n"/>
      <c r="AH49" s="1668" t="n"/>
    </row>
    <row r="50" ht="18" customHeight="1" s="4080">
      <c r="A50" s="4097" t="n"/>
      <c r="B50" s="4107" t="n"/>
      <c r="C50" s="4122" t="n"/>
      <c r="D50" s="4106" t="n"/>
      <c r="F50" s="4107" t="n"/>
      <c r="G50" s="1265" t="inlineStr">
        <is>
          <t>契約期間</t>
        </is>
      </c>
      <c r="H50" s="4098" t="n"/>
      <c r="I50" s="4098" t="n"/>
      <c r="J50" s="4099" t="n"/>
      <c r="K50" s="336" t="n"/>
      <c r="L50" s="2825" t="n"/>
      <c r="M50" s="4486" t="n"/>
      <c r="N50" s="4486" t="n"/>
      <c r="O50" s="1245" t="inlineStr">
        <is>
          <t>年</t>
        </is>
      </c>
      <c r="P50" s="981" t="n"/>
      <c r="Q50" s="4098" t="n"/>
      <c r="R50" s="108" t="inlineStr">
        <is>
          <t>月</t>
        </is>
      </c>
      <c r="S50" s="2825" t="n"/>
      <c r="T50" s="4486" t="n"/>
      <c r="U50" s="2826" t="inlineStr">
        <is>
          <t>日～</t>
        </is>
      </c>
      <c r="V50" s="4486" t="n"/>
      <c r="W50" s="4486" t="n"/>
      <c r="X50" s="2825" t="n"/>
      <c r="Y50" s="4486" t="n"/>
      <c r="Z50" s="4486" t="n"/>
      <c r="AA50" s="1245" t="inlineStr">
        <is>
          <t>年</t>
        </is>
      </c>
      <c r="AB50" s="981" t="n"/>
      <c r="AC50" s="4098" t="n"/>
      <c r="AD50" s="1329" t="inlineStr">
        <is>
          <t>月</t>
        </is>
      </c>
      <c r="AE50" s="981" t="n"/>
      <c r="AF50" s="4098" t="n"/>
      <c r="AG50" s="1329" t="inlineStr">
        <is>
          <t>日</t>
        </is>
      </c>
      <c r="AH50" s="411" t="n"/>
    </row>
    <row r="51" ht="3" customHeight="1" s="4080">
      <c r="A51" s="4097" t="n"/>
      <c r="B51" s="4107" t="n"/>
      <c r="C51" s="4122" t="n"/>
      <c r="D51" s="4106" t="n"/>
      <c r="F51" s="4107" t="n"/>
      <c r="J51" s="4107" t="n"/>
      <c r="K51" s="4659" t="inlineStr">
        <is>
          <t>契約の自動更新条項の有無</t>
        </is>
      </c>
      <c r="L51" s="4320" t="n"/>
      <c r="M51" s="4320" t="n"/>
      <c r="N51" s="4320" t="n"/>
      <c r="O51" s="4320" t="n"/>
      <c r="P51" s="4320" t="n"/>
      <c r="Q51" s="4320" t="n"/>
      <c r="R51" s="4320" t="n"/>
      <c r="S51" s="4320" t="n"/>
      <c r="T51" s="4320" t="n"/>
      <c r="U51" s="4320" t="n"/>
      <c r="V51" s="4321" t="n"/>
      <c r="W51" s="412" t="n"/>
      <c r="X51" s="412" t="n"/>
      <c r="Y51" s="412" t="n"/>
      <c r="Z51" s="412" t="n"/>
      <c r="AA51" s="412" t="n"/>
      <c r="AB51" s="412" t="n"/>
      <c r="AC51" s="412" t="n"/>
      <c r="AD51" s="412" t="n"/>
      <c r="AE51" s="412" t="n"/>
      <c r="AF51" s="412" t="n"/>
      <c r="AG51" s="412" t="n"/>
      <c r="AH51" s="413" t="n"/>
    </row>
    <row r="52" ht="15.95" customHeight="1" s="4080">
      <c r="A52" s="4097" t="n"/>
      <c r="B52" s="4107" t="n"/>
      <c r="C52" s="4122" t="n"/>
      <c r="D52" s="4106" t="n"/>
      <c r="F52" s="4107" t="n"/>
      <c r="J52" s="4107" t="n"/>
      <c r="K52" s="4106" t="n"/>
      <c r="V52" s="4107" t="n"/>
      <c r="W52" s="414" t="n"/>
      <c r="X52" s="1325" t="inlineStr">
        <is>
          <t>有</t>
        </is>
      </c>
      <c r="Y52" s="1325" t="inlineStr">
        <is>
          <t>（</t>
        </is>
      </c>
      <c r="Z52" s="1626" t="n"/>
      <c r="AC52" s="1355" t="inlineStr">
        <is>
          <t>年ごと）・</t>
        </is>
      </c>
      <c r="AG52" s="1325" t="inlineStr">
        <is>
          <t>無</t>
        </is>
      </c>
      <c r="AH52" s="415" t="n"/>
    </row>
    <row r="53" ht="3" customHeight="1" s="4080">
      <c r="A53" s="4097" t="n"/>
      <c r="B53" s="4107" t="n"/>
      <c r="C53" s="4122" t="n"/>
      <c r="D53" s="4106" t="n"/>
      <c r="F53" s="4107" t="n"/>
      <c r="G53" s="4103" t="n"/>
      <c r="H53" s="4103" t="n"/>
      <c r="I53" s="4103" t="n"/>
      <c r="J53" s="4104" t="n"/>
      <c r="K53" s="4102" t="n"/>
      <c r="L53" s="4103" t="n"/>
      <c r="M53" s="4103" t="n"/>
      <c r="N53" s="4103" t="n"/>
      <c r="O53" s="4103" t="n"/>
      <c r="P53" s="4103" t="n"/>
      <c r="Q53" s="4103" t="n"/>
      <c r="R53" s="4103" t="n"/>
      <c r="S53" s="4103" t="n"/>
      <c r="T53" s="4103" t="n"/>
      <c r="U53" s="4103" t="n"/>
      <c r="V53" s="4104" t="n"/>
      <c r="W53" s="416" t="n"/>
      <c r="X53" s="416" t="n"/>
      <c r="Y53" s="416" t="n"/>
      <c r="Z53" s="416" t="n"/>
      <c r="AA53" s="416" t="n"/>
      <c r="AB53" s="416" t="n"/>
      <c r="AC53" s="416" t="n"/>
      <c r="AD53" s="416" t="n"/>
      <c r="AE53" s="416" t="n"/>
      <c r="AF53" s="416" t="n"/>
      <c r="AG53" s="416" t="n"/>
      <c r="AH53" s="417" t="n"/>
    </row>
    <row r="54" ht="20.1" customHeight="1" s="4080">
      <c r="A54" s="4097" t="n"/>
      <c r="B54" s="4107" t="n"/>
      <c r="C54" s="4122" t="n"/>
      <c r="D54" s="4102" t="n"/>
      <c r="E54" s="4103" t="n"/>
      <c r="F54" s="4104" t="n"/>
      <c r="G54" s="2824" t="inlineStr">
        <is>
          <t>賃貸料がない
場合の理由</t>
        </is>
      </c>
      <c r="H54" s="4110" t="n"/>
      <c r="I54" s="4110" t="n"/>
      <c r="J54" s="4111" t="n"/>
      <c r="K54" s="4230" t="n"/>
      <c r="L54" s="4110" t="n"/>
      <c r="M54" s="4110" t="n"/>
      <c r="N54" s="4110" t="n"/>
      <c r="O54" s="4110" t="n"/>
      <c r="P54" s="4110" t="n"/>
      <c r="Q54" s="4110" t="n"/>
      <c r="R54" s="4110" t="n"/>
      <c r="S54" s="4110" t="n"/>
      <c r="T54" s="4110" t="n"/>
      <c r="U54" s="4110" t="n"/>
      <c r="V54" s="4110" t="n"/>
      <c r="W54" s="4110" t="n"/>
      <c r="X54" s="4110" t="n"/>
      <c r="Y54" s="4110" t="n"/>
      <c r="Z54" s="4110" t="n"/>
      <c r="AA54" s="4110" t="n"/>
      <c r="AB54" s="4110" t="n"/>
      <c r="AC54" s="4110" t="n"/>
      <c r="AD54" s="4110" t="n"/>
      <c r="AE54" s="4110" t="n"/>
      <c r="AF54" s="4110" t="n"/>
      <c r="AG54" s="4110" t="n"/>
      <c r="AH54" s="4113" t="n"/>
    </row>
    <row r="55" ht="15" customHeight="1" s="4080">
      <c r="A55" s="4097" t="n"/>
      <c r="B55" s="4107" t="n"/>
      <c r="C55" s="4122" t="n"/>
      <c r="D55" s="4184" t="inlineStr">
        <is>
          <t>住居の利用定員</t>
        </is>
      </c>
      <c r="E55" s="4098" t="n"/>
      <c r="F55" s="4098" t="n"/>
      <c r="G55" s="4098" t="n"/>
      <c r="H55" s="4098" t="n"/>
      <c r="I55" s="4098" t="n"/>
      <c r="J55" s="4099" t="n"/>
      <c r="K55" s="1644" t="n"/>
      <c r="L55" s="4098" t="n"/>
      <c r="M55" s="4098" t="n"/>
      <c r="N55" s="4098" t="n"/>
      <c r="O55" s="4098" t="n"/>
      <c r="P55" s="4660" t="inlineStr">
        <is>
          <t>人</t>
        </is>
      </c>
      <c r="Q55" s="4184" t="inlineStr">
        <is>
          <t>居室数</t>
        </is>
      </c>
      <c r="R55" s="4110" t="n"/>
      <c r="S55" s="4110" t="n"/>
      <c r="T55" s="4110" t="n"/>
      <c r="U55" s="4110" t="n"/>
      <c r="V55" s="4111" t="n"/>
      <c r="W55" s="882" t="n"/>
      <c r="X55" s="4110" t="n"/>
      <c r="Y55" s="4110" t="n"/>
      <c r="Z55" s="1261" t="inlineStr">
        <is>
          <t>室（うち個室</t>
        </is>
      </c>
      <c r="AA55" s="4110" t="n"/>
      <c r="AB55" s="4110" t="n"/>
      <c r="AC55" s="4110" t="n"/>
      <c r="AD55" s="883" t="n"/>
      <c r="AE55" s="4110" t="n"/>
      <c r="AF55" s="4110" t="n"/>
      <c r="AG55" s="2827" t="inlineStr">
        <is>
          <t>室 ）</t>
        </is>
      </c>
      <c r="AH55" s="4113" t="n"/>
    </row>
    <row r="56" ht="15" customHeight="1" s="4080">
      <c r="A56" s="4097" t="n"/>
      <c r="B56" s="4107" t="n"/>
      <c r="C56" s="4122" t="n"/>
      <c r="D56" s="4102" t="n"/>
      <c r="E56" s="4103" t="n"/>
      <c r="F56" s="4103" t="n"/>
      <c r="G56" s="4103" t="n"/>
      <c r="H56" s="4103" t="n"/>
      <c r="I56" s="4103" t="n"/>
      <c r="J56" s="4104" t="n"/>
      <c r="K56" s="4102" t="n"/>
      <c r="L56" s="4103" t="n"/>
      <c r="M56" s="4103" t="n"/>
      <c r="N56" s="4103" t="n"/>
      <c r="O56" s="4103" t="n"/>
      <c r="P56" s="4104" t="n"/>
      <c r="Q56" s="4274" t="inlineStr">
        <is>
          <t>入居者１人当たりの居室の最小床面積</t>
        </is>
      </c>
      <c r="R56" s="4110" t="n"/>
      <c r="S56" s="4110" t="n"/>
      <c r="T56" s="4110" t="n"/>
      <c r="U56" s="4110" t="n"/>
      <c r="V56" s="4110" t="n"/>
      <c r="W56" s="4110" t="n"/>
      <c r="X56" s="4110" t="n"/>
      <c r="Y56" s="4110" t="n"/>
      <c r="Z56" s="4110" t="n"/>
      <c r="AA56" s="4110" t="n"/>
      <c r="AB56" s="4111" t="n"/>
      <c r="AC56" s="4661" t="n"/>
      <c r="AD56" s="4110" t="n"/>
      <c r="AE56" s="4110" t="n"/>
      <c r="AF56" s="4110" t="n"/>
      <c r="AG56" s="4110" t="n"/>
      <c r="AH56" s="2827" t="inlineStr">
        <is>
          <t>㎡</t>
        </is>
      </c>
    </row>
    <row r="57" ht="30" customHeight="1" s="4080">
      <c r="A57" s="4097" t="n"/>
      <c r="B57" s="4107" t="n"/>
      <c r="C57" s="4122" t="n"/>
      <c r="D57" s="4662" t="inlineStr">
        <is>
          <t>一体的に運営する
サテライト型住居</t>
        </is>
      </c>
      <c r="E57" s="4098" t="n"/>
      <c r="F57" s="4098" t="n"/>
      <c r="G57" s="4098" t="n"/>
      <c r="H57" s="4098" t="n"/>
      <c r="I57" s="4098" t="n"/>
      <c r="J57" s="4099" t="n"/>
      <c r="K57" s="1644" t="n"/>
      <c r="L57" s="4110" t="n"/>
      <c r="M57" s="4110" t="n"/>
      <c r="N57" s="4110" t="n"/>
      <c r="O57" s="1394" t="inlineStr">
        <is>
          <t>か所</t>
        </is>
      </c>
      <c r="P57" s="4111" t="n"/>
      <c r="Q57" s="4426" t="inlineStr">
        <is>
          <t>一体的に運営するサテライト型住居の利用者から連絡を受ける通信機器</t>
        </is>
      </c>
      <c r="R57" s="4110" t="n"/>
      <c r="S57" s="4110" t="n"/>
      <c r="T57" s="4110" t="n"/>
      <c r="U57" s="4110" t="n"/>
      <c r="V57" s="4110" t="n"/>
      <c r="W57" s="4110" t="n"/>
      <c r="X57" s="4110" t="n"/>
      <c r="Y57" s="4110" t="n"/>
      <c r="Z57" s="4111" t="n"/>
      <c r="AA57" s="4636" t="n"/>
      <c r="AB57" s="4110" t="n"/>
      <c r="AC57" s="4110" t="n"/>
      <c r="AD57" s="4110" t="n"/>
      <c r="AE57" s="4110" t="n"/>
      <c r="AF57" s="4110" t="n"/>
      <c r="AG57" s="4110" t="n"/>
      <c r="AH57" s="4113" t="n"/>
    </row>
    <row r="58" ht="15" customHeight="1" s="4080">
      <c r="A58" s="4097" t="n"/>
      <c r="B58" s="4107" t="n"/>
      <c r="C58" s="4122" t="n"/>
      <c r="D58" s="4663" t="inlineStr">
        <is>
          <t>サービスを提供
する主たる対象者</t>
        </is>
      </c>
      <c r="E58" s="4098" t="n"/>
      <c r="F58" s="4098" t="n"/>
      <c r="G58" s="4098" t="n"/>
      <c r="H58" s="4098" t="n"/>
      <c r="I58" s="4098" t="n"/>
      <c r="J58" s="4099" t="n"/>
      <c r="K58" s="1669" t="inlineStr">
        <is>
          <t>身体障害者</t>
        </is>
      </c>
      <c r="L58" s="4138" t="n"/>
      <c r="M58" s="4138" t="n"/>
      <c r="N58" s="4138" t="n"/>
      <c r="O58" s="4138" t="n"/>
      <c r="P58" s="4139" t="n"/>
      <c r="Q58" s="1669" t="inlineStr">
        <is>
          <t>知的障害者</t>
        </is>
      </c>
      <c r="R58" s="4138" t="n"/>
      <c r="S58" s="4138" t="n"/>
      <c r="T58" s="4138" t="n"/>
      <c r="U58" s="4138" t="n"/>
      <c r="V58" s="4139" t="n"/>
      <c r="W58" s="1669" t="inlineStr">
        <is>
          <t>精神障害者</t>
        </is>
      </c>
      <c r="X58" s="4138" t="n"/>
      <c r="Y58" s="4138" t="n"/>
      <c r="Z58" s="4138" t="n"/>
      <c r="AA58" s="4138" t="n"/>
      <c r="AB58" s="4139" t="n"/>
      <c r="AC58" s="4664" t="inlineStr">
        <is>
          <t>難病等対象者</t>
        </is>
      </c>
      <c r="AD58" s="4138" t="n"/>
      <c r="AE58" s="4138" t="n"/>
      <c r="AF58" s="4138" t="n"/>
      <c r="AG58" s="4138" t="n"/>
      <c r="AH58" s="4246" t="n"/>
    </row>
    <row r="59" ht="15" customHeight="1" s="4080">
      <c r="A59" s="4097" t="n"/>
      <c r="B59" s="4107" t="n"/>
      <c r="C59" s="4122" t="n"/>
      <c r="D59" s="4102" t="n"/>
      <c r="E59" s="4103" t="n"/>
      <c r="F59" s="4103" t="n"/>
      <c r="G59" s="4103" t="n"/>
      <c r="H59" s="4103" t="n"/>
      <c r="I59" s="4103" t="n"/>
      <c r="J59" s="4104" t="n"/>
      <c r="K59" s="1663" t="n"/>
      <c r="L59" s="4140" t="n"/>
      <c r="M59" s="4140" t="n"/>
      <c r="N59" s="4140" t="n"/>
      <c r="O59" s="4140" t="n"/>
      <c r="P59" s="4141" t="n"/>
      <c r="Q59" s="1663" t="n"/>
      <c r="R59" s="4140" t="n"/>
      <c r="S59" s="4140" t="n"/>
      <c r="T59" s="4140" t="n"/>
      <c r="U59" s="4140" t="n"/>
      <c r="V59" s="4141" t="n"/>
      <c r="W59" s="1663" t="n"/>
      <c r="X59" s="4140" t="n"/>
      <c r="Y59" s="4140" t="n"/>
      <c r="Z59" s="4140" t="n"/>
      <c r="AA59" s="4140" t="n"/>
      <c r="AB59" s="4141" t="n"/>
      <c r="AC59" s="3101" t="n"/>
      <c r="AD59" s="4140" t="n"/>
      <c r="AE59" s="4140" t="n"/>
      <c r="AF59" s="4140" t="n"/>
      <c r="AG59" s="4140" t="n"/>
      <c r="AH59" s="4252" t="n"/>
    </row>
    <row r="60" ht="19.5" customHeight="1" s="4080">
      <c r="A60" s="4097" t="n"/>
      <c r="B60" s="4107" t="n"/>
      <c r="C60" s="4122" t="n"/>
      <c r="D60" s="4184" t="inlineStr">
        <is>
          <t>利用料</t>
        </is>
      </c>
      <c r="E60" s="4110" t="n"/>
      <c r="F60" s="4110" t="n"/>
      <c r="G60" s="4110" t="n"/>
      <c r="H60" s="4110" t="n"/>
      <c r="I60" s="4110" t="n"/>
      <c r="J60" s="4111" t="n"/>
      <c r="K60" s="4227" t="n"/>
      <c r="L60" s="4110" t="n"/>
      <c r="M60" s="4110" t="n"/>
      <c r="N60" s="4110" t="n"/>
      <c r="O60" s="4110" t="n"/>
      <c r="P60" s="4110" t="n"/>
      <c r="Q60" s="4110" t="n"/>
      <c r="R60" s="4110" t="n"/>
      <c r="S60" s="4110" t="n"/>
      <c r="T60" s="4110" t="n"/>
      <c r="U60" s="4110" t="n"/>
      <c r="V60" s="4110" t="n"/>
      <c r="W60" s="4110" t="n"/>
      <c r="X60" s="4110" t="n"/>
      <c r="Y60" s="4110" t="n"/>
      <c r="Z60" s="4110" t="n"/>
      <c r="AA60" s="4110" t="n"/>
      <c r="AB60" s="4110" t="n"/>
      <c r="AC60" s="4110" t="n"/>
      <c r="AD60" s="4110" t="n"/>
      <c r="AE60" s="4110" t="n"/>
      <c r="AF60" s="4110" t="n"/>
      <c r="AG60" s="4110" t="n"/>
      <c r="AH60" s="4113" t="n"/>
    </row>
    <row r="61" ht="37.5" customHeight="1" s="4080" thickBot="1">
      <c r="A61" s="4086" t="n"/>
      <c r="B61" s="4410" t="n"/>
      <c r="C61" s="4669" t="n"/>
      <c r="D61" s="4665" t="inlineStr">
        <is>
          <t>その他の費用</t>
        </is>
      </c>
      <c r="E61" s="4153" t="n"/>
      <c r="F61" s="4153" t="n"/>
      <c r="G61" s="4153" t="n"/>
      <c r="H61" s="4153" t="n"/>
      <c r="I61" s="4153" t="n"/>
      <c r="J61" s="4154" t="n"/>
      <c r="K61" s="4666" t="n"/>
      <c r="L61" s="4153" t="n"/>
      <c r="M61" s="4153" t="n"/>
      <c r="N61" s="4153" t="n"/>
      <c r="O61" s="4153" t="n"/>
      <c r="P61" s="4153" t="n"/>
      <c r="Q61" s="4153" t="n"/>
      <c r="R61" s="4153" t="n"/>
      <c r="S61" s="4153" t="n"/>
      <c r="T61" s="4153" t="n"/>
      <c r="U61" s="4153" t="n"/>
      <c r="V61" s="4153" t="n"/>
      <c r="W61" s="4153" t="n"/>
      <c r="X61" s="4153" t="n"/>
      <c r="Y61" s="4153" t="n"/>
      <c r="Z61" s="4153" t="n"/>
      <c r="AA61" s="4153" t="n"/>
      <c r="AB61" s="4153" t="n"/>
      <c r="AC61" s="4153" t="n"/>
      <c r="AD61" s="4153" t="n"/>
      <c r="AE61" s="4153" t="n"/>
      <c r="AF61" s="4153" t="n"/>
      <c r="AG61" s="4153" t="n"/>
      <c r="AH61" s="4155" t="n"/>
    </row>
  </sheetData>
  <mergeCells count="203">
    <mergeCell ref="Q58:V58"/>
    <mergeCell ref="L42:N42"/>
    <mergeCell ref="K60:AH60"/>
    <mergeCell ref="P18:S18"/>
    <mergeCell ref="AC58:AH58"/>
    <mergeCell ref="M40:O40"/>
    <mergeCell ref="K31:P31"/>
    <mergeCell ref="AD27:AF27"/>
    <mergeCell ref="AC28:AG28"/>
    <mergeCell ref="K44:AH44"/>
    <mergeCell ref="V39:X39"/>
    <mergeCell ref="D33:J33"/>
    <mergeCell ref="M12:O12"/>
    <mergeCell ref="P22:Q22"/>
    <mergeCell ref="C11:H11"/>
    <mergeCell ref="W59:AB59"/>
    <mergeCell ref="G45:J49"/>
    <mergeCell ref="A1:Z1"/>
    <mergeCell ref="AC48:AF48"/>
    <mergeCell ref="C39:H39"/>
    <mergeCell ref="P20:S20"/>
    <mergeCell ref="AG27:AH27"/>
    <mergeCell ref="C7:E7"/>
    <mergeCell ref="AC59:AH59"/>
    <mergeCell ref="L46:N46"/>
    <mergeCell ref="X22:Z22"/>
    <mergeCell ref="T42:W42"/>
    <mergeCell ref="AD55:AF55"/>
    <mergeCell ref="P14:R14"/>
    <mergeCell ref="U50:W50"/>
    <mergeCell ref="Y39:AH39"/>
    <mergeCell ref="AA2:AA3"/>
    <mergeCell ref="X12:Z12"/>
    <mergeCell ref="AC24:AF24"/>
    <mergeCell ref="P46:S46"/>
    <mergeCell ref="L48:N48"/>
    <mergeCell ref="C34:E34"/>
    <mergeCell ref="AC2:AC3"/>
    <mergeCell ref="D17:F26"/>
    <mergeCell ref="AC56:AG56"/>
    <mergeCell ref="P48:S48"/>
    <mergeCell ref="N37:O38"/>
    <mergeCell ref="K33:AH33"/>
    <mergeCell ref="T12:W12"/>
    <mergeCell ref="S11:U11"/>
    <mergeCell ref="AB40:AD40"/>
    <mergeCell ref="F37:H38"/>
    <mergeCell ref="K27:O28"/>
    <mergeCell ref="S22:T22"/>
    <mergeCell ref="AG20:AH20"/>
    <mergeCell ref="Y14:AA14"/>
    <mergeCell ref="L18:N18"/>
    <mergeCell ref="AE50:AF50"/>
    <mergeCell ref="AC41:AG43"/>
    <mergeCell ref="P50:Q50"/>
    <mergeCell ref="AE22:AF22"/>
    <mergeCell ref="I11:M11"/>
    <mergeCell ref="I12:K12"/>
    <mergeCell ref="D29:J29"/>
    <mergeCell ref="AG46:AH46"/>
    <mergeCell ref="AB50:AC50"/>
    <mergeCell ref="F34:AH34"/>
    <mergeCell ref="K59:P59"/>
    <mergeCell ref="F6:AH6"/>
    <mergeCell ref="A4:B5"/>
    <mergeCell ref="N9:O10"/>
    <mergeCell ref="O29:P29"/>
    <mergeCell ref="AC52:AF52"/>
    <mergeCell ref="C36:E38"/>
    <mergeCell ref="L50:N50"/>
    <mergeCell ref="Q27:V27"/>
    <mergeCell ref="X50:Z50"/>
    <mergeCell ref="Q30:V30"/>
    <mergeCell ref="AB22:AC22"/>
    <mergeCell ref="AF2:AF3"/>
    <mergeCell ref="Z27:AC27"/>
    <mergeCell ref="K61:AH61"/>
    <mergeCell ref="AH2:AH3"/>
    <mergeCell ref="K23:V25"/>
    <mergeCell ref="K55:O56"/>
    <mergeCell ref="AC1:AD1"/>
    <mergeCell ref="D57:J57"/>
    <mergeCell ref="AE1:AF1"/>
    <mergeCell ref="AG18:AH18"/>
    <mergeCell ref="D58:J59"/>
    <mergeCell ref="Q56:AB56"/>
    <mergeCell ref="G50:J53"/>
    <mergeCell ref="S50:T50"/>
    <mergeCell ref="O57:P57"/>
    <mergeCell ref="C35:E35"/>
    <mergeCell ref="X20:AA20"/>
    <mergeCell ref="P8:AH10"/>
    <mergeCell ref="Q55:V55"/>
    <mergeCell ref="K26:AH26"/>
    <mergeCell ref="G26:J26"/>
    <mergeCell ref="L14:N14"/>
    <mergeCell ref="C40:H40"/>
    <mergeCell ref="A6:B33"/>
    <mergeCell ref="AA29:AH29"/>
    <mergeCell ref="F4:AH4"/>
    <mergeCell ref="U2:X3"/>
    <mergeCell ref="K58:P58"/>
    <mergeCell ref="AF12:AH12"/>
    <mergeCell ref="AC13:AG15"/>
    <mergeCell ref="X46:AA46"/>
    <mergeCell ref="D14:J14"/>
    <mergeCell ref="P27:P28"/>
    <mergeCell ref="Z55:AC55"/>
    <mergeCell ref="Z2:Z3"/>
    <mergeCell ref="X48:AA48"/>
    <mergeCell ref="AB2:AB3"/>
    <mergeCell ref="AD2:AD3"/>
    <mergeCell ref="AA57:AH57"/>
    <mergeCell ref="AG48:AH48"/>
    <mergeCell ref="F5:AH5"/>
    <mergeCell ref="Z24:AB24"/>
    <mergeCell ref="P42:R42"/>
    <mergeCell ref="K29:N29"/>
    <mergeCell ref="E2:I2"/>
    <mergeCell ref="I40:K40"/>
    <mergeCell ref="U22:W22"/>
    <mergeCell ref="D55:J56"/>
    <mergeCell ref="Y42:AA42"/>
    <mergeCell ref="I39:M39"/>
    <mergeCell ref="Q12:S12"/>
    <mergeCell ref="C6:E6"/>
    <mergeCell ref="F36:I36"/>
    <mergeCell ref="K30:P30"/>
    <mergeCell ref="D32:J32"/>
    <mergeCell ref="X18:AA18"/>
    <mergeCell ref="G22:J25"/>
    <mergeCell ref="F8:I8"/>
    <mergeCell ref="P55:P56"/>
    <mergeCell ref="T46:U46"/>
    <mergeCell ref="T40:W40"/>
    <mergeCell ref="P36:AH38"/>
    <mergeCell ref="D16:J16"/>
    <mergeCell ref="C4:E4"/>
    <mergeCell ref="F9:H10"/>
    <mergeCell ref="K54:AH54"/>
    <mergeCell ref="J8:N8"/>
    <mergeCell ref="AC30:AH30"/>
    <mergeCell ref="T48:U48"/>
    <mergeCell ref="AC46:AF46"/>
    <mergeCell ref="C13:C33"/>
    <mergeCell ref="K51:V53"/>
    <mergeCell ref="N11:R11"/>
    <mergeCell ref="I37:M38"/>
    <mergeCell ref="D27:J28"/>
    <mergeCell ref="AG1:AH1"/>
    <mergeCell ref="T20:U20"/>
    <mergeCell ref="AA1:AB1"/>
    <mergeCell ref="G54:J54"/>
    <mergeCell ref="Q40:S40"/>
    <mergeCell ref="D42:J42"/>
    <mergeCell ref="Z52:AB52"/>
    <mergeCell ref="K32:AH32"/>
    <mergeCell ref="W31:AB31"/>
    <mergeCell ref="AB12:AD12"/>
    <mergeCell ref="Q31:V31"/>
    <mergeCell ref="L20:N20"/>
    <mergeCell ref="K57:N57"/>
    <mergeCell ref="C12:H12"/>
    <mergeCell ref="AE2:AE3"/>
    <mergeCell ref="V11:X11"/>
    <mergeCell ref="Q59:V59"/>
    <mergeCell ref="Y2:Y3"/>
    <mergeCell ref="C8:E10"/>
    <mergeCell ref="Q57:Z57"/>
    <mergeCell ref="D44:J44"/>
    <mergeCell ref="W27:Y27"/>
    <mergeCell ref="L22:N22"/>
    <mergeCell ref="AC31:AH31"/>
    <mergeCell ref="AG2:AG3"/>
    <mergeCell ref="D60:J60"/>
    <mergeCell ref="F7:AH7"/>
    <mergeCell ref="J36:N36"/>
    <mergeCell ref="W58:AB58"/>
    <mergeCell ref="AF40:AH40"/>
    <mergeCell ref="T14:W14"/>
    <mergeCell ref="N39:R39"/>
    <mergeCell ref="I9:M10"/>
    <mergeCell ref="AC18:AF18"/>
    <mergeCell ref="F35:AH35"/>
    <mergeCell ref="K2:O2"/>
    <mergeCell ref="G17:J21"/>
    <mergeCell ref="C41:C61"/>
    <mergeCell ref="Y11:AH11"/>
    <mergeCell ref="A34:B61"/>
    <mergeCell ref="Q29:Z29"/>
    <mergeCell ref="D61:J61"/>
    <mergeCell ref="X40:Z40"/>
    <mergeCell ref="K16:AH16"/>
    <mergeCell ref="Q28:AB28"/>
    <mergeCell ref="D30:J31"/>
    <mergeCell ref="C5:E5"/>
    <mergeCell ref="D45:F54"/>
    <mergeCell ref="AC20:AF20"/>
    <mergeCell ref="T18:U18"/>
    <mergeCell ref="S39:U39"/>
    <mergeCell ref="W30:AB30"/>
    <mergeCell ref="W55:Y55"/>
    <mergeCell ref="AG55:AH55"/>
  </mergeCells>
  <dataValidations count="15">
    <dataValidation sqref="K27:O28 K55:O56" showDropDown="0" showInputMessage="1" showErrorMessage="1" allowBlank="1" error="グループホーム及びケアホームの共同生活住居の利用定員は、原則として２名～９名です。" type="list" errorStyle="warning" imeMode="fullAlpha">
      <formula1>"　,２,３,４,５,６,７,８,９,１０,１１,１２,１３,１４,１５,１６,１７,１８,１９,２０"</formula1>
    </dataValidation>
    <dataValidation sqref="I39:M39" showDropDown="0" showInputMessage="1" showErrorMessage="1" allowBlank="1" type="list" imeMode="fullAlpha">
      <formula1>"　,５,１０,１５,２０,２５,３０"</formula1>
    </dataValidation>
    <dataValidation sqref="I11:M11" showDropDown="0" showInputMessage="1" showErrorMessage="1" allowBlank="1" type="list">
      <formula1>"　,５,１０,１５,２０,２５,３０"</formula1>
    </dataValidation>
    <dataValidation sqref="K54:AH54" showDropDown="0" showInputMessage="1" showErrorMessage="1" allowBlank="1" type="list" errorStyle="warning">
      <formula1>"　,法人の自己所有であるため。"</formula1>
    </dataValidation>
    <dataValidation sqref="L22:N22 L50:N50 X22:Z22 X50:Z50" showDropDown="0" showInputMessage="1" showErrorMessage="1" allowBlank="1" type="list" errorStyle="warning">
      <formula1>"　,平成１２,平成１３,平成１４,平成１５,平成１６,平成１７,平成１８,平成１９,平成２０,平成２１,平成２２"</formula1>
    </dataValidation>
    <dataValidation sqref="P18:S18 P20:S20 P46:S46 P48:S48 AC18:AF18 AC20:AF20 AC46:AF46 AC48:AF48" showDropDown="0" showInputMessage="1" showErrorMessage="1" allowBlank="1" prompt="半角数字で入力してください。区切記号（コンマ）は自動的に表示されますので、入力しないでください。" imeMode="halfAlpha"/>
    <dataValidation sqref="Z24:AB24 Z52:AB52" showDropDown="0" showInputMessage="1" showErrorMessage="1" allowBlank="1" type="list" errorStyle="warning">
      <formula1>"　,１,２,３,４,５"</formula1>
    </dataValidation>
    <dataValidation sqref="K31 K59 Q31 Q59 W31 W59 AC31 AC59" showDropDown="0" showInputMessage="1" showErrorMessage="1" allowBlank="1" type="list">
      <formula1>"　,○"</formula1>
    </dataValidation>
    <dataValidation sqref="M12:O12 M40:O40 Q12:S12 Q40:S40 AB12:AD12 AB40:AD40 AF12:AH12 AF40:AH40" showDropDown="0" showInputMessage="1" showErrorMessage="1" allowBlank="1" error="全角数字で入力してください" imeMode="fullAlpha"/>
    <dataValidation sqref="F4:AH4 F6:AH6 F34:AH34" showDropDown="0" showInputMessage="1" showErrorMessage="1" allowBlank="1" imeMode="halfKatakana"/>
    <dataValidation sqref="K26:AH26" showDropDown="0" showInputMessage="1" showErrorMessage="1" allowBlank="1" type="list" errorStyle="warning">
      <formula1>"　,共同生活援助に供する土地・建物が法人の自己所有であるため。"</formula1>
    </dataValidation>
    <dataValidation sqref="P22:Q22 P50:Q50 AB22:AC22 AB50:AC50" showDropDown="0" showInputMessage="1" showErrorMessage="1" allowBlank="1" type="list" imeMode="fullAlpha">
      <formula1>"　,４,５,６,７,８,９,１０,１１,１２,１,２,３"</formula1>
    </dataValidation>
    <dataValidation sqref="W27 W55 AD27:AF27 AD55:AF55" showDropDown="0" showInputMessage="1" showErrorMessage="1" allowBlank="1" error="グループホーム及びケアホームの共同生活住居の最低利用定員は２名です。" type="list" errorStyle="warning" imeMode="fullAlpha">
      <formula1>"　,２,３,４,５,６,７,８,９,１０,１１,１２,１３,１４,１５,１６"</formula1>
    </dataValidation>
    <dataValidation sqref="I12:K12 I40:K40 J8:N8 J36:N36 S22:T22 S39:U39 S50:T50 X12:Z12 X40:Z40 Y2:AH3 AC28:AD28 AC56:AD56 AE22:AF22 AE50:AF50" showDropDown="0" showInputMessage="1" showErrorMessage="1" allowBlank="1" imeMode="fullAlpha"/>
    <dataValidation sqref="K32:AH32 K60:AH60" showDropDown="0" showInputMessage="1" showErrorMessage="1" allowBlank="1" type="list" errorStyle="warning">
      <formula1>"　,法定代理受領分：厚生労働大臣が定める基準の10/100、法定代理受領分以外：厚生労働大臣が定める基準"</formula1>
    </dataValidation>
  </dataValidations>
  <pageMargins left="0.7086614173228347" right="0.5905511811023623" top="0.3937007874015748" bottom="0.3937007874015748" header="0.5118110236220472" footer="0.5118110236220472"/>
  <pageSetup orientation="portrait" paperSize="9" scale="95"/>
  <legacyDrawing xmlns:r="http://schemas.openxmlformats.org/officeDocument/2006/relationships" r:id="anysvml"/>
</worksheet>
</file>

<file path=xl/worksheets/sheet24.xml><?xml version="1.0" encoding="utf-8"?>
<worksheet xmlns="http://schemas.openxmlformats.org/spreadsheetml/2006/main">
  <sheetPr codeName="Sheet23">
    <outlinePr summaryBelow="1" summaryRight="1"/>
    <pageSetUpPr/>
  </sheetPr>
  <dimension ref="A1:AN61"/>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5"/>
    <col width="9" customWidth="1" style="1667" min="36" max="16384"/>
  </cols>
  <sheetData>
    <row r="1" ht="17.1" customHeight="1" s="4080" thickBot="1">
      <c r="A1" s="1213" t="inlineStr">
        <is>
          <t>付表１３（その２）</t>
        </is>
      </c>
      <c r="AA1" s="2082" t="inlineStr">
        <is>
          <t>１</t>
        </is>
      </c>
      <c r="AB1" s="4087" t="n"/>
      <c r="AC1" s="2345" t="inlineStr">
        <is>
          <t>枚／</t>
        </is>
      </c>
      <c r="AD1" s="4087" t="n"/>
      <c r="AE1" s="2082" t="inlineStr">
        <is>
          <t>１</t>
        </is>
      </c>
      <c r="AF1" s="4087" t="n"/>
      <c r="AG1" s="1755" t="inlineStr">
        <is>
          <t>枚</t>
        </is>
      </c>
      <c r="AH1" s="4087" t="n"/>
      <c r="AN1" s="719">
        <f>HYPERLINK("#目次!A1","目次へ戻る")</f>
        <v/>
      </c>
    </row>
    <row r="2" ht="15" customHeight="1" s="4080">
      <c r="B2" s="45" t="n"/>
      <c r="C2" s="45" t="n"/>
      <c r="E2" s="1889" t="n"/>
      <c r="J2" s="2069" t="n"/>
      <c r="K2" s="1889" t="n"/>
      <c r="P2" s="45" t="n"/>
      <c r="Q2" s="1889" t="n"/>
      <c r="R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8" customHeight="1" s="4080">
      <c r="A4" s="4650" t="inlineStr">
        <is>
          <t>主たる
事業所</t>
        </is>
      </c>
      <c r="B4" s="4356" t="n"/>
      <c r="C4" s="4180" t="inlineStr">
        <is>
          <t>ﾌﾘｶﾞﾅ</t>
        </is>
      </c>
      <c r="D4" s="4093" t="n"/>
      <c r="E4" s="4094" t="n"/>
      <c r="F4" s="4236" t="inlineStr">
        <is>
          <t>グループホームナカノシマ</t>
        </is>
      </c>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24" customHeight="1" s="4080" thickBot="1">
      <c r="A5" s="4086" t="n"/>
      <c r="B5" s="4410" t="n"/>
      <c r="C5" s="4268" t="inlineStr">
        <is>
          <t>名　称</t>
        </is>
      </c>
      <c r="D5" s="4098" t="n"/>
      <c r="E5" s="4099" t="n"/>
      <c r="F5" s="4670" t="inlineStr">
        <is>
          <t>グループホーム中之島</t>
        </is>
      </c>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8" customHeight="1" s="4080">
      <c r="A6" s="4652" t="inlineStr">
        <is>
          <t>共　同　生　活　住　居　（１）</t>
        </is>
      </c>
      <c r="B6" s="4356" t="n"/>
      <c r="C6" s="4180" t="inlineStr">
        <is>
          <t>ﾌﾘｶﾞﾅ</t>
        </is>
      </c>
      <c r="D6" s="4093" t="n"/>
      <c r="E6" s="4094" t="n"/>
      <c r="F6" s="4236" t="inlineStr">
        <is>
          <t>グループホームナカノシマ</t>
        </is>
      </c>
      <c r="G6" s="4093" t="n"/>
      <c r="H6" s="4093" t="n"/>
      <c r="I6" s="4093" t="n"/>
      <c r="J6" s="4093" t="n"/>
      <c r="K6" s="4093" t="n"/>
      <c r="L6" s="4093" t="n"/>
      <c r="M6" s="4093" t="n"/>
      <c r="N6" s="4093" t="n"/>
      <c r="O6" s="4093" t="n"/>
      <c r="P6" s="4093" t="n"/>
      <c r="Q6" s="4093" t="n"/>
      <c r="R6" s="4093" t="n"/>
      <c r="S6" s="4093" t="n"/>
      <c r="T6" s="4093" t="n"/>
      <c r="U6" s="4093" t="n"/>
      <c r="V6" s="4093" t="n"/>
      <c r="W6" s="4093" t="n"/>
      <c r="X6" s="4093" t="n"/>
      <c r="Y6" s="4093" t="n"/>
      <c r="Z6" s="4093" t="n"/>
      <c r="AA6" s="4093" t="n"/>
      <c r="AB6" s="4093" t="n"/>
      <c r="AC6" s="4093" t="n"/>
      <c r="AD6" s="4093" t="n"/>
      <c r="AE6" s="4093" t="n"/>
      <c r="AF6" s="4093" t="n"/>
      <c r="AG6" s="4093" t="n"/>
      <c r="AH6" s="4096" t="n"/>
    </row>
    <row r="7" ht="24" customHeight="1" s="4080">
      <c r="A7" s="4097" t="n"/>
      <c r="B7" s="4107" t="n"/>
      <c r="C7" s="4268" t="inlineStr">
        <is>
          <t>名　称</t>
        </is>
      </c>
      <c r="D7" s="4098" t="n"/>
      <c r="E7" s="4099" t="n"/>
      <c r="F7" s="4670" t="inlineStr">
        <is>
          <t>グループホーム中之島</t>
        </is>
      </c>
      <c r="G7" s="4098" t="n"/>
      <c r="H7" s="4098" t="n"/>
      <c r="I7" s="4098" t="n"/>
      <c r="J7" s="4098" t="n"/>
      <c r="K7" s="4098" t="n"/>
      <c r="L7" s="4098" t="n"/>
      <c r="M7" s="4098" t="n"/>
      <c r="N7" s="4098" t="n"/>
      <c r="O7" s="4098" t="n"/>
      <c r="P7" s="4098"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20.1" customHeight="1" s="4080">
      <c r="A8" s="4097" t="n"/>
      <c r="B8" s="4107" t="n"/>
      <c r="C8" s="4268" t="inlineStr">
        <is>
          <t>所在地</t>
        </is>
      </c>
      <c r="D8" s="4098" t="n"/>
      <c r="E8" s="4099" t="n"/>
      <c r="F8" s="1244" t="inlineStr">
        <is>
          <t>郵便番号（</t>
        </is>
      </c>
      <c r="G8" s="4098" t="n"/>
      <c r="H8" s="4098" t="n"/>
      <c r="I8" s="4098" t="n"/>
      <c r="J8" s="2094" t="inlineStr">
        <is>
          <t>５３０－８２０１</t>
        </is>
      </c>
      <c r="K8" s="4098" t="n"/>
      <c r="L8" s="4098" t="n"/>
      <c r="M8" s="4098" t="n"/>
      <c r="N8" s="4098" t="n"/>
      <c r="O8" s="1329" t="inlineStr">
        <is>
          <t>）</t>
        </is>
      </c>
      <c r="P8" s="4571" t="inlineStr">
        <is>
          <t>中之島１－３－２０</t>
        </is>
      </c>
      <c r="Q8" s="4098" t="n"/>
      <c r="R8" s="4098" t="n"/>
      <c r="S8" s="4098" t="n"/>
      <c r="T8" s="4098" t="n"/>
      <c r="U8" s="4098" t="n"/>
      <c r="V8" s="4098" t="n"/>
      <c r="W8" s="4098" t="n"/>
      <c r="X8" s="4098" t="n"/>
      <c r="Y8" s="4098" t="n"/>
      <c r="Z8" s="4098" t="n"/>
      <c r="AA8" s="4098" t="n"/>
      <c r="AB8" s="4098" t="n"/>
      <c r="AC8" s="4098" t="n"/>
      <c r="AD8" s="4098" t="n"/>
      <c r="AE8" s="4098" t="n"/>
      <c r="AF8" s="4098" t="n"/>
      <c r="AG8" s="4098" t="n"/>
      <c r="AH8" s="4101" t="n"/>
    </row>
    <row r="9" ht="18" customHeight="1" s="4080">
      <c r="A9" s="4097" t="n"/>
      <c r="B9" s="4107" t="n"/>
      <c r="C9" s="4106" t="n"/>
      <c r="E9" s="4107" t="n"/>
      <c r="F9" s="1255" t="inlineStr">
        <is>
          <t>大阪市</t>
        </is>
      </c>
      <c r="I9" s="2575" t="inlineStr">
        <is>
          <t>北</t>
        </is>
      </c>
      <c r="N9" s="1260" t="inlineStr">
        <is>
          <t>区</t>
        </is>
      </c>
      <c r="AH9" s="4109" t="n"/>
    </row>
    <row r="10" ht="3" customHeight="1" s="4080">
      <c r="A10" s="4097" t="n"/>
      <c r="B10" s="4107" t="n"/>
      <c r="C10" s="4106" t="n"/>
      <c r="E10" s="4107" t="n"/>
      <c r="F10" s="4102" t="n"/>
      <c r="G10" s="4103" t="n"/>
      <c r="H10" s="4103" t="n"/>
      <c r="I10" s="4103" t="n"/>
      <c r="J10" s="4103" t="n"/>
      <c r="K10" s="4103" t="n"/>
      <c r="L10" s="4103" t="n"/>
      <c r="M10" s="4103" t="n"/>
      <c r="N10" s="4103" t="n"/>
      <c r="O10" s="4103" t="n"/>
      <c r="P10" s="4103" t="n"/>
      <c r="Q10" s="4103" t="n"/>
      <c r="R10" s="4103" t="n"/>
      <c r="S10" s="4103" t="n"/>
      <c r="T10" s="4103" t="n"/>
      <c r="U10" s="4103" t="n"/>
      <c r="V10" s="4103" t="n"/>
      <c r="W10" s="4103" t="n"/>
      <c r="X10" s="4103" t="n"/>
      <c r="Y10" s="4103" t="n"/>
      <c r="Z10" s="4103" t="n"/>
      <c r="AA10" s="4103" t="n"/>
      <c r="AB10" s="4103" t="n"/>
      <c r="AC10" s="4103" t="n"/>
      <c r="AD10" s="4103" t="n"/>
      <c r="AE10" s="4103" t="n"/>
      <c r="AF10" s="4103" t="n"/>
      <c r="AG10" s="4103" t="n"/>
      <c r="AH10" s="4105" t="n"/>
    </row>
    <row r="11" ht="24" customHeight="1" s="4080">
      <c r="A11" s="4097" t="n"/>
      <c r="B11" s="4107" t="n"/>
      <c r="C11" s="4628" t="inlineStr">
        <is>
          <t>主たる事業所からの
移動に要する時間等</t>
        </is>
      </c>
      <c r="D11" s="4110" t="n"/>
      <c r="E11" s="4110" t="n"/>
      <c r="F11" s="4110" t="n"/>
      <c r="G11" s="4110" t="n"/>
      <c r="H11" s="4111" t="n"/>
      <c r="I11" s="2799" t="n"/>
      <c r="J11" s="4110" t="n"/>
      <c r="K11" s="4110" t="n"/>
      <c r="L11" s="4110" t="n"/>
      <c r="M11" s="4110" t="n"/>
      <c r="N11" s="2801" t="inlineStr">
        <is>
          <t>分以内（約</t>
        </is>
      </c>
      <c r="O11" s="4110" t="n"/>
      <c r="P11" s="4110" t="n"/>
      <c r="Q11" s="4110" t="n"/>
      <c r="R11" s="4110" t="n"/>
      <c r="S11" s="2802" t="n"/>
      <c r="T11" s="4110" t="n"/>
      <c r="U11" s="4110" t="n"/>
      <c r="V11" s="2805" t="inlineStr">
        <is>
          <t>ｋｍ）</t>
        </is>
      </c>
      <c r="W11" s="4110" t="n"/>
      <c r="X11" s="4110" t="n"/>
      <c r="Y11" s="4671" t="n"/>
      <c r="Z11" s="4110" t="n"/>
      <c r="AA11" s="4110" t="n"/>
      <c r="AB11" s="4110" t="n"/>
      <c r="AC11" s="4110" t="n"/>
      <c r="AD11" s="4110" t="n"/>
      <c r="AE11" s="4110" t="n"/>
      <c r="AF11" s="4110" t="n"/>
      <c r="AG11" s="4110" t="n"/>
      <c r="AH11" s="4113" t="n"/>
    </row>
    <row r="12" ht="20.1" customHeight="1" s="4080">
      <c r="A12" s="4097" t="n"/>
      <c r="B12" s="4107" t="n"/>
      <c r="C12" s="4181" t="inlineStr">
        <is>
          <t>連絡先電話番号</t>
        </is>
      </c>
      <c r="D12" s="4110" t="n"/>
      <c r="E12" s="4110" t="n"/>
      <c r="F12" s="4110" t="n"/>
      <c r="G12" s="4110" t="n"/>
      <c r="H12" s="4111" t="n"/>
      <c r="I12" s="1479" t="inlineStr">
        <is>
          <t>０６</t>
        </is>
      </c>
      <c r="J12" s="4110" t="n"/>
      <c r="K12" s="4110" t="n"/>
      <c r="L12" s="53" t="inlineStr">
        <is>
          <t>－</t>
        </is>
      </c>
      <c r="M12" s="1150" t="inlineStr">
        <is>
          <t>６２４１</t>
        </is>
      </c>
      <c r="N12" s="4110" t="n"/>
      <c r="O12" s="4110" t="n"/>
      <c r="P12" s="53" t="inlineStr">
        <is>
          <t>－</t>
        </is>
      </c>
      <c r="Q12" s="1482" t="inlineStr">
        <is>
          <t>６５２０</t>
        </is>
      </c>
      <c r="R12" s="4110" t="n"/>
      <c r="S12" s="4111" t="n"/>
      <c r="T12" s="4184" t="inlineStr">
        <is>
          <t>ＦＡＸ番号</t>
        </is>
      </c>
      <c r="U12" s="4110" t="n"/>
      <c r="V12" s="4110" t="n"/>
      <c r="W12" s="4111" t="n"/>
      <c r="X12" s="1479" t="inlineStr">
        <is>
          <t>０６</t>
        </is>
      </c>
      <c r="Y12" s="4110" t="n"/>
      <c r="Z12" s="4110" t="n"/>
      <c r="AA12" s="53" t="inlineStr">
        <is>
          <t>－</t>
        </is>
      </c>
      <c r="AB12" s="1150" t="inlineStr">
        <is>
          <t>６２４１</t>
        </is>
      </c>
      <c r="AC12" s="4110" t="n"/>
      <c r="AD12" s="4110" t="n"/>
      <c r="AE12" s="53" t="inlineStr">
        <is>
          <t>－</t>
        </is>
      </c>
      <c r="AF12" s="1483" t="inlineStr">
        <is>
          <t>６６０８</t>
        </is>
      </c>
      <c r="AG12" s="4110" t="n"/>
      <c r="AH12" s="4113" t="n"/>
    </row>
    <row r="13" ht="3" customHeight="1" s="4080">
      <c r="A13" s="4097" t="n"/>
      <c r="B13" s="4107" t="n"/>
      <c r="C13" s="2850" t="inlineStr">
        <is>
          <t>建　物　の　形　態</t>
        </is>
      </c>
      <c r="D13" s="1432" t="n"/>
      <c r="E13" s="1432" t="n"/>
      <c r="F13" s="1432" t="n"/>
      <c r="G13" s="1432" t="n"/>
      <c r="H13" s="1432" t="n"/>
      <c r="I13" s="1432" t="n"/>
      <c r="J13" s="1857" t="n"/>
      <c r="K13" s="403" t="n"/>
      <c r="L13" s="1290" t="n"/>
      <c r="M13" s="1290" t="n"/>
      <c r="N13" s="1290" t="n"/>
      <c r="O13" s="1290" t="n"/>
      <c r="P13" s="1290" t="n"/>
      <c r="Q13" s="1290" t="n"/>
      <c r="R13" s="1325" t="n"/>
      <c r="AB13" s="933" t="n"/>
      <c r="AC13" s="1443" t="inlineStr">
        <is>
          <t>府営住宅</t>
        </is>
      </c>
      <c r="AD13" s="4098" t="n"/>
      <c r="AE13" s="4098" t="n"/>
      <c r="AF13" s="4098" t="n"/>
      <c r="AG13" s="4098" t="n"/>
      <c r="AH13" s="1668" t="n"/>
    </row>
    <row r="14" ht="15.95" customHeight="1" s="4080">
      <c r="A14" s="4097" t="n"/>
      <c r="B14" s="4107" t="n"/>
      <c r="C14" s="4122" t="n"/>
      <c r="D14" s="4654" t="inlineStr">
        <is>
          <t>住居区分</t>
        </is>
      </c>
      <c r="J14" s="4107" t="n"/>
      <c r="K14" s="404" t="n"/>
      <c r="L14" s="1889" t="inlineStr">
        <is>
          <t>一戸建て</t>
        </is>
      </c>
      <c r="O14" s="2069" t="inlineStr">
        <is>
          <t>・</t>
        </is>
      </c>
      <c r="P14" s="1889" t="inlineStr">
        <is>
          <t>アパート</t>
        </is>
      </c>
      <c r="S14" s="2069" t="inlineStr">
        <is>
          <t>・</t>
        </is>
      </c>
      <c r="T14" s="1889" t="inlineStr">
        <is>
          <t>マンション</t>
        </is>
      </c>
      <c r="X14" s="2069" t="inlineStr">
        <is>
          <t>・</t>
        </is>
      </c>
      <c r="Y14" s="4433" t="inlineStr">
        <is>
          <t>その他</t>
        </is>
      </c>
      <c r="Z14" s="4265" t="n"/>
      <c r="AA14" s="4266" t="n"/>
      <c r="AB14" s="936" t="inlineStr">
        <is>
          <t>（</t>
        </is>
      </c>
      <c r="AH14" s="1668" t="inlineStr">
        <is>
          <t>）</t>
        </is>
      </c>
    </row>
    <row r="15" ht="3" customHeight="1" s="4080">
      <c r="A15" s="4097" t="n"/>
      <c r="B15" s="4107" t="n"/>
      <c r="C15" s="4122" t="n"/>
      <c r="D15" s="1290" t="n"/>
      <c r="E15" s="1290" t="n"/>
      <c r="F15" s="1290" t="n"/>
      <c r="G15" s="1290" t="n"/>
      <c r="H15" s="1290" t="n"/>
      <c r="I15" s="1290" t="n"/>
      <c r="J15" s="1291" t="n"/>
      <c r="K15" s="1889" t="n"/>
      <c r="L15" s="1889" t="n"/>
      <c r="M15" s="1889" t="n"/>
      <c r="O15" s="1889" t="n"/>
      <c r="P15" s="1889" t="n"/>
      <c r="Q15" s="1889" t="n"/>
      <c r="S15" s="1889" t="n"/>
      <c r="T15" s="1889" t="n"/>
      <c r="U15" s="1889" t="n"/>
      <c r="V15" s="1889" t="n"/>
      <c r="X15" s="1889" t="n"/>
      <c r="Y15" s="1889" t="n"/>
      <c r="Z15" s="1889" t="n"/>
      <c r="AB15" s="939" t="n"/>
      <c r="AC15" s="4103" t="n"/>
      <c r="AD15" s="4103" t="n"/>
      <c r="AE15" s="4103" t="n"/>
      <c r="AF15" s="4103" t="n"/>
      <c r="AG15" s="4103" t="n"/>
      <c r="AH15" s="1668" t="n"/>
    </row>
    <row r="16" ht="20.1" customHeight="1" s="4080">
      <c r="A16" s="4097" t="n"/>
      <c r="B16" s="4107" t="n"/>
      <c r="C16" s="4122" t="n"/>
      <c r="D16" s="4184" t="inlineStr">
        <is>
          <t>建物所有者名</t>
        </is>
      </c>
      <c r="E16" s="4110" t="n"/>
      <c r="F16" s="4110" t="n"/>
      <c r="G16" s="4110" t="n"/>
      <c r="H16" s="4110" t="n"/>
      <c r="I16" s="4110" t="n"/>
      <c r="J16" s="4111" t="n"/>
      <c r="K16" s="4672" t="inlineStr">
        <is>
          <t>大阪府</t>
        </is>
      </c>
      <c r="L16" s="4110" t="n"/>
      <c r="M16" s="4110" t="n"/>
      <c r="N16" s="4110" t="n"/>
      <c r="O16" s="4110" t="n"/>
      <c r="P16" s="4110" t="n"/>
      <c r="Q16" s="4110" t="n"/>
      <c r="R16" s="4110" t="n"/>
      <c r="S16" s="4110" t="n"/>
      <c r="T16" s="4110" t="n"/>
      <c r="U16" s="4110" t="n"/>
      <c r="V16" s="4110" t="n"/>
      <c r="W16" s="4110" t="n"/>
      <c r="X16" s="4110" t="n"/>
      <c r="Y16" s="4110" t="n"/>
      <c r="Z16" s="4110" t="n"/>
      <c r="AA16" s="4110" t="n"/>
      <c r="AB16" s="4110" t="n"/>
      <c r="AC16" s="4110" t="n"/>
      <c r="AD16" s="4110" t="n"/>
      <c r="AE16" s="4110" t="n"/>
      <c r="AF16" s="4110" t="n"/>
      <c r="AG16" s="4110" t="n"/>
      <c r="AH16" s="4113" t="n"/>
    </row>
    <row r="17" ht="3" customHeight="1" s="4080">
      <c r="A17" s="4097" t="n"/>
      <c r="B17" s="4107" t="n"/>
      <c r="C17" s="4122" t="n"/>
      <c r="D17" s="4184" t="inlineStr">
        <is>
          <t>賃貸借契約の内容</t>
        </is>
      </c>
      <c r="E17" s="4098" t="n"/>
      <c r="F17" s="4099" t="n"/>
      <c r="G17" s="4274" t="inlineStr">
        <is>
          <t>敷金・家賃等</t>
        </is>
      </c>
      <c r="H17" s="4098" t="n"/>
      <c r="I17" s="4098" t="n"/>
      <c r="J17" s="4099" t="n"/>
      <c r="K17" s="403" t="n"/>
      <c r="L17" s="1290" t="n"/>
      <c r="M17" s="1290" t="n"/>
      <c r="N17" s="1290" t="n"/>
      <c r="O17" s="1290" t="n"/>
      <c r="P17" s="1290" t="n"/>
      <c r="Q17" s="1290" t="n"/>
      <c r="R17" s="1325" t="n"/>
      <c r="AB17" s="406" t="n"/>
      <c r="AC17" s="406" t="n"/>
      <c r="AD17" s="406" t="n"/>
      <c r="AE17" s="406" t="n"/>
      <c r="AF17" s="406" t="n"/>
      <c r="AG17" s="406" t="n"/>
      <c r="AH17" s="1668" t="n"/>
    </row>
    <row r="18" ht="15.95" customHeight="1" s="4080">
      <c r="A18" s="4097" t="n"/>
      <c r="B18" s="4107" t="n"/>
      <c r="C18" s="4122" t="n"/>
      <c r="D18" s="4106" t="n"/>
      <c r="F18" s="4107" t="n"/>
      <c r="G18" s="4106" t="n"/>
      <c r="J18" s="4107" t="n"/>
      <c r="K18" s="1354" t="inlineStr">
        <is>
          <t>ア</t>
        </is>
      </c>
      <c r="L18" s="4609" t="inlineStr">
        <is>
          <t>敷金</t>
        </is>
      </c>
      <c r="M18" s="4265" t="n"/>
      <c r="N18" s="4266" t="n"/>
      <c r="O18" s="407" t="inlineStr">
        <is>
          <t>（</t>
        </is>
      </c>
      <c r="P18" s="4673" t="n">
        <v>300000</v>
      </c>
      <c r="Q18" s="4657" t="n"/>
      <c r="R18" s="4657" t="n"/>
      <c r="S18" s="4657" t="n"/>
      <c r="T18" s="2813" t="inlineStr">
        <is>
          <t>）円</t>
        </is>
      </c>
      <c r="U18" s="4657" t="n"/>
      <c r="W18" s="1355" t="inlineStr">
        <is>
          <t>イ</t>
        </is>
      </c>
      <c r="X18" s="1290" t="inlineStr">
        <is>
          <t>保証金</t>
        </is>
      </c>
      <c r="AB18" s="407" t="inlineStr">
        <is>
          <t>（</t>
        </is>
      </c>
      <c r="AC18" s="4656" t="n"/>
      <c r="AD18" s="4657" t="n"/>
      <c r="AE18" s="4657" t="n"/>
      <c r="AF18" s="4657" t="n"/>
      <c r="AG18" s="2810" t="inlineStr">
        <is>
          <t>）円</t>
        </is>
      </c>
      <c r="AH18" s="4658" t="n"/>
    </row>
    <row r="19" ht="3" customHeight="1" s="4080">
      <c r="A19" s="4097" t="n"/>
      <c r="B19" s="4107" t="n"/>
      <c r="C19" s="4122" t="n"/>
      <c r="D19" s="4106" t="n"/>
      <c r="F19" s="4107" t="n"/>
      <c r="G19" s="4106" t="n"/>
      <c r="J19" s="4107" t="n"/>
      <c r="K19" s="403" t="n"/>
      <c r="L19" s="1290" t="n"/>
      <c r="M19" s="1290" t="n"/>
      <c r="N19" s="1290" t="n"/>
      <c r="O19" s="1290" t="n"/>
      <c r="P19" s="1290" t="n"/>
      <c r="Q19" s="1290" t="n"/>
      <c r="R19" s="1325" t="n"/>
      <c r="AB19" s="408" t="n"/>
      <c r="AC19" s="408" t="n"/>
      <c r="AD19" s="408" t="n"/>
      <c r="AE19" s="408" t="n"/>
      <c r="AF19" s="408" t="n"/>
      <c r="AG19" s="408" t="n"/>
      <c r="AH19" s="1668" t="n"/>
    </row>
    <row r="20" ht="15.95" customHeight="1" s="4080">
      <c r="A20" s="4097" t="n"/>
      <c r="B20" s="4107" t="n"/>
      <c r="C20" s="4122" t="n"/>
      <c r="D20" s="4106" t="n"/>
      <c r="F20" s="4107" t="n"/>
      <c r="G20" s="4106" t="n"/>
      <c r="J20" s="4107" t="n"/>
      <c r="K20" s="1354" t="inlineStr">
        <is>
          <t>ウ</t>
        </is>
      </c>
      <c r="L20" s="1290" t="inlineStr">
        <is>
          <t>礼金</t>
        </is>
      </c>
      <c r="O20" s="45" t="inlineStr">
        <is>
          <t>（</t>
        </is>
      </c>
      <c r="P20" s="4656" t="n"/>
      <c r="Q20" s="4657" t="n"/>
      <c r="R20" s="4657" t="n"/>
      <c r="S20" s="4657" t="n"/>
      <c r="T20" s="1658" t="inlineStr">
        <is>
          <t>）円</t>
        </is>
      </c>
      <c r="V20" s="409" t="n"/>
      <c r="W20" s="1355" t="inlineStr">
        <is>
          <t>エ</t>
        </is>
      </c>
      <c r="X20" s="1290" t="inlineStr">
        <is>
          <t>家賃(月額)</t>
        </is>
      </c>
      <c r="AB20" s="407" t="inlineStr">
        <is>
          <t>（</t>
        </is>
      </c>
      <c r="AC20" s="4673" t="n">
        <v>60000</v>
      </c>
      <c r="AD20" s="4657" t="n"/>
      <c r="AE20" s="4657" t="n"/>
      <c r="AF20" s="4657" t="n"/>
      <c r="AG20" s="2810" t="inlineStr">
        <is>
          <t>）円</t>
        </is>
      </c>
      <c r="AH20" s="4658" t="n"/>
    </row>
    <row r="21" ht="3" customHeight="1" s="4080">
      <c r="A21" s="4097" t="n"/>
      <c r="B21" s="4107" t="n"/>
      <c r="C21" s="4122" t="n"/>
      <c r="D21" s="4106" t="n"/>
      <c r="F21" s="4107" t="n"/>
      <c r="G21" s="4102" t="n"/>
      <c r="H21" s="4103" t="n"/>
      <c r="I21" s="4103" t="n"/>
      <c r="J21" s="4104" t="n"/>
      <c r="K21" s="403" t="n"/>
      <c r="L21" s="1290" t="n"/>
      <c r="M21" s="1290" t="n"/>
      <c r="N21" s="1290" t="n"/>
      <c r="O21" s="1290" t="n"/>
      <c r="P21" s="1290" t="n"/>
      <c r="Q21" s="1290" t="n"/>
      <c r="R21" s="1325" t="n"/>
      <c r="AB21" s="408" t="n"/>
      <c r="AC21" s="408" t="n"/>
      <c r="AD21" s="408" t="n"/>
      <c r="AE21" s="408" t="n"/>
      <c r="AF21" s="408" t="n"/>
      <c r="AG21" s="408" t="n"/>
      <c r="AH21" s="1668" t="n"/>
    </row>
    <row r="22" ht="18" customHeight="1" s="4080">
      <c r="A22" s="4097" t="n"/>
      <c r="B22" s="4107" t="n"/>
      <c r="C22" s="4122" t="n"/>
      <c r="D22" s="4106" t="n"/>
      <c r="F22" s="4107" t="n"/>
      <c r="G22" s="1265" t="inlineStr">
        <is>
          <t>契約期間</t>
        </is>
      </c>
      <c r="H22" s="4098" t="n"/>
      <c r="I22" s="4098" t="n"/>
      <c r="J22" s="4099" t="n"/>
      <c r="K22" s="336" t="n"/>
      <c r="L22" s="2864" t="inlineStr">
        <is>
          <t>平成２４</t>
        </is>
      </c>
      <c r="M22" s="4486" t="n"/>
      <c r="N22" s="4486" t="n"/>
      <c r="O22" s="1245" t="inlineStr">
        <is>
          <t>年</t>
        </is>
      </c>
      <c r="P22" s="1153" t="inlineStr">
        <is>
          <t>４</t>
        </is>
      </c>
      <c r="Q22" s="4098" t="n"/>
      <c r="R22" s="108" t="inlineStr">
        <is>
          <t>月</t>
        </is>
      </c>
      <c r="S22" s="2864" t="inlineStr">
        <is>
          <t>１</t>
        </is>
      </c>
      <c r="T22" s="4486" t="n"/>
      <c r="U22" s="2826" t="inlineStr">
        <is>
          <t>日～</t>
        </is>
      </c>
      <c r="V22" s="4486" t="n"/>
      <c r="W22" s="4486" t="n"/>
      <c r="X22" s="2864" t="inlineStr">
        <is>
          <t>平成２６</t>
        </is>
      </c>
      <c r="Y22" s="4486" t="n"/>
      <c r="Z22" s="4486" t="n"/>
      <c r="AA22" s="108" t="inlineStr">
        <is>
          <t>年</t>
        </is>
      </c>
      <c r="AB22" s="1153" t="inlineStr">
        <is>
          <t>３</t>
        </is>
      </c>
      <c r="AC22" s="4098" t="n"/>
      <c r="AD22" s="1329" t="inlineStr">
        <is>
          <t>月</t>
        </is>
      </c>
      <c r="AE22" s="1153" t="inlineStr">
        <is>
          <t>３１</t>
        </is>
      </c>
      <c r="AF22" s="4098" t="n"/>
      <c r="AG22" s="1329" t="inlineStr">
        <is>
          <t>日</t>
        </is>
      </c>
      <c r="AH22" s="411" t="n"/>
    </row>
    <row r="23" ht="3" customHeight="1" s="4080">
      <c r="A23" s="4097" t="n"/>
      <c r="B23" s="4107" t="n"/>
      <c r="C23" s="4122" t="n"/>
      <c r="D23" s="4106" t="n"/>
      <c r="F23" s="4107" t="n"/>
      <c r="J23" s="4107" t="n"/>
      <c r="K23" s="4659" t="inlineStr">
        <is>
          <t>契約の自動更新条項の有無</t>
        </is>
      </c>
      <c r="L23" s="4320" t="n"/>
      <c r="M23" s="4320" t="n"/>
      <c r="N23" s="4320" t="n"/>
      <c r="O23" s="4320" t="n"/>
      <c r="P23" s="4320" t="n"/>
      <c r="Q23" s="4320" t="n"/>
      <c r="R23" s="4320" t="n"/>
      <c r="S23" s="4320" t="n"/>
      <c r="T23" s="4320" t="n"/>
      <c r="U23" s="4320" t="n"/>
      <c r="V23" s="4321" t="n"/>
      <c r="W23" s="412" t="n"/>
      <c r="X23" s="412" t="n"/>
      <c r="Y23" s="412" t="n"/>
      <c r="Z23" s="412" t="n"/>
      <c r="AA23" s="412" t="n"/>
      <c r="AB23" s="412" t="n"/>
      <c r="AC23" s="412" t="n"/>
      <c r="AD23" s="412" t="n"/>
      <c r="AE23" s="412" t="n"/>
      <c r="AF23" s="412" t="n"/>
      <c r="AG23" s="412" t="n"/>
      <c r="AH23" s="413" t="n"/>
    </row>
    <row r="24" ht="15.95" customHeight="1" s="4080">
      <c r="A24" s="4097" t="n"/>
      <c r="B24" s="4107" t="n"/>
      <c r="C24" s="4122" t="n"/>
      <c r="D24" s="4106" t="n"/>
      <c r="F24" s="4107" t="n"/>
      <c r="J24" s="4107" t="n"/>
      <c r="K24" s="4106" t="n"/>
      <c r="V24" s="4107" t="n"/>
      <c r="W24" s="414" t="n"/>
      <c r="X24" s="1325" t="inlineStr">
        <is>
          <t>有</t>
        </is>
      </c>
      <c r="Y24" s="1325" t="inlineStr">
        <is>
          <t>（</t>
        </is>
      </c>
      <c r="Z24" s="1538" t="n"/>
      <c r="AC24" s="1355" t="inlineStr">
        <is>
          <t>年ごと）・</t>
        </is>
      </c>
      <c r="AG24" s="80" t="inlineStr">
        <is>
          <t>無</t>
        </is>
      </c>
      <c r="AH24" s="415" t="n"/>
    </row>
    <row r="25" ht="3" customHeight="1" s="4080">
      <c r="A25" s="4097" t="n"/>
      <c r="B25" s="4107" t="n"/>
      <c r="C25" s="4122" t="n"/>
      <c r="D25" s="4106" t="n"/>
      <c r="F25" s="4107" t="n"/>
      <c r="G25" s="4103" t="n"/>
      <c r="H25" s="4103" t="n"/>
      <c r="I25" s="4103" t="n"/>
      <c r="J25" s="4104" t="n"/>
      <c r="K25" s="4102" t="n"/>
      <c r="L25" s="4103" t="n"/>
      <c r="M25" s="4103" t="n"/>
      <c r="N25" s="4103" t="n"/>
      <c r="O25" s="4103" t="n"/>
      <c r="P25" s="4103" t="n"/>
      <c r="Q25" s="4103" t="n"/>
      <c r="R25" s="4103" t="n"/>
      <c r="S25" s="4103" t="n"/>
      <c r="T25" s="4103" t="n"/>
      <c r="U25" s="4103" t="n"/>
      <c r="V25" s="4104" t="n"/>
      <c r="W25" s="416" t="n"/>
      <c r="X25" s="416" t="n"/>
      <c r="Y25" s="416" t="n"/>
      <c r="Z25" s="416" t="n"/>
      <c r="AA25" s="416" t="n"/>
      <c r="AB25" s="416" t="n"/>
      <c r="AC25" s="416" t="n"/>
      <c r="AD25" s="416" t="n"/>
      <c r="AE25" s="416" t="n"/>
      <c r="AF25" s="416" t="n"/>
      <c r="AG25" s="416" t="n"/>
      <c r="AH25" s="417" t="n"/>
    </row>
    <row r="26" ht="20.1" customHeight="1" s="4080">
      <c r="A26" s="4097" t="n"/>
      <c r="B26" s="4107" t="n"/>
      <c r="C26" s="4122" t="n"/>
      <c r="D26" s="4102" t="n"/>
      <c r="E26" s="4103" t="n"/>
      <c r="F26" s="4104" t="n"/>
      <c r="G26" s="2824" t="inlineStr">
        <is>
          <t>賃貸料がない
場合の理由</t>
        </is>
      </c>
      <c r="H26" s="4110" t="n"/>
      <c r="I26" s="4110" t="n"/>
      <c r="J26" s="4111" t="n"/>
      <c r="K26" s="4230" t="n"/>
      <c r="L26" s="4110" t="n"/>
      <c r="M26" s="4110" t="n"/>
      <c r="N26" s="4110" t="n"/>
      <c r="O26" s="4110" t="n"/>
      <c r="P26" s="4110" t="n"/>
      <c r="Q26" s="4110" t="n"/>
      <c r="R26" s="4110" t="n"/>
      <c r="S26" s="4110" t="n"/>
      <c r="T26" s="4110" t="n"/>
      <c r="U26" s="4110" t="n"/>
      <c r="V26" s="4110" t="n"/>
      <c r="W26" s="4110" t="n"/>
      <c r="X26" s="4110" t="n"/>
      <c r="Y26" s="4110" t="n"/>
      <c r="Z26" s="4110" t="n"/>
      <c r="AA26" s="4110" t="n"/>
      <c r="AB26" s="4110" t="n"/>
      <c r="AC26" s="4110" t="n"/>
      <c r="AD26" s="4110" t="n"/>
      <c r="AE26" s="4110" t="n"/>
      <c r="AF26" s="4110" t="n"/>
      <c r="AG26" s="4110" t="n"/>
      <c r="AH26" s="4113" t="n"/>
    </row>
    <row r="27" ht="15" customHeight="1" s="4080">
      <c r="A27" s="4097" t="n"/>
      <c r="B27" s="4107" t="n"/>
      <c r="C27" s="4122" t="n"/>
      <c r="D27" s="4184" t="inlineStr">
        <is>
          <t>住居の利用定員</t>
        </is>
      </c>
      <c r="E27" s="4098" t="n"/>
      <c r="F27" s="4098" t="n"/>
      <c r="G27" s="4098" t="n"/>
      <c r="H27" s="4098" t="n"/>
      <c r="I27" s="4098" t="n"/>
      <c r="J27" s="4099" t="n"/>
      <c r="K27" s="1728" t="inlineStr">
        <is>
          <t>５</t>
        </is>
      </c>
      <c r="L27" s="4098" t="n"/>
      <c r="M27" s="4098" t="n"/>
      <c r="N27" s="4098" t="n"/>
      <c r="O27" s="4098" t="n"/>
      <c r="P27" s="4660" t="inlineStr">
        <is>
          <t>人</t>
        </is>
      </c>
      <c r="Q27" s="4184" t="inlineStr">
        <is>
          <t>居室数</t>
        </is>
      </c>
      <c r="R27" s="4110" t="n"/>
      <c r="S27" s="4110" t="n"/>
      <c r="T27" s="4110" t="n"/>
      <c r="U27" s="4110" t="n"/>
      <c r="V27" s="4111" t="n"/>
      <c r="W27" s="1479" t="inlineStr">
        <is>
          <t>５</t>
        </is>
      </c>
      <c r="X27" s="4110" t="n"/>
      <c r="Y27" s="4110" t="n"/>
      <c r="Z27" s="1261" t="inlineStr">
        <is>
          <t>室（うち個室</t>
        </is>
      </c>
      <c r="AA27" s="4110" t="n"/>
      <c r="AB27" s="4110" t="n"/>
      <c r="AC27" s="4110" t="n"/>
      <c r="AD27" s="1480" t="inlineStr">
        <is>
          <t>５</t>
        </is>
      </c>
      <c r="AE27" s="4110" t="n"/>
      <c r="AF27" s="4110" t="n"/>
      <c r="AG27" s="2827" t="inlineStr">
        <is>
          <t>室 ）</t>
        </is>
      </c>
      <c r="AH27" s="4113" t="n"/>
    </row>
    <row r="28" ht="15" customHeight="1" s="4080">
      <c r="A28" s="4097" t="n"/>
      <c r="B28" s="4107" t="n"/>
      <c r="C28" s="4122" t="n"/>
      <c r="D28" s="4102" t="n"/>
      <c r="E28" s="4103" t="n"/>
      <c r="F28" s="4103" t="n"/>
      <c r="G28" s="4103" t="n"/>
      <c r="H28" s="4103" t="n"/>
      <c r="I28" s="4103" t="n"/>
      <c r="J28" s="4104" t="n"/>
      <c r="K28" s="4102" t="n"/>
      <c r="L28" s="4103" t="n"/>
      <c r="M28" s="4103" t="n"/>
      <c r="N28" s="4103" t="n"/>
      <c r="O28" s="4103" t="n"/>
      <c r="P28" s="4104" t="n"/>
      <c r="Q28" s="4274" t="inlineStr">
        <is>
          <t>入居者１人当たりの居室の最小床面積</t>
        </is>
      </c>
      <c r="R28" s="4110" t="n"/>
      <c r="S28" s="4110" t="n"/>
      <c r="T28" s="4110" t="n"/>
      <c r="U28" s="4110" t="n"/>
      <c r="V28" s="4110" t="n"/>
      <c r="W28" s="4110" t="n"/>
      <c r="X28" s="4110" t="n"/>
      <c r="Y28" s="4110" t="n"/>
      <c r="Z28" s="4110" t="n"/>
      <c r="AA28" s="4110" t="n"/>
      <c r="AB28" s="4111" t="n"/>
      <c r="AC28" s="4674" t="n">
        <v>7.43</v>
      </c>
      <c r="AD28" s="4110" t="n"/>
      <c r="AE28" s="4110" t="n"/>
      <c r="AF28" s="4110" t="n"/>
      <c r="AG28" s="4110" t="n"/>
      <c r="AH28" s="2827" t="inlineStr">
        <is>
          <t>㎡</t>
        </is>
      </c>
    </row>
    <row r="29" ht="30" customHeight="1" s="4080">
      <c r="A29" s="4097" t="n"/>
      <c r="B29" s="4107" t="n"/>
      <c r="C29" s="4122" t="n"/>
      <c r="D29" s="4662" t="inlineStr">
        <is>
          <t>一体的に運営する
サテライト型住居</t>
        </is>
      </c>
      <c r="E29" s="4098" t="n"/>
      <c r="F29" s="4098" t="n"/>
      <c r="G29" s="4098" t="n"/>
      <c r="H29" s="4098" t="n"/>
      <c r="I29" s="4098" t="n"/>
      <c r="J29" s="4099" t="n"/>
      <c r="K29" s="2867" t="inlineStr">
        <is>
          <t>１</t>
        </is>
      </c>
      <c r="L29" s="4110" t="n"/>
      <c r="M29" s="4110" t="n"/>
      <c r="N29" s="4110" t="n"/>
      <c r="O29" s="1394" t="inlineStr">
        <is>
          <t>か所</t>
        </is>
      </c>
      <c r="P29" s="4111" t="n"/>
      <c r="Q29" s="4426" t="inlineStr">
        <is>
          <t>一体的に運営するサテライト型住居の利用者から連絡を受ける通信機器</t>
        </is>
      </c>
      <c r="R29" s="4110" t="n"/>
      <c r="S29" s="4110" t="n"/>
      <c r="T29" s="4110" t="n"/>
      <c r="U29" s="4110" t="n"/>
      <c r="V29" s="4110" t="n"/>
      <c r="W29" s="4110" t="n"/>
      <c r="X29" s="4110" t="n"/>
      <c r="Y29" s="4110" t="n"/>
      <c r="Z29" s="4111" t="n"/>
      <c r="AA29" s="4675" t="inlineStr">
        <is>
          <t>携帯電話</t>
        </is>
      </c>
      <c r="AB29" s="4110" t="n"/>
      <c r="AC29" s="4110" t="n"/>
      <c r="AD29" s="4110" t="n"/>
      <c r="AE29" s="4110" t="n"/>
      <c r="AF29" s="4110" t="n"/>
      <c r="AG29" s="4110" t="n"/>
      <c r="AH29" s="4113" t="n"/>
    </row>
    <row r="30" ht="15" customHeight="1" s="4080">
      <c r="A30" s="4097" t="n"/>
      <c r="B30" s="4107" t="n"/>
      <c r="C30" s="4122" t="n"/>
      <c r="D30" s="4663" t="inlineStr">
        <is>
          <t>サービスを提供
する主たる対象者</t>
        </is>
      </c>
      <c r="E30" s="4098" t="n"/>
      <c r="F30" s="4098" t="n"/>
      <c r="G30" s="4098" t="n"/>
      <c r="H30" s="4098" t="n"/>
      <c r="I30" s="4098" t="n"/>
      <c r="J30" s="4099" t="n"/>
      <c r="K30" s="1669" t="inlineStr">
        <is>
          <t>身体障害者</t>
        </is>
      </c>
      <c r="L30" s="4138" t="n"/>
      <c r="M30" s="4138" t="n"/>
      <c r="N30" s="4138" t="n"/>
      <c r="O30" s="4138" t="n"/>
      <c r="P30" s="4139" t="n"/>
      <c r="Q30" s="1669" t="inlineStr">
        <is>
          <t>知的障害者</t>
        </is>
      </c>
      <c r="R30" s="4138" t="n"/>
      <c r="S30" s="4138" t="n"/>
      <c r="T30" s="4138" t="n"/>
      <c r="U30" s="4138" t="n"/>
      <c r="V30" s="4139" t="n"/>
      <c r="W30" s="1669" t="inlineStr">
        <is>
          <t>精神障害者</t>
        </is>
      </c>
      <c r="X30" s="4138" t="n"/>
      <c r="Y30" s="4138" t="n"/>
      <c r="Z30" s="4138" t="n"/>
      <c r="AA30" s="4138" t="n"/>
      <c r="AB30" s="4139" t="n"/>
      <c r="AC30" s="4664" t="inlineStr">
        <is>
          <t>難病等対象者</t>
        </is>
      </c>
      <c r="AD30" s="4138" t="n"/>
      <c r="AE30" s="4138" t="n"/>
      <c r="AF30" s="4138" t="n"/>
      <c r="AG30" s="4138" t="n"/>
      <c r="AH30" s="4246" t="n"/>
    </row>
    <row r="31" ht="15" customHeight="1" s="4080">
      <c r="A31" s="4097" t="n"/>
      <c r="B31" s="4107" t="n"/>
      <c r="C31" s="4122" t="n"/>
      <c r="D31" s="4102" t="n"/>
      <c r="E31" s="4103" t="n"/>
      <c r="F31" s="4103" t="n"/>
      <c r="G31" s="4103" t="n"/>
      <c r="H31" s="4103" t="n"/>
      <c r="I31" s="4103" t="n"/>
      <c r="J31" s="4104" t="n"/>
      <c r="K31" s="2151" t="inlineStr">
        <is>
          <t>○</t>
        </is>
      </c>
      <c r="L31" s="4140" t="n"/>
      <c r="M31" s="4140" t="n"/>
      <c r="N31" s="4140" t="n"/>
      <c r="O31" s="4140" t="n"/>
      <c r="P31" s="4141" t="n"/>
      <c r="Q31" s="2151" t="inlineStr">
        <is>
          <t>○</t>
        </is>
      </c>
      <c r="R31" s="4140" t="n"/>
      <c r="S31" s="4140" t="n"/>
      <c r="T31" s="4140" t="n"/>
      <c r="U31" s="4140" t="n"/>
      <c r="V31" s="4141" t="n"/>
      <c r="W31" s="2151" t="inlineStr">
        <is>
          <t>○</t>
        </is>
      </c>
      <c r="X31" s="4140" t="n"/>
      <c r="Y31" s="4140" t="n"/>
      <c r="Z31" s="4140" t="n"/>
      <c r="AA31" s="4140" t="n"/>
      <c r="AB31" s="4141" t="n"/>
      <c r="AC31" s="4676" t="inlineStr">
        <is>
          <t>○</t>
        </is>
      </c>
      <c r="AD31" s="4140" t="n"/>
      <c r="AE31" s="4140" t="n"/>
      <c r="AF31" s="4140" t="n"/>
      <c r="AG31" s="4140" t="n"/>
      <c r="AH31" s="4252" t="n"/>
    </row>
    <row r="32" ht="20.1" customHeight="1" s="4080">
      <c r="A32" s="4097" t="n"/>
      <c r="B32" s="4107" t="n"/>
      <c r="C32" s="4122" t="n"/>
      <c r="D32" s="4184" t="inlineStr">
        <is>
          <t>利用料</t>
        </is>
      </c>
      <c r="E32" s="4110" t="n"/>
      <c r="F32" s="4110" t="n"/>
      <c r="G32" s="4110" t="n"/>
      <c r="H32" s="4110" t="n"/>
      <c r="I32" s="4110" t="n"/>
      <c r="J32" s="4111" t="n"/>
      <c r="K32" s="4262" t="inlineStr">
        <is>
          <t>法定代理受領分：厚生労働大臣が定める基準の10/100、法定代理受領分以外：厚生労働大臣が定める基準</t>
        </is>
      </c>
      <c r="L32" s="4110" t="n"/>
      <c r="M32" s="4110" t="n"/>
      <c r="N32" s="4110" t="n"/>
      <c r="O32" s="4110" t="n"/>
      <c r="P32" s="4110" t="n"/>
      <c r="Q32" s="4110" t="n"/>
      <c r="R32" s="4110" t="n"/>
      <c r="S32" s="4110" t="n"/>
      <c r="T32" s="4110" t="n"/>
      <c r="U32" s="4110" t="n"/>
      <c r="V32" s="4110" t="n"/>
      <c r="W32" s="4110" t="n"/>
      <c r="X32" s="4110" t="n"/>
      <c r="Y32" s="4110" t="n"/>
      <c r="Z32" s="4110" t="n"/>
      <c r="AA32" s="4110" t="n"/>
      <c r="AB32" s="4110" t="n"/>
      <c r="AC32" s="4110" t="n"/>
      <c r="AD32" s="4110" t="n"/>
      <c r="AE32" s="4110" t="n"/>
      <c r="AF32" s="4110" t="n"/>
      <c r="AG32" s="4110" t="n"/>
      <c r="AH32" s="4113" t="n"/>
    </row>
    <row r="33" ht="37.5" customHeight="1" s="4080" thickBot="1">
      <c r="A33" s="4097" t="n"/>
      <c r="B33" s="4107" t="n"/>
      <c r="C33" s="4122" t="n"/>
      <c r="D33" s="4665" t="inlineStr">
        <is>
          <t>その他の費用</t>
        </is>
      </c>
      <c r="E33" s="4153" t="n"/>
      <c r="F33" s="4153" t="n"/>
      <c r="G33" s="4153" t="n"/>
      <c r="H33" s="4153" t="n"/>
      <c r="I33" s="4153" t="n"/>
      <c r="J33" s="4154" t="n"/>
      <c r="K33" s="4677" t="inlineStr">
        <is>
          <t>家賃：居室Ａ60,000円、居室Ｂ～居室Ｅ50,000円
光熱水費：10,000円（毎月精算）、食材料費：10,000円（毎月精算）、日用品費：5,000円（毎月精算）</t>
        </is>
      </c>
      <c r="L33" s="4153" t="n"/>
      <c r="M33" s="4153" t="n"/>
      <c r="N33" s="4153" t="n"/>
      <c r="O33" s="4153" t="n"/>
      <c r="P33" s="4153" t="n"/>
      <c r="Q33" s="4153" t="n"/>
      <c r="R33" s="4153" t="n"/>
      <c r="S33" s="4153" t="n"/>
      <c r="T33" s="4153" t="n"/>
      <c r="U33" s="4153" t="n"/>
      <c r="V33" s="4153" t="n"/>
      <c r="W33" s="4153" t="n"/>
      <c r="X33" s="4153" t="n"/>
      <c r="Y33" s="4153" t="n"/>
      <c r="Z33" s="4153" t="n"/>
      <c r="AA33" s="4153" t="n"/>
      <c r="AB33" s="4153" t="n"/>
      <c r="AC33" s="4153" t="n"/>
      <c r="AD33" s="4153" t="n"/>
      <c r="AE33" s="4153" t="n"/>
      <c r="AF33" s="4153" t="n"/>
      <c r="AG33" s="4153" t="n"/>
      <c r="AH33" s="4155" t="n"/>
    </row>
    <row r="34" ht="20.1" customHeight="1" s="4080">
      <c r="A34" s="4667" t="inlineStr">
        <is>
          <t>共　同　生　活　住　居　（２）</t>
        </is>
      </c>
      <c r="B34" s="4356" t="n"/>
      <c r="C34" s="4180" t="inlineStr">
        <is>
          <t>ﾌﾘｶﾞﾅ</t>
        </is>
      </c>
      <c r="D34" s="4093" t="n"/>
      <c r="E34" s="4094" t="n"/>
      <c r="F34" s="4236" t="inlineStr">
        <is>
          <t>グループホームﾅｶﾉｼﾏﾍﾞｯｶﾝ</t>
        </is>
      </c>
      <c r="G34" s="4093" t="n"/>
      <c r="H34" s="4093" t="n"/>
      <c r="I34" s="4093" t="n"/>
      <c r="J34" s="4093" t="n"/>
      <c r="K34" s="4093" t="n"/>
      <c r="L34" s="4093" t="n"/>
      <c r="M34" s="4093" t="n"/>
      <c r="N34" s="4093" t="n"/>
      <c r="O34" s="4093" t="n"/>
      <c r="P34" s="4093" t="n"/>
      <c r="Q34" s="4093" t="n"/>
      <c r="R34" s="4093" t="n"/>
      <c r="S34" s="4093" t="n"/>
      <c r="T34" s="4093" t="n"/>
      <c r="U34" s="4093" t="n"/>
      <c r="V34" s="4093" t="n"/>
      <c r="W34" s="4093" t="n"/>
      <c r="X34" s="4093" t="n"/>
      <c r="Y34" s="4093" t="n"/>
      <c r="Z34" s="4093" t="n"/>
      <c r="AA34" s="4093" t="n"/>
      <c r="AB34" s="4093" t="n"/>
      <c r="AC34" s="4093" t="n"/>
      <c r="AD34" s="4093" t="n"/>
      <c r="AE34" s="4093" t="n"/>
      <c r="AF34" s="4093" t="n"/>
      <c r="AG34" s="4093" t="n"/>
      <c r="AH34" s="4096" t="n"/>
    </row>
    <row r="35" ht="24" customHeight="1" s="4080">
      <c r="A35" s="4097" t="n"/>
      <c r="B35" s="4107" t="n"/>
      <c r="C35" s="4268" t="inlineStr">
        <is>
          <t>名　称</t>
        </is>
      </c>
      <c r="D35" s="4098" t="n"/>
      <c r="E35" s="4099" t="n"/>
      <c r="F35" s="4670" t="inlineStr">
        <is>
          <t>グループホーム中之島別館</t>
        </is>
      </c>
      <c r="G35" s="4098" t="n"/>
      <c r="H35" s="4098" t="n"/>
      <c r="I35" s="4098" t="n"/>
      <c r="J35" s="4098" t="n"/>
      <c r="K35" s="4098" t="n"/>
      <c r="L35" s="4098" t="n"/>
      <c r="M35" s="4098" t="n"/>
      <c r="N35" s="4098" t="n"/>
      <c r="O35" s="4098" t="n"/>
      <c r="P35" s="4098" t="n"/>
      <c r="Q35" s="4098" t="n"/>
      <c r="R35" s="4098" t="n"/>
      <c r="S35" s="4098" t="n"/>
      <c r="T35" s="4098" t="n"/>
      <c r="U35" s="4098" t="n"/>
      <c r="V35" s="4098" t="n"/>
      <c r="W35" s="4098" t="n"/>
      <c r="X35" s="4098" t="n"/>
      <c r="Y35" s="4098" t="n"/>
      <c r="Z35" s="4098" t="n"/>
      <c r="AA35" s="4098" t="n"/>
      <c r="AB35" s="4098" t="n"/>
      <c r="AC35" s="4098" t="n"/>
      <c r="AD35" s="4098" t="n"/>
      <c r="AE35" s="4098" t="n"/>
      <c r="AF35" s="4098" t="n"/>
      <c r="AG35" s="4098" t="n"/>
      <c r="AH35" s="4101" t="n"/>
    </row>
    <row r="36" ht="20.1" customHeight="1" s="4080">
      <c r="A36" s="4097" t="n"/>
      <c r="B36" s="4107" t="n"/>
      <c r="C36" s="4268" t="inlineStr">
        <is>
          <t>所在地</t>
        </is>
      </c>
      <c r="D36" s="4098" t="n"/>
      <c r="E36" s="4099" t="n"/>
      <c r="F36" s="1244" t="inlineStr">
        <is>
          <t>郵便番号（</t>
        </is>
      </c>
      <c r="G36" s="4098" t="n"/>
      <c r="H36" s="4098" t="n"/>
      <c r="I36" s="4098" t="n"/>
      <c r="J36" s="2094" t="inlineStr">
        <is>
          <t>５３０－８２０１</t>
        </is>
      </c>
      <c r="K36" s="4098" t="n"/>
      <c r="L36" s="4098" t="n"/>
      <c r="M36" s="4098" t="n"/>
      <c r="N36" s="4098" t="n"/>
      <c r="O36" s="1329" t="inlineStr">
        <is>
          <t>）</t>
        </is>
      </c>
      <c r="P36" s="4678" t="inlineStr">
        <is>
          <t>中之島１－３－２０　　マンション別館７０２号</t>
        </is>
      </c>
      <c r="Q36" s="4098" t="n"/>
      <c r="R36" s="4098" t="n"/>
      <c r="S36" s="4098" t="n"/>
      <c r="T36" s="4098" t="n"/>
      <c r="U36" s="4098" t="n"/>
      <c r="V36" s="4098" t="n"/>
      <c r="W36" s="4098" t="n"/>
      <c r="X36" s="4098" t="n"/>
      <c r="Y36" s="4098" t="n"/>
      <c r="Z36" s="4098" t="n"/>
      <c r="AA36" s="4098" t="n"/>
      <c r="AB36" s="4098" t="n"/>
      <c r="AC36" s="4098" t="n"/>
      <c r="AD36" s="4098" t="n"/>
      <c r="AE36" s="4098" t="n"/>
      <c r="AF36" s="4098" t="n"/>
      <c r="AG36" s="4098" t="n"/>
      <c r="AH36" s="4101" t="n"/>
    </row>
    <row r="37" ht="18" customHeight="1" s="4080">
      <c r="A37" s="4097" t="n"/>
      <c r="B37" s="4107" t="n"/>
      <c r="C37" s="4106" t="n"/>
      <c r="E37" s="4107" t="n"/>
      <c r="F37" s="1255" t="inlineStr">
        <is>
          <t>大阪市</t>
        </is>
      </c>
      <c r="I37" s="2575" t="inlineStr">
        <is>
          <t>北</t>
        </is>
      </c>
      <c r="N37" s="1260" t="inlineStr">
        <is>
          <t>区</t>
        </is>
      </c>
      <c r="AH37" s="4109" t="n"/>
    </row>
    <row r="38" ht="3" customHeight="1" s="4080">
      <c r="A38" s="4097" t="n"/>
      <c r="B38" s="4107" t="n"/>
      <c r="C38" s="4106" t="n"/>
      <c r="E38" s="4107" t="n"/>
      <c r="F38" s="4102" t="n"/>
      <c r="G38" s="4103" t="n"/>
      <c r="H38" s="4103" t="n"/>
      <c r="I38" s="4103" t="n"/>
      <c r="J38" s="4103" t="n"/>
      <c r="K38" s="4103" t="n"/>
      <c r="L38" s="4103" t="n"/>
      <c r="M38" s="4103" t="n"/>
      <c r="N38" s="4103" t="n"/>
      <c r="O38" s="4103" t="n"/>
      <c r="P38" s="4103" t="n"/>
      <c r="Q38" s="4103" t="n"/>
      <c r="R38" s="4103" t="n"/>
      <c r="S38" s="4103" t="n"/>
      <c r="T38" s="4103" t="n"/>
      <c r="U38" s="4103" t="n"/>
      <c r="V38" s="4103" t="n"/>
      <c r="W38" s="4103" t="n"/>
      <c r="X38" s="4103" t="n"/>
      <c r="Y38" s="4103" t="n"/>
      <c r="Z38" s="4103" t="n"/>
      <c r="AA38" s="4103" t="n"/>
      <c r="AB38" s="4103" t="n"/>
      <c r="AC38" s="4103" t="n"/>
      <c r="AD38" s="4103" t="n"/>
      <c r="AE38" s="4103" t="n"/>
      <c r="AF38" s="4103" t="n"/>
      <c r="AG38" s="4103" t="n"/>
      <c r="AH38" s="4105" t="n"/>
    </row>
    <row r="39" ht="24" customHeight="1" s="4080">
      <c r="A39" s="4097" t="n"/>
      <c r="B39" s="4107" t="n"/>
      <c r="C39" s="4628" t="inlineStr">
        <is>
          <t>主たる事業所からの
移動に要する時間等</t>
        </is>
      </c>
      <c r="D39" s="4110" t="n"/>
      <c r="E39" s="4110" t="n"/>
      <c r="F39" s="4110" t="n"/>
      <c r="G39" s="4110" t="n"/>
      <c r="H39" s="4111" t="n"/>
      <c r="I39" s="2889" t="inlineStr">
        <is>
          <t>５</t>
        </is>
      </c>
      <c r="J39" s="4110" t="n"/>
      <c r="K39" s="4110" t="n"/>
      <c r="L39" s="4110" t="n"/>
      <c r="M39" s="4110" t="n"/>
      <c r="N39" s="2801" t="inlineStr">
        <is>
          <t>分以内（約</t>
        </is>
      </c>
      <c r="O39" s="4110" t="n"/>
      <c r="P39" s="4110" t="n"/>
      <c r="Q39" s="4110" t="n"/>
      <c r="R39" s="4110" t="n"/>
      <c r="S39" s="2891" t="inlineStr">
        <is>
          <t>０．１</t>
        </is>
      </c>
      <c r="T39" s="4110" t="n"/>
      <c r="U39" s="4110" t="n"/>
      <c r="V39" s="2805" t="inlineStr">
        <is>
          <t>ｋｍ）</t>
        </is>
      </c>
      <c r="W39" s="4110" t="n"/>
      <c r="X39" s="4110" t="n"/>
      <c r="Y39" s="4653" t="n"/>
      <c r="Z39" s="4110" t="n"/>
      <c r="AA39" s="4110" t="n"/>
      <c r="AB39" s="4110" t="n"/>
      <c r="AC39" s="4110" t="n"/>
      <c r="AD39" s="4110" t="n"/>
      <c r="AE39" s="4110" t="n"/>
      <c r="AF39" s="4110" t="n"/>
      <c r="AG39" s="4110" t="n"/>
      <c r="AH39" s="4113" t="n"/>
    </row>
    <row r="40" ht="20.1" customHeight="1" s="4080">
      <c r="A40" s="4097" t="n"/>
      <c r="B40" s="4107" t="n"/>
      <c r="C40" s="4181" t="inlineStr">
        <is>
          <t>連絡先電話番号</t>
        </is>
      </c>
      <c r="D40" s="4110" t="n"/>
      <c r="E40" s="4110" t="n"/>
      <c r="F40" s="4110" t="n"/>
      <c r="G40" s="4110" t="n"/>
      <c r="H40" s="4111" t="n"/>
      <c r="I40" s="1479" t="inlineStr">
        <is>
          <t>０６</t>
        </is>
      </c>
      <c r="J40" s="4110" t="n"/>
      <c r="K40" s="4110" t="n"/>
      <c r="L40" s="53" t="inlineStr">
        <is>
          <t>－</t>
        </is>
      </c>
      <c r="M40" s="1150" t="inlineStr">
        <is>
          <t>６２４１</t>
        </is>
      </c>
      <c r="N40" s="4110" t="n"/>
      <c r="O40" s="4110" t="n"/>
      <c r="P40" s="53" t="inlineStr">
        <is>
          <t>－</t>
        </is>
      </c>
      <c r="Q40" s="1482" t="inlineStr">
        <is>
          <t>６５２０</t>
        </is>
      </c>
      <c r="R40" s="4110" t="n"/>
      <c r="S40" s="4111" t="n"/>
      <c r="T40" s="4184" t="inlineStr">
        <is>
          <t>ＦＡＸ番号</t>
        </is>
      </c>
      <c r="U40" s="4110" t="n"/>
      <c r="V40" s="4110" t="n"/>
      <c r="W40" s="4111" t="n"/>
      <c r="X40" s="1479" t="inlineStr">
        <is>
          <t>０６</t>
        </is>
      </c>
      <c r="Y40" s="4110" t="n"/>
      <c r="Z40" s="4110" t="n"/>
      <c r="AA40" s="53" t="inlineStr">
        <is>
          <t>－</t>
        </is>
      </c>
      <c r="AB40" s="1150" t="inlineStr">
        <is>
          <t>６２４１</t>
        </is>
      </c>
      <c r="AC40" s="4110" t="n"/>
      <c r="AD40" s="4110" t="n"/>
      <c r="AE40" s="53" t="inlineStr">
        <is>
          <t>－</t>
        </is>
      </c>
      <c r="AF40" s="1483" t="inlineStr">
        <is>
          <t>６６０８</t>
        </is>
      </c>
      <c r="AG40" s="4110" t="n"/>
      <c r="AH40" s="4113" t="n"/>
    </row>
    <row r="41" ht="3" customHeight="1" s="4080">
      <c r="A41" s="4097" t="n"/>
      <c r="B41" s="4107" t="n"/>
      <c r="C41" s="4668" t="inlineStr">
        <is>
          <t>建　物　の　形　態</t>
        </is>
      </c>
      <c r="D41" s="1432" t="n"/>
      <c r="E41" s="1432" t="n"/>
      <c r="F41" s="1432" t="n"/>
      <c r="G41" s="1432" t="n"/>
      <c r="H41" s="1432" t="n"/>
      <c r="I41" s="1432" t="n"/>
      <c r="J41" s="1857" t="n"/>
      <c r="K41" s="403" t="n"/>
      <c r="L41" s="1290" t="n"/>
      <c r="M41" s="1290" t="n"/>
      <c r="N41" s="1290" t="n"/>
      <c r="O41" s="1290" t="n"/>
      <c r="P41" s="1290" t="n"/>
      <c r="Q41" s="1290" t="n"/>
      <c r="R41" s="1325" t="n"/>
      <c r="AB41" s="933" t="n"/>
      <c r="AC41" s="1443" t="n"/>
      <c r="AD41" s="4098" t="n"/>
      <c r="AE41" s="4098" t="n"/>
      <c r="AF41" s="4098" t="n"/>
      <c r="AG41" s="4098" t="n"/>
      <c r="AH41" s="1668" t="n"/>
    </row>
    <row r="42" ht="15.95" customHeight="1" s="4080">
      <c r="A42" s="4097" t="n"/>
      <c r="B42" s="4107" t="n"/>
      <c r="C42" s="4122" t="n"/>
      <c r="D42" s="4654" t="inlineStr">
        <is>
          <t>住居区分</t>
        </is>
      </c>
      <c r="J42" s="4107" t="n"/>
      <c r="K42" s="404" t="n"/>
      <c r="L42" s="1889" t="inlineStr">
        <is>
          <t>一戸建て</t>
        </is>
      </c>
      <c r="O42" s="2069" t="inlineStr">
        <is>
          <t>・</t>
        </is>
      </c>
      <c r="P42" s="1889" t="inlineStr">
        <is>
          <t>アパート</t>
        </is>
      </c>
      <c r="S42" s="2069" t="inlineStr">
        <is>
          <t>・</t>
        </is>
      </c>
      <c r="T42" s="4433" t="inlineStr">
        <is>
          <t>マンション</t>
        </is>
      </c>
      <c r="U42" s="4265" t="n"/>
      <c r="V42" s="4265" t="n"/>
      <c r="W42" s="4266" t="n"/>
      <c r="X42" s="2069" t="inlineStr">
        <is>
          <t>・</t>
        </is>
      </c>
      <c r="Y42" s="1889" t="inlineStr">
        <is>
          <t>その他</t>
        </is>
      </c>
      <c r="AB42" s="936" t="inlineStr">
        <is>
          <t>（</t>
        </is>
      </c>
      <c r="AH42" s="1668" t="inlineStr">
        <is>
          <t>）</t>
        </is>
      </c>
    </row>
    <row r="43" ht="3" customHeight="1" s="4080">
      <c r="A43" s="4097" t="n"/>
      <c r="B43" s="4107" t="n"/>
      <c r="C43" s="4122" t="n"/>
      <c r="D43" s="1290" t="n"/>
      <c r="E43" s="1290" t="n"/>
      <c r="F43" s="1290" t="n"/>
      <c r="G43" s="1290" t="n"/>
      <c r="H43" s="1290" t="n"/>
      <c r="I43" s="1290" t="n"/>
      <c r="J43" s="1291" t="n"/>
      <c r="K43" s="1889" t="n"/>
      <c r="L43" s="1889" t="n"/>
      <c r="M43" s="1889" t="n"/>
      <c r="O43" s="1889" t="n"/>
      <c r="P43" s="1889" t="n"/>
      <c r="Q43" s="1889" t="n"/>
      <c r="S43" s="1889" t="n"/>
      <c r="T43" s="1889" t="n"/>
      <c r="U43" s="1889" t="n"/>
      <c r="V43" s="1889" t="n"/>
      <c r="X43" s="1889" t="n"/>
      <c r="Y43" s="1889" t="n"/>
      <c r="Z43" s="1889" t="n"/>
      <c r="AB43" s="939" t="n"/>
      <c r="AC43" s="4103" t="n"/>
      <c r="AD43" s="4103" t="n"/>
      <c r="AE43" s="4103" t="n"/>
      <c r="AF43" s="4103" t="n"/>
      <c r="AG43" s="4103" t="n"/>
      <c r="AH43" s="1668" t="n"/>
    </row>
    <row r="44" ht="20.1" customHeight="1" s="4080">
      <c r="A44" s="4097" t="n"/>
      <c r="B44" s="4107" t="n"/>
      <c r="C44" s="4122" t="n"/>
      <c r="D44" s="4184" t="inlineStr">
        <is>
          <t>建物所有者名</t>
        </is>
      </c>
      <c r="E44" s="4110" t="n"/>
      <c r="F44" s="4110" t="n"/>
      <c r="G44" s="4110" t="n"/>
      <c r="H44" s="4110" t="n"/>
      <c r="I44" s="4110" t="n"/>
      <c r="J44" s="4111" t="n"/>
      <c r="K44" s="4672" t="inlineStr">
        <is>
          <t>大阪太郎</t>
        </is>
      </c>
      <c r="L44" s="4110" t="n"/>
      <c r="M44" s="4110" t="n"/>
      <c r="N44" s="4110" t="n"/>
      <c r="O44" s="4110" t="n"/>
      <c r="P44" s="4110" t="n"/>
      <c r="Q44" s="4110" t="n"/>
      <c r="R44" s="4110" t="n"/>
      <c r="S44" s="4110" t="n"/>
      <c r="T44" s="4110" t="n"/>
      <c r="U44" s="4110" t="n"/>
      <c r="V44" s="4110" t="n"/>
      <c r="W44" s="4110" t="n"/>
      <c r="X44" s="4110" t="n"/>
      <c r="Y44" s="4110" t="n"/>
      <c r="Z44" s="4110" t="n"/>
      <c r="AA44" s="4110" t="n"/>
      <c r="AB44" s="4110" t="n"/>
      <c r="AC44" s="4110" t="n"/>
      <c r="AD44" s="4110" t="n"/>
      <c r="AE44" s="4110" t="n"/>
      <c r="AF44" s="4110" t="n"/>
      <c r="AG44" s="4110" t="n"/>
      <c r="AH44" s="4113" t="n"/>
    </row>
    <row r="45" ht="3" customHeight="1" s="4080">
      <c r="A45" s="4097" t="n"/>
      <c r="B45" s="4107" t="n"/>
      <c r="C45" s="4122" t="n"/>
      <c r="D45" s="4184" t="inlineStr">
        <is>
          <t>賃貸借契約の内容</t>
        </is>
      </c>
      <c r="E45" s="4098" t="n"/>
      <c r="F45" s="4099" t="n"/>
      <c r="G45" s="4274" t="inlineStr">
        <is>
          <t>敷金・家賃等</t>
        </is>
      </c>
      <c r="H45" s="4098" t="n"/>
      <c r="I45" s="4098" t="n"/>
      <c r="J45" s="4099" t="n"/>
      <c r="K45" s="403" t="n"/>
      <c r="L45" s="1290" t="n"/>
      <c r="M45" s="1290" t="n"/>
      <c r="N45" s="1290" t="n"/>
      <c r="O45" s="1290" t="n"/>
      <c r="P45" s="1290" t="n"/>
      <c r="Q45" s="1290" t="n"/>
      <c r="R45" s="1325" t="n"/>
      <c r="AB45" s="406" t="n"/>
      <c r="AC45" s="406" t="n"/>
      <c r="AD45" s="406" t="n"/>
      <c r="AE45" s="406" t="n"/>
      <c r="AF45" s="406" t="n"/>
      <c r="AG45" s="406" t="n"/>
      <c r="AH45" s="1668" t="n"/>
    </row>
    <row r="46" ht="15.95" customHeight="1" s="4080">
      <c r="A46" s="4097" t="n"/>
      <c r="B46" s="4107" t="n"/>
      <c r="C46" s="4122" t="n"/>
      <c r="D46" s="4106" t="n"/>
      <c r="F46" s="4107" t="n"/>
      <c r="G46" s="4106" t="n"/>
      <c r="J46" s="4107" t="n"/>
      <c r="K46" s="1354" t="inlineStr">
        <is>
          <t>ア</t>
        </is>
      </c>
      <c r="L46" s="4609" t="inlineStr">
        <is>
          <t>敷金</t>
        </is>
      </c>
      <c r="M46" s="4265" t="n"/>
      <c r="N46" s="4266" t="n"/>
      <c r="O46" s="407" t="inlineStr">
        <is>
          <t>（</t>
        </is>
      </c>
      <c r="P46" s="4673" t="n">
        <v>1000000</v>
      </c>
      <c r="Q46" s="4657" t="n"/>
      <c r="R46" s="4657" t="n"/>
      <c r="S46" s="4657" t="n"/>
      <c r="T46" s="2813" t="inlineStr">
        <is>
          <t>）円</t>
        </is>
      </c>
      <c r="U46" s="4657" t="n"/>
      <c r="W46" s="1355" t="inlineStr">
        <is>
          <t>イ</t>
        </is>
      </c>
      <c r="X46" s="1290" t="inlineStr">
        <is>
          <t>保証金</t>
        </is>
      </c>
      <c r="AB46" s="407" t="inlineStr">
        <is>
          <t>（</t>
        </is>
      </c>
      <c r="AC46" s="4673" t="n"/>
      <c r="AD46" s="4657" t="n"/>
      <c r="AE46" s="4657" t="n"/>
      <c r="AF46" s="4657" t="n"/>
      <c r="AG46" s="2810" t="inlineStr">
        <is>
          <t>）円</t>
        </is>
      </c>
      <c r="AH46" s="4658" t="n"/>
    </row>
    <row r="47" ht="3" customHeight="1" s="4080">
      <c r="A47" s="4097" t="n"/>
      <c r="B47" s="4107" t="n"/>
      <c r="C47" s="4122" t="n"/>
      <c r="D47" s="4106" t="n"/>
      <c r="F47" s="4107" t="n"/>
      <c r="G47" s="4106" t="n"/>
      <c r="J47" s="4107" t="n"/>
      <c r="K47" s="403" t="n"/>
      <c r="L47" s="1290" t="n"/>
      <c r="M47" s="1290" t="n"/>
      <c r="N47" s="1290" t="n"/>
      <c r="O47" s="1290" t="n"/>
      <c r="P47" s="1290" t="n"/>
      <c r="Q47" s="1290" t="n"/>
      <c r="R47" s="1325" t="n"/>
      <c r="AB47" s="408" t="n"/>
      <c r="AC47" s="408" t="n"/>
      <c r="AD47" s="408" t="n"/>
      <c r="AE47" s="408" t="n"/>
      <c r="AF47" s="408" t="n"/>
      <c r="AG47" s="408" t="n"/>
      <c r="AH47" s="1668" t="n"/>
    </row>
    <row r="48" ht="15.95" customHeight="1" s="4080">
      <c r="A48" s="4097" t="n"/>
      <c r="B48" s="4107" t="n"/>
      <c r="C48" s="4122" t="n"/>
      <c r="D48" s="4106" t="n"/>
      <c r="F48" s="4107" t="n"/>
      <c r="G48" s="4106" t="n"/>
      <c r="J48" s="4107" t="n"/>
      <c r="K48" s="1354" t="inlineStr">
        <is>
          <t>ウ</t>
        </is>
      </c>
      <c r="L48" s="1290" t="inlineStr">
        <is>
          <t>礼金</t>
        </is>
      </c>
      <c r="O48" s="45" t="inlineStr">
        <is>
          <t>（</t>
        </is>
      </c>
      <c r="P48" s="4673" t="n"/>
      <c r="Q48" s="4657" t="n"/>
      <c r="R48" s="4657" t="n"/>
      <c r="S48" s="4657" t="n"/>
      <c r="T48" s="1658" t="inlineStr">
        <is>
          <t>）円</t>
        </is>
      </c>
      <c r="V48" s="409" t="n"/>
      <c r="W48" s="1355" t="inlineStr">
        <is>
          <t>エ</t>
        </is>
      </c>
      <c r="X48" s="1290" t="inlineStr">
        <is>
          <t>家賃(月額)</t>
        </is>
      </c>
      <c r="AB48" s="407" t="inlineStr">
        <is>
          <t>（</t>
        </is>
      </c>
      <c r="AC48" s="4673" t="n">
        <v>200000</v>
      </c>
      <c r="AD48" s="4657" t="n"/>
      <c r="AE48" s="4657" t="n"/>
      <c r="AF48" s="4657" t="n"/>
      <c r="AG48" s="2810" t="inlineStr">
        <is>
          <t>）円</t>
        </is>
      </c>
      <c r="AH48" s="4658" t="n"/>
    </row>
    <row r="49" ht="3" customHeight="1" s="4080">
      <c r="A49" s="4097" t="n"/>
      <c r="B49" s="4107" t="n"/>
      <c r="C49" s="4122" t="n"/>
      <c r="D49" s="4106" t="n"/>
      <c r="F49" s="4107" t="n"/>
      <c r="G49" s="4102" t="n"/>
      <c r="H49" s="4103" t="n"/>
      <c r="I49" s="4103" t="n"/>
      <c r="J49" s="4104" t="n"/>
      <c r="K49" s="403" t="n"/>
      <c r="L49" s="1290" t="n"/>
      <c r="M49" s="1290" t="n"/>
      <c r="N49" s="1290" t="n"/>
      <c r="O49" s="1290" t="n"/>
      <c r="P49" s="1290" t="n"/>
      <c r="Q49" s="1290" t="n"/>
      <c r="R49" s="1325" t="n"/>
      <c r="AB49" s="408" t="n"/>
      <c r="AC49" s="408" t="n"/>
      <c r="AD49" s="408" t="n"/>
      <c r="AE49" s="408" t="n"/>
      <c r="AF49" s="408" t="n"/>
      <c r="AG49" s="408" t="n"/>
      <c r="AH49" s="1668" t="n"/>
    </row>
    <row r="50" ht="18" customHeight="1" s="4080">
      <c r="A50" s="4097" t="n"/>
      <c r="B50" s="4107" t="n"/>
      <c r="C50" s="4122" t="n"/>
      <c r="D50" s="4106" t="n"/>
      <c r="F50" s="4107" t="n"/>
      <c r="G50" s="1265" t="inlineStr">
        <is>
          <t>契約期間</t>
        </is>
      </c>
      <c r="H50" s="4098" t="n"/>
      <c r="I50" s="4098" t="n"/>
      <c r="J50" s="4099" t="n"/>
      <c r="K50" s="336" t="n"/>
      <c r="L50" s="2864" t="inlineStr">
        <is>
          <t>平成２４</t>
        </is>
      </c>
      <c r="M50" s="4486" t="n"/>
      <c r="N50" s="4486" t="n"/>
      <c r="O50" s="1245" t="inlineStr">
        <is>
          <t>年</t>
        </is>
      </c>
      <c r="P50" s="1153" t="inlineStr">
        <is>
          <t>４</t>
        </is>
      </c>
      <c r="Q50" s="4098" t="n"/>
      <c r="R50" s="108" t="inlineStr">
        <is>
          <t>月</t>
        </is>
      </c>
      <c r="S50" s="2864" t="inlineStr">
        <is>
          <t>１</t>
        </is>
      </c>
      <c r="T50" s="4486" t="n"/>
      <c r="U50" s="2826" t="inlineStr">
        <is>
          <t>日～</t>
        </is>
      </c>
      <c r="V50" s="4486" t="n"/>
      <c r="W50" s="4486" t="n"/>
      <c r="X50" s="2864" t="inlineStr">
        <is>
          <t>平成２６</t>
        </is>
      </c>
      <c r="Y50" s="4486" t="n"/>
      <c r="Z50" s="4486" t="n"/>
      <c r="AA50" s="108" t="inlineStr">
        <is>
          <t>年</t>
        </is>
      </c>
      <c r="AB50" s="1153" t="inlineStr">
        <is>
          <t>３</t>
        </is>
      </c>
      <c r="AC50" s="4098" t="n"/>
      <c r="AD50" s="1329" t="inlineStr">
        <is>
          <t>月</t>
        </is>
      </c>
      <c r="AE50" s="1153" t="inlineStr">
        <is>
          <t>３１</t>
        </is>
      </c>
      <c r="AF50" s="4098" t="n"/>
      <c r="AG50" s="1329" t="inlineStr">
        <is>
          <t>日</t>
        </is>
      </c>
      <c r="AH50" s="411" t="n"/>
    </row>
    <row r="51" ht="3" customHeight="1" s="4080">
      <c r="A51" s="4097" t="n"/>
      <c r="B51" s="4107" t="n"/>
      <c r="C51" s="4122" t="n"/>
      <c r="D51" s="4106" t="n"/>
      <c r="F51" s="4107" t="n"/>
      <c r="J51" s="4107" t="n"/>
      <c r="K51" s="4659" t="inlineStr">
        <is>
          <t>契約の自動更新条項の有無</t>
        </is>
      </c>
      <c r="L51" s="4320" t="n"/>
      <c r="M51" s="4320" t="n"/>
      <c r="N51" s="4320" t="n"/>
      <c r="O51" s="4320" t="n"/>
      <c r="P51" s="4320" t="n"/>
      <c r="Q51" s="4320" t="n"/>
      <c r="R51" s="4320" t="n"/>
      <c r="S51" s="4320" t="n"/>
      <c r="T51" s="4320" t="n"/>
      <c r="U51" s="4320" t="n"/>
      <c r="V51" s="4321" t="n"/>
      <c r="W51" s="412" t="n"/>
      <c r="X51" s="412" t="n"/>
      <c r="Y51" s="412" t="n"/>
      <c r="Z51" s="412" t="n"/>
      <c r="AA51" s="412" t="n"/>
      <c r="AB51" s="412" t="n"/>
      <c r="AC51" s="412" t="n"/>
      <c r="AD51" s="412" t="n"/>
      <c r="AE51" s="412" t="n"/>
      <c r="AF51" s="412" t="n"/>
      <c r="AG51" s="412" t="n"/>
      <c r="AH51" s="413" t="n"/>
    </row>
    <row r="52" ht="15.95" customHeight="1" s="4080">
      <c r="A52" s="4097" t="n"/>
      <c r="B52" s="4107" t="n"/>
      <c r="C52" s="4122" t="n"/>
      <c r="D52" s="4106" t="n"/>
      <c r="F52" s="4107" t="n"/>
      <c r="J52" s="4107" t="n"/>
      <c r="K52" s="4106" t="n"/>
      <c r="V52" s="4107" t="n"/>
      <c r="W52" s="414" t="n"/>
      <c r="X52" s="80" t="inlineStr">
        <is>
          <t>有</t>
        </is>
      </c>
      <c r="Y52" s="1325" t="inlineStr">
        <is>
          <t>（</t>
        </is>
      </c>
      <c r="Z52" s="1538" t="inlineStr">
        <is>
          <t>２</t>
        </is>
      </c>
      <c r="AC52" s="1355" t="inlineStr">
        <is>
          <t>年ごと）・</t>
        </is>
      </c>
      <c r="AG52" s="1325" t="inlineStr">
        <is>
          <t>無</t>
        </is>
      </c>
      <c r="AH52" s="415" t="n"/>
    </row>
    <row r="53" ht="3" customHeight="1" s="4080">
      <c r="A53" s="4097" t="n"/>
      <c r="B53" s="4107" t="n"/>
      <c r="C53" s="4122" t="n"/>
      <c r="D53" s="4106" t="n"/>
      <c r="F53" s="4107" t="n"/>
      <c r="G53" s="4103" t="n"/>
      <c r="H53" s="4103" t="n"/>
      <c r="I53" s="4103" t="n"/>
      <c r="J53" s="4104" t="n"/>
      <c r="K53" s="4102" t="n"/>
      <c r="L53" s="4103" t="n"/>
      <c r="M53" s="4103" t="n"/>
      <c r="N53" s="4103" t="n"/>
      <c r="O53" s="4103" t="n"/>
      <c r="P53" s="4103" t="n"/>
      <c r="Q53" s="4103" t="n"/>
      <c r="R53" s="4103" t="n"/>
      <c r="S53" s="4103" t="n"/>
      <c r="T53" s="4103" t="n"/>
      <c r="U53" s="4103" t="n"/>
      <c r="V53" s="4104" t="n"/>
      <c r="W53" s="416" t="n"/>
      <c r="X53" s="416" t="n"/>
      <c r="Y53" s="416" t="n"/>
      <c r="Z53" s="416" t="n"/>
      <c r="AA53" s="416" t="n"/>
      <c r="AB53" s="416" t="n"/>
      <c r="AC53" s="416" t="n"/>
      <c r="AD53" s="416" t="n"/>
      <c r="AE53" s="416" t="n"/>
      <c r="AF53" s="416" t="n"/>
      <c r="AG53" s="416" t="n"/>
      <c r="AH53" s="417" t="n"/>
    </row>
    <row r="54" ht="20.1" customHeight="1" s="4080">
      <c r="A54" s="4097" t="n"/>
      <c r="B54" s="4107" t="n"/>
      <c r="C54" s="4122" t="n"/>
      <c r="D54" s="4102" t="n"/>
      <c r="E54" s="4103" t="n"/>
      <c r="F54" s="4104" t="n"/>
      <c r="G54" s="2824" t="inlineStr">
        <is>
          <t>賃貸料がない
場合の理由</t>
        </is>
      </c>
      <c r="H54" s="4110" t="n"/>
      <c r="I54" s="4110" t="n"/>
      <c r="J54" s="4111" t="n"/>
      <c r="K54" s="4230" t="n"/>
      <c r="L54" s="4110" t="n"/>
      <c r="M54" s="4110" t="n"/>
      <c r="N54" s="4110" t="n"/>
      <c r="O54" s="4110" t="n"/>
      <c r="P54" s="4110" t="n"/>
      <c r="Q54" s="4110" t="n"/>
      <c r="R54" s="4110" t="n"/>
      <c r="S54" s="4110" t="n"/>
      <c r="T54" s="4110" t="n"/>
      <c r="U54" s="4110" t="n"/>
      <c r="V54" s="4110" t="n"/>
      <c r="W54" s="4110" t="n"/>
      <c r="X54" s="4110" t="n"/>
      <c r="Y54" s="4110" t="n"/>
      <c r="Z54" s="4110" t="n"/>
      <c r="AA54" s="4110" t="n"/>
      <c r="AB54" s="4110" t="n"/>
      <c r="AC54" s="4110" t="n"/>
      <c r="AD54" s="4110" t="n"/>
      <c r="AE54" s="4110" t="n"/>
      <c r="AF54" s="4110" t="n"/>
      <c r="AG54" s="4110" t="n"/>
      <c r="AH54" s="4113" t="n"/>
    </row>
    <row r="55" ht="15" customHeight="1" s="4080">
      <c r="A55" s="4097" t="n"/>
      <c r="B55" s="4107" t="n"/>
      <c r="C55" s="4122" t="n"/>
      <c r="D55" s="4184" t="inlineStr">
        <is>
          <t>住居の利用定員</t>
        </is>
      </c>
      <c r="E55" s="4098" t="n"/>
      <c r="F55" s="4098" t="n"/>
      <c r="G55" s="4098" t="n"/>
      <c r="H55" s="4098" t="n"/>
      <c r="I55" s="4098" t="n"/>
      <c r="J55" s="4099" t="n"/>
      <c r="K55" s="1728" t="inlineStr">
        <is>
          <t>４</t>
        </is>
      </c>
      <c r="L55" s="4098" t="n"/>
      <c r="M55" s="4098" t="n"/>
      <c r="N55" s="4098" t="n"/>
      <c r="O55" s="4098" t="n"/>
      <c r="P55" s="4660" t="inlineStr">
        <is>
          <t>人</t>
        </is>
      </c>
      <c r="Q55" s="4184" t="inlineStr">
        <is>
          <t>居室数</t>
        </is>
      </c>
      <c r="R55" s="4110" t="n"/>
      <c r="S55" s="4110" t="n"/>
      <c r="T55" s="4110" t="n"/>
      <c r="U55" s="4110" t="n"/>
      <c r="V55" s="4111" t="n"/>
      <c r="W55" s="1479" t="inlineStr">
        <is>
          <t>４</t>
        </is>
      </c>
      <c r="X55" s="4110" t="n"/>
      <c r="Y55" s="4110" t="n"/>
      <c r="Z55" s="1261" t="inlineStr">
        <is>
          <t>室（うち個室</t>
        </is>
      </c>
      <c r="AA55" s="4110" t="n"/>
      <c r="AB55" s="4110" t="n"/>
      <c r="AC55" s="4110" t="n"/>
      <c r="AD55" s="1480" t="inlineStr">
        <is>
          <t>４</t>
        </is>
      </c>
      <c r="AE55" s="4110" t="n"/>
      <c r="AF55" s="4110" t="n"/>
      <c r="AG55" s="2827" t="inlineStr">
        <is>
          <t>室 ）</t>
        </is>
      </c>
      <c r="AH55" s="4113" t="n"/>
    </row>
    <row r="56" ht="15" customHeight="1" s="4080">
      <c r="A56" s="4097" t="n"/>
      <c r="B56" s="4107" t="n"/>
      <c r="C56" s="4122" t="n"/>
      <c r="D56" s="4102" t="n"/>
      <c r="E56" s="4103" t="n"/>
      <c r="F56" s="4103" t="n"/>
      <c r="G56" s="4103" t="n"/>
      <c r="H56" s="4103" t="n"/>
      <c r="I56" s="4103" t="n"/>
      <c r="J56" s="4104" t="n"/>
      <c r="K56" s="4102" t="n"/>
      <c r="L56" s="4103" t="n"/>
      <c r="M56" s="4103" t="n"/>
      <c r="N56" s="4103" t="n"/>
      <c r="O56" s="4103" t="n"/>
      <c r="P56" s="4104" t="n"/>
      <c r="Q56" s="4274" t="inlineStr">
        <is>
          <t>入居者１人当たりの居室の最小床面積</t>
        </is>
      </c>
      <c r="R56" s="4110" t="n"/>
      <c r="S56" s="4110" t="n"/>
      <c r="T56" s="4110" t="n"/>
      <c r="U56" s="4110" t="n"/>
      <c r="V56" s="4110" t="n"/>
      <c r="W56" s="4110" t="n"/>
      <c r="X56" s="4110" t="n"/>
      <c r="Y56" s="4110" t="n"/>
      <c r="Z56" s="4110" t="n"/>
      <c r="AA56" s="4110" t="n"/>
      <c r="AB56" s="4111" t="n"/>
      <c r="AC56" s="4674" t="n">
        <v>7.43</v>
      </c>
      <c r="AD56" s="4110" t="n"/>
      <c r="AE56" s="4110" t="n"/>
      <c r="AF56" s="4110" t="n"/>
      <c r="AG56" s="4110" t="n"/>
      <c r="AH56" s="2827" t="inlineStr">
        <is>
          <t>㎡</t>
        </is>
      </c>
    </row>
    <row r="57" ht="30" customHeight="1" s="4080">
      <c r="A57" s="4097" t="n"/>
      <c r="B57" s="4107" t="n"/>
      <c r="C57" s="4122" t="n"/>
      <c r="D57" s="4662" t="inlineStr">
        <is>
          <t>一体的に運営する
サテライト型住居</t>
        </is>
      </c>
      <c r="E57" s="4098" t="n"/>
      <c r="F57" s="4098" t="n"/>
      <c r="G57" s="4098" t="n"/>
      <c r="H57" s="4098" t="n"/>
      <c r="I57" s="4098" t="n"/>
      <c r="J57" s="4099" t="n"/>
      <c r="K57" s="2867" t="inlineStr">
        <is>
          <t>１</t>
        </is>
      </c>
      <c r="L57" s="4110" t="n"/>
      <c r="M57" s="4110" t="n"/>
      <c r="N57" s="4110" t="n"/>
      <c r="O57" s="1394" t="inlineStr">
        <is>
          <t>か所</t>
        </is>
      </c>
      <c r="P57" s="4111" t="n"/>
      <c r="Q57" s="4426" t="inlineStr">
        <is>
          <t>一体的に運営するサテライト型住居の利用者から連絡を受ける通信機器</t>
        </is>
      </c>
      <c r="R57" s="4110" t="n"/>
      <c r="S57" s="4110" t="n"/>
      <c r="T57" s="4110" t="n"/>
      <c r="U57" s="4110" t="n"/>
      <c r="V57" s="4110" t="n"/>
      <c r="W57" s="4110" t="n"/>
      <c r="X57" s="4110" t="n"/>
      <c r="Y57" s="4110" t="n"/>
      <c r="Z57" s="4111" t="n"/>
      <c r="AA57" s="4675" t="inlineStr">
        <is>
          <t>携帯電話</t>
        </is>
      </c>
      <c r="AB57" s="4110" t="n"/>
      <c r="AC57" s="4110" t="n"/>
      <c r="AD57" s="4110" t="n"/>
      <c r="AE57" s="4110" t="n"/>
      <c r="AF57" s="4110" t="n"/>
      <c r="AG57" s="4110" t="n"/>
      <c r="AH57" s="4113" t="n"/>
    </row>
    <row r="58" ht="15" customHeight="1" s="4080">
      <c r="A58" s="4097" t="n"/>
      <c r="B58" s="4107" t="n"/>
      <c r="C58" s="4122" t="n"/>
      <c r="D58" s="4663" t="inlineStr">
        <is>
          <t>サービスを提供
する主たる対象者</t>
        </is>
      </c>
      <c r="E58" s="4098" t="n"/>
      <c r="F58" s="4098" t="n"/>
      <c r="G58" s="4098" t="n"/>
      <c r="H58" s="4098" t="n"/>
      <c r="I58" s="4098" t="n"/>
      <c r="J58" s="4099" t="n"/>
      <c r="K58" s="1669" t="inlineStr">
        <is>
          <t>身体障害者</t>
        </is>
      </c>
      <c r="L58" s="4138" t="n"/>
      <c r="M58" s="4138" t="n"/>
      <c r="N58" s="4138" t="n"/>
      <c r="O58" s="4138" t="n"/>
      <c r="P58" s="4139" t="n"/>
      <c r="Q58" s="1669" t="inlineStr">
        <is>
          <t>知的障害者</t>
        </is>
      </c>
      <c r="R58" s="4138" t="n"/>
      <c r="S58" s="4138" t="n"/>
      <c r="T58" s="4138" t="n"/>
      <c r="U58" s="4138" t="n"/>
      <c r="V58" s="4139" t="n"/>
      <c r="W58" s="1669" t="inlineStr">
        <is>
          <t>精神障害者</t>
        </is>
      </c>
      <c r="X58" s="4138" t="n"/>
      <c r="Y58" s="4138" t="n"/>
      <c r="Z58" s="4138" t="n"/>
      <c r="AA58" s="4138" t="n"/>
      <c r="AB58" s="4139" t="n"/>
      <c r="AC58" s="4664" t="inlineStr">
        <is>
          <t>難病等対象者</t>
        </is>
      </c>
      <c r="AD58" s="4138" t="n"/>
      <c r="AE58" s="4138" t="n"/>
      <c r="AF58" s="4138" t="n"/>
      <c r="AG58" s="4138" t="n"/>
      <c r="AH58" s="4246" t="n"/>
    </row>
    <row r="59" ht="15" customHeight="1" s="4080">
      <c r="A59" s="4097" t="n"/>
      <c r="B59" s="4107" t="n"/>
      <c r="C59" s="4122" t="n"/>
      <c r="D59" s="4102" t="n"/>
      <c r="E59" s="4103" t="n"/>
      <c r="F59" s="4103" t="n"/>
      <c r="G59" s="4103" t="n"/>
      <c r="H59" s="4103" t="n"/>
      <c r="I59" s="4103" t="n"/>
      <c r="J59" s="4104" t="n"/>
      <c r="K59" s="2151" t="inlineStr">
        <is>
          <t>○</t>
        </is>
      </c>
      <c r="L59" s="4140" t="n"/>
      <c r="M59" s="4140" t="n"/>
      <c r="N59" s="4140" t="n"/>
      <c r="O59" s="4140" t="n"/>
      <c r="P59" s="4141" t="n"/>
      <c r="Q59" s="2151" t="inlineStr">
        <is>
          <t>○</t>
        </is>
      </c>
      <c r="R59" s="4140" t="n"/>
      <c r="S59" s="4140" t="n"/>
      <c r="T59" s="4140" t="n"/>
      <c r="U59" s="4140" t="n"/>
      <c r="V59" s="4141" t="n"/>
      <c r="W59" s="2151" t="inlineStr">
        <is>
          <t>○</t>
        </is>
      </c>
      <c r="X59" s="4140" t="n"/>
      <c r="Y59" s="4140" t="n"/>
      <c r="Z59" s="4140" t="n"/>
      <c r="AA59" s="4140" t="n"/>
      <c r="AB59" s="4141" t="n"/>
      <c r="AC59" s="4676" t="inlineStr">
        <is>
          <t>○</t>
        </is>
      </c>
      <c r="AD59" s="4140" t="n"/>
      <c r="AE59" s="4140" t="n"/>
      <c r="AF59" s="4140" t="n"/>
      <c r="AG59" s="4140" t="n"/>
      <c r="AH59" s="4252" t="n"/>
    </row>
    <row r="60" ht="20.1" customHeight="1" s="4080">
      <c r="A60" s="4097" t="n"/>
      <c r="B60" s="4107" t="n"/>
      <c r="C60" s="4122" t="n"/>
      <c r="D60" s="4184" t="inlineStr">
        <is>
          <t>利用料</t>
        </is>
      </c>
      <c r="E60" s="4110" t="n"/>
      <c r="F60" s="4110" t="n"/>
      <c r="G60" s="4110" t="n"/>
      <c r="H60" s="4110" t="n"/>
      <c r="I60" s="4110" t="n"/>
      <c r="J60" s="4111" t="n"/>
      <c r="K60" s="4262" t="inlineStr">
        <is>
          <t>法定代理受領分：厚生労働大臣が定める基準の10/100、法定代理受領分以外：厚生労働大臣が定める基準</t>
        </is>
      </c>
      <c r="L60" s="4110" t="n"/>
      <c r="M60" s="4110" t="n"/>
      <c r="N60" s="4110" t="n"/>
      <c r="O60" s="4110" t="n"/>
      <c r="P60" s="4110" t="n"/>
      <c r="Q60" s="4110" t="n"/>
      <c r="R60" s="4110" t="n"/>
      <c r="S60" s="4110" t="n"/>
      <c r="T60" s="4110" t="n"/>
      <c r="U60" s="4110" t="n"/>
      <c r="V60" s="4110" t="n"/>
      <c r="W60" s="4110" t="n"/>
      <c r="X60" s="4110" t="n"/>
      <c r="Y60" s="4110" t="n"/>
      <c r="Z60" s="4110" t="n"/>
      <c r="AA60" s="4110" t="n"/>
      <c r="AB60" s="4110" t="n"/>
      <c r="AC60" s="4110" t="n"/>
      <c r="AD60" s="4110" t="n"/>
      <c r="AE60" s="4110" t="n"/>
      <c r="AF60" s="4110" t="n"/>
      <c r="AG60" s="4110" t="n"/>
      <c r="AH60" s="4113" t="n"/>
    </row>
    <row r="61" ht="37.5" customHeight="1" s="4080" thickBot="1">
      <c r="A61" s="4086" t="n"/>
      <c r="B61" s="4410" t="n"/>
      <c r="C61" s="4669" t="n"/>
      <c r="D61" s="4665" t="inlineStr">
        <is>
          <t>その他の費用</t>
        </is>
      </c>
      <c r="E61" s="4153" t="n"/>
      <c r="F61" s="4153" t="n"/>
      <c r="G61" s="4153" t="n"/>
      <c r="H61" s="4153" t="n"/>
      <c r="I61" s="4153" t="n"/>
      <c r="J61" s="4154" t="n"/>
      <c r="K61" s="4677" t="inlineStr">
        <is>
          <t>家賃：居室Ａ～居室Ｄ50,000円
光熱水費：10,000円（毎月精算）、食材料費：10,000円（毎月精算）、日用品費：5,000円（毎月精算）</t>
        </is>
      </c>
      <c r="L61" s="4153" t="n"/>
      <c r="M61" s="4153" t="n"/>
      <c r="N61" s="4153" t="n"/>
      <c r="O61" s="4153" t="n"/>
      <c r="P61" s="4153" t="n"/>
      <c r="Q61" s="4153" t="n"/>
      <c r="R61" s="4153" t="n"/>
      <c r="S61" s="4153" t="n"/>
      <c r="T61" s="4153" t="n"/>
      <c r="U61" s="4153" t="n"/>
      <c r="V61" s="4153" t="n"/>
      <c r="W61" s="4153" t="n"/>
      <c r="X61" s="4153" t="n"/>
      <c r="Y61" s="4153" t="n"/>
      <c r="Z61" s="4153" t="n"/>
      <c r="AA61" s="4153" t="n"/>
      <c r="AB61" s="4153" t="n"/>
      <c r="AC61" s="4153" t="n"/>
      <c r="AD61" s="4153" t="n"/>
      <c r="AE61" s="4153" t="n"/>
      <c r="AF61" s="4153" t="n"/>
      <c r="AG61" s="4153" t="n"/>
      <c r="AH61" s="4155" t="n"/>
    </row>
  </sheetData>
  <mergeCells count="203">
    <mergeCell ref="Q58:V58"/>
    <mergeCell ref="L42:N42"/>
    <mergeCell ref="K60:AH60"/>
    <mergeCell ref="P18:S18"/>
    <mergeCell ref="AC58:AH58"/>
    <mergeCell ref="M40:O40"/>
    <mergeCell ref="K31:P31"/>
    <mergeCell ref="AD27:AF27"/>
    <mergeCell ref="AC28:AG28"/>
    <mergeCell ref="K44:AH44"/>
    <mergeCell ref="V39:X39"/>
    <mergeCell ref="D33:J33"/>
    <mergeCell ref="M12:O12"/>
    <mergeCell ref="P22:Q22"/>
    <mergeCell ref="C11:H11"/>
    <mergeCell ref="W59:AB59"/>
    <mergeCell ref="G45:J49"/>
    <mergeCell ref="A1:Z1"/>
    <mergeCell ref="AC48:AF48"/>
    <mergeCell ref="C39:H39"/>
    <mergeCell ref="P20:S20"/>
    <mergeCell ref="AG27:AH27"/>
    <mergeCell ref="C7:E7"/>
    <mergeCell ref="AC59:AH59"/>
    <mergeCell ref="L46:N46"/>
    <mergeCell ref="X22:Z22"/>
    <mergeCell ref="T42:W42"/>
    <mergeCell ref="AD55:AF55"/>
    <mergeCell ref="P14:R14"/>
    <mergeCell ref="U50:W50"/>
    <mergeCell ref="Y39:AH39"/>
    <mergeCell ref="AA2:AA3"/>
    <mergeCell ref="X12:Z12"/>
    <mergeCell ref="AC24:AF24"/>
    <mergeCell ref="P46:S46"/>
    <mergeCell ref="L48:N48"/>
    <mergeCell ref="C34:E34"/>
    <mergeCell ref="AC2:AC3"/>
    <mergeCell ref="D17:F26"/>
    <mergeCell ref="AC56:AG56"/>
    <mergeCell ref="P48:S48"/>
    <mergeCell ref="N37:O38"/>
    <mergeCell ref="K33:AH33"/>
    <mergeCell ref="T12:W12"/>
    <mergeCell ref="S11:U11"/>
    <mergeCell ref="AB40:AD40"/>
    <mergeCell ref="F37:H38"/>
    <mergeCell ref="K27:O28"/>
    <mergeCell ref="S22:T22"/>
    <mergeCell ref="AG20:AH20"/>
    <mergeCell ref="Y14:AA14"/>
    <mergeCell ref="L18:N18"/>
    <mergeCell ref="AE50:AF50"/>
    <mergeCell ref="AC41:AG43"/>
    <mergeCell ref="P50:Q50"/>
    <mergeCell ref="AE22:AF22"/>
    <mergeCell ref="I11:M11"/>
    <mergeCell ref="I12:K12"/>
    <mergeCell ref="D29:J29"/>
    <mergeCell ref="AG46:AH46"/>
    <mergeCell ref="AB50:AC50"/>
    <mergeCell ref="F34:AH34"/>
    <mergeCell ref="K59:P59"/>
    <mergeCell ref="F6:AH6"/>
    <mergeCell ref="A4:B5"/>
    <mergeCell ref="N9:O10"/>
    <mergeCell ref="O29:P29"/>
    <mergeCell ref="AC52:AF52"/>
    <mergeCell ref="C36:E38"/>
    <mergeCell ref="L50:N50"/>
    <mergeCell ref="Q27:V27"/>
    <mergeCell ref="X50:Z50"/>
    <mergeCell ref="Q30:V30"/>
    <mergeCell ref="AB22:AC22"/>
    <mergeCell ref="AF2:AF3"/>
    <mergeCell ref="Z27:AC27"/>
    <mergeCell ref="K61:AH61"/>
    <mergeCell ref="AH2:AH3"/>
    <mergeCell ref="K23:V25"/>
    <mergeCell ref="K55:O56"/>
    <mergeCell ref="AC1:AD1"/>
    <mergeCell ref="D57:J57"/>
    <mergeCell ref="AE1:AF1"/>
    <mergeCell ref="AG18:AH18"/>
    <mergeCell ref="D58:J59"/>
    <mergeCell ref="Q56:AB56"/>
    <mergeCell ref="G50:J53"/>
    <mergeCell ref="S50:T50"/>
    <mergeCell ref="O57:P57"/>
    <mergeCell ref="C35:E35"/>
    <mergeCell ref="X20:AA20"/>
    <mergeCell ref="P8:AH10"/>
    <mergeCell ref="Q55:V55"/>
    <mergeCell ref="K26:AH26"/>
    <mergeCell ref="G26:J26"/>
    <mergeCell ref="L14:N14"/>
    <mergeCell ref="C40:H40"/>
    <mergeCell ref="A6:B33"/>
    <mergeCell ref="AA29:AH29"/>
    <mergeCell ref="F4:AH4"/>
    <mergeCell ref="U2:X3"/>
    <mergeCell ref="K58:P58"/>
    <mergeCell ref="AF12:AH12"/>
    <mergeCell ref="AC13:AG15"/>
    <mergeCell ref="X46:AA46"/>
    <mergeCell ref="D14:J14"/>
    <mergeCell ref="P27:P28"/>
    <mergeCell ref="Z55:AC55"/>
    <mergeCell ref="Z2:Z3"/>
    <mergeCell ref="X48:AA48"/>
    <mergeCell ref="AB2:AB3"/>
    <mergeCell ref="AD2:AD3"/>
    <mergeCell ref="AA57:AH57"/>
    <mergeCell ref="AG48:AH48"/>
    <mergeCell ref="F5:AH5"/>
    <mergeCell ref="Z24:AB24"/>
    <mergeCell ref="P42:R42"/>
    <mergeCell ref="K29:N29"/>
    <mergeCell ref="E2:I2"/>
    <mergeCell ref="I40:K40"/>
    <mergeCell ref="U22:W22"/>
    <mergeCell ref="D55:J56"/>
    <mergeCell ref="Y42:AA42"/>
    <mergeCell ref="I39:M39"/>
    <mergeCell ref="Q12:S12"/>
    <mergeCell ref="C6:E6"/>
    <mergeCell ref="F36:I36"/>
    <mergeCell ref="K30:P30"/>
    <mergeCell ref="D32:J32"/>
    <mergeCell ref="X18:AA18"/>
    <mergeCell ref="G22:J25"/>
    <mergeCell ref="F8:I8"/>
    <mergeCell ref="P55:P56"/>
    <mergeCell ref="T46:U46"/>
    <mergeCell ref="T40:W40"/>
    <mergeCell ref="P36:AH38"/>
    <mergeCell ref="D16:J16"/>
    <mergeCell ref="C4:E4"/>
    <mergeCell ref="F9:H10"/>
    <mergeCell ref="K54:AH54"/>
    <mergeCell ref="J8:N8"/>
    <mergeCell ref="AC30:AH30"/>
    <mergeCell ref="T48:U48"/>
    <mergeCell ref="AC46:AF46"/>
    <mergeCell ref="C13:C33"/>
    <mergeCell ref="K51:V53"/>
    <mergeCell ref="N11:R11"/>
    <mergeCell ref="I37:M38"/>
    <mergeCell ref="D27:J28"/>
    <mergeCell ref="AG1:AH1"/>
    <mergeCell ref="T20:U20"/>
    <mergeCell ref="AA1:AB1"/>
    <mergeCell ref="G54:J54"/>
    <mergeCell ref="Q40:S40"/>
    <mergeCell ref="D42:J42"/>
    <mergeCell ref="Z52:AB52"/>
    <mergeCell ref="K32:AH32"/>
    <mergeCell ref="W31:AB31"/>
    <mergeCell ref="AB12:AD12"/>
    <mergeCell ref="Q31:V31"/>
    <mergeCell ref="L20:N20"/>
    <mergeCell ref="K57:N57"/>
    <mergeCell ref="C12:H12"/>
    <mergeCell ref="AE2:AE3"/>
    <mergeCell ref="V11:X11"/>
    <mergeCell ref="Q59:V59"/>
    <mergeCell ref="Y2:Y3"/>
    <mergeCell ref="C8:E10"/>
    <mergeCell ref="Q57:Z57"/>
    <mergeCell ref="D44:J44"/>
    <mergeCell ref="W27:Y27"/>
    <mergeCell ref="L22:N22"/>
    <mergeCell ref="AC31:AH31"/>
    <mergeCell ref="AG2:AG3"/>
    <mergeCell ref="D60:J60"/>
    <mergeCell ref="F7:AH7"/>
    <mergeCell ref="J36:N36"/>
    <mergeCell ref="W58:AB58"/>
    <mergeCell ref="AF40:AH40"/>
    <mergeCell ref="T14:W14"/>
    <mergeCell ref="N39:R39"/>
    <mergeCell ref="I9:M10"/>
    <mergeCell ref="AC18:AF18"/>
    <mergeCell ref="F35:AH35"/>
    <mergeCell ref="K2:O2"/>
    <mergeCell ref="G17:J21"/>
    <mergeCell ref="C41:C61"/>
    <mergeCell ref="Y11:AH11"/>
    <mergeCell ref="A34:B61"/>
    <mergeCell ref="Q29:Z29"/>
    <mergeCell ref="D61:J61"/>
    <mergeCell ref="X40:Z40"/>
    <mergeCell ref="K16:AH16"/>
    <mergeCell ref="Q28:AB28"/>
    <mergeCell ref="D30:J31"/>
    <mergeCell ref="C5:E5"/>
    <mergeCell ref="D45:F54"/>
    <mergeCell ref="AC20:AF20"/>
    <mergeCell ref="T18:U18"/>
    <mergeCell ref="S39:U39"/>
    <mergeCell ref="W30:AB30"/>
    <mergeCell ref="W55:Y55"/>
    <mergeCell ref="AG55:AH55"/>
  </mergeCells>
  <dataValidations count="15">
    <dataValidation sqref="K27:O28 K55:O56" showDropDown="0" showInputMessage="1" showErrorMessage="1" allowBlank="1" error="グループホーム及びケアホームの共同生活住居の利用定員は、原則として２名～９名です。" type="list" errorStyle="warning" imeMode="fullAlpha">
      <formula1>"　,２,３,４,５,６,７,８,９,１０,１１,１２,１３,１４,１５,１６,１７,１８,１９,２０"</formula1>
    </dataValidation>
    <dataValidation sqref="I39:M39" showDropDown="0" showInputMessage="1" showErrorMessage="1" allowBlank="1" type="list" imeMode="fullAlpha">
      <formula1>"　,５,１０,１５,２０,２５,３０"</formula1>
    </dataValidation>
    <dataValidation sqref="I11:M11" showDropDown="0" showInputMessage="1" showErrorMessage="1" allowBlank="1" type="list">
      <formula1>"　,５,１０,１５,２０,２５,３０"</formula1>
    </dataValidation>
    <dataValidation sqref="K54:AH54" showDropDown="0" showInputMessage="1" showErrorMessage="1" allowBlank="1" type="list" errorStyle="warning">
      <formula1>"　,法人の自己所有であるため。"</formula1>
    </dataValidation>
    <dataValidation sqref="L22:N22 L50:N50 X22:Z22 X50:Z50" showDropDown="0" showInputMessage="1" showErrorMessage="1" allowBlank="1" type="list" errorStyle="warning">
      <formula1>"　,平成１２,平成１３,平成１４,平成１５,平成１６,平成１７,平成１８,平成１９,平成２０,平成２１,平成２２"</formula1>
    </dataValidation>
    <dataValidation sqref="P18:S18 P20:S20 P46:S46 P48:S48 AC18:AF18 AC20:AF20 AC46:AF46 AC48:AF48" showDropDown="0" showInputMessage="1" showErrorMessage="1" allowBlank="1" prompt="半角数字で入力してください。区切記号（コンマ）は自動的に表示されますので、入力しないでください。" imeMode="halfAlpha"/>
    <dataValidation sqref="Z24:AB24 Z52:AB52" showDropDown="0" showInputMessage="1" showErrorMessage="1" allowBlank="1" type="list" errorStyle="warning">
      <formula1>"　,１,２,３,４,５"</formula1>
    </dataValidation>
    <dataValidation sqref="K31 K59 Q31 Q59 W31 W59 AC31 AC59" showDropDown="0" showInputMessage="1" showErrorMessage="1" allowBlank="1" type="list">
      <formula1>"　,○"</formula1>
    </dataValidation>
    <dataValidation sqref="M12:O12 M40:O40 Q12:S12 Q40:S40 AB12:AD12 AB40:AD40 AF12:AH12 AF40:AH40" showDropDown="0" showInputMessage="1" showErrorMessage="1" allowBlank="1" error="全角数字で入力してください" imeMode="fullAlpha"/>
    <dataValidation sqref="F4:AH4 F6:AH6 F34:AH34" showDropDown="0" showInputMessage="1" showErrorMessage="1" allowBlank="1" imeMode="halfKatakana"/>
    <dataValidation sqref="K26:AH26" showDropDown="0" showInputMessage="1" showErrorMessage="1" allowBlank="1" type="list" errorStyle="warning">
      <formula1>"　,共同生活援助に供する土地・建物が法人の自己所有であるため。"</formula1>
    </dataValidation>
    <dataValidation sqref="P22:Q22 P50:Q50 AB22:AC22 AB50:AC50" showDropDown="0" showInputMessage="1" showErrorMessage="1" allowBlank="1" type="list" imeMode="fullAlpha">
      <formula1>"　,４,５,６,７,８,９,１０,１１,１２,１,２,３"</formula1>
    </dataValidation>
    <dataValidation sqref="W27:Y27 W55 AD27:AF27 AD55:AF55" showDropDown="0" showInputMessage="1" showErrorMessage="1" allowBlank="1" error="グループホーム及びケアホームの共同生活住居の最低利用定員は２名です。" type="list" errorStyle="warning" imeMode="fullAlpha">
      <formula1>"　,２,３,４,５,６,７,８,９,１０,１１,１２,１３,１４,１５,１６,１７,１８,１９,２０"</formula1>
    </dataValidation>
    <dataValidation sqref="I12:K12 I40:K40 J8:N8 J36:N36 S22:T22 S39:U39 S50:T50 X12:Z12 X40:Z40 Y2:AH3 AC28:AD28 AC56:AD56 AE22:AF22 AE50:AF50" showDropDown="0" showInputMessage="1" showErrorMessage="1" allowBlank="1" imeMode="fullAlpha"/>
    <dataValidation sqref="K32:AH32 K60:AH60" showDropDown="0" showInputMessage="1" showErrorMessage="1" allowBlank="1" type="list" errorStyle="warning">
      <formula1>"　,法定代理受領分：厚生労働大臣が定める基準の10/100、法定代理受領分以外：厚生労働大臣が定める基準"</formula1>
    </dataValidation>
  </dataValidations>
  <pageMargins left="0.7086614173228347" right="0.5905511811023623" top="0.3937007874015748" bottom="0.3937007874015748" header="0.5118110236220472" footer="0.5118110236220472"/>
  <pageSetup orientation="portrait" paperSize="9" scale="94"/>
  <legacyDrawing xmlns:r="http://schemas.openxmlformats.org/officeDocument/2006/relationships" r:id="anysvml"/>
</worksheet>
</file>

<file path=xl/worksheets/sheet25.xml><?xml version="1.0" encoding="utf-8"?>
<worksheet xmlns="http://schemas.openxmlformats.org/spreadsheetml/2006/main">
  <sheetPr codeName="Sheet24">
    <outlinePr summaryBelow="1" summaryRight="1"/>
    <pageSetUpPr/>
  </sheetPr>
  <dimension ref="A1:AN59"/>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5"/>
    <col width="9" customWidth="1" style="1667" min="36" max="16384"/>
  </cols>
  <sheetData>
    <row r="1" ht="17.1" customHeight="1" s="4080" thickBot="1">
      <c r="A1" s="1213" t="inlineStr">
        <is>
          <t>付表１３（その３）</t>
        </is>
      </c>
      <c r="AA1" s="1753" t="n"/>
      <c r="AB1" s="4087" t="n"/>
      <c r="AC1" s="2345" t="inlineStr">
        <is>
          <t>枚／</t>
        </is>
      </c>
      <c r="AD1" s="4087" t="n"/>
      <c r="AE1" s="1753" t="n"/>
      <c r="AF1" s="4087" t="n"/>
      <c r="AG1" s="1755" t="inlineStr">
        <is>
          <t>枚</t>
        </is>
      </c>
      <c r="AH1" s="4087" t="n"/>
      <c r="AN1" s="719">
        <f>HYPERLINK("#目次!A1","目次へ戻る")</f>
        <v/>
      </c>
    </row>
    <row r="2" ht="15" customHeight="1" s="4080">
      <c r="B2" s="45" t="n"/>
      <c r="C2" s="45" t="n"/>
      <c r="E2" s="1889" t="n"/>
      <c r="J2" s="2069" t="n"/>
      <c r="K2" s="1889" t="n"/>
      <c r="P2" s="45" t="n"/>
      <c r="Q2" s="1889" t="n"/>
      <c r="R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8" customHeight="1" s="4080">
      <c r="A4" s="4650" t="inlineStr">
        <is>
          <t>主たる
事業所</t>
        </is>
      </c>
      <c r="B4" s="4356"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24" customHeight="1" s="4080" thickBot="1">
      <c r="A5" s="4086" t="n"/>
      <c r="B5" s="4410" t="n"/>
      <c r="C5" s="4268" t="inlineStr">
        <is>
          <t>名　称</t>
        </is>
      </c>
      <c r="D5" s="4098" t="n"/>
      <c r="E5" s="4099" t="n"/>
      <c r="F5" s="4651"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8" customHeight="1" s="4080">
      <c r="A6" s="4652" t="inlineStr">
        <is>
          <t>サ　テ　ラ　イ　ト　型　住　居　（１）</t>
        </is>
      </c>
      <c r="B6" s="4356" t="n"/>
      <c r="C6" s="4180" t="inlineStr">
        <is>
          <t>ﾌﾘｶﾞﾅ</t>
        </is>
      </c>
      <c r="D6" s="4093" t="n"/>
      <c r="E6" s="4094" t="n"/>
      <c r="F6" s="4095" t="n"/>
      <c r="G6" s="4093" t="n"/>
      <c r="H6" s="4093" t="n"/>
      <c r="I6" s="4093" t="n"/>
      <c r="J6" s="4093" t="n"/>
      <c r="K6" s="4093" t="n"/>
      <c r="L6" s="4093" t="n"/>
      <c r="M6" s="4093" t="n"/>
      <c r="N6" s="4093" t="n"/>
      <c r="O6" s="4093" t="n"/>
      <c r="P6" s="4093" t="n"/>
      <c r="Q6" s="4093" t="n"/>
      <c r="R6" s="4093" t="n"/>
      <c r="S6" s="4093" t="n"/>
      <c r="T6" s="4093" t="n"/>
      <c r="U6" s="4093" t="n"/>
      <c r="V6" s="4093" t="n"/>
      <c r="W6" s="4093" t="n"/>
      <c r="X6" s="4093" t="n"/>
      <c r="Y6" s="4093" t="n"/>
      <c r="Z6" s="4093" t="n"/>
      <c r="AA6" s="4093" t="n"/>
      <c r="AB6" s="4093" t="n"/>
      <c r="AC6" s="4093" t="n"/>
      <c r="AD6" s="4093" t="n"/>
      <c r="AE6" s="4093" t="n"/>
      <c r="AF6" s="4093" t="n"/>
      <c r="AG6" s="4093" t="n"/>
      <c r="AH6" s="4096" t="n"/>
    </row>
    <row r="7" ht="24" customHeight="1" s="4080">
      <c r="A7" s="4097" t="n"/>
      <c r="B7" s="4107" t="n"/>
      <c r="C7" s="4268" t="inlineStr">
        <is>
          <t>名　称</t>
        </is>
      </c>
      <c r="D7" s="4098" t="n"/>
      <c r="E7" s="4099" t="n"/>
      <c r="F7" s="4651" t="n"/>
      <c r="G7" s="4098" t="n"/>
      <c r="H7" s="4098" t="n"/>
      <c r="I7" s="4098" t="n"/>
      <c r="J7" s="4098" t="n"/>
      <c r="K7" s="4098" t="n"/>
      <c r="L7" s="4098" t="n"/>
      <c r="M7" s="4098" t="n"/>
      <c r="N7" s="4098" t="n"/>
      <c r="O7" s="4098" t="n"/>
      <c r="P7" s="4098"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20.1" customHeight="1" s="4080">
      <c r="A8" s="4097" t="n"/>
      <c r="B8" s="4107" t="n"/>
      <c r="C8" s="4181" t="inlineStr">
        <is>
          <t>所在地</t>
        </is>
      </c>
      <c r="D8" s="4098" t="n"/>
      <c r="E8" s="4099" t="n"/>
      <c r="F8" s="1244" t="inlineStr">
        <is>
          <t>郵便番号（</t>
        </is>
      </c>
      <c r="G8" s="4098" t="n"/>
      <c r="H8" s="4098" t="n"/>
      <c r="I8" s="4098" t="n"/>
      <c r="J8" s="1287" t="n"/>
      <c r="K8" s="4098" t="n"/>
      <c r="L8" s="4098" t="n"/>
      <c r="M8" s="4098" t="n"/>
      <c r="N8" s="4098" t="n"/>
      <c r="O8" s="1329" t="inlineStr">
        <is>
          <t>）</t>
        </is>
      </c>
      <c r="P8" s="4311" t="n"/>
      <c r="Q8" s="4098" t="n"/>
      <c r="R8" s="4098" t="n"/>
      <c r="S8" s="4098" t="n"/>
      <c r="T8" s="4098" t="n"/>
      <c r="U8" s="4098" t="n"/>
      <c r="V8" s="4098" t="n"/>
      <c r="W8" s="4098" t="n"/>
      <c r="X8" s="4098" t="n"/>
      <c r="Y8" s="4098" t="n"/>
      <c r="Z8" s="4098" t="n"/>
      <c r="AA8" s="4098" t="n"/>
      <c r="AB8" s="4098" t="n"/>
      <c r="AC8" s="4098" t="n"/>
      <c r="AD8" s="4098" t="n"/>
      <c r="AE8" s="4098" t="n"/>
      <c r="AF8" s="4098" t="n"/>
      <c r="AG8" s="4098" t="n"/>
      <c r="AH8" s="4101" t="n"/>
    </row>
    <row r="9" ht="18" customHeight="1" s="4080">
      <c r="A9" s="4097" t="n"/>
      <c r="B9" s="4107" t="n"/>
      <c r="C9" s="4106" t="n"/>
      <c r="E9" s="4107" t="n"/>
      <c r="F9" s="1255" t="inlineStr">
        <is>
          <t>大阪市</t>
        </is>
      </c>
      <c r="I9" s="986" t="n"/>
      <c r="N9" s="1260" t="inlineStr">
        <is>
          <t>区</t>
        </is>
      </c>
      <c r="AH9" s="4109" t="n"/>
    </row>
    <row r="10" ht="3" customHeight="1" s="4080">
      <c r="A10" s="4097" t="n"/>
      <c r="B10" s="4107" t="n"/>
      <c r="C10" s="4102" t="n"/>
      <c r="D10" s="4103" t="n"/>
      <c r="E10" s="4104" t="n"/>
      <c r="F10" s="4102" t="n"/>
      <c r="G10" s="4103" t="n"/>
      <c r="H10" s="4103" t="n"/>
      <c r="I10" s="4103" t="n"/>
      <c r="J10" s="4103" t="n"/>
      <c r="K10" s="4103" t="n"/>
      <c r="L10" s="4103" t="n"/>
      <c r="M10" s="4103" t="n"/>
      <c r="N10" s="4103" t="n"/>
      <c r="O10" s="4103" t="n"/>
      <c r="P10" s="4103" t="n"/>
      <c r="Q10" s="4103" t="n"/>
      <c r="R10" s="4103" t="n"/>
      <c r="S10" s="4103" t="n"/>
      <c r="T10" s="4103" t="n"/>
      <c r="U10" s="4103" t="n"/>
      <c r="V10" s="4103" t="n"/>
      <c r="W10" s="4103" t="n"/>
      <c r="X10" s="4103" t="n"/>
      <c r="Y10" s="4103" t="n"/>
      <c r="Z10" s="4103" t="n"/>
      <c r="AA10" s="4103" t="n"/>
      <c r="AB10" s="4103" t="n"/>
      <c r="AC10" s="4103" t="n"/>
      <c r="AD10" s="4103" t="n"/>
      <c r="AE10" s="4103" t="n"/>
      <c r="AF10" s="4103" t="n"/>
      <c r="AG10" s="4103" t="n"/>
      <c r="AH10" s="4105" t="n"/>
    </row>
    <row r="11" ht="3" customHeight="1" s="4080">
      <c r="A11" s="4097" t="n"/>
      <c r="B11" s="4107" t="n"/>
      <c r="C11" s="2851" t="inlineStr">
        <is>
          <t>建　物　の　形　態</t>
        </is>
      </c>
      <c r="D11" s="1432" t="n"/>
      <c r="E11" s="1432" t="n"/>
      <c r="F11" s="1432" t="n"/>
      <c r="G11" s="1432" t="n"/>
      <c r="H11" s="1432" t="n"/>
      <c r="I11" s="1432" t="n"/>
      <c r="J11" s="1857" t="n"/>
      <c r="K11" s="403" t="n"/>
      <c r="L11" s="1290" t="n"/>
      <c r="M11" s="1290" t="n"/>
      <c r="N11" s="1290" t="n"/>
      <c r="O11" s="1290" t="n"/>
      <c r="P11" s="1290" t="n"/>
      <c r="Q11" s="1290" t="n"/>
      <c r="R11" s="1325" t="n"/>
      <c r="AB11" s="933" t="n"/>
      <c r="AC11" s="1017" t="n"/>
      <c r="AD11" s="2852" t="n"/>
      <c r="AE11" s="2852" t="n"/>
      <c r="AF11" s="2852" t="n"/>
      <c r="AG11" s="2852" t="n"/>
      <c r="AH11" s="1668" t="n"/>
    </row>
    <row r="12" ht="15.95" customHeight="1" s="4080">
      <c r="A12" s="4097" t="n"/>
      <c r="B12" s="4107" t="n"/>
      <c r="C12" s="4122" t="n"/>
      <c r="D12" s="4654" t="inlineStr">
        <is>
          <t>住居区分</t>
        </is>
      </c>
      <c r="J12" s="4107" t="n"/>
      <c r="K12" s="404" t="n"/>
      <c r="L12" s="1889" t="inlineStr">
        <is>
          <t>アパート</t>
        </is>
      </c>
      <c r="O12" s="2069" t="inlineStr">
        <is>
          <t>・</t>
        </is>
      </c>
      <c r="P12" s="1889" t="inlineStr">
        <is>
          <t>マンション</t>
        </is>
      </c>
      <c r="T12" s="2069" t="inlineStr">
        <is>
          <t>・</t>
        </is>
      </c>
      <c r="U12" s="1889" t="inlineStr">
        <is>
          <t>その他</t>
        </is>
      </c>
      <c r="X12" s="936" t="inlineStr">
        <is>
          <t>（</t>
        </is>
      </c>
      <c r="Y12" s="1626" t="n"/>
      <c r="AH12" s="1668" t="inlineStr">
        <is>
          <t>）</t>
        </is>
      </c>
    </row>
    <row r="13" ht="3" customHeight="1" s="4080">
      <c r="A13" s="4097" t="n"/>
      <c r="B13" s="4107" t="n"/>
      <c r="C13" s="4122" t="n"/>
      <c r="D13" s="1290" t="n"/>
      <c r="E13" s="1290" t="n"/>
      <c r="F13" s="1290" t="n"/>
      <c r="G13" s="1290" t="n"/>
      <c r="H13" s="1290" t="n"/>
      <c r="I13" s="1290" t="n"/>
      <c r="J13" s="1291" t="n"/>
      <c r="K13" s="1889" t="n"/>
      <c r="L13" s="1889" t="n"/>
      <c r="M13" s="1889" t="n"/>
      <c r="O13" s="1889" t="n"/>
      <c r="P13" s="1889" t="n"/>
      <c r="Q13" s="1889" t="n"/>
      <c r="S13" s="1889" t="n"/>
      <c r="T13" s="1889" t="n"/>
      <c r="U13" s="1889" t="n"/>
      <c r="V13" s="1889" t="n"/>
      <c r="X13" s="1889" t="n"/>
      <c r="Y13" s="1889" t="n"/>
      <c r="Z13" s="1889" t="n"/>
      <c r="AB13" s="939" t="n"/>
      <c r="AC13" s="2854" t="n"/>
      <c r="AD13" s="2854" t="n"/>
      <c r="AE13" s="2854" t="n"/>
      <c r="AF13" s="2854" t="n"/>
      <c r="AG13" s="2854" t="n"/>
      <c r="AH13" s="1668" t="n"/>
    </row>
    <row r="14" ht="20.1" customHeight="1" s="4080">
      <c r="A14" s="4097" t="n"/>
      <c r="B14" s="4107" t="n"/>
      <c r="C14" s="4122" t="n"/>
      <c r="D14" s="4184" t="inlineStr">
        <is>
          <t>建物所有者名</t>
        </is>
      </c>
      <c r="E14" s="4110" t="n"/>
      <c r="F14" s="4110" t="n"/>
      <c r="G14" s="4110" t="n"/>
      <c r="H14" s="4110" t="n"/>
      <c r="I14" s="4110" t="n"/>
      <c r="J14" s="4111" t="n"/>
      <c r="K14" s="4655" t="n"/>
      <c r="L14" s="4110" t="n"/>
      <c r="M14" s="4110" t="n"/>
      <c r="N14" s="4110" t="n"/>
      <c r="O14" s="4110" t="n"/>
      <c r="P14" s="4110" t="n"/>
      <c r="Q14" s="4110" t="n"/>
      <c r="R14" s="4110" t="n"/>
      <c r="S14" s="4110" t="n"/>
      <c r="T14" s="4110" t="n"/>
      <c r="U14" s="4110" t="n"/>
      <c r="V14" s="4110" t="n"/>
      <c r="W14" s="4110" t="n"/>
      <c r="X14" s="4110" t="n"/>
      <c r="Y14" s="4110" t="n"/>
      <c r="Z14" s="4110" t="n"/>
      <c r="AA14" s="4110" t="n"/>
      <c r="AB14" s="4110" t="n"/>
      <c r="AC14" s="4110" t="n"/>
      <c r="AD14" s="4110" t="n"/>
      <c r="AE14" s="4110" t="n"/>
      <c r="AF14" s="4110" t="n"/>
      <c r="AG14" s="4110" t="n"/>
      <c r="AH14" s="4113" t="n"/>
    </row>
    <row r="15" ht="3" customHeight="1" s="4080">
      <c r="A15" s="4097" t="n"/>
      <c r="B15" s="4107" t="n"/>
      <c r="C15" s="4122" t="n"/>
      <c r="D15" s="4184" t="inlineStr">
        <is>
          <t>賃貸借契約の内容</t>
        </is>
      </c>
      <c r="E15" s="4098" t="n"/>
      <c r="F15" s="4099" t="n"/>
      <c r="G15" s="4274" t="inlineStr">
        <is>
          <t>敷金・家賃等</t>
        </is>
      </c>
      <c r="H15" s="4098" t="n"/>
      <c r="I15" s="4098" t="n"/>
      <c r="J15" s="4099" t="n"/>
      <c r="K15" s="403" t="n"/>
      <c r="L15" s="1290" t="n"/>
      <c r="M15" s="1290" t="n"/>
      <c r="N15" s="1290" t="n"/>
      <c r="O15" s="1290" t="n"/>
      <c r="P15" s="1290" t="n"/>
      <c r="Q15" s="1290" t="n"/>
      <c r="R15" s="1325" t="n"/>
      <c r="AB15" s="406" t="n"/>
      <c r="AC15" s="406" t="n"/>
      <c r="AD15" s="406" t="n"/>
      <c r="AE15" s="406" t="n"/>
      <c r="AF15" s="406" t="n"/>
      <c r="AG15" s="406" t="n"/>
      <c r="AH15" s="1668" t="n"/>
    </row>
    <row r="16" ht="15.95" customHeight="1" s="4080">
      <c r="A16" s="4097" t="n"/>
      <c r="B16" s="4107" t="n"/>
      <c r="C16" s="4122" t="n"/>
      <c r="D16" s="4106" t="n"/>
      <c r="F16" s="4107" t="n"/>
      <c r="G16" s="4106" t="n"/>
      <c r="J16" s="4107" t="n"/>
      <c r="K16" s="1354" t="inlineStr">
        <is>
          <t>ア</t>
        </is>
      </c>
      <c r="L16" s="1290" t="inlineStr">
        <is>
          <t>敷金</t>
        </is>
      </c>
      <c r="O16" s="407" t="inlineStr">
        <is>
          <t>（</t>
        </is>
      </c>
      <c r="P16" s="4656" t="n"/>
      <c r="Q16" s="4657" t="n"/>
      <c r="R16" s="4657" t="n"/>
      <c r="S16" s="4657" t="n"/>
      <c r="T16" s="2813" t="inlineStr">
        <is>
          <t>）円</t>
        </is>
      </c>
      <c r="U16" s="4657" t="n"/>
      <c r="W16" s="1355" t="inlineStr">
        <is>
          <t>イ</t>
        </is>
      </c>
      <c r="X16" s="1290" t="inlineStr">
        <is>
          <t>保証金</t>
        </is>
      </c>
      <c r="AB16" s="407" t="inlineStr">
        <is>
          <t>（</t>
        </is>
      </c>
      <c r="AC16" s="4656" t="n"/>
      <c r="AD16" s="4657" t="n"/>
      <c r="AE16" s="4657" t="n"/>
      <c r="AF16" s="4657" t="n"/>
      <c r="AG16" s="2810" t="inlineStr">
        <is>
          <t>）円</t>
        </is>
      </c>
      <c r="AH16" s="4658" t="n"/>
    </row>
    <row r="17" ht="3" customHeight="1" s="4080">
      <c r="A17" s="4097" t="n"/>
      <c r="B17" s="4107" t="n"/>
      <c r="C17" s="4122" t="n"/>
      <c r="D17" s="4106" t="n"/>
      <c r="F17" s="4107" t="n"/>
      <c r="G17" s="4106" t="n"/>
      <c r="J17" s="4107" t="n"/>
      <c r="K17" s="403" t="n"/>
      <c r="L17" s="1290" t="n"/>
      <c r="M17" s="1290" t="n"/>
      <c r="N17" s="1290" t="n"/>
      <c r="O17" s="1290" t="n"/>
      <c r="P17" s="1290" t="n"/>
      <c r="Q17" s="1290" t="n"/>
      <c r="R17" s="1325" t="n"/>
      <c r="AB17" s="408" t="n"/>
      <c r="AC17" s="408" t="n"/>
      <c r="AD17" s="408" t="n"/>
      <c r="AE17" s="408" t="n"/>
      <c r="AF17" s="408" t="n"/>
      <c r="AG17" s="408" t="n"/>
      <c r="AH17" s="1668" t="n"/>
    </row>
    <row r="18" ht="15.95" customHeight="1" s="4080">
      <c r="A18" s="4097" t="n"/>
      <c r="B18" s="4107" t="n"/>
      <c r="C18" s="4122" t="n"/>
      <c r="D18" s="4106" t="n"/>
      <c r="F18" s="4107" t="n"/>
      <c r="G18" s="4106" t="n"/>
      <c r="J18" s="4107" t="n"/>
      <c r="K18" s="1354" t="inlineStr">
        <is>
          <t>ウ</t>
        </is>
      </c>
      <c r="L18" s="1290" t="inlineStr">
        <is>
          <t>礼金</t>
        </is>
      </c>
      <c r="O18" s="45" t="inlineStr">
        <is>
          <t>（</t>
        </is>
      </c>
      <c r="P18" s="4656" t="n"/>
      <c r="Q18" s="4657" t="n"/>
      <c r="R18" s="4657" t="n"/>
      <c r="S18" s="4657" t="n"/>
      <c r="T18" s="1658" t="inlineStr">
        <is>
          <t>）円</t>
        </is>
      </c>
      <c r="V18" s="409" t="n"/>
      <c r="W18" s="1355" t="inlineStr">
        <is>
          <t>エ</t>
        </is>
      </c>
      <c r="X18" s="1290" t="inlineStr">
        <is>
          <t>家賃(月額)</t>
        </is>
      </c>
      <c r="AB18" s="407" t="inlineStr">
        <is>
          <t>（</t>
        </is>
      </c>
      <c r="AC18" s="4656" t="n"/>
      <c r="AD18" s="4657" t="n"/>
      <c r="AE18" s="4657" t="n"/>
      <c r="AF18" s="4657" t="n"/>
      <c r="AG18" s="2810" t="inlineStr">
        <is>
          <t>）円</t>
        </is>
      </c>
      <c r="AH18" s="4658" t="n"/>
    </row>
    <row r="19" ht="3" customHeight="1" s="4080">
      <c r="A19" s="4097" t="n"/>
      <c r="B19" s="4107" t="n"/>
      <c r="C19" s="4122" t="n"/>
      <c r="D19" s="4106" t="n"/>
      <c r="F19" s="4107" t="n"/>
      <c r="G19" s="4102" t="n"/>
      <c r="H19" s="4103" t="n"/>
      <c r="I19" s="4103" t="n"/>
      <c r="J19" s="4104" t="n"/>
      <c r="K19" s="403" t="n"/>
      <c r="L19" s="1290" t="n"/>
      <c r="M19" s="1290" t="n"/>
      <c r="N19" s="1290" t="n"/>
      <c r="O19" s="1290" t="n"/>
      <c r="P19" s="1290" t="n"/>
      <c r="Q19" s="1290" t="n"/>
      <c r="R19" s="1325" t="n"/>
      <c r="AB19" s="408" t="n"/>
      <c r="AC19" s="408" t="n"/>
      <c r="AD19" s="408" t="n"/>
      <c r="AE19" s="408" t="n"/>
      <c r="AF19" s="408" t="n"/>
      <c r="AG19" s="408" t="n"/>
      <c r="AH19" s="1668" t="n"/>
    </row>
    <row r="20" ht="18" customHeight="1" s="4080">
      <c r="A20" s="4097" t="n"/>
      <c r="B20" s="4107" t="n"/>
      <c r="C20" s="4122" t="n"/>
      <c r="D20" s="4106" t="n"/>
      <c r="F20" s="4107" t="n"/>
      <c r="G20" s="1265" t="inlineStr">
        <is>
          <t>契約期間</t>
        </is>
      </c>
      <c r="H20" s="4098" t="n"/>
      <c r="I20" s="4098" t="n"/>
      <c r="J20" s="4099" t="n"/>
      <c r="K20" s="336" t="n"/>
      <c r="L20" s="2825" t="n"/>
      <c r="M20" s="4486" t="n"/>
      <c r="N20" s="4486" t="n"/>
      <c r="O20" s="1245" t="inlineStr">
        <is>
          <t>年</t>
        </is>
      </c>
      <c r="P20" s="981" t="n"/>
      <c r="Q20" s="4098" t="n"/>
      <c r="R20" s="108" t="inlineStr">
        <is>
          <t>月</t>
        </is>
      </c>
      <c r="S20" s="2825" t="n"/>
      <c r="T20" s="4486" t="n"/>
      <c r="U20" s="2826" t="inlineStr">
        <is>
          <t>日～</t>
        </is>
      </c>
      <c r="V20" s="4486" t="n"/>
      <c r="W20" s="4486" t="n"/>
      <c r="X20" s="2825" t="n"/>
      <c r="Y20" s="4486" t="n"/>
      <c r="Z20" s="4486" t="n"/>
      <c r="AA20" s="108" t="inlineStr">
        <is>
          <t>年</t>
        </is>
      </c>
      <c r="AB20" s="981" t="n"/>
      <c r="AC20" s="4098" t="n"/>
      <c r="AD20" s="1329" t="inlineStr">
        <is>
          <t>月</t>
        </is>
      </c>
      <c r="AE20" s="981" t="n"/>
      <c r="AF20" s="4098" t="n"/>
      <c r="AG20" s="1329" t="inlineStr">
        <is>
          <t>日</t>
        </is>
      </c>
      <c r="AH20" s="411" t="n"/>
    </row>
    <row r="21" ht="3" customHeight="1" s="4080">
      <c r="A21" s="4097" t="n"/>
      <c r="B21" s="4107" t="n"/>
      <c r="C21" s="4122" t="n"/>
      <c r="D21" s="4106" t="n"/>
      <c r="F21" s="4107" t="n"/>
      <c r="J21" s="4107" t="n"/>
      <c r="K21" s="4659" t="inlineStr">
        <is>
          <t>契約の自動更新条項の有無</t>
        </is>
      </c>
      <c r="L21" s="4320" t="n"/>
      <c r="M21" s="4320" t="n"/>
      <c r="N21" s="4320" t="n"/>
      <c r="O21" s="4320" t="n"/>
      <c r="P21" s="4320" t="n"/>
      <c r="Q21" s="4320" t="n"/>
      <c r="R21" s="4320" t="n"/>
      <c r="S21" s="4320" t="n"/>
      <c r="T21" s="4320" t="n"/>
      <c r="U21" s="4320" t="n"/>
      <c r="V21" s="4321" t="n"/>
      <c r="W21" s="412" t="n"/>
      <c r="X21" s="412" t="n"/>
      <c r="Y21" s="412" t="n"/>
      <c r="Z21" s="412" t="n"/>
      <c r="AA21" s="412" t="n"/>
      <c r="AB21" s="412" t="n"/>
      <c r="AC21" s="412" t="n"/>
      <c r="AD21" s="412" t="n"/>
      <c r="AE21" s="412" t="n"/>
      <c r="AF21" s="412" t="n"/>
      <c r="AG21" s="412" t="n"/>
      <c r="AH21" s="413" t="n"/>
    </row>
    <row r="22" ht="15.95" customHeight="1" s="4080">
      <c r="A22" s="4097" t="n"/>
      <c r="B22" s="4107" t="n"/>
      <c r="C22" s="4122" t="n"/>
      <c r="D22" s="4106" t="n"/>
      <c r="F22" s="4107" t="n"/>
      <c r="J22" s="4107" t="n"/>
      <c r="K22" s="4106" t="n"/>
      <c r="V22" s="4107" t="n"/>
      <c r="W22" s="414" t="n"/>
      <c r="X22" s="1325" t="inlineStr">
        <is>
          <t>有</t>
        </is>
      </c>
      <c r="Y22" s="1325" t="inlineStr">
        <is>
          <t>（</t>
        </is>
      </c>
      <c r="Z22" s="1626" t="n"/>
      <c r="AC22" s="1355" t="inlineStr">
        <is>
          <t>年ごと）・</t>
        </is>
      </c>
      <c r="AG22" s="1325" t="inlineStr">
        <is>
          <t>無</t>
        </is>
      </c>
      <c r="AH22" s="415" t="n"/>
    </row>
    <row r="23" ht="3" customHeight="1" s="4080">
      <c r="A23" s="4097" t="n"/>
      <c r="B23" s="4107" t="n"/>
      <c r="C23" s="4122" t="n"/>
      <c r="D23" s="4106" t="n"/>
      <c r="F23" s="4107" t="n"/>
      <c r="G23" s="4103" t="n"/>
      <c r="H23" s="4103" t="n"/>
      <c r="I23" s="4103" t="n"/>
      <c r="J23" s="4104" t="n"/>
      <c r="K23" s="4102" t="n"/>
      <c r="L23" s="4103" t="n"/>
      <c r="M23" s="4103" t="n"/>
      <c r="N23" s="4103" t="n"/>
      <c r="O23" s="4103" t="n"/>
      <c r="P23" s="4103" t="n"/>
      <c r="Q23" s="4103" t="n"/>
      <c r="R23" s="4103" t="n"/>
      <c r="S23" s="4103" t="n"/>
      <c r="T23" s="4103" t="n"/>
      <c r="U23" s="4103" t="n"/>
      <c r="V23" s="4104" t="n"/>
      <c r="W23" s="416" t="n"/>
      <c r="X23" s="416" t="n"/>
      <c r="Y23" s="416" t="n"/>
      <c r="Z23" s="416" t="n"/>
      <c r="AA23" s="416" t="n"/>
      <c r="AB23" s="416" t="n"/>
      <c r="AC23" s="416" t="n"/>
      <c r="AD23" s="416" t="n"/>
      <c r="AE23" s="416" t="n"/>
      <c r="AF23" s="416" t="n"/>
      <c r="AG23" s="416" t="n"/>
      <c r="AH23" s="417" t="n"/>
    </row>
    <row r="24" ht="20.1" customHeight="1" s="4080">
      <c r="A24" s="4097" t="n"/>
      <c r="B24" s="4107" t="n"/>
      <c r="C24" s="4122" t="n"/>
      <c r="D24" s="4102" t="n"/>
      <c r="E24" s="4103" t="n"/>
      <c r="F24" s="4104" t="n"/>
      <c r="G24" s="2824" t="inlineStr">
        <is>
          <t>賃貸料がない
場合の理由</t>
        </is>
      </c>
      <c r="H24" s="4110" t="n"/>
      <c r="I24" s="4110" t="n"/>
      <c r="J24" s="4111" t="n"/>
      <c r="K24" s="4230" t="n"/>
      <c r="L24" s="4110" t="n"/>
      <c r="M24" s="4110" t="n"/>
      <c r="N24" s="4110" t="n"/>
      <c r="O24" s="4110" t="n"/>
      <c r="P24" s="4110" t="n"/>
      <c r="Q24" s="4110" t="n"/>
      <c r="R24" s="4110" t="n"/>
      <c r="S24" s="4110" t="n"/>
      <c r="T24" s="4110" t="n"/>
      <c r="U24" s="4110" t="n"/>
      <c r="V24" s="4110" t="n"/>
      <c r="W24" s="4110" t="n"/>
      <c r="X24" s="4110" t="n"/>
      <c r="Y24" s="4110" t="n"/>
      <c r="Z24" s="4110" t="n"/>
      <c r="AA24" s="4110" t="n"/>
      <c r="AB24" s="4110" t="n"/>
      <c r="AC24" s="4110" t="n"/>
      <c r="AD24" s="4110" t="n"/>
      <c r="AE24" s="4110" t="n"/>
      <c r="AF24" s="4110" t="n"/>
      <c r="AG24" s="4110" t="n"/>
      <c r="AH24" s="4113" t="n"/>
    </row>
    <row r="25" ht="15" customHeight="1" s="4080">
      <c r="A25" s="4097" t="n"/>
      <c r="B25" s="4107" t="n"/>
      <c r="C25" s="4122" t="n"/>
      <c r="D25" s="4662" t="inlineStr">
        <is>
          <t>住居の利用定員</t>
        </is>
      </c>
      <c r="E25" s="4098" t="n"/>
      <c r="F25" s="4098" t="n"/>
      <c r="G25" s="4098" t="n"/>
      <c r="H25" s="4098" t="n"/>
      <c r="I25" s="4098" t="n"/>
      <c r="J25" s="4099" t="n"/>
      <c r="K25" s="2903" t="n"/>
      <c r="L25" s="4103" t="n"/>
      <c r="M25" s="4103" t="n"/>
      <c r="N25" s="4103" t="n"/>
      <c r="O25" s="4103" t="n"/>
      <c r="P25" s="2837" t="inlineStr">
        <is>
          <t>人</t>
        </is>
      </c>
      <c r="Q25" s="4663" t="inlineStr">
        <is>
          <t>居室の最小床面積</t>
        </is>
      </c>
      <c r="R25" s="4110" t="n"/>
      <c r="S25" s="4110" t="n"/>
      <c r="T25" s="4110" t="n"/>
      <c r="U25" s="4110" t="n"/>
      <c r="V25" s="4111" t="n"/>
      <c r="W25" s="998" t="n"/>
      <c r="X25" s="4110" t="n"/>
      <c r="Y25" s="4110" t="n"/>
      <c r="Z25" s="4110" t="n"/>
      <c r="AA25" s="4110" t="n"/>
      <c r="AB25" s="4110" t="n"/>
      <c r="AC25" s="4110" t="n"/>
      <c r="AD25" s="4110" t="n"/>
      <c r="AE25" s="4110" t="n"/>
      <c r="AF25" s="4110" t="n"/>
      <c r="AG25" s="4110" t="n"/>
      <c r="AH25" s="2827" t="inlineStr">
        <is>
          <t>㎡</t>
        </is>
      </c>
    </row>
    <row r="26" ht="30" customHeight="1" s="4080">
      <c r="A26" s="4097" t="n"/>
      <c r="B26" s="4107" t="n"/>
      <c r="C26" s="4122" t="n"/>
      <c r="D26" s="4662" t="inlineStr">
        <is>
          <t>本体住居の名称</t>
        </is>
      </c>
      <c r="E26" s="4098" t="n"/>
      <c r="F26" s="4098" t="n"/>
      <c r="G26" s="4098" t="n"/>
      <c r="H26" s="4098" t="n"/>
      <c r="I26" s="4098" t="n"/>
      <c r="J26" s="4099" t="n"/>
      <c r="K26" s="4679" t="n"/>
      <c r="L26" s="4110" t="n"/>
      <c r="M26" s="4110" t="n"/>
      <c r="N26" s="4110" t="n"/>
      <c r="O26" s="4110" t="n"/>
      <c r="P26" s="4110" t="n"/>
      <c r="Q26" s="4110" t="n"/>
      <c r="R26" s="4110" t="n"/>
      <c r="S26" s="4110" t="n"/>
      <c r="T26" s="4110" t="n"/>
      <c r="U26" s="4110" t="n"/>
      <c r="V26" s="4110" t="n"/>
      <c r="W26" s="4110" t="n"/>
      <c r="X26" s="4110" t="n"/>
      <c r="Y26" s="4110" t="n"/>
      <c r="Z26" s="4110" t="n"/>
      <c r="AA26" s="4110" t="n"/>
      <c r="AB26" s="4110" t="n"/>
      <c r="AC26" s="4110" t="n"/>
      <c r="AD26" s="4110" t="n"/>
      <c r="AE26" s="4110" t="n"/>
      <c r="AF26" s="4110" t="n"/>
      <c r="AG26" s="4110" t="n"/>
      <c r="AH26" s="4113" t="n"/>
    </row>
    <row r="27" ht="30" customHeight="1" s="4080">
      <c r="A27" s="4097" t="n"/>
      <c r="B27" s="4107" t="n"/>
      <c r="C27" s="4122" t="n"/>
      <c r="D27" s="4662" t="inlineStr">
        <is>
          <t>本体住居との距離</t>
        </is>
      </c>
      <c r="E27" s="4098" t="n"/>
      <c r="F27" s="4098" t="n"/>
      <c r="G27" s="4098" t="n"/>
      <c r="H27" s="4098" t="n"/>
      <c r="I27" s="4098" t="n"/>
      <c r="J27" s="4099" t="n"/>
      <c r="K27" s="2899" t="n"/>
      <c r="L27" s="4110" t="n"/>
      <c r="M27" s="4110" t="n"/>
      <c r="N27" s="4110" t="n"/>
      <c r="O27" s="4110" t="n"/>
      <c r="P27" s="4110" t="n"/>
      <c r="Q27" s="2901" t="inlineStr">
        <is>
          <t>ｋｍ（</t>
        </is>
      </c>
      <c r="R27" s="4110" t="n"/>
      <c r="S27" s="4110" t="n"/>
      <c r="T27" s="2900" t="n"/>
      <c r="U27" s="4110" t="n"/>
      <c r="V27" s="4110" t="n"/>
      <c r="W27" s="4110" t="n"/>
      <c r="X27" s="2902" t="inlineStr">
        <is>
          <t>分以内）</t>
        </is>
      </c>
      <c r="Y27" s="4110" t="n"/>
      <c r="Z27" s="4110" t="n"/>
      <c r="AA27" s="4110" t="n"/>
      <c r="AB27" s="421" t="n"/>
      <c r="AC27" s="421" t="n"/>
      <c r="AD27" s="421" t="n"/>
      <c r="AE27" s="421" t="n"/>
      <c r="AF27" s="421" t="n"/>
      <c r="AG27" s="421" t="n"/>
      <c r="AH27" s="422" t="n"/>
    </row>
    <row r="28" ht="30" customHeight="1" s="4080">
      <c r="A28" s="4097" t="n"/>
      <c r="B28" s="4107" t="n"/>
      <c r="C28" s="4122" t="n"/>
      <c r="D28" s="4680" t="inlineStr">
        <is>
          <t>利用者が本体住居への
連絡に使用する通信機器</t>
        </is>
      </c>
      <c r="E28" s="4110" t="n"/>
      <c r="F28" s="4110" t="n"/>
      <c r="G28" s="4110" t="n"/>
      <c r="H28" s="4110" t="n"/>
      <c r="I28" s="4110" t="n"/>
      <c r="J28" s="4111" t="n"/>
      <c r="K28" s="4681" t="n"/>
      <c r="L28" s="4110" t="n"/>
      <c r="M28" s="4110" t="n"/>
      <c r="N28" s="4110" t="n"/>
      <c r="O28" s="4110" t="n"/>
      <c r="P28" s="4110" t="n"/>
      <c r="Q28" s="4110" t="n"/>
      <c r="R28" s="4110" t="n"/>
      <c r="S28" s="4110" t="n"/>
      <c r="T28" s="4110" t="n"/>
      <c r="U28" s="4110" t="n"/>
      <c r="V28" s="4110" t="n"/>
      <c r="W28" s="4110" t="n"/>
      <c r="X28" s="4110" t="n"/>
      <c r="Y28" s="4110" t="n"/>
      <c r="Z28" s="4110" t="n"/>
      <c r="AA28" s="4110" t="n"/>
      <c r="AB28" s="4110" t="n"/>
      <c r="AC28" s="4110" t="n"/>
      <c r="AD28" s="4110" t="n"/>
      <c r="AE28" s="4110" t="n"/>
      <c r="AF28" s="4110" t="n"/>
      <c r="AG28" s="4110" t="n"/>
      <c r="AH28" s="4113" t="n"/>
    </row>
    <row r="29" ht="15" customHeight="1" s="4080">
      <c r="A29" s="4097" t="n"/>
      <c r="B29" s="4107" t="n"/>
      <c r="C29" s="4122" t="n"/>
      <c r="D29" s="4663" t="inlineStr">
        <is>
          <t>サービスを提供
する主たる対象者</t>
        </is>
      </c>
      <c r="E29" s="4098" t="n"/>
      <c r="F29" s="4098" t="n"/>
      <c r="G29" s="4098" t="n"/>
      <c r="H29" s="4098" t="n"/>
      <c r="I29" s="4098" t="n"/>
      <c r="J29" s="4099" t="n"/>
      <c r="K29" s="1669" t="inlineStr">
        <is>
          <t>身体障害者</t>
        </is>
      </c>
      <c r="L29" s="4138" t="n"/>
      <c r="M29" s="4138" t="n"/>
      <c r="N29" s="4138" t="n"/>
      <c r="O29" s="4138" t="n"/>
      <c r="P29" s="4139" t="n"/>
      <c r="Q29" s="1669" t="inlineStr">
        <is>
          <t>知的障害者</t>
        </is>
      </c>
      <c r="R29" s="4138" t="n"/>
      <c r="S29" s="4138" t="n"/>
      <c r="T29" s="4138" t="n"/>
      <c r="U29" s="4138" t="n"/>
      <c r="V29" s="4139" t="n"/>
      <c r="W29" s="1669" t="inlineStr">
        <is>
          <t>精神障害者</t>
        </is>
      </c>
      <c r="X29" s="4138" t="n"/>
      <c r="Y29" s="4138" t="n"/>
      <c r="Z29" s="4138" t="n"/>
      <c r="AA29" s="4138" t="n"/>
      <c r="AB29" s="4139" t="n"/>
      <c r="AC29" s="4664" t="inlineStr">
        <is>
          <t>難病等対象者</t>
        </is>
      </c>
      <c r="AD29" s="4138" t="n"/>
      <c r="AE29" s="4138" t="n"/>
      <c r="AF29" s="4138" t="n"/>
      <c r="AG29" s="4138" t="n"/>
      <c r="AH29" s="4246" t="n"/>
    </row>
    <row r="30" ht="15" customHeight="1" s="4080">
      <c r="A30" s="4097" t="n"/>
      <c r="B30" s="4107" t="n"/>
      <c r="C30" s="4122" t="n"/>
      <c r="D30" s="4102" t="n"/>
      <c r="E30" s="4103" t="n"/>
      <c r="F30" s="4103" t="n"/>
      <c r="G30" s="4103" t="n"/>
      <c r="H30" s="4103" t="n"/>
      <c r="I30" s="4103" t="n"/>
      <c r="J30" s="4104" t="n"/>
      <c r="K30" s="1663" t="n"/>
      <c r="L30" s="4140" t="n"/>
      <c r="M30" s="4140" t="n"/>
      <c r="N30" s="4140" t="n"/>
      <c r="O30" s="4140" t="n"/>
      <c r="P30" s="4141" t="n"/>
      <c r="Q30" s="1663" t="n"/>
      <c r="R30" s="4140" t="n"/>
      <c r="S30" s="4140" t="n"/>
      <c r="T30" s="4140" t="n"/>
      <c r="U30" s="4140" t="n"/>
      <c r="V30" s="4141" t="n"/>
      <c r="W30" s="1663" t="n"/>
      <c r="X30" s="4140" t="n"/>
      <c r="Y30" s="4140" t="n"/>
      <c r="Z30" s="4140" t="n"/>
      <c r="AA30" s="4140" t="n"/>
      <c r="AB30" s="4141" t="n"/>
      <c r="AC30" s="3101" t="n"/>
      <c r="AD30" s="4140" t="n"/>
      <c r="AE30" s="4140" t="n"/>
      <c r="AF30" s="4140" t="n"/>
      <c r="AG30" s="4140" t="n"/>
      <c r="AH30" s="4252" t="n"/>
    </row>
    <row r="31" ht="20.1" customHeight="1" s="4080">
      <c r="A31" s="4097" t="n"/>
      <c r="B31" s="4107" t="n"/>
      <c r="C31" s="4122" t="n"/>
      <c r="D31" s="4184" t="inlineStr">
        <is>
          <t>利用料</t>
        </is>
      </c>
      <c r="E31" s="4110" t="n"/>
      <c r="F31" s="4110" t="n"/>
      <c r="G31" s="4110" t="n"/>
      <c r="H31" s="4110" t="n"/>
      <c r="I31" s="4110" t="n"/>
      <c r="J31" s="4111" t="n"/>
      <c r="K31" s="4227" t="n"/>
      <c r="L31" s="4110" t="n"/>
      <c r="M31" s="4110" t="n"/>
      <c r="N31" s="4110" t="n"/>
      <c r="O31" s="4110" t="n"/>
      <c r="P31" s="4110" t="n"/>
      <c r="Q31" s="4110" t="n"/>
      <c r="R31" s="4110" t="n"/>
      <c r="S31" s="4110" t="n"/>
      <c r="T31" s="4110" t="n"/>
      <c r="U31" s="4110" t="n"/>
      <c r="V31" s="4110" t="n"/>
      <c r="W31" s="4110" t="n"/>
      <c r="X31" s="4110" t="n"/>
      <c r="Y31" s="4110" t="n"/>
      <c r="Z31" s="4110" t="n"/>
      <c r="AA31" s="4110" t="n"/>
      <c r="AB31" s="4110" t="n"/>
      <c r="AC31" s="4110" t="n"/>
      <c r="AD31" s="4110" t="n"/>
      <c r="AE31" s="4110" t="n"/>
      <c r="AF31" s="4110" t="n"/>
      <c r="AG31" s="4110" t="n"/>
      <c r="AH31" s="4113" t="n"/>
    </row>
    <row r="32" ht="37.5" customHeight="1" s="4080" thickBot="1">
      <c r="A32" s="4097" t="n"/>
      <c r="B32" s="4107" t="n"/>
      <c r="C32" s="4122" t="n"/>
      <c r="D32" s="4665" t="inlineStr">
        <is>
          <t>その他の費用</t>
        </is>
      </c>
      <c r="E32" s="4153" t="n"/>
      <c r="F32" s="4153" t="n"/>
      <c r="G32" s="4153" t="n"/>
      <c r="H32" s="4153" t="n"/>
      <c r="I32" s="4153" t="n"/>
      <c r="J32" s="4154" t="n"/>
      <c r="K32" s="4666" t="n"/>
      <c r="L32" s="4153" t="n"/>
      <c r="M32" s="4153" t="n"/>
      <c r="N32" s="4153" t="n"/>
      <c r="O32" s="4153" t="n"/>
      <c r="P32" s="4153" t="n"/>
      <c r="Q32" s="4153" t="n"/>
      <c r="R32" s="4153" t="n"/>
      <c r="S32" s="4153" t="n"/>
      <c r="T32" s="4153" t="n"/>
      <c r="U32" s="4153" t="n"/>
      <c r="V32" s="4153" t="n"/>
      <c r="W32" s="4153" t="n"/>
      <c r="X32" s="4153" t="n"/>
      <c r="Y32" s="4153" t="n"/>
      <c r="Z32" s="4153" t="n"/>
      <c r="AA32" s="4153" t="n"/>
      <c r="AB32" s="4153" t="n"/>
      <c r="AC32" s="4153" t="n"/>
      <c r="AD32" s="4153" t="n"/>
      <c r="AE32" s="4153" t="n"/>
      <c r="AF32" s="4153" t="n"/>
      <c r="AG32" s="4153" t="n"/>
      <c r="AH32" s="4155" t="n"/>
    </row>
    <row r="33" ht="20.1" customHeight="1" s="4080">
      <c r="A33" s="4667" t="inlineStr">
        <is>
          <t>サ　テ　ラ　イ　ト　型　住　居　（２）</t>
        </is>
      </c>
      <c r="B33" s="4356" t="n"/>
      <c r="C33" s="4180" t="inlineStr">
        <is>
          <t>ﾌﾘｶﾞﾅ</t>
        </is>
      </c>
      <c r="D33" s="4093" t="n"/>
      <c r="E33" s="4094" t="n"/>
      <c r="F33" s="4095" t="n"/>
      <c r="G33" s="4093" t="n"/>
      <c r="H33" s="4093" t="n"/>
      <c r="I33" s="4093" t="n"/>
      <c r="J33" s="4093" t="n"/>
      <c r="K33" s="4093" t="n"/>
      <c r="L33" s="4093" t="n"/>
      <c r="M33" s="4093" t="n"/>
      <c r="N33" s="4093" t="n"/>
      <c r="O33" s="4093" t="n"/>
      <c r="P33" s="4093" t="n"/>
      <c r="Q33" s="4093" t="n"/>
      <c r="R33" s="4093" t="n"/>
      <c r="S33" s="4093" t="n"/>
      <c r="T33" s="4093" t="n"/>
      <c r="U33" s="4093" t="n"/>
      <c r="V33" s="4093" t="n"/>
      <c r="W33" s="4093" t="n"/>
      <c r="X33" s="4093" t="n"/>
      <c r="Y33" s="4093" t="n"/>
      <c r="Z33" s="4093" t="n"/>
      <c r="AA33" s="4093" t="n"/>
      <c r="AB33" s="4093" t="n"/>
      <c r="AC33" s="4093" t="n"/>
      <c r="AD33" s="4093" t="n"/>
      <c r="AE33" s="4093" t="n"/>
      <c r="AF33" s="4093" t="n"/>
      <c r="AG33" s="4093" t="n"/>
      <c r="AH33" s="4096" t="n"/>
    </row>
    <row r="34" ht="24" customHeight="1" s="4080">
      <c r="A34" s="4097" t="n"/>
      <c r="B34" s="4107" t="n"/>
      <c r="C34" s="4268" t="inlineStr">
        <is>
          <t>名　称</t>
        </is>
      </c>
      <c r="D34" s="4098" t="n"/>
      <c r="E34" s="4099" t="n"/>
      <c r="F34" s="4651" t="n"/>
      <c r="G34" s="4098" t="n"/>
      <c r="H34" s="4098" t="n"/>
      <c r="I34" s="4098" t="n"/>
      <c r="J34" s="4098" t="n"/>
      <c r="K34" s="4098" t="n"/>
      <c r="L34" s="4098" t="n"/>
      <c r="M34" s="4098" t="n"/>
      <c r="N34" s="4098" t="n"/>
      <c r="O34" s="4098" t="n"/>
      <c r="P34" s="4098" t="n"/>
      <c r="Q34" s="4098" t="n"/>
      <c r="R34" s="4098" t="n"/>
      <c r="S34" s="4098" t="n"/>
      <c r="T34" s="4098" t="n"/>
      <c r="U34" s="4098" t="n"/>
      <c r="V34" s="4098" t="n"/>
      <c r="W34" s="4098" t="n"/>
      <c r="X34" s="4098" t="n"/>
      <c r="Y34" s="4098" t="n"/>
      <c r="Z34" s="4098" t="n"/>
      <c r="AA34" s="4098" t="n"/>
      <c r="AB34" s="4098" t="n"/>
      <c r="AC34" s="4098" t="n"/>
      <c r="AD34" s="4098" t="n"/>
      <c r="AE34" s="4098" t="n"/>
      <c r="AF34" s="4098" t="n"/>
      <c r="AG34" s="4098" t="n"/>
      <c r="AH34" s="4101" t="n"/>
    </row>
    <row r="35" ht="20.1" customHeight="1" s="4080">
      <c r="A35" s="4097" t="n"/>
      <c r="B35" s="4107" t="n"/>
      <c r="C35" s="4181" t="inlineStr">
        <is>
          <t>所在地</t>
        </is>
      </c>
      <c r="D35" s="4098" t="n"/>
      <c r="E35" s="4099" t="n"/>
      <c r="F35" s="1244" t="inlineStr">
        <is>
          <t>郵便番号（</t>
        </is>
      </c>
      <c r="G35" s="4098" t="n"/>
      <c r="H35" s="4098" t="n"/>
      <c r="I35" s="4098" t="n"/>
      <c r="J35" s="1287" t="n"/>
      <c r="K35" s="4098" t="n"/>
      <c r="L35" s="4098" t="n"/>
      <c r="M35" s="4098" t="n"/>
      <c r="N35" s="4098" t="n"/>
      <c r="O35" s="1329" t="inlineStr">
        <is>
          <t>）</t>
        </is>
      </c>
      <c r="P35" s="4311" t="n"/>
      <c r="Q35" s="4098" t="n"/>
      <c r="R35" s="4098" t="n"/>
      <c r="S35" s="4098" t="n"/>
      <c r="T35" s="4098" t="n"/>
      <c r="U35" s="4098" t="n"/>
      <c r="V35" s="4098" t="n"/>
      <c r="W35" s="4098" t="n"/>
      <c r="X35" s="4098" t="n"/>
      <c r="Y35" s="4098" t="n"/>
      <c r="Z35" s="4098" t="n"/>
      <c r="AA35" s="4098" t="n"/>
      <c r="AB35" s="4098" t="n"/>
      <c r="AC35" s="4098" t="n"/>
      <c r="AD35" s="4098" t="n"/>
      <c r="AE35" s="4098" t="n"/>
      <c r="AF35" s="4098" t="n"/>
      <c r="AG35" s="4098" t="n"/>
      <c r="AH35" s="4101" t="n"/>
    </row>
    <row r="36" ht="18" customHeight="1" s="4080">
      <c r="A36" s="4097" t="n"/>
      <c r="B36" s="4107" t="n"/>
      <c r="C36" s="4106" t="n"/>
      <c r="E36" s="4107" t="n"/>
      <c r="F36" s="1255" t="inlineStr">
        <is>
          <t>大阪市</t>
        </is>
      </c>
      <c r="I36" s="986" t="n"/>
      <c r="N36" s="1260" t="inlineStr">
        <is>
          <t>区</t>
        </is>
      </c>
      <c r="AH36" s="4109" t="n"/>
    </row>
    <row r="37" ht="3" customHeight="1" s="4080">
      <c r="A37" s="4097" t="n"/>
      <c r="B37" s="4107" t="n"/>
      <c r="C37" s="4102" t="n"/>
      <c r="D37" s="4103" t="n"/>
      <c r="E37" s="4104" t="n"/>
      <c r="F37" s="4102" t="n"/>
      <c r="G37" s="4103" t="n"/>
      <c r="H37" s="4103" t="n"/>
      <c r="I37" s="4103" t="n"/>
      <c r="J37" s="4103" t="n"/>
      <c r="K37" s="4103" t="n"/>
      <c r="L37" s="4103" t="n"/>
      <c r="M37" s="4103" t="n"/>
      <c r="N37" s="4103" t="n"/>
      <c r="O37" s="4103" t="n"/>
      <c r="P37" s="4103" t="n"/>
      <c r="Q37" s="4103" t="n"/>
      <c r="R37" s="4103" t="n"/>
      <c r="S37" s="4103" t="n"/>
      <c r="T37" s="4103" t="n"/>
      <c r="U37" s="4103" t="n"/>
      <c r="V37" s="4103" t="n"/>
      <c r="W37" s="4103" t="n"/>
      <c r="X37" s="4103" t="n"/>
      <c r="Y37" s="4103" t="n"/>
      <c r="Z37" s="4103" t="n"/>
      <c r="AA37" s="4103" t="n"/>
      <c r="AB37" s="4103" t="n"/>
      <c r="AC37" s="4103" t="n"/>
      <c r="AD37" s="4103" t="n"/>
      <c r="AE37" s="4103" t="n"/>
      <c r="AF37" s="4103" t="n"/>
      <c r="AG37" s="4103" t="n"/>
      <c r="AH37" s="4105" t="n"/>
    </row>
    <row r="38" ht="3" customHeight="1" s="4080">
      <c r="A38" s="4097" t="n"/>
      <c r="B38" s="4107" t="n"/>
      <c r="C38" s="2859" t="inlineStr">
        <is>
          <t>建　物　の　形　態</t>
        </is>
      </c>
      <c r="D38" s="1432" t="n"/>
      <c r="E38" s="1432" t="n"/>
      <c r="F38" s="1432" t="n"/>
      <c r="G38" s="1432" t="n"/>
      <c r="H38" s="1432" t="n"/>
      <c r="I38" s="1432" t="n"/>
      <c r="J38" s="1857" t="n"/>
      <c r="K38" s="403" t="n"/>
      <c r="L38" s="1290" t="n"/>
      <c r="M38" s="1290" t="n"/>
      <c r="N38" s="1290" t="n"/>
      <c r="O38" s="1290" t="n"/>
      <c r="P38" s="1290" t="n"/>
      <c r="Q38" s="1290" t="n"/>
      <c r="R38" s="1325" t="n"/>
      <c r="AB38" s="933" t="n"/>
      <c r="AC38" s="1017" t="n"/>
      <c r="AD38" s="1017" t="n"/>
      <c r="AE38" s="1017" t="n"/>
      <c r="AF38" s="1017" t="n"/>
      <c r="AG38" s="1017" t="n"/>
      <c r="AH38" s="1668" t="n"/>
    </row>
    <row r="39" ht="15.95" customHeight="1" s="4080">
      <c r="A39" s="4097" t="n"/>
      <c r="B39" s="4107" t="n"/>
      <c r="C39" s="4122" t="n"/>
      <c r="D39" s="4654" t="inlineStr">
        <is>
          <t>住居区分</t>
        </is>
      </c>
      <c r="J39" s="4107" t="n"/>
      <c r="K39" s="404" t="n"/>
      <c r="L39" s="1889" t="inlineStr">
        <is>
          <t>アパート</t>
        </is>
      </c>
      <c r="O39" s="2069" t="inlineStr">
        <is>
          <t>・</t>
        </is>
      </c>
      <c r="P39" s="1889" t="inlineStr">
        <is>
          <t>マンション</t>
        </is>
      </c>
      <c r="T39" s="2069" t="inlineStr">
        <is>
          <t>・</t>
        </is>
      </c>
      <c r="U39" s="1889" t="inlineStr">
        <is>
          <t>その他</t>
        </is>
      </c>
      <c r="X39" s="936" t="inlineStr">
        <is>
          <t>（</t>
        </is>
      </c>
      <c r="Y39" s="1626" t="n"/>
      <c r="AH39" s="1668" t="inlineStr">
        <is>
          <t>）</t>
        </is>
      </c>
    </row>
    <row r="40" ht="3" customHeight="1" s="4080">
      <c r="A40" s="4097" t="n"/>
      <c r="B40" s="4107" t="n"/>
      <c r="C40" s="4122" t="n"/>
      <c r="D40" s="1290" t="n"/>
      <c r="E40" s="1290" t="n"/>
      <c r="F40" s="1290" t="n"/>
      <c r="G40" s="1290" t="n"/>
      <c r="H40" s="1290" t="n"/>
      <c r="I40" s="1290" t="n"/>
      <c r="J40" s="1291" t="n"/>
      <c r="K40" s="1889" t="n"/>
      <c r="L40" s="1889" t="n"/>
      <c r="M40" s="1889" t="n"/>
      <c r="O40" s="1889" t="n"/>
      <c r="P40" s="1889" t="n"/>
      <c r="Q40" s="1889" t="n"/>
      <c r="S40" s="1889" t="n"/>
      <c r="T40" s="1889" t="n"/>
      <c r="U40" s="1889" t="n"/>
      <c r="V40" s="1889" t="n"/>
      <c r="X40" s="1889" t="n"/>
      <c r="Y40" s="1889" t="n"/>
      <c r="Z40" s="1889" t="n"/>
      <c r="AB40" s="939" t="n"/>
      <c r="AC40" s="1020" t="n"/>
      <c r="AD40" s="1020" t="n"/>
      <c r="AE40" s="1020" t="n"/>
      <c r="AF40" s="1020" t="n"/>
      <c r="AG40" s="1020" t="n"/>
      <c r="AH40" s="1668" t="n"/>
    </row>
    <row r="41" ht="20.1" customHeight="1" s="4080">
      <c r="A41" s="4097" t="n"/>
      <c r="B41" s="4107" t="n"/>
      <c r="C41" s="4122" t="n"/>
      <c r="D41" s="4184" t="inlineStr">
        <is>
          <t>建物所有者名</t>
        </is>
      </c>
      <c r="E41" s="4110" t="n"/>
      <c r="F41" s="4110" t="n"/>
      <c r="G41" s="4110" t="n"/>
      <c r="H41" s="4110" t="n"/>
      <c r="I41" s="4110" t="n"/>
      <c r="J41" s="4111" t="n"/>
      <c r="K41" s="4655" t="n"/>
      <c r="L41" s="4110" t="n"/>
      <c r="M41" s="4110" t="n"/>
      <c r="N41" s="4110" t="n"/>
      <c r="O41" s="4110" t="n"/>
      <c r="P41" s="4110" t="n"/>
      <c r="Q41" s="4110" t="n"/>
      <c r="R41" s="4110" t="n"/>
      <c r="S41" s="4110" t="n"/>
      <c r="T41" s="4110" t="n"/>
      <c r="U41" s="4110" t="n"/>
      <c r="V41" s="4110" t="n"/>
      <c r="W41" s="4110" t="n"/>
      <c r="X41" s="4110" t="n"/>
      <c r="Y41" s="4110" t="n"/>
      <c r="Z41" s="4110" t="n"/>
      <c r="AA41" s="4110" t="n"/>
      <c r="AB41" s="4110" t="n"/>
      <c r="AC41" s="4110" t="n"/>
      <c r="AD41" s="4110" t="n"/>
      <c r="AE41" s="4110" t="n"/>
      <c r="AF41" s="4110" t="n"/>
      <c r="AG41" s="4110" t="n"/>
      <c r="AH41" s="4113" t="n"/>
    </row>
    <row r="42" ht="3" customHeight="1" s="4080">
      <c r="A42" s="4097" t="n"/>
      <c r="B42" s="4107" t="n"/>
      <c r="C42" s="4122" t="n"/>
      <c r="D42" s="4184" t="inlineStr">
        <is>
          <t>賃貸借契約の内容</t>
        </is>
      </c>
      <c r="E42" s="4098" t="n"/>
      <c r="F42" s="4099" t="n"/>
      <c r="G42" s="4274" t="inlineStr">
        <is>
          <t>敷金・家賃等</t>
        </is>
      </c>
      <c r="H42" s="4098" t="n"/>
      <c r="I42" s="4098" t="n"/>
      <c r="J42" s="4099" t="n"/>
      <c r="K42" s="403" t="n"/>
      <c r="L42" s="1290" t="n"/>
      <c r="M42" s="1290" t="n"/>
      <c r="N42" s="1290" t="n"/>
      <c r="O42" s="1290" t="n"/>
      <c r="P42" s="1290" t="n"/>
      <c r="Q42" s="1290" t="n"/>
      <c r="R42" s="1325" t="n"/>
      <c r="AB42" s="406" t="n"/>
      <c r="AC42" s="406" t="n"/>
      <c r="AD42" s="406" t="n"/>
      <c r="AE42" s="406" t="n"/>
      <c r="AF42" s="406" t="n"/>
      <c r="AG42" s="406" t="n"/>
      <c r="AH42" s="1668" t="n"/>
    </row>
    <row r="43" ht="15.95" customHeight="1" s="4080">
      <c r="A43" s="4097" t="n"/>
      <c r="B43" s="4107" t="n"/>
      <c r="C43" s="4122" t="n"/>
      <c r="D43" s="4106" t="n"/>
      <c r="F43" s="4107" t="n"/>
      <c r="G43" s="4106" t="n"/>
      <c r="J43" s="4107" t="n"/>
      <c r="K43" s="1354" t="inlineStr">
        <is>
          <t>ア</t>
        </is>
      </c>
      <c r="L43" s="1290" t="inlineStr">
        <is>
          <t>敷金</t>
        </is>
      </c>
      <c r="O43" s="407" t="inlineStr">
        <is>
          <t>（</t>
        </is>
      </c>
      <c r="P43" s="4656" t="n"/>
      <c r="Q43" s="4657" t="n"/>
      <c r="R43" s="4657" t="n"/>
      <c r="S43" s="4657" t="n"/>
      <c r="T43" s="2813" t="inlineStr">
        <is>
          <t>）円</t>
        </is>
      </c>
      <c r="U43" s="4657" t="n"/>
      <c r="W43" s="1355" t="inlineStr">
        <is>
          <t>イ</t>
        </is>
      </c>
      <c r="X43" s="1290" t="inlineStr">
        <is>
          <t>保証金</t>
        </is>
      </c>
      <c r="AB43" s="407" t="inlineStr">
        <is>
          <t>（</t>
        </is>
      </c>
      <c r="AC43" s="4656" t="n"/>
      <c r="AD43" s="4657" t="n"/>
      <c r="AE43" s="4657" t="n"/>
      <c r="AF43" s="4657" t="n"/>
      <c r="AG43" s="2810" t="inlineStr">
        <is>
          <t>）円</t>
        </is>
      </c>
      <c r="AH43" s="4658" t="n"/>
    </row>
    <row r="44" ht="3" customHeight="1" s="4080">
      <c r="A44" s="4097" t="n"/>
      <c r="B44" s="4107" t="n"/>
      <c r="C44" s="4122" t="n"/>
      <c r="D44" s="4106" t="n"/>
      <c r="F44" s="4107" t="n"/>
      <c r="G44" s="4106" t="n"/>
      <c r="J44" s="4107" t="n"/>
      <c r="K44" s="403" t="n"/>
      <c r="L44" s="1290" t="n"/>
      <c r="M44" s="1290" t="n"/>
      <c r="N44" s="1290" t="n"/>
      <c r="O44" s="1290" t="n"/>
      <c r="P44" s="1290" t="n"/>
      <c r="Q44" s="1290" t="n"/>
      <c r="R44" s="1325" t="n"/>
      <c r="AB44" s="408" t="n"/>
      <c r="AC44" s="408" t="n"/>
      <c r="AD44" s="408" t="n"/>
      <c r="AE44" s="408" t="n"/>
      <c r="AF44" s="408" t="n"/>
      <c r="AG44" s="408" t="n"/>
      <c r="AH44" s="1668" t="n"/>
    </row>
    <row r="45" ht="15.95" customHeight="1" s="4080">
      <c r="A45" s="4097" t="n"/>
      <c r="B45" s="4107" t="n"/>
      <c r="C45" s="4122" t="n"/>
      <c r="D45" s="4106" t="n"/>
      <c r="F45" s="4107" t="n"/>
      <c r="G45" s="4106" t="n"/>
      <c r="J45" s="4107" t="n"/>
      <c r="K45" s="1354" t="inlineStr">
        <is>
          <t>ウ</t>
        </is>
      </c>
      <c r="L45" s="1290" t="inlineStr">
        <is>
          <t>礼金</t>
        </is>
      </c>
      <c r="O45" s="45" t="inlineStr">
        <is>
          <t>（</t>
        </is>
      </c>
      <c r="P45" s="4656" t="n"/>
      <c r="Q45" s="4657" t="n"/>
      <c r="R45" s="4657" t="n"/>
      <c r="S45" s="4657" t="n"/>
      <c r="T45" s="1658" t="inlineStr">
        <is>
          <t>）円</t>
        </is>
      </c>
      <c r="V45" s="409" t="n"/>
      <c r="W45" s="1355" t="inlineStr">
        <is>
          <t>エ</t>
        </is>
      </c>
      <c r="X45" s="1290" t="inlineStr">
        <is>
          <t>家賃(月額)</t>
        </is>
      </c>
      <c r="AB45" s="407" t="inlineStr">
        <is>
          <t>（</t>
        </is>
      </c>
      <c r="AC45" s="4656" t="n"/>
      <c r="AD45" s="4657" t="n"/>
      <c r="AE45" s="4657" t="n"/>
      <c r="AF45" s="4657" t="n"/>
      <c r="AG45" s="2810" t="inlineStr">
        <is>
          <t>）円</t>
        </is>
      </c>
      <c r="AH45" s="4658" t="n"/>
    </row>
    <row r="46" ht="3" customHeight="1" s="4080">
      <c r="A46" s="4097" t="n"/>
      <c r="B46" s="4107" t="n"/>
      <c r="C46" s="4122" t="n"/>
      <c r="D46" s="4106" t="n"/>
      <c r="F46" s="4107" t="n"/>
      <c r="G46" s="4102" t="n"/>
      <c r="H46" s="4103" t="n"/>
      <c r="I46" s="4103" t="n"/>
      <c r="J46" s="4104" t="n"/>
      <c r="K46" s="403" t="n"/>
      <c r="L46" s="1290" t="n"/>
      <c r="M46" s="1290" t="n"/>
      <c r="N46" s="1290" t="n"/>
      <c r="O46" s="1290" t="n"/>
      <c r="P46" s="1290" t="n"/>
      <c r="Q46" s="1290" t="n"/>
      <c r="R46" s="1325" t="n"/>
      <c r="AB46" s="408" t="n"/>
      <c r="AC46" s="408" t="n"/>
      <c r="AD46" s="408" t="n"/>
      <c r="AE46" s="408" t="n"/>
      <c r="AF46" s="408" t="n"/>
      <c r="AG46" s="408" t="n"/>
      <c r="AH46" s="1668" t="n"/>
    </row>
    <row r="47" ht="18" customHeight="1" s="4080">
      <c r="A47" s="4097" t="n"/>
      <c r="B47" s="4107" t="n"/>
      <c r="C47" s="4122" t="n"/>
      <c r="D47" s="4106" t="n"/>
      <c r="F47" s="4107" t="n"/>
      <c r="G47" s="1265" t="inlineStr">
        <is>
          <t>契約期間</t>
        </is>
      </c>
      <c r="H47" s="4098" t="n"/>
      <c r="I47" s="4098" t="n"/>
      <c r="J47" s="4099" t="n"/>
      <c r="K47" s="336" t="n"/>
      <c r="L47" s="2825" t="n"/>
      <c r="M47" s="4486" t="n"/>
      <c r="N47" s="4486" t="n"/>
      <c r="O47" s="1245" t="inlineStr">
        <is>
          <t>年</t>
        </is>
      </c>
      <c r="P47" s="981" t="n"/>
      <c r="Q47" s="4098" t="n"/>
      <c r="R47" s="108" t="inlineStr">
        <is>
          <t>月</t>
        </is>
      </c>
      <c r="S47" s="2825" t="n"/>
      <c r="T47" s="4486" t="n"/>
      <c r="U47" s="2826" t="inlineStr">
        <is>
          <t>日～</t>
        </is>
      </c>
      <c r="V47" s="4486" t="n"/>
      <c r="W47" s="4486" t="n"/>
      <c r="X47" s="2825" t="n"/>
      <c r="Y47" s="4486" t="n"/>
      <c r="Z47" s="4486" t="n"/>
      <c r="AA47" s="1245" t="inlineStr">
        <is>
          <t>年</t>
        </is>
      </c>
      <c r="AB47" s="981" t="n"/>
      <c r="AC47" s="4098" t="n"/>
      <c r="AD47" s="1329" t="inlineStr">
        <is>
          <t>月</t>
        </is>
      </c>
      <c r="AE47" s="981" t="n"/>
      <c r="AF47" s="4098" t="n"/>
      <c r="AG47" s="1329" t="inlineStr">
        <is>
          <t>日</t>
        </is>
      </c>
      <c r="AH47" s="411" t="n"/>
    </row>
    <row r="48" ht="3" customHeight="1" s="4080">
      <c r="A48" s="4097" t="n"/>
      <c r="B48" s="4107" t="n"/>
      <c r="C48" s="4122" t="n"/>
      <c r="D48" s="4106" t="n"/>
      <c r="F48" s="4107" t="n"/>
      <c r="J48" s="4107" t="n"/>
      <c r="K48" s="4659" t="inlineStr">
        <is>
          <t>契約の自動更新条項の有無</t>
        </is>
      </c>
      <c r="L48" s="4320" t="n"/>
      <c r="M48" s="4320" t="n"/>
      <c r="N48" s="4320" t="n"/>
      <c r="O48" s="4320" t="n"/>
      <c r="P48" s="4320" t="n"/>
      <c r="Q48" s="4320" t="n"/>
      <c r="R48" s="4320" t="n"/>
      <c r="S48" s="4320" t="n"/>
      <c r="T48" s="4320" t="n"/>
      <c r="U48" s="4320" t="n"/>
      <c r="V48" s="4321" t="n"/>
      <c r="W48" s="412" t="n"/>
      <c r="X48" s="412" t="n"/>
      <c r="Y48" s="412" t="n"/>
      <c r="Z48" s="412" t="n"/>
      <c r="AA48" s="412" t="n"/>
      <c r="AB48" s="412" t="n"/>
      <c r="AC48" s="412" t="n"/>
      <c r="AD48" s="412" t="n"/>
      <c r="AE48" s="412" t="n"/>
      <c r="AF48" s="412" t="n"/>
      <c r="AG48" s="412" t="n"/>
      <c r="AH48" s="413" t="n"/>
    </row>
    <row r="49" ht="15.95" customHeight="1" s="4080">
      <c r="A49" s="4097" t="n"/>
      <c r="B49" s="4107" t="n"/>
      <c r="C49" s="4122" t="n"/>
      <c r="D49" s="4106" t="n"/>
      <c r="F49" s="4107" t="n"/>
      <c r="J49" s="4107" t="n"/>
      <c r="K49" s="4106" t="n"/>
      <c r="V49" s="4107" t="n"/>
      <c r="W49" s="414" t="n"/>
      <c r="X49" s="1325" t="inlineStr">
        <is>
          <t>有</t>
        </is>
      </c>
      <c r="Y49" s="1325" t="inlineStr">
        <is>
          <t>（</t>
        </is>
      </c>
      <c r="Z49" s="1626" t="n"/>
      <c r="AC49" s="1355" t="inlineStr">
        <is>
          <t>年ごと）・</t>
        </is>
      </c>
      <c r="AG49" s="1325" t="inlineStr">
        <is>
          <t>無</t>
        </is>
      </c>
      <c r="AH49" s="415" t="n"/>
    </row>
    <row r="50" ht="3" customHeight="1" s="4080">
      <c r="A50" s="4097" t="n"/>
      <c r="B50" s="4107" t="n"/>
      <c r="C50" s="4122" t="n"/>
      <c r="D50" s="4106" t="n"/>
      <c r="F50" s="4107" t="n"/>
      <c r="G50" s="4103" t="n"/>
      <c r="H50" s="4103" t="n"/>
      <c r="I50" s="4103" t="n"/>
      <c r="J50" s="4104" t="n"/>
      <c r="K50" s="4102" t="n"/>
      <c r="L50" s="4103" t="n"/>
      <c r="M50" s="4103" t="n"/>
      <c r="N50" s="4103" t="n"/>
      <c r="O50" s="4103" t="n"/>
      <c r="P50" s="4103" t="n"/>
      <c r="Q50" s="4103" t="n"/>
      <c r="R50" s="4103" t="n"/>
      <c r="S50" s="4103" t="n"/>
      <c r="T50" s="4103" t="n"/>
      <c r="U50" s="4103" t="n"/>
      <c r="V50" s="4104" t="n"/>
      <c r="W50" s="416" t="n"/>
      <c r="X50" s="416" t="n"/>
      <c r="Y50" s="416" t="n"/>
      <c r="Z50" s="416" t="n"/>
      <c r="AA50" s="416" t="n"/>
      <c r="AB50" s="416" t="n"/>
      <c r="AC50" s="416" t="n"/>
      <c r="AD50" s="416" t="n"/>
      <c r="AE50" s="416" t="n"/>
      <c r="AF50" s="416" t="n"/>
      <c r="AG50" s="416" t="n"/>
      <c r="AH50" s="417" t="n"/>
    </row>
    <row r="51" ht="20.1" customHeight="1" s="4080">
      <c r="A51" s="4097" t="n"/>
      <c r="B51" s="4107" t="n"/>
      <c r="C51" s="4122" t="n"/>
      <c r="D51" s="4102" t="n"/>
      <c r="E51" s="4103" t="n"/>
      <c r="F51" s="4104" t="n"/>
      <c r="G51" s="2824" t="inlineStr">
        <is>
          <t>賃貸料がない
場合の理由</t>
        </is>
      </c>
      <c r="H51" s="4110" t="n"/>
      <c r="I51" s="4110" t="n"/>
      <c r="J51" s="4111" t="n"/>
      <c r="K51" s="4230" t="n"/>
      <c r="L51" s="4110" t="n"/>
      <c r="M51" s="4110" t="n"/>
      <c r="N51" s="4110" t="n"/>
      <c r="O51" s="4110" t="n"/>
      <c r="P51" s="4110" t="n"/>
      <c r="Q51" s="4110" t="n"/>
      <c r="R51" s="4110" t="n"/>
      <c r="S51" s="4110" t="n"/>
      <c r="T51" s="4110" t="n"/>
      <c r="U51" s="4110" t="n"/>
      <c r="V51" s="4110" t="n"/>
      <c r="W51" s="4110" t="n"/>
      <c r="X51" s="4110" t="n"/>
      <c r="Y51" s="4110" t="n"/>
      <c r="Z51" s="4110" t="n"/>
      <c r="AA51" s="4110" t="n"/>
      <c r="AB51" s="4110" t="n"/>
      <c r="AC51" s="4110" t="n"/>
      <c r="AD51" s="4110" t="n"/>
      <c r="AE51" s="4110" t="n"/>
      <c r="AF51" s="4110" t="n"/>
      <c r="AG51" s="4110" t="n"/>
      <c r="AH51" s="4113" t="n"/>
    </row>
    <row r="52" ht="15" customHeight="1" s="4080">
      <c r="A52" s="4097" t="n"/>
      <c r="B52" s="4107" t="n"/>
      <c r="C52" s="4122" t="n"/>
      <c r="D52" s="4662" t="inlineStr">
        <is>
          <t>住居の利用定員</t>
        </is>
      </c>
      <c r="E52" s="4098" t="n"/>
      <c r="F52" s="4098" t="n"/>
      <c r="G52" s="4098" t="n"/>
      <c r="H52" s="4098" t="n"/>
      <c r="I52" s="4098" t="n"/>
      <c r="J52" s="4099" t="n"/>
      <c r="K52" s="2903" t="n"/>
      <c r="L52" s="4103" t="n"/>
      <c r="M52" s="4103" t="n"/>
      <c r="N52" s="4103" t="n"/>
      <c r="O52" s="4103" t="n"/>
      <c r="P52" s="2837" t="inlineStr">
        <is>
          <t>人</t>
        </is>
      </c>
      <c r="Q52" s="4663" t="inlineStr">
        <is>
          <t>居室の最小床面積</t>
        </is>
      </c>
      <c r="R52" s="4110" t="n"/>
      <c r="S52" s="4110" t="n"/>
      <c r="T52" s="4110" t="n"/>
      <c r="U52" s="4110" t="n"/>
      <c r="V52" s="4111" t="n"/>
      <c r="W52" s="998" t="n"/>
      <c r="X52" s="4110" t="n"/>
      <c r="Y52" s="4110" t="n"/>
      <c r="Z52" s="4110" t="n"/>
      <c r="AA52" s="4110" t="n"/>
      <c r="AB52" s="4110" t="n"/>
      <c r="AC52" s="4110" t="n"/>
      <c r="AD52" s="4110" t="n"/>
      <c r="AE52" s="4110" t="n"/>
      <c r="AF52" s="4110" t="n"/>
      <c r="AG52" s="4110" t="n"/>
      <c r="AH52" s="2827" t="inlineStr">
        <is>
          <t>㎡</t>
        </is>
      </c>
    </row>
    <row r="53" ht="30" customHeight="1" s="4080">
      <c r="A53" s="4097" t="n"/>
      <c r="B53" s="4107" t="n"/>
      <c r="C53" s="4122" t="n"/>
      <c r="D53" s="4662" t="inlineStr">
        <is>
          <t>本体住居の名称</t>
        </is>
      </c>
      <c r="E53" s="4098" t="n"/>
      <c r="F53" s="4098" t="n"/>
      <c r="G53" s="4098" t="n"/>
      <c r="H53" s="4098" t="n"/>
      <c r="I53" s="4098" t="n"/>
      <c r="J53" s="4099" t="n"/>
      <c r="K53" s="4679" t="n"/>
      <c r="L53" s="4110" t="n"/>
      <c r="M53" s="4110" t="n"/>
      <c r="N53" s="4110" t="n"/>
      <c r="O53" s="4110" t="n"/>
      <c r="P53" s="4110" t="n"/>
      <c r="Q53" s="4110" t="n"/>
      <c r="R53" s="4110" t="n"/>
      <c r="S53" s="4110" t="n"/>
      <c r="T53" s="4110" t="n"/>
      <c r="U53" s="4110" t="n"/>
      <c r="V53" s="4110" t="n"/>
      <c r="W53" s="4110" t="n"/>
      <c r="X53" s="4110" t="n"/>
      <c r="Y53" s="4110" t="n"/>
      <c r="Z53" s="4110" t="n"/>
      <c r="AA53" s="4110" t="n"/>
      <c r="AB53" s="4110" t="n"/>
      <c r="AC53" s="4110" t="n"/>
      <c r="AD53" s="4110" t="n"/>
      <c r="AE53" s="4110" t="n"/>
      <c r="AF53" s="4110" t="n"/>
      <c r="AG53" s="4110" t="n"/>
      <c r="AH53" s="4113" t="n"/>
    </row>
    <row r="54" ht="30" customHeight="1" s="4080">
      <c r="A54" s="4097" t="n"/>
      <c r="B54" s="4107" t="n"/>
      <c r="C54" s="4122" t="n"/>
      <c r="D54" s="4662" t="inlineStr">
        <is>
          <t>本体住居との距離</t>
        </is>
      </c>
      <c r="E54" s="4098" t="n"/>
      <c r="F54" s="4098" t="n"/>
      <c r="G54" s="4098" t="n"/>
      <c r="H54" s="4098" t="n"/>
      <c r="I54" s="4098" t="n"/>
      <c r="J54" s="4099" t="n"/>
      <c r="K54" s="2899" t="n"/>
      <c r="L54" s="4110" t="n"/>
      <c r="M54" s="4110" t="n"/>
      <c r="N54" s="4110" t="n"/>
      <c r="O54" s="4110" t="n"/>
      <c r="P54" s="4110" t="n"/>
      <c r="Q54" s="2901" t="inlineStr">
        <is>
          <t>ｋｍ（</t>
        </is>
      </c>
      <c r="R54" s="4110" t="n"/>
      <c r="S54" s="4110" t="n"/>
      <c r="T54" s="2900" t="n"/>
      <c r="U54" s="4110" t="n"/>
      <c r="V54" s="4110" t="n"/>
      <c r="W54" s="4110" t="n"/>
      <c r="X54" s="2902" t="inlineStr">
        <is>
          <t>分以内）</t>
        </is>
      </c>
      <c r="Y54" s="4110" t="n"/>
      <c r="Z54" s="4110" t="n"/>
      <c r="AA54" s="4110" t="n"/>
      <c r="AB54" s="421" t="n"/>
      <c r="AC54" s="421" t="n"/>
      <c r="AD54" s="421" t="n"/>
      <c r="AE54" s="421" t="n"/>
      <c r="AF54" s="421" t="n"/>
      <c r="AG54" s="421" t="n"/>
      <c r="AH54" s="422" t="n"/>
    </row>
    <row r="55" ht="30" customHeight="1" s="4080">
      <c r="A55" s="4097" t="n"/>
      <c r="B55" s="4107" t="n"/>
      <c r="C55" s="4122" t="n"/>
      <c r="D55" s="4680" t="inlineStr">
        <is>
          <t>利用者が本体住居への
連絡に使用する通信機器</t>
        </is>
      </c>
      <c r="E55" s="4110" t="n"/>
      <c r="F55" s="4110" t="n"/>
      <c r="G55" s="4110" t="n"/>
      <c r="H55" s="4110" t="n"/>
      <c r="I55" s="4110" t="n"/>
      <c r="J55" s="4111" t="n"/>
      <c r="K55" s="4681" t="n"/>
      <c r="L55" s="4110" t="n"/>
      <c r="M55" s="4110" t="n"/>
      <c r="N55" s="4110" t="n"/>
      <c r="O55" s="4110" t="n"/>
      <c r="P55" s="4110" t="n"/>
      <c r="Q55" s="4110" t="n"/>
      <c r="R55" s="4110" t="n"/>
      <c r="S55" s="4110" t="n"/>
      <c r="T55" s="4110" t="n"/>
      <c r="U55" s="4110" t="n"/>
      <c r="V55" s="4110" t="n"/>
      <c r="W55" s="4110" t="n"/>
      <c r="X55" s="4110" t="n"/>
      <c r="Y55" s="4110" t="n"/>
      <c r="Z55" s="4110" t="n"/>
      <c r="AA55" s="4110" t="n"/>
      <c r="AB55" s="4110" t="n"/>
      <c r="AC55" s="4110" t="n"/>
      <c r="AD55" s="4110" t="n"/>
      <c r="AE55" s="4110" t="n"/>
      <c r="AF55" s="4110" t="n"/>
      <c r="AG55" s="4110" t="n"/>
      <c r="AH55" s="4113" t="n"/>
    </row>
    <row r="56" ht="15" customHeight="1" s="4080">
      <c r="A56" s="4097" t="n"/>
      <c r="B56" s="4107" t="n"/>
      <c r="C56" s="4122" t="n"/>
      <c r="D56" s="4663" t="inlineStr">
        <is>
          <t>サービスを提供
する主たる対象者</t>
        </is>
      </c>
      <c r="E56" s="4098" t="n"/>
      <c r="F56" s="4098" t="n"/>
      <c r="G56" s="4098" t="n"/>
      <c r="H56" s="4098" t="n"/>
      <c r="I56" s="4098" t="n"/>
      <c r="J56" s="4099" t="n"/>
      <c r="K56" s="1669" t="inlineStr">
        <is>
          <t>身体障害者</t>
        </is>
      </c>
      <c r="L56" s="4138" t="n"/>
      <c r="M56" s="4138" t="n"/>
      <c r="N56" s="4138" t="n"/>
      <c r="O56" s="4138" t="n"/>
      <c r="P56" s="4139" t="n"/>
      <c r="Q56" s="1669" t="inlineStr">
        <is>
          <t>知的障害者</t>
        </is>
      </c>
      <c r="R56" s="4138" t="n"/>
      <c r="S56" s="4138" t="n"/>
      <c r="T56" s="4138" t="n"/>
      <c r="U56" s="4138" t="n"/>
      <c r="V56" s="4139" t="n"/>
      <c r="W56" s="1669" t="inlineStr">
        <is>
          <t>精神障害者</t>
        </is>
      </c>
      <c r="X56" s="4138" t="n"/>
      <c r="Y56" s="4138" t="n"/>
      <c r="Z56" s="4138" t="n"/>
      <c r="AA56" s="4138" t="n"/>
      <c r="AB56" s="4139" t="n"/>
      <c r="AC56" s="4664" t="inlineStr">
        <is>
          <t>難病等対象者</t>
        </is>
      </c>
      <c r="AD56" s="4138" t="n"/>
      <c r="AE56" s="4138" t="n"/>
      <c r="AF56" s="4138" t="n"/>
      <c r="AG56" s="4138" t="n"/>
      <c r="AH56" s="4246" t="n"/>
    </row>
    <row r="57" ht="15" customHeight="1" s="4080">
      <c r="A57" s="4097" t="n"/>
      <c r="B57" s="4107" t="n"/>
      <c r="C57" s="4122" t="n"/>
      <c r="D57" s="4102" t="n"/>
      <c r="E57" s="4103" t="n"/>
      <c r="F57" s="4103" t="n"/>
      <c r="G57" s="4103" t="n"/>
      <c r="H57" s="4103" t="n"/>
      <c r="I57" s="4103" t="n"/>
      <c r="J57" s="4104" t="n"/>
      <c r="K57" s="1663" t="n"/>
      <c r="L57" s="4140" t="n"/>
      <c r="M57" s="4140" t="n"/>
      <c r="N57" s="4140" t="n"/>
      <c r="O57" s="4140" t="n"/>
      <c r="P57" s="4141" t="n"/>
      <c r="Q57" s="1663" t="n"/>
      <c r="R57" s="4140" t="n"/>
      <c r="S57" s="4140" t="n"/>
      <c r="T57" s="4140" t="n"/>
      <c r="U57" s="4140" t="n"/>
      <c r="V57" s="4141" t="n"/>
      <c r="W57" s="1663" t="n"/>
      <c r="X57" s="4140" t="n"/>
      <c r="Y57" s="4140" t="n"/>
      <c r="Z57" s="4140" t="n"/>
      <c r="AA57" s="4140" t="n"/>
      <c r="AB57" s="4141" t="n"/>
      <c r="AC57" s="3101" t="n"/>
      <c r="AD57" s="4140" t="n"/>
      <c r="AE57" s="4140" t="n"/>
      <c r="AF57" s="4140" t="n"/>
      <c r="AG57" s="4140" t="n"/>
      <c r="AH57" s="4252" t="n"/>
    </row>
    <row r="58" ht="19.5" customHeight="1" s="4080">
      <c r="A58" s="4097" t="n"/>
      <c r="B58" s="4107" t="n"/>
      <c r="C58" s="4122" t="n"/>
      <c r="D58" s="4184" t="inlineStr">
        <is>
          <t>利用料</t>
        </is>
      </c>
      <c r="E58" s="4110" t="n"/>
      <c r="F58" s="4110" t="n"/>
      <c r="G58" s="4110" t="n"/>
      <c r="H58" s="4110" t="n"/>
      <c r="I58" s="4110" t="n"/>
      <c r="J58" s="4111" t="n"/>
      <c r="K58" s="4227" t="n"/>
      <c r="L58" s="4110" t="n"/>
      <c r="M58" s="4110" t="n"/>
      <c r="N58" s="4110" t="n"/>
      <c r="O58" s="4110" t="n"/>
      <c r="P58" s="4110" t="n"/>
      <c r="Q58" s="4110" t="n"/>
      <c r="R58" s="4110" t="n"/>
      <c r="S58" s="4110" t="n"/>
      <c r="T58" s="4110" t="n"/>
      <c r="U58" s="4110" t="n"/>
      <c r="V58" s="4110" t="n"/>
      <c r="W58" s="4110" t="n"/>
      <c r="X58" s="4110" t="n"/>
      <c r="Y58" s="4110" t="n"/>
      <c r="Z58" s="4110" t="n"/>
      <c r="AA58" s="4110" t="n"/>
      <c r="AB58" s="4110" t="n"/>
      <c r="AC58" s="4110" t="n"/>
      <c r="AD58" s="4110" t="n"/>
      <c r="AE58" s="4110" t="n"/>
      <c r="AF58" s="4110" t="n"/>
      <c r="AG58" s="4110" t="n"/>
      <c r="AH58" s="4113" t="n"/>
    </row>
    <row r="59" ht="37.5" customHeight="1" s="4080" thickBot="1">
      <c r="A59" s="4086" t="n"/>
      <c r="B59" s="4410" t="n"/>
      <c r="C59" s="4669" t="n"/>
      <c r="D59" s="4665" t="inlineStr">
        <is>
          <t>その他の費用</t>
        </is>
      </c>
      <c r="E59" s="4153" t="n"/>
      <c r="F59" s="4153" t="n"/>
      <c r="G59" s="4153" t="n"/>
      <c r="H59" s="4153" t="n"/>
      <c r="I59" s="4153" t="n"/>
      <c r="J59" s="4154" t="n"/>
      <c r="K59" s="4666" t="n"/>
      <c r="L59" s="4153" t="n"/>
      <c r="M59" s="4153" t="n"/>
      <c r="N59" s="4153" t="n"/>
      <c r="O59" s="4153" t="n"/>
      <c r="P59" s="4153" t="n"/>
      <c r="Q59" s="4153" t="n"/>
      <c r="R59" s="4153" t="n"/>
      <c r="S59" s="4153" t="n"/>
      <c r="T59" s="4153" t="n"/>
      <c r="U59" s="4153" t="n"/>
      <c r="V59" s="4153" t="n"/>
      <c r="W59" s="4153" t="n"/>
      <c r="X59" s="4153" t="n"/>
      <c r="Y59" s="4153" t="n"/>
      <c r="Z59" s="4153" t="n"/>
      <c r="AA59" s="4153" t="n"/>
      <c r="AB59" s="4153" t="n"/>
      <c r="AC59" s="4153" t="n"/>
      <c r="AD59" s="4153" t="n"/>
      <c r="AE59" s="4153" t="n"/>
      <c r="AF59" s="4153" t="n"/>
      <c r="AG59" s="4153" t="n"/>
      <c r="AH59" s="4155" t="n"/>
    </row>
  </sheetData>
  <mergeCells count="169">
    <mergeCell ref="AC22:AF22"/>
    <mergeCell ref="P20:Q20"/>
    <mergeCell ref="P18:S18"/>
    <mergeCell ref="U47:W47"/>
    <mergeCell ref="K31:AH31"/>
    <mergeCell ref="AE47:AF47"/>
    <mergeCell ref="AC29:AH29"/>
    <mergeCell ref="X27:AA27"/>
    <mergeCell ref="D26:J26"/>
    <mergeCell ref="AB47:AC47"/>
    <mergeCell ref="A1:Z1"/>
    <mergeCell ref="C11:C32"/>
    <mergeCell ref="AC45:AF45"/>
    <mergeCell ref="C7:E7"/>
    <mergeCell ref="A6:B32"/>
    <mergeCell ref="K14:AH14"/>
    <mergeCell ref="J35:N35"/>
    <mergeCell ref="W29:AB29"/>
    <mergeCell ref="D52:J52"/>
    <mergeCell ref="C38:C59"/>
    <mergeCell ref="AA2:AA3"/>
    <mergeCell ref="AC2:AC3"/>
    <mergeCell ref="C34:E34"/>
    <mergeCell ref="P47:Q47"/>
    <mergeCell ref="P39:S39"/>
    <mergeCell ref="T43:U43"/>
    <mergeCell ref="S20:T20"/>
    <mergeCell ref="D53:J53"/>
    <mergeCell ref="L47:N47"/>
    <mergeCell ref="S47:T47"/>
    <mergeCell ref="K25:O25"/>
    <mergeCell ref="L18:N18"/>
    <mergeCell ref="D39:J39"/>
    <mergeCell ref="P43:S43"/>
    <mergeCell ref="X54:AA54"/>
    <mergeCell ref="F34:AH34"/>
    <mergeCell ref="U12:W12"/>
    <mergeCell ref="F6:AH6"/>
    <mergeCell ref="T27:W27"/>
    <mergeCell ref="N9:O10"/>
    <mergeCell ref="D15:F24"/>
    <mergeCell ref="A4:B5"/>
    <mergeCell ref="K59:AH59"/>
    <mergeCell ref="X43:AA43"/>
    <mergeCell ref="T18:U18"/>
    <mergeCell ref="Q30:V30"/>
    <mergeCell ref="D56:J57"/>
    <mergeCell ref="F36:H37"/>
    <mergeCell ref="AF2:AF3"/>
    <mergeCell ref="AH2:AH3"/>
    <mergeCell ref="K48:V50"/>
    <mergeCell ref="AG16:AH16"/>
    <mergeCell ref="N36:O37"/>
    <mergeCell ref="AC1:AD1"/>
    <mergeCell ref="AE1:AF1"/>
    <mergeCell ref="D27:J27"/>
    <mergeCell ref="AG18:AH18"/>
    <mergeCell ref="C33:E33"/>
    <mergeCell ref="A33:B59"/>
    <mergeCell ref="K24:AH24"/>
    <mergeCell ref="G47:J50"/>
    <mergeCell ref="G24:J24"/>
    <mergeCell ref="L12:N12"/>
    <mergeCell ref="AG43:AH43"/>
    <mergeCell ref="K21:V23"/>
    <mergeCell ref="Y39:AG39"/>
    <mergeCell ref="P8:AH10"/>
    <mergeCell ref="X45:AA45"/>
    <mergeCell ref="D28:J28"/>
    <mergeCell ref="K26:AH26"/>
    <mergeCell ref="AE20:AF20"/>
    <mergeCell ref="D12:J12"/>
    <mergeCell ref="X47:Z47"/>
    <mergeCell ref="C35:E37"/>
    <mergeCell ref="D25:J25"/>
    <mergeCell ref="F4:AH4"/>
    <mergeCell ref="W25:AG25"/>
    <mergeCell ref="D55:J55"/>
    <mergeCell ref="K56:P56"/>
    <mergeCell ref="U2:X3"/>
    <mergeCell ref="AC49:AF49"/>
    <mergeCell ref="W56:AB56"/>
    <mergeCell ref="D14:J14"/>
    <mergeCell ref="D54:J54"/>
    <mergeCell ref="K58:AH58"/>
    <mergeCell ref="K27:P27"/>
    <mergeCell ref="D42:F51"/>
    <mergeCell ref="Q27:S27"/>
    <mergeCell ref="Z2:Z3"/>
    <mergeCell ref="AB2:AB3"/>
    <mergeCell ref="AC56:AH56"/>
    <mergeCell ref="U39:W39"/>
    <mergeCell ref="AD2:AD3"/>
    <mergeCell ref="D31:J31"/>
    <mergeCell ref="U20:W20"/>
    <mergeCell ref="F5:AH5"/>
    <mergeCell ref="F33:AH33"/>
    <mergeCell ref="AG45:AH45"/>
    <mergeCell ref="K53:AH53"/>
    <mergeCell ref="E2:I2"/>
    <mergeCell ref="Q57:V57"/>
    <mergeCell ref="X16:AA16"/>
    <mergeCell ref="T54:W54"/>
    <mergeCell ref="K28:AH28"/>
    <mergeCell ref="G20:J23"/>
    <mergeCell ref="G42:J46"/>
    <mergeCell ref="C6:E6"/>
    <mergeCell ref="K30:P30"/>
    <mergeCell ref="Z49:AB49"/>
    <mergeCell ref="D32:J32"/>
    <mergeCell ref="X18:AA18"/>
    <mergeCell ref="D41:J41"/>
    <mergeCell ref="F8:I8"/>
    <mergeCell ref="K54:P54"/>
    <mergeCell ref="C4:E4"/>
    <mergeCell ref="Q52:V52"/>
    <mergeCell ref="Q54:S54"/>
    <mergeCell ref="F9:H10"/>
    <mergeCell ref="J8:N8"/>
    <mergeCell ref="K55:AH55"/>
    <mergeCell ref="G15:J19"/>
    <mergeCell ref="AC30:AH30"/>
    <mergeCell ref="D58:J58"/>
    <mergeCell ref="Q29:V29"/>
    <mergeCell ref="Z22:AB22"/>
    <mergeCell ref="K51:AH51"/>
    <mergeCell ref="AB20:AC20"/>
    <mergeCell ref="G51:J51"/>
    <mergeCell ref="AG1:AH1"/>
    <mergeCell ref="L39:N39"/>
    <mergeCell ref="L45:N45"/>
    <mergeCell ref="T45:U45"/>
    <mergeCell ref="K32:AH32"/>
    <mergeCell ref="P12:S12"/>
    <mergeCell ref="AA1:AB1"/>
    <mergeCell ref="AE2:AE3"/>
    <mergeCell ref="K41:AH41"/>
    <mergeCell ref="L20:N20"/>
    <mergeCell ref="AG2:AG3"/>
    <mergeCell ref="Y2:Y3"/>
    <mergeCell ref="X20:Z20"/>
    <mergeCell ref="C8:E10"/>
    <mergeCell ref="P45:S45"/>
    <mergeCell ref="D59:J59"/>
    <mergeCell ref="F7:AH7"/>
    <mergeCell ref="AC16:AF16"/>
    <mergeCell ref="Y12:AG12"/>
    <mergeCell ref="I9:M10"/>
    <mergeCell ref="K52:O52"/>
    <mergeCell ref="K57:P57"/>
    <mergeCell ref="AC18:AF18"/>
    <mergeCell ref="K2:O2"/>
    <mergeCell ref="W57:AB57"/>
    <mergeCell ref="P35:AH37"/>
    <mergeCell ref="Q56:V56"/>
    <mergeCell ref="Q25:V25"/>
    <mergeCell ref="D29:J30"/>
    <mergeCell ref="AC43:AF43"/>
    <mergeCell ref="W52:AG52"/>
    <mergeCell ref="L16:N16"/>
    <mergeCell ref="T16:U16"/>
    <mergeCell ref="C5:E5"/>
    <mergeCell ref="F35:I35"/>
    <mergeCell ref="AC57:AH57"/>
    <mergeCell ref="I36:M37"/>
    <mergeCell ref="L43:N43"/>
    <mergeCell ref="P16:S16"/>
    <mergeCell ref="W30:AB30"/>
    <mergeCell ref="K29:P29"/>
  </mergeCells>
  <dataValidations count="10">
    <dataValidation sqref="K24:AH24" showDropDown="0" showInputMessage="1" showErrorMessage="1" allowBlank="1" type="list" errorStyle="warning">
      <formula1>"　,共同生活援助に供する土地・建物が法人の自己所有であるため。"</formula1>
    </dataValidation>
    <dataValidation sqref="F4:AH4 F6:AH6 F33:AH33" showDropDown="0" showInputMessage="1" showErrorMessage="1" allowBlank="1" imeMode="halfKatakana"/>
    <dataValidation sqref="J8:N8 J35:N35 S20:T20 S47:T47 Y2:AH3 AE20:AF20 AE47:AF47" showDropDown="0" showInputMessage="1" showErrorMessage="1" allowBlank="1" imeMode="fullAlpha"/>
    <dataValidation sqref="P20:Q20 P47:Q47 AB20:AC20 AB47:AC47" showDropDown="0" showInputMessage="1" showErrorMessage="1" allowBlank="1" type="list" imeMode="fullAlpha">
      <formula1>"　,４,５,６,７,８,９,１０,１１,１２,１,２,３"</formula1>
    </dataValidation>
    <dataValidation sqref="Z22:AB22 Z49:AB49" showDropDown="0" showInputMessage="1" showErrorMessage="1" allowBlank="1" type="list" errorStyle="warning">
      <formula1>"　,１,２,３,４,５"</formula1>
    </dataValidation>
    <dataValidation sqref="P16:S16 P18:S18 P43:S43 P45:S45 AC16:AF16 AC18:AF18 AC43:AF43 AC45:AF45" showDropDown="0" showInputMessage="1" showErrorMessage="1" allowBlank="1" prompt="半角数字で入力してください。区切記号（コンマ）は自動的に表示されますので、入力しないでください。" imeMode="halfAlpha"/>
    <dataValidation sqref="L20:N20 L47:N47 X20:Z20 X47:Z47" showDropDown="0" showInputMessage="1" showErrorMessage="1" allowBlank="1" type="list" errorStyle="warning">
      <formula1>"　,平成１２,平成１３,平成１４,平成１５,平成１６,平成１７,平成１８,平成１９,平成２０,平成２１,平成２２"</formula1>
    </dataValidation>
    <dataValidation sqref="K51:AH51" showDropDown="0" showInputMessage="1" showErrorMessage="1" allowBlank="1" type="list" errorStyle="warning">
      <formula1>"　,法人の自己所有であるため。"</formula1>
    </dataValidation>
    <dataValidation sqref="K31:AH31 K58:AH58" showDropDown="0" showInputMessage="1" showErrorMessage="1" allowBlank="1" type="list" errorStyle="warning">
      <formula1>"　,法定代理受領分：厚生労働大臣が定める基準の10/100、法定代理受領分以外：厚生労働大臣が定める基準"</formula1>
    </dataValidation>
    <dataValidation sqref="K30 K57 Q30 Q57 W30 W57 AC30 AC57" showDropDown="0" showInputMessage="1" showErrorMessage="1" allowBlank="1" type="list">
      <formula1>"　,○"</formula1>
    </dataValidation>
  </dataValidations>
  <pageMargins left="0.7086614173228347" right="0.5905511811023623" top="0.3937007874015748" bottom="0.3937007874015748" header="0.5118110236220472" footer="0.5118110236220472"/>
  <pageSetup orientation="portrait" paperSize="9" scale="94"/>
  <legacyDrawing xmlns:r="http://schemas.openxmlformats.org/officeDocument/2006/relationships" r:id="anysvml"/>
</worksheet>
</file>

<file path=xl/worksheets/sheet26.xml><?xml version="1.0" encoding="utf-8"?>
<worksheet xmlns="http://schemas.openxmlformats.org/spreadsheetml/2006/main">
  <sheetPr codeName="Sheet25">
    <outlinePr summaryBelow="1" summaryRight="1"/>
    <pageSetUpPr/>
  </sheetPr>
  <dimension ref="A1:AN74"/>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16"/>
    <col width="2.75" customWidth="1" style="1667" min="17" max="17"/>
    <col width="2.625" customWidth="1" style="1667" min="18" max="35"/>
    <col width="9" customWidth="1" style="1667" min="36" max="16384"/>
  </cols>
  <sheetData>
    <row r="1" ht="30" customHeight="1" s="4080" thickBot="1">
      <c r="A1" s="2914" t="inlineStr">
        <is>
          <t>付表１３の２　経過的居宅介護利用型共同生活援助事業所の指定に係る記載事項</t>
        </is>
      </c>
      <c r="AN1" s="719">
        <f>HYPERLINK("#目次!A1","目次へ戻る")</f>
        <v/>
      </c>
    </row>
    <row r="2" ht="15" customHeight="1" s="4080">
      <c r="B2" s="45" t="n"/>
      <c r="C2" s="45" t="n"/>
      <c r="E2" s="1889" t="n"/>
      <c r="J2" s="2069" t="n"/>
      <c r="K2" s="1889" t="n"/>
      <c r="P2" s="45" t="n"/>
      <c r="Q2" s="1889" t="n"/>
      <c r="R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5" customHeight="1" s="4080">
      <c r="A4" s="4179" t="inlineStr">
        <is>
          <t>主たる事業所</t>
        </is>
      </c>
      <c r="B4" s="4082"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2.95" customHeight="1" s="4080">
      <c r="A5" s="4097" t="n"/>
      <c r="C5" s="4181" t="inlineStr">
        <is>
          <t>名　称</t>
        </is>
      </c>
      <c r="D5" s="4098" t="n"/>
      <c r="E5" s="4099" t="n"/>
      <c r="F5" s="4182"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2.95"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5" customHeight="1" s="4080">
      <c r="A7" s="4097" t="n"/>
      <c r="C7" s="4268" t="inlineStr">
        <is>
          <t>所在地</t>
        </is>
      </c>
      <c r="D7" s="4098" t="n"/>
      <c r="E7" s="4099" t="n"/>
      <c r="F7" s="1244" t="inlineStr">
        <is>
          <t>郵便番号（</t>
        </is>
      </c>
      <c r="G7" s="4098" t="n"/>
      <c r="H7" s="4098" t="n"/>
      <c r="I7" s="4098" t="n"/>
      <c r="J7" s="1287" t="n"/>
      <c r="K7" s="4098" t="n"/>
      <c r="L7" s="4098" t="n"/>
      <c r="M7" s="4098" t="n"/>
      <c r="N7" s="4098" t="n"/>
      <c r="O7" s="1329" t="inlineStr">
        <is>
          <t>）</t>
        </is>
      </c>
      <c r="P7" s="4311"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986" t="n"/>
      <c r="N8" s="1260" t="inlineStr">
        <is>
          <t>区</t>
        </is>
      </c>
      <c r="AH8" s="4109" t="n"/>
    </row>
    <row r="9" ht="3.95" customHeight="1" s="4080">
      <c r="A9" s="4097" t="n"/>
      <c r="C9" s="4106" t="n"/>
      <c r="E9" s="4107"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882" t="n"/>
      <c r="J10" s="4110" t="n"/>
      <c r="K10" s="4110" t="n"/>
      <c r="L10" s="53" t="inlineStr">
        <is>
          <t>－</t>
        </is>
      </c>
      <c r="M10" s="920" t="n"/>
      <c r="N10" s="4110" t="n"/>
      <c r="O10" s="4110" t="n"/>
      <c r="P10" s="53" t="inlineStr">
        <is>
          <t>－</t>
        </is>
      </c>
      <c r="Q10" s="878" t="n"/>
      <c r="R10" s="4110" t="n"/>
      <c r="S10" s="4111" t="n"/>
      <c r="T10" s="4184" t="inlineStr">
        <is>
          <t>ＦＡＸ番号</t>
        </is>
      </c>
      <c r="U10" s="4110" t="n"/>
      <c r="V10" s="4110" t="n"/>
      <c r="W10" s="4111" t="n"/>
      <c r="X10" s="882" t="n"/>
      <c r="Y10" s="4110" t="n"/>
      <c r="Z10" s="4110" t="n"/>
      <c r="AA10" s="53" t="inlineStr">
        <is>
          <t>－</t>
        </is>
      </c>
      <c r="AB10" s="920" t="n"/>
      <c r="AC10" s="4110" t="n"/>
      <c r="AD10" s="4110" t="n"/>
      <c r="AE10" s="53" t="inlineStr">
        <is>
          <t>－</t>
        </is>
      </c>
      <c r="AF10" s="955" t="n"/>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18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54" t="n"/>
      <c r="V12" s="4110" t="n"/>
      <c r="W12" s="1264" t="inlineStr">
        <is>
          <t>条第</t>
        </is>
      </c>
      <c r="X12" s="4110" t="n"/>
      <c r="Y12" s="954" t="n"/>
      <c r="Z12" s="4110" t="n"/>
      <c r="AA12" s="1264" t="inlineStr">
        <is>
          <t>項第</t>
        </is>
      </c>
      <c r="AB12" s="4110" t="n"/>
      <c r="AC12" s="954" t="n"/>
      <c r="AD12" s="4110" t="n"/>
      <c r="AE12" s="1264" t="inlineStr">
        <is>
          <t>号（</t>
        </is>
      </c>
      <c r="AF12" s="4110" t="n"/>
      <c r="AG12" s="954" t="n"/>
      <c r="AH12" s="2827" t="inlineStr">
        <is>
          <t>）</t>
        </is>
      </c>
    </row>
    <row r="13" ht="15.95" customHeight="1" s="4080">
      <c r="A13" s="4188" t="inlineStr">
        <is>
          <t>管　　理　　者</t>
        </is>
      </c>
      <c r="B13" s="4099" t="n"/>
      <c r="C13" s="4184" t="inlineStr">
        <is>
          <t>ﾌﾘｶﾞﾅ</t>
        </is>
      </c>
      <c r="D13" s="4110" t="n"/>
      <c r="E13" s="4111" t="n"/>
      <c r="F13" s="4612" t="n"/>
      <c r="G13" s="4110" t="n"/>
      <c r="H13" s="4110" t="n"/>
      <c r="I13" s="4204" t="n"/>
      <c r="J13" s="4613" t="n"/>
      <c r="K13" s="4110" t="n"/>
      <c r="L13" s="4110" t="n"/>
      <c r="M13" s="4111" t="n"/>
      <c r="N13" s="4185" t="inlineStr">
        <is>
          <t>住所</t>
        </is>
      </c>
      <c r="O13" s="4099" t="n"/>
      <c r="P13" s="1244" t="inlineStr">
        <is>
          <t>郵便番号（</t>
        </is>
      </c>
      <c r="Q13" s="4098" t="n"/>
      <c r="R13" s="4098" t="n"/>
      <c r="S13" s="4098" t="n"/>
      <c r="T13" s="1287" t="n"/>
      <c r="U13" s="4098" t="n"/>
      <c r="V13" s="4098" t="n"/>
      <c r="W13" s="4098" t="n"/>
      <c r="X13" s="4098" t="n"/>
      <c r="Y13" s="1329" t="inlineStr">
        <is>
          <t>）</t>
        </is>
      </c>
      <c r="Z13" s="1017" t="n"/>
      <c r="AA13" s="1017" t="n"/>
      <c r="AB13" s="1017" t="n"/>
      <c r="AC13" s="1017" t="n"/>
      <c r="AD13" s="1017" t="n"/>
      <c r="AE13" s="1017" t="n"/>
      <c r="AF13" s="1017" t="n"/>
      <c r="AG13" s="1017" t="n"/>
      <c r="AH13" s="1424" t="n"/>
    </row>
    <row r="14" ht="14.1" customHeight="1" s="4080">
      <c r="A14" s="4097" t="n"/>
      <c r="B14" s="4107" t="n"/>
      <c r="C14" s="2178" t="inlineStr">
        <is>
          <t>氏　　名</t>
        </is>
      </c>
      <c r="D14" s="4098" t="n"/>
      <c r="E14" s="4099" t="n"/>
      <c r="F14" s="4682" t="n"/>
      <c r="G14" s="4098" t="n"/>
      <c r="H14" s="4098" t="n"/>
      <c r="I14" s="4210" t="n"/>
      <c r="J14" s="4683" t="n"/>
      <c r="K14" s="4098" t="n"/>
      <c r="L14" s="4098" t="n"/>
      <c r="M14" s="4099" t="n"/>
      <c r="N14" s="4106" t="n"/>
      <c r="O14" s="4107" t="n"/>
      <c r="P14" s="1318" t="n"/>
      <c r="R14" s="2378" t="inlineStr">
        <is>
          <t>都</t>
        </is>
      </c>
      <c r="S14" s="2378" t="inlineStr">
        <is>
          <t>道</t>
        </is>
      </c>
      <c r="T14" s="1319" t="n"/>
      <c r="W14" s="2378" t="inlineStr">
        <is>
          <t>郡</t>
        </is>
      </c>
      <c r="X14" s="1321" t="n"/>
      <c r="AH14" s="4109" t="n"/>
    </row>
    <row r="15" ht="12" customHeight="1" s="4080">
      <c r="A15" s="4097" t="n"/>
      <c r="B15" s="4107" t="n"/>
      <c r="C15" s="4106" t="n"/>
      <c r="E15" s="4107" t="n"/>
      <c r="F15" s="4106" t="n"/>
      <c r="I15" s="4212" t="n"/>
      <c r="J15" s="4213" t="n"/>
      <c r="M15" s="4107" t="n"/>
      <c r="N15" s="4106" t="n"/>
      <c r="O15" s="4107" t="n"/>
      <c r="P15" s="4106" t="n"/>
      <c r="R15" s="2378" t="inlineStr">
        <is>
          <t>府</t>
        </is>
      </c>
      <c r="S15" s="2378" t="inlineStr">
        <is>
          <t>県</t>
        </is>
      </c>
      <c r="W15" s="2378" t="inlineStr">
        <is>
          <t>市</t>
        </is>
      </c>
      <c r="AH15" s="4109" t="n"/>
    </row>
    <row r="16" ht="3.95" customHeight="1" s="4080">
      <c r="A16" s="4097" t="n"/>
      <c r="B16" s="4107" t="n"/>
      <c r="C16" s="4106" t="n"/>
      <c r="E16" s="4107" t="n"/>
      <c r="F16" s="4106" t="n"/>
      <c r="I16" s="4212" t="n"/>
      <c r="J16" s="4213" t="n"/>
      <c r="M16" s="4107" t="n"/>
      <c r="N16" s="4102" t="n"/>
      <c r="O16" s="4104" t="n"/>
      <c r="P16" s="4102"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1325" t="inlineStr">
        <is>
          <t>無</t>
        </is>
      </c>
      <c r="R18" s="1332" t="n"/>
      <c r="S18" s="4106" t="n"/>
      <c r="U18" s="4107" t="n"/>
      <c r="V18" s="4196"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7.25" customHeight="1" s="4080">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Height="1" s="4080">
      <c r="A21" s="4097" t="n"/>
      <c r="B21" s="4107" t="n"/>
      <c r="C21" s="1303" t="inlineStr">
        <is>
          <t>事　業　所　名</t>
        </is>
      </c>
      <c r="D21" s="4138" t="n"/>
      <c r="E21" s="4138" t="n"/>
      <c r="F21" s="4138" t="n"/>
      <c r="G21" s="4138" t="n"/>
      <c r="H21" s="4138" t="n"/>
      <c r="I21" s="4138" t="n"/>
      <c r="J21" s="4138" t="n"/>
      <c r="K21" s="4138" t="n"/>
      <c r="L21" s="4198" t="n"/>
      <c r="M21" s="1304" t="inlineStr">
        <is>
          <t>サービス種別</t>
        </is>
      </c>
      <c r="N21" s="4138" t="n"/>
      <c r="O21" s="4138" t="n"/>
      <c r="P21" s="4138" t="n"/>
      <c r="Q21" s="4138" t="n"/>
      <c r="R21" s="4138" t="n"/>
      <c r="S21" s="4138" t="n"/>
      <c r="T21" s="4138" t="n"/>
      <c r="U21" s="4138" t="n"/>
      <c r="V21" s="4138" t="n"/>
      <c r="W21" s="4138" t="n"/>
      <c r="X21" s="4198" t="n"/>
      <c r="Y21" s="1641" t="inlineStr">
        <is>
          <t>職　　　種</t>
        </is>
      </c>
      <c r="Z21" s="4138" t="n"/>
      <c r="AA21" s="4138" t="n"/>
      <c r="AB21" s="4138" t="n"/>
      <c r="AC21" s="4138" t="n"/>
      <c r="AD21" s="4138" t="n"/>
      <c r="AE21" s="4138" t="n"/>
      <c r="AF21" s="4138" t="n"/>
      <c r="AG21" s="4138" t="n"/>
      <c r="AH21" s="4198" t="n"/>
    </row>
    <row r="22" ht="15" customHeight="1" s="4080">
      <c r="A22" s="4097" t="n"/>
      <c r="B22" s="4107" t="n"/>
      <c r="C22" s="1347" t="n"/>
      <c r="D22" s="4098" t="n"/>
      <c r="E22" s="4098" t="n"/>
      <c r="F22" s="4098" t="n"/>
      <c r="G22" s="4098" t="n"/>
      <c r="H22" s="4098" t="n"/>
      <c r="I22" s="4098" t="n"/>
      <c r="J22" s="4098" t="n"/>
      <c r="K22" s="4098" t="n"/>
      <c r="L22" s="4190" t="n"/>
      <c r="M22" s="1348" t="n"/>
      <c r="N22" s="4098" t="n"/>
      <c r="O22" s="4098" t="n"/>
      <c r="P22" s="4098" t="n"/>
      <c r="Q22" s="4098" t="n"/>
      <c r="R22" s="4098" t="n"/>
      <c r="S22" s="4098" t="n"/>
      <c r="T22" s="4098" t="n"/>
      <c r="U22" s="4098" t="n"/>
      <c r="V22" s="4098" t="n"/>
      <c r="W22" s="4098" t="n"/>
      <c r="X22" s="4190" t="n"/>
      <c r="Y22" s="1349" t="n"/>
      <c r="Z22" s="4098" t="n"/>
      <c r="AA22" s="4098" t="n"/>
      <c r="AB22" s="4098" t="n"/>
      <c r="AC22" s="4098" t="n"/>
      <c r="AD22" s="4098" t="n"/>
      <c r="AE22" s="4098" t="n"/>
      <c r="AF22" s="4098" t="n"/>
      <c r="AG22" s="4098" t="n"/>
      <c r="AH22" s="4190" t="n"/>
    </row>
    <row r="23" ht="15" customHeight="1" s="4080">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1" t="n"/>
      <c r="Z23" s="4199" t="n"/>
      <c r="AA23" s="4199" t="n"/>
      <c r="AB23" s="4199" t="n"/>
      <c r="AC23" s="4199" t="n"/>
      <c r="AD23" s="4199" t="n"/>
      <c r="AE23" s="4199" t="n"/>
      <c r="AF23" s="4199" t="n"/>
      <c r="AG23" s="4199" t="n"/>
      <c r="AH23" s="4200" t="n"/>
    </row>
    <row r="24" ht="15" customHeight="1" s="4080">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1" t="n"/>
      <c r="Z24" s="4199" t="n"/>
      <c r="AA24" s="4199" t="n"/>
      <c r="AB24" s="4199" t="n"/>
      <c r="AC24" s="4199" t="n"/>
      <c r="AD24" s="4199" t="n"/>
      <c r="AE24" s="4199" t="n"/>
      <c r="AF24" s="4199" t="n"/>
      <c r="AG24" s="4199" t="n"/>
      <c r="AH24" s="4200" t="n"/>
    </row>
    <row r="25" ht="15" customHeight="1" s="4080">
      <c r="A25" s="4097" t="n"/>
      <c r="B25" s="4107" t="n"/>
      <c r="C25" s="1343" t="n"/>
      <c r="D25" s="4146" t="n"/>
      <c r="E25" s="4146" t="n"/>
      <c r="F25" s="4146" t="n"/>
      <c r="G25" s="4146" t="n"/>
      <c r="H25" s="4146" t="n"/>
      <c r="I25" s="4146" t="n"/>
      <c r="J25" s="4146" t="n"/>
      <c r="K25" s="4146" t="n"/>
      <c r="L25" s="4201" t="n"/>
      <c r="M25" s="1344" t="n"/>
      <c r="N25" s="4146" t="n"/>
      <c r="O25" s="4146" t="n"/>
      <c r="P25" s="4146" t="n"/>
      <c r="Q25" s="4146" t="n"/>
      <c r="R25" s="4146" t="n"/>
      <c r="S25" s="4146" t="n"/>
      <c r="T25" s="4146" t="n"/>
      <c r="U25" s="4146" t="n"/>
      <c r="V25" s="4146" t="n"/>
      <c r="W25" s="4146" t="n"/>
      <c r="X25" s="4201" t="n"/>
      <c r="Y25" s="1345" t="n"/>
      <c r="Z25" s="4146" t="n"/>
      <c r="AA25" s="4146" t="n"/>
      <c r="AB25" s="4146" t="n"/>
      <c r="AC25" s="4146" t="n"/>
      <c r="AD25" s="4146" t="n"/>
      <c r="AE25" s="4146" t="n"/>
      <c r="AF25" s="4146" t="n"/>
      <c r="AG25" s="4146" t="n"/>
      <c r="AH25" s="4201" t="n"/>
    </row>
    <row r="26" ht="12" customHeight="1" s="4080">
      <c r="A26" s="1766" t="inlineStr">
        <is>
          <t>サ ー ビ ス 管 理 責 任 者</t>
        </is>
      </c>
      <c r="B26" s="1768" t="inlineStr">
        <is>
          <t>１</t>
        </is>
      </c>
      <c r="C26" s="4184" t="inlineStr">
        <is>
          <t>ﾌﾘｶﾞﾅ</t>
        </is>
      </c>
      <c r="D26" s="4110" t="n"/>
      <c r="E26" s="4111" t="n"/>
      <c r="F26" s="4203" t="n"/>
      <c r="G26" s="4110" t="n"/>
      <c r="H26" s="4110" t="n"/>
      <c r="I26" s="4204" t="n"/>
      <c r="J26" s="4205" t="n"/>
      <c r="K26" s="4110" t="n"/>
      <c r="L26" s="4110" t="n"/>
      <c r="M26" s="4111" t="n"/>
      <c r="N26" s="2164" t="inlineStr">
        <is>
          <t>住所</t>
        </is>
      </c>
      <c r="O26" s="4099" t="n"/>
      <c r="P26" s="1244" t="inlineStr">
        <is>
          <t>郵便番号（</t>
        </is>
      </c>
      <c r="Q26" s="4098" t="n"/>
      <c r="R26" s="4098" t="n"/>
      <c r="S26" s="4098" t="n"/>
      <c r="T26" s="1287" t="n"/>
      <c r="U26" s="4098" t="n"/>
      <c r="V26" s="4098" t="n"/>
      <c r="W26" s="4098" t="n"/>
      <c r="X26" s="4098" t="n"/>
      <c r="Y26" s="1329" t="inlineStr">
        <is>
          <t>）</t>
        </is>
      </c>
      <c r="Z26" s="1017" t="n"/>
      <c r="AA26" s="1017" t="n"/>
      <c r="AB26" s="1017" t="n"/>
      <c r="AC26" s="1017" t="n"/>
      <c r="AD26" s="1017" t="n"/>
      <c r="AE26" s="120" t="n"/>
      <c r="AF26" s="119" t="n"/>
      <c r="AG26" s="119" t="n"/>
      <c r="AH26" s="118" t="n"/>
    </row>
    <row r="27" ht="12" customHeight="1" s="4080">
      <c r="A27" s="4208" t="n"/>
      <c r="B27" s="4107" t="n"/>
      <c r="C27" s="4209" t="inlineStr">
        <is>
          <t>氏　　名</t>
        </is>
      </c>
      <c r="D27" s="4098" t="n"/>
      <c r="E27" s="4099" t="n"/>
      <c r="F27" s="4203" t="n"/>
      <c r="G27" s="4098" t="n"/>
      <c r="H27" s="4098" t="n"/>
      <c r="I27" s="4210" t="n"/>
      <c r="J27" s="4205" t="n"/>
      <c r="K27" s="4098" t="n"/>
      <c r="L27" s="4098" t="n"/>
      <c r="M27" s="4099" t="n"/>
      <c r="N27" s="4106" t="n"/>
      <c r="O27" s="4107" t="n"/>
      <c r="P27" s="1318" t="n"/>
      <c r="R27" s="2378" t="inlineStr">
        <is>
          <t>都</t>
        </is>
      </c>
      <c r="S27" s="2378" t="inlineStr">
        <is>
          <t>道</t>
        </is>
      </c>
      <c r="T27" s="1389" t="n"/>
      <c r="W27" s="2378" t="inlineStr">
        <is>
          <t>郡</t>
        </is>
      </c>
      <c r="X27" s="1686" t="n"/>
      <c r="AH27" s="4109" t="n"/>
    </row>
    <row r="28" ht="12" customHeight="1" s="4080">
      <c r="A28" s="4208" t="n"/>
      <c r="B28" s="4107" t="n"/>
      <c r="C28" s="4106" t="n"/>
      <c r="E28" s="4107" t="n"/>
      <c r="F28" s="4106" t="n"/>
      <c r="I28" s="4212" t="n"/>
      <c r="J28" s="4213" t="n"/>
      <c r="M28" s="4107" t="n"/>
      <c r="N28" s="4106" t="n"/>
      <c r="O28" s="4107" t="n"/>
      <c r="P28" s="4106" t="n"/>
      <c r="R28" s="2378" t="inlineStr">
        <is>
          <t>府</t>
        </is>
      </c>
      <c r="S28" s="2378" t="inlineStr">
        <is>
          <t>県</t>
        </is>
      </c>
      <c r="W28" s="2378" t="inlineStr">
        <is>
          <t>市</t>
        </is>
      </c>
      <c r="AH28" s="4109" t="n"/>
    </row>
    <row r="29" ht="3" customHeight="1" s="4080">
      <c r="A29" s="4208" t="n"/>
      <c r="B29" s="4107" t="n"/>
      <c r="C29" s="4102" t="n"/>
      <c r="D29" s="4103" t="n"/>
      <c r="E29" s="4104" t="n"/>
      <c r="F29" s="4102" t="n"/>
      <c r="G29" s="4103" t="n"/>
      <c r="H29" s="4103" t="n"/>
      <c r="I29" s="4215" t="n"/>
      <c r="J29" s="4216" t="n"/>
      <c r="K29" s="4103" t="n"/>
      <c r="L29" s="4103" t="n"/>
      <c r="M29" s="4104" t="n"/>
      <c r="N29" s="4102" t="n"/>
      <c r="O29" s="4104" t="n"/>
      <c r="P29" s="4102" t="n"/>
      <c r="Q29" s="4103" t="n"/>
      <c r="R29" s="2378" t="n"/>
      <c r="S29" s="2378" t="n"/>
      <c r="T29" s="4103" t="n"/>
      <c r="U29" s="4103" t="n"/>
      <c r="V29" s="4103" t="n"/>
      <c r="W29" s="63" t="n"/>
      <c r="X29" s="4103" t="n"/>
      <c r="Y29" s="4103" t="n"/>
      <c r="Z29" s="4103" t="n"/>
      <c r="AA29" s="4103" t="n"/>
      <c r="AB29" s="4103" t="n"/>
      <c r="AC29" s="4103" t="n"/>
      <c r="AD29" s="4103" t="n"/>
      <c r="AE29" s="4103" t="n"/>
      <c r="AF29" s="4103" t="n"/>
      <c r="AG29" s="4103" t="n"/>
      <c r="AH29" s="4105" t="n"/>
    </row>
    <row r="30" ht="3.95" customHeight="1" s="4080">
      <c r="A30" s="4208" t="n"/>
      <c r="B30" s="4107" t="n"/>
      <c r="C30" s="1393" t="inlineStr">
        <is>
          <t>他の職務との兼務の有無及び職種</t>
        </is>
      </c>
      <c r="D30" s="4098" t="n"/>
      <c r="E30" s="4098" t="n"/>
      <c r="F30" s="4098" t="n"/>
      <c r="G30" s="4098" t="n"/>
      <c r="H30" s="4098" t="n"/>
      <c r="I30" s="4098" t="n"/>
      <c r="J30" s="4098" t="n"/>
      <c r="K30" s="4098" t="n"/>
      <c r="L30" s="4098" t="n"/>
      <c r="M30" s="4098" t="n"/>
      <c r="N30" s="4195" t="n"/>
      <c r="O30" s="4098" t="n"/>
      <c r="P30" s="4098" t="n"/>
      <c r="Q30" s="4098" t="n"/>
      <c r="R30" s="4099" t="n"/>
      <c r="S30" s="2163" t="inlineStr">
        <is>
          <t>職　　種</t>
        </is>
      </c>
      <c r="T30" s="4098" t="n"/>
      <c r="U30" s="4099" t="n"/>
      <c r="V30" s="1322" t="n"/>
      <c r="W30" s="1335" t="inlineStr">
        <is>
          <t xml:space="preserve">　</t>
        </is>
      </c>
      <c r="X30" s="4098" t="n"/>
      <c r="Y30" s="4098" t="n"/>
      <c r="Z30" s="4098" t="n"/>
      <c r="AA30" s="4098" t="n"/>
      <c r="AB30" s="4098" t="n"/>
      <c r="AC30" s="4098" t="n"/>
      <c r="AD30" s="4098" t="n"/>
      <c r="AE30" s="4098" t="n"/>
      <c r="AF30" s="4098" t="n"/>
      <c r="AG30" s="4098" t="n"/>
      <c r="AH30" s="4101" t="n"/>
    </row>
    <row r="31" ht="12" customHeight="1" s="4080">
      <c r="A31" s="4208" t="n"/>
      <c r="B31" s="4107" t="n"/>
      <c r="C31" s="4106" t="n"/>
      <c r="N31" s="1354" t="n"/>
      <c r="O31" s="1325" t="inlineStr">
        <is>
          <t>有</t>
        </is>
      </c>
      <c r="P31" s="1325" t="inlineStr">
        <is>
          <t>・</t>
        </is>
      </c>
      <c r="Q31" s="1325" t="inlineStr">
        <is>
          <t>無</t>
        </is>
      </c>
      <c r="R31" s="1332" t="n"/>
      <c r="S31" s="4106" t="n"/>
      <c r="U31" s="4107" t="n"/>
      <c r="V31" s="4196" t="n"/>
      <c r="AH31" s="4109" t="n"/>
    </row>
    <row r="32" ht="3.95" customHeight="1" s="4080">
      <c r="A32" s="4208" t="n"/>
      <c r="B32" s="4107" t="n"/>
      <c r="C32" s="4102" t="n"/>
      <c r="D32" s="4103" t="n"/>
      <c r="E32" s="4103" t="n"/>
      <c r="F32" s="4103" t="n"/>
      <c r="G32" s="4103" t="n"/>
      <c r="H32" s="4103" t="n"/>
      <c r="I32" s="4103" t="n"/>
      <c r="J32" s="4103" t="n"/>
      <c r="K32" s="4103" t="n"/>
      <c r="L32" s="4103" t="n"/>
      <c r="M32" s="4103" t="n"/>
      <c r="N32" s="4197" t="n"/>
      <c r="O32" s="4103" t="n"/>
      <c r="P32" s="4103" t="n"/>
      <c r="Q32" s="4103" t="n"/>
      <c r="R32" s="4104" t="n"/>
      <c r="S32" s="4102" t="n"/>
      <c r="T32" s="4103" t="n"/>
      <c r="U32" s="4104" t="n"/>
      <c r="V32" s="1326" t="n"/>
      <c r="W32" s="1299" t="n"/>
      <c r="X32" s="4103" t="n"/>
      <c r="Y32" s="4103" t="n"/>
      <c r="Z32" s="4103" t="n"/>
      <c r="AA32" s="4103" t="n"/>
      <c r="AB32" s="4103" t="n"/>
      <c r="AC32" s="4103" t="n"/>
      <c r="AD32" s="4103" t="n"/>
      <c r="AE32" s="4103" t="n"/>
      <c r="AF32" s="4103" t="n"/>
      <c r="AG32" s="4103" t="n"/>
      <c r="AH32" s="4105" t="n"/>
    </row>
    <row r="33" ht="3.95" customHeight="1" s="4080">
      <c r="A33" s="4208" t="n"/>
      <c r="B33" s="4107" t="n"/>
      <c r="C33" s="1826" t="inlineStr">
        <is>
          <t>資格要件</t>
        </is>
      </c>
      <c r="D33" s="4098" t="n"/>
      <c r="E33" s="4098" t="n"/>
      <c r="F33" s="1322" t="n"/>
      <c r="G33" s="1323" t="n"/>
      <c r="H33" s="1414" t="n"/>
      <c r="I33" s="2056" t="n"/>
      <c r="J33" s="2056" t="n"/>
      <c r="K33" s="2056" t="n"/>
      <c r="L33" s="2056" t="n"/>
      <c r="M33" s="2056" t="n"/>
      <c r="N33" s="2056" t="n"/>
      <c r="O33" s="2056" t="n"/>
      <c r="P33" s="1402" t="n"/>
      <c r="Q33" s="1402" t="n"/>
      <c r="R33" s="1402" t="n"/>
      <c r="S33" s="4313" t="inlineStr">
        <is>
          <t>研修の
受講状況</t>
        </is>
      </c>
      <c r="T33" s="4098" t="n"/>
      <c r="U33" s="4099" t="n"/>
      <c r="V33" s="1322" t="n"/>
      <c r="W33" s="1323" t="n"/>
      <c r="X33" s="1323" t="n"/>
      <c r="Y33" s="1323" t="n"/>
      <c r="Z33" s="1323" t="n"/>
      <c r="AA33" s="1331" t="n"/>
      <c r="AB33" s="1323" t="n"/>
      <c r="AC33" s="1323" t="n"/>
      <c r="AD33" s="1323" t="n"/>
      <c r="AE33" s="1323" t="n"/>
      <c r="AF33" s="1323" t="n"/>
      <c r="AG33" s="1323" t="n"/>
      <c r="AH33" s="2297" t="n"/>
    </row>
    <row r="34" ht="12" customHeight="1" s="4080">
      <c r="A34" s="4208" t="n"/>
      <c r="B34" s="4107" t="n"/>
      <c r="C34" s="4106" t="n"/>
      <c r="F34" s="4314" t="inlineStr">
        <is>
          <t>実務経験</t>
        </is>
      </c>
      <c r="H34" s="4107" t="n"/>
      <c r="I34" s="1790" t="n"/>
      <c r="S34" s="4106" t="n"/>
      <c r="U34" s="4107" t="n"/>
      <c r="V34" s="4315" t="inlineStr">
        <is>
          <t>相談支援従事者研修</t>
        </is>
      </c>
      <c r="AA34" s="4107" t="n"/>
      <c r="AB34" s="128" t="n"/>
      <c r="AC34" s="1783" t="inlineStr">
        <is>
          <t>受講済</t>
        </is>
      </c>
      <c r="AE34" s="2379" t="inlineStr">
        <is>
          <t>・</t>
        </is>
      </c>
      <c r="AF34" s="1770" t="inlineStr">
        <is>
          <t>未受講</t>
        </is>
      </c>
      <c r="AH34" s="130" t="n"/>
    </row>
    <row r="35" ht="3.95" customHeight="1" s="4080">
      <c r="A35" s="4208" t="n"/>
      <c r="B35" s="4107" t="n"/>
      <c r="C35" s="4106" t="n"/>
      <c r="F35" s="131" t="n"/>
      <c r="G35" s="132" t="n"/>
      <c r="H35" s="133" t="n"/>
      <c r="I35" s="134" t="n"/>
      <c r="J35" s="134" t="n"/>
      <c r="K35" s="134" t="n"/>
      <c r="L35" s="134" t="n"/>
      <c r="M35" s="134" t="n"/>
      <c r="N35" s="134" t="n"/>
      <c r="O35" s="135" t="n"/>
      <c r="P35" s="136" t="n"/>
      <c r="Q35" s="136" t="n"/>
      <c r="R35" s="137" t="n"/>
      <c r="S35" s="4106" t="n"/>
      <c r="U35" s="4107" t="n"/>
      <c r="V35" s="4316" t="n"/>
      <c r="W35" s="4317" t="n"/>
      <c r="X35" s="4317" t="n"/>
      <c r="Y35" s="4317" t="n"/>
      <c r="Z35" s="4317" t="n"/>
      <c r="AA35" s="4318" t="n"/>
      <c r="AB35" s="138" t="n"/>
      <c r="AC35" s="138" t="n"/>
      <c r="AD35" s="138" t="n"/>
      <c r="AE35" s="138" t="n"/>
      <c r="AF35" s="138" t="n"/>
      <c r="AG35" s="138" t="n"/>
      <c r="AH35" s="139" t="n"/>
    </row>
    <row r="36" ht="3.95" customHeight="1" s="4080">
      <c r="A36" s="4208" t="n"/>
      <c r="B36" s="4107" t="n"/>
      <c r="C36" s="4106" t="n"/>
      <c r="F36" s="140" t="n"/>
      <c r="G36" s="141" t="n"/>
      <c r="H36" s="142" t="n"/>
      <c r="I36" s="143" t="n"/>
      <c r="J36" s="143" t="n"/>
      <c r="K36" s="144" t="n"/>
      <c r="L36" s="141" t="n"/>
      <c r="M36" s="141" t="n"/>
      <c r="N36" s="141" t="n"/>
      <c r="O36" s="141" t="n"/>
      <c r="P36" s="145" t="n"/>
      <c r="Q36" s="145" t="n"/>
      <c r="R36" s="146" t="n"/>
      <c r="S36" s="4106" t="n"/>
      <c r="U36" s="4107" t="n"/>
      <c r="V36" s="4319" t="n"/>
      <c r="W36" s="4320" t="n"/>
      <c r="X36" s="4320" t="n"/>
      <c r="Y36" s="4320" t="n"/>
      <c r="Z36" s="4320" t="n"/>
      <c r="AA36" s="4321" t="n"/>
      <c r="AB36" s="141" t="n"/>
      <c r="AC36" s="141" t="n"/>
      <c r="AD36" s="141" t="n"/>
      <c r="AE36" s="141" t="n"/>
      <c r="AF36" s="141" t="n"/>
      <c r="AG36" s="141" t="n"/>
      <c r="AH36" s="147" t="n"/>
    </row>
    <row r="37" ht="12" customHeight="1" s="4080">
      <c r="A37" s="4208" t="n"/>
      <c r="B37" s="4107" t="n"/>
      <c r="C37" s="4106" t="n"/>
      <c r="F37" s="4314" t="inlineStr">
        <is>
          <t>資格種類</t>
        </is>
      </c>
      <c r="H37" s="4107" t="n"/>
      <c r="I37" s="935" t="n"/>
      <c r="S37" s="4106" t="n"/>
      <c r="U37" s="4107" t="n"/>
      <c r="V37" s="4322" t="inlineStr">
        <is>
          <t>サービス管理責任者研修</t>
        </is>
      </c>
      <c r="AA37" s="4107" t="n"/>
      <c r="AB37" s="1355" t="n"/>
      <c r="AC37" s="1783" t="inlineStr">
        <is>
          <t>受講済</t>
        </is>
      </c>
      <c r="AE37" s="2379" t="inlineStr">
        <is>
          <t>・</t>
        </is>
      </c>
      <c r="AF37" s="1770" t="inlineStr">
        <is>
          <t>未受講</t>
        </is>
      </c>
      <c r="AH37" s="148" t="n"/>
    </row>
    <row r="38" ht="3.95" customHeight="1" s="4080">
      <c r="A38" s="4208" t="n"/>
      <c r="B38" s="4107" t="n"/>
      <c r="C38" s="4102" t="n"/>
      <c r="D38" s="4103" t="n"/>
      <c r="E38" s="4103" t="n"/>
      <c r="F38" s="1326" t="n"/>
      <c r="G38" s="1327" t="n"/>
      <c r="H38" s="1333" t="n"/>
      <c r="I38" s="134" t="n"/>
      <c r="J38" s="134" t="n"/>
      <c r="K38" s="134" t="n"/>
      <c r="L38" s="134" t="n"/>
      <c r="M38" s="134" t="n"/>
      <c r="N38" s="134" t="n"/>
      <c r="O38" s="2059" t="n"/>
      <c r="P38" s="1413" t="n"/>
      <c r="Q38" s="1413" t="n"/>
      <c r="R38" s="1413" t="n"/>
      <c r="S38" s="4102" t="n"/>
      <c r="T38" s="4103" t="n"/>
      <c r="U38" s="4104" t="n"/>
      <c r="V38" s="1412" t="n"/>
      <c r="W38" s="154" t="n"/>
      <c r="X38" s="154" t="n"/>
      <c r="Y38" s="138" t="n"/>
      <c r="Z38" s="138" t="n"/>
      <c r="AA38" s="155" t="n"/>
      <c r="AB38" s="138" t="n"/>
      <c r="AC38" s="138" t="n"/>
      <c r="AD38" s="138" t="n"/>
      <c r="AE38" s="138" t="n"/>
      <c r="AF38" s="138" t="n"/>
      <c r="AG38" s="138" t="n"/>
      <c r="AH38" s="139" t="n"/>
    </row>
    <row r="39" ht="12" customHeight="1" s="4080">
      <c r="A39" s="4208" t="n"/>
      <c r="B39" s="1768" t="inlineStr">
        <is>
          <t>２</t>
        </is>
      </c>
      <c r="C39" s="4184" t="inlineStr">
        <is>
          <t>ﾌﾘｶﾞﾅ</t>
        </is>
      </c>
      <c r="D39" s="4110" t="n"/>
      <c r="E39" s="4111" t="n"/>
      <c r="F39" s="4203" t="n"/>
      <c r="G39" s="4110" t="n"/>
      <c r="H39" s="4110" t="n"/>
      <c r="I39" s="4204" t="n"/>
      <c r="J39" s="4205" t="n"/>
      <c r="K39" s="4110" t="n"/>
      <c r="L39" s="4110" t="n"/>
      <c r="M39" s="4111" t="n"/>
      <c r="N39" s="2164" t="inlineStr">
        <is>
          <t>住所</t>
        </is>
      </c>
      <c r="O39" s="4099" t="n"/>
      <c r="P39" s="1244" t="inlineStr">
        <is>
          <t>郵便番号（</t>
        </is>
      </c>
      <c r="Q39" s="4098" t="n"/>
      <c r="R39" s="4098" t="n"/>
      <c r="S39" s="4098" t="n"/>
      <c r="T39" s="1287" t="n"/>
      <c r="U39" s="4098" t="n"/>
      <c r="V39" s="4098" t="n"/>
      <c r="W39" s="4098" t="n"/>
      <c r="X39" s="4098" t="n"/>
      <c r="Y39" s="1329" t="inlineStr">
        <is>
          <t>）</t>
        </is>
      </c>
      <c r="Z39" s="1017" t="n"/>
      <c r="AA39" s="1017" t="n"/>
      <c r="AB39" s="1017" t="n"/>
      <c r="AC39" s="1017" t="n"/>
      <c r="AD39" s="1017" t="n"/>
      <c r="AE39" s="120" t="n"/>
      <c r="AF39" s="119" t="n"/>
      <c r="AG39" s="119" t="n"/>
      <c r="AH39" s="118" t="n"/>
    </row>
    <row r="40" ht="12" customHeight="1" s="4080">
      <c r="A40" s="4208" t="n"/>
      <c r="B40" s="4107" t="n"/>
      <c r="C40" s="4209" t="inlineStr">
        <is>
          <t>氏　　名</t>
        </is>
      </c>
      <c r="D40" s="4098" t="n"/>
      <c r="E40" s="4099" t="n"/>
      <c r="F40" s="4203" t="n"/>
      <c r="G40" s="4098" t="n"/>
      <c r="H40" s="4098" t="n"/>
      <c r="I40" s="4210" t="n"/>
      <c r="J40" s="4205" t="n"/>
      <c r="K40" s="4098" t="n"/>
      <c r="L40" s="4098" t="n"/>
      <c r="M40" s="4099" t="n"/>
      <c r="N40" s="4106" t="n"/>
      <c r="O40" s="4107" t="n"/>
      <c r="P40" s="1318" t="n"/>
      <c r="R40" s="2378" t="inlineStr">
        <is>
          <t>都</t>
        </is>
      </c>
      <c r="S40" s="2378" t="inlineStr">
        <is>
          <t>道</t>
        </is>
      </c>
      <c r="T40" s="1389" t="n"/>
      <c r="W40" s="2378" t="inlineStr">
        <is>
          <t>郡</t>
        </is>
      </c>
      <c r="X40" s="1686" t="n"/>
      <c r="AH40" s="4109" t="n"/>
    </row>
    <row r="41" ht="12" customHeight="1" s="4080">
      <c r="A41" s="4208" t="n"/>
      <c r="B41" s="4107" t="n"/>
      <c r="C41" s="4106" t="n"/>
      <c r="E41" s="4107" t="n"/>
      <c r="F41" s="4106" t="n"/>
      <c r="I41" s="4212" t="n"/>
      <c r="J41" s="4213" t="n"/>
      <c r="M41" s="4107" t="n"/>
      <c r="N41" s="4106" t="n"/>
      <c r="O41" s="4107" t="n"/>
      <c r="P41" s="4106" t="n"/>
      <c r="R41" s="2378" t="inlineStr">
        <is>
          <t>府</t>
        </is>
      </c>
      <c r="S41" s="2378" t="inlineStr">
        <is>
          <t>県</t>
        </is>
      </c>
      <c r="W41" s="2378" t="inlineStr">
        <is>
          <t>市</t>
        </is>
      </c>
      <c r="AH41" s="4109" t="n"/>
    </row>
    <row r="42" ht="3" customHeight="1" s="4080">
      <c r="A42" s="4208" t="n"/>
      <c r="B42" s="4107" t="n"/>
      <c r="C42" s="4102" t="n"/>
      <c r="D42" s="4103" t="n"/>
      <c r="E42" s="4104" t="n"/>
      <c r="F42" s="4102" t="n"/>
      <c r="G42" s="4103" t="n"/>
      <c r="H42" s="4103" t="n"/>
      <c r="I42" s="4215" t="n"/>
      <c r="J42" s="4216" t="n"/>
      <c r="K42" s="4103" t="n"/>
      <c r="L42" s="4103" t="n"/>
      <c r="M42" s="4104" t="n"/>
      <c r="N42" s="4102" t="n"/>
      <c r="O42" s="4104" t="n"/>
      <c r="P42" s="4102" t="n"/>
      <c r="Q42" s="4103" t="n"/>
      <c r="R42" s="2378" t="n"/>
      <c r="S42" s="2378" t="n"/>
      <c r="T42" s="4103" t="n"/>
      <c r="U42" s="4103" t="n"/>
      <c r="V42" s="4103" t="n"/>
      <c r="W42" s="63" t="n"/>
      <c r="X42" s="4103" t="n"/>
      <c r="Y42" s="4103" t="n"/>
      <c r="Z42" s="4103" t="n"/>
      <c r="AA42" s="4103" t="n"/>
      <c r="AB42" s="4103" t="n"/>
      <c r="AC42" s="4103" t="n"/>
      <c r="AD42" s="4103" t="n"/>
      <c r="AE42" s="4103" t="n"/>
      <c r="AF42" s="4103" t="n"/>
      <c r="AG42" s="4103" t="n"/>
      <c r="AH42" s="4105" t="n"/>
    </row>
    <row r="43" ht="3.95" customHeight="1" s="4080">
      <c r="A43" s="4208" t="n"/>
      <c r="B43" s="4107" t="n"/>
      <c r="C43" s="1393" t="inlineStr">
        <is>
          <t>他の職務との兼務の有無及び職種</t>
        </is>
      </c>
      <c r="D43" s="4098" t="n"/>
      <c r="E43" s="4098" t="n"/>
      <c r="F43" s="4098" t="n"/>
      <c r="G43" s="4098" t="n"/>
      <c r="H43" s="4098" t="n"/>
      <c r="I43" s="4098" t="n"/>
      <c r="J43" s="4098" t="n"/>
      <c r="K43" s="4098" t="n"/>
      <c r="L43" s="4098" t="n"/>
      <c r="M43" s="4098" t="n"/>
      <c r="N43" s="4195" t="n"/>
      <c r="O43" s="4098" t="n"/>
      <c r="P43" s="4098" t="n"/>
      <c r="Q43" s="4098" t="n"/>
      <c r="R43" s="4099" t="n"/>
      <c r="S43" s="2163" t="inlineStr">
        <is>
          <t>職　　種</t>
        </is>
      </c>
      <c r="T43" s="4098" t="n"/>
      <c r="U43" s="4099" t="n"/>
      <c r="V43" s="1322" t="n"/>
      <c r="W43" s="1335" t="inlineStr">
        <is>
          <t xml:space="preserve">　</t>
        </is>
      </c>
      <c r="X43" s="4098" t="n"/>
      <c r="Y43" s="4098" t="n"/>
      <c r="Z43" s="4098" t="n"/>
      <c r="AA43" s="4098" t="n"/>
      <c r="AB43" s="4098" t="n"/>
      <c r="AC43" s="4098" t="n"/>
      <c r="AD43" s="4098" t="n"/>
      <c r="AE43" s="4098" t="n"/>
      <c r="AF43" s="4098" t="n"/>
      <c r="AG43" s="4098" t="n"/>
      <c r="AH43" s="4101" t="n"/>
    </row>
    <row r="44" ht="12" customHeight="1" s="4080">
      <c r="A44" s="4208" t="n"/>
      <c r="B44" s="4107" t="n"/>
      <c r="C44" s="4106" t="n"/>
      <c r="N44" s="1354" t="n"/>
      <c r="O44" s="1325" t="inlineStr">
        <is>
          <t>有</t>
        </is>
      </c>
      <c r="P44" s="1325" t="inlineStr">
        <is>
          <t>・</t>
        </is>
      </c>
      <c r="Q44" s="1325" t="inlineStr">
        <is>
          <t>無</t>
        </is>
      </c>
      <c r="R44" s="1332" t="n"/>
      <c r="S44" s="4106" t="n"/>
      <c r="U44" s="4107" t="n"/>
      <c r="V44" s="4196" t="n"/>
      <c r="AH44" s="4109" t="n"/>
    </row>
    <row r="45" ht="3.95" customHeight="1" s="4080">
      <c r="A45" s="4208" t="n"/>
      <c r="B45" s="4107" t="n"/>
      <c r="C45" s="4102" t="n"/>
      <c r="D45" s="4103" t="n"/>
      <c r="E45" s="4103" t="n"/>
      <c r="F45" s="4103" t="n"/>
      <c r="G45" s="4103" t="n"/>
      <c r="H45" s="4103" t="n"/>
      <c r="I45" s="4103" t="n"/>
      <c r="J45" s="4103" t="n"/>
      <c r="K45" s="4103" t="n"/>
      <c r="L45" s="4103" t="n"/>
      <c r="M45" s="4103" t="n"/>
      <c r="N45" s="4197" t="n"/>
      <c r="O45" s="4103" t="n"/>
      <c r="P45" s="4103" t="n"/>
      <c r="Q45" s="4103" t="n"/>
      <c r="R45" s="4104" t="n"/>
      <c r="S45" s="4102" t="n"/>
      <c r="T45" s="4103" t="n"/>
      <c r="U45" s="4104" t="n"/>
      <c r="V45" s="1326" t="n"/>
      <c r="W45" s="1299" t="n"/>
      <c r="X45" s="4103" t="n"/>
      <c r="Y45" s="4103" t="n"/>
      <c r="Z45" s="4103" t="n"/>
      <c r="AA45" s="4103" t="n"/>
      <c r="AB45" s="4103" t="n"/>
      <c r="AC45" s="4103" t="n"/>
      <c r="AD45" s="4103" t="n"/>
      <c r="AE45" s="4103" t="n"/>
      <c r="AF45" s="4103" t="n"/>
      <c r="AG45" s="4103" t="n"/>
      <c r="AH45" s="4105" t="n"/>
    </row>
    <row r="46" ht="3.95" customHeight="1" s="4080">
      <c r="A46" s="4208" t="n"/>
      <c r="B46" s="4107" t="n"/>
      <c r="C46" s="1826" t="inlineStr">
        <is>
          <t>資格要件</t>
        </is>
      </c>
      <c r="D46" s="4098" t="n"/>
      <c r="E46" s="4098" t="n"/>
      <c r="F46" s="1322" t="n"/>
      <c r="G46" s="1323" t="n"/>
      <c r="H46" s="1414" t="n"/>
      <c r="I46" s="2056" t="n"/>
      <c r="J46" s="2056" t="n"/>
      <c r="K46" s="2056" t="n"/>
      <c r="L46" s="2056" t="n"/>
      <c r="M46" s="2056" t="n"/>
      <c r="N46" s="2056" t="n"/>
      <c r="O46" s="2056" t="n"/>
      <c r="P46" s="1402" t="n"/>
      <c r="Q46" s="1402" t="n"/>
      <c r="R46" s="1402" t="n"/>
      <c r="S46" s="4313" t="inlineStr">
        <is>
          <t>研修の
受講状況</t>
        </is>
      </c>
      <c r="T46" s="4098" t="n"/>
      <c r="U46" s="4099" t="n"/>
      <c r="V46" s="1322" t="n"/>
      <c r="W46" s="1323" t="n"/>
      <c r="X46" s="1323" t="n"/>
      <c r="Y46" s="1323" t="n"/>
      <c r="Z46" s="1323" t="n"/>
      <c r="AA46" s="1331" t="n"/>
      <c r="AB46" s="1323" t="n"/>
      <c r="AC46" s="1323" t="n"/>
      <c r="AD46" s="1323" t="n"/>
      <c r="AE46" s="1323" t="n"/>
      <c r="AF46" s="1323" t="n"/>
      <c r="AG46" s="1323" t="n"/>
      <c r="AH46" s="2297" t="n"/>
    </row>
    <row r="47" ht="12" customHeight="1" s="4080">
      <c r="A47" s="4208" t="n"/>
      <c r="B47" s="4107" t="n"/>
      <c r="C47" s="4106" t="n"/>
      <c r="F47" s="4314" t="inlineStr">
        <is>
          <t>実務経験</t>
        </is>
      </c>
      <c r="H47" s="4107" t="n"/>
      <c r="I47" s="1790" t="n"/>
      <c r="S47" s="4106" t="n"/>
      <c r="U47" s="4107" t="n"/>
      <c r="V47" s="4315" t="inlineStr">
        <is>
          <t>相談支援従事者研修</t>
        </is>
      </c>
      <c r="AA47" s="4107" t="n"/>
      <c r="AB47" s="128" t="n"/>
      <c r="AC47" s="1783" t="inlineStr">
        <is>
          <t>受講済</t>
        </is>
      </c>
      <c r="AE47" s="2379" t="inlineStr">
        <is>
          <t>・</t>
        </is>
      </c>
      <c r="AF47" s="1770" t="inlineStr">
        <is>
          <t>未受講</t>
        </is>
      </c>
      <c r="AH47" s="130" t="n"/>
    </row>
    <row r="48" ht="3.95" customHeight="1" s="4080">
      <c r="A48" s="4208" t="n"/>
      <c r="B48" s="4107" t="n"/>
      <c r="C48" s="4106" t="n"/>
      <c r="F48" s="131" t="n"/>
      <c r="G48" s="132" t="n"/>
      <c r="H48" s="133" t="n"/>
      <c r="I48" s="134" t="n"/>
      <c r="J48" s="134" t="n"/>
      <c r="K48" s="134" t="n"/>
      <c r="L48" s="134" t="n"/>
      <c r="M48" s="134" t="n"/>
      <c r="N48" s="134" t="n"/>
      <c r="O48" s="135" t="n"/>
      <c r="P48" s="136" t="n"/>
      <c r="Q48" s="136" t="n"/>
      <c r="R48" s="137" t="n"/>
      <c r="S48" s="4106" t="n"/>
      <c r="U48" s="4107" t="n"/>
      <c r="V48" s="4323" t="n"/>
      <c r="AA48" s="4107" t="n"/>
      <c r="AB48" s="138" t="n"/>
      <c r="AC48" s="138" t="n"/>
      <c r="AD48" s="138" t="n"/>
      <c r="AE48" s="138" t="n"/>
      <c r="AF48" s="138" t="n"/>
      <c r="AG48" s="138" t="n"/>
      <c r="AH48" s="139" t="n"/>
    </row>
    <row r="49" ht="3.95" customHeight="1" s="4080">
      <c r="A49" s="4208" t="n"/>
      <c r="B49" s="4107" t="n"/>
      <c r="C49" s="4106" t="n"/>
      <c r="F49" s="140" t="n"/>
      <c r="G49" s="141" t="n"/>
      <c r="H49" s="142" t="n"/>
      <c r="I49" s="143" t="n"/>
      <c r="J49" s="143" t="n"/>
      <c r="K49" s="144" t="n"/>
      <c r="L49" s="141" t="n"/>
      <c r="M49" s="141" t="n"/>
      <c r="N49" s="141" t="n"/>
      <c r="O49" s="141" t="n"/>
      <c r="P49" s="145" t="n"/>
      <c r="Q49" s="145" t="n"/>
      <c r="R49" s="146" t="n"/>
      <c r="S49" s="4106" t="n"/>
      <c r="U49" s="4107" t="n"/>
      <c r="V49" s="4324" t="n"/>
      <c r="W49" s="4098" t="n"/>
      <c r="X49" s="4098" t="n"/>
      <c r="Y49" s="4098" t="n"/>
      <c r="Z49" s="4098" t="n"/>
      <c r="AA49" s="4099" t="n"/>
      <c r="AB49" s="141" t="n"/>
      <c r="AC49" s="141" t="n"/>
      <c r="AD49" s="141" t="n"/>
      <c r="AE49" s="141" t="n"/>
      <c r="AF49" s="141" t="n"/>
      <c r="AG49" s="141" t="n"/>
      <c r="AH49" s="147" t="n"/>
    </row>
    <row r="50" ht="12" customHeight="1" s="4080">
      <c r="A50" s="4208" t="n"/>
      <c r="B50" s="4107" t="n"/>
      <c r="C50" s="4106" t="n"/>
      <c r="F50" s="4314" t="inlineStr">
        <is>
          <t>資格種類</t>
        </is>
      </c>
      <c r="H50" s="4107" t="n"/>
      <c r="I50" s="935" t="n"/>
      <c r="S50" s="4106" t="n"/>
      <c r="U50" s="4107" t="n"/>
      <c r="V50" s="4322" t="inlineStr">
        <is>
          <t>サービス管理責任者研修</t>
        </is>
      </c>
      <c r="AA50" s="4107" t="n"/>
      <c r="AB50" s="1355" t="n"/>
      <c r="AC50" s="1783" t="inlineStr">
        <is>
          <t>受講済</t>
        </is>
      </c>
      <c r="AE50" s="2379" t="inlineStr">
        <is>
          <t>・</t>
        </is>
      </c>
      <c r="AF50" s="1770" t="inlineStr">
        <is>
          <t>未受講</t>
        </is>
      </c>
      <c r="AH50" s="148" t="n"/>
    </row>
    <row r="51" ht="3.95" customHeight="1" s="4080">
      <c r="A51" s="4208" t="n"/>
      <c r="B51" s="4107" t="n"/>
      <c r="C51" s="4102" t="n"/>
      <c r="D51" s="4103" t="n"/>
      <c r="E51" s="4103" t="n"/>
      <c r="F51" s="1326" t="n"/>
      <c r="G51" s="1327" t="n"/>
      <c r="H51" s="1333" t="n"/>
      <c r="I51" s="134" t="n"/>
      <c r="J51" s="134" t="n"/>
      <c r="K51" s="134" t="n"/>
      <c r="L51" s="134" t="n"/>
      <c r="M51" s="134" t="n"/>
      <c r="N51" s="134" t="n"/>
      <c r="O51" s="2059" t="n"/>
      <c r="P51" s="1413" t="n"/>
      <c r="Q51" s="1413" t="n"/>
      <c r="R51" s="1413" t="n"/>
      <c r="S51" s="4102" t="n"/>
      <c r="T51" s="4103" t="n"/>
      <c r="U51" s="4104" t="n"/>
      <c r="V51" s="1412" t="n"/>
      <c r="W51" s="154" t="n"/>
      <c r="X51" s="154" t="n"/>
      <c r="Y51" s="138" t="n"/>
      <c r="Z51" s="138" t="n"/>
      <c r="AA51" s="155" t="n"/>
      <c r="AB51" s="138" t="n"/>
      <c r="AC51" s="138" t="n"/>
      <c r="AD51" s="138" t="n"/>
      <c r="AE51" s="138" t="n"/>
      <c r="AF51" s="138" t="n"/>
      <c r="AG51" s="138" t="n"/>
      <c r="AH51" s="139" t="n"/>
    </row>
    <row r="52" ht="15.95" customHeight="1" s="4080">
      <c r="A52" s="4271" t="inlineStr">
        <is>
          <t>職　員　の
職種・員数</t>
        </is>
      </c>
      <c r="B52" s="4099" t="n"/>
      <c r="C52" s="4272" t="inlineStr">
        <is>
          <t xml:space="preserve">　　　　　　 職種・勤務形態
常勤・非常勤の別</t>
        </is>
      </c>
      <c r="D52" s="4098" t="n"/>
      <c r="E52" s="4098" t="n"/>
      <c r="F52" s="4098" t="n"/>
      <c r="G52" s="4098" t="n"/>
      <c r="H52" s="4098" t="n"/>
      <c r="I52" s="4098" t="n"/>
      <c r="J52" s="4099" t="n"/>
      <c r="K52" s="4185" t="inlineStr">
        <is>
          <t>サービス管理責任者</t>
        </is>
      </c>
      <c r="L52" s="4110" t="n"/>
      <c r="M52" s="4110" t="n"/>
      <c r="N52" s="4110" t="n"/>
      <c r="O52" s="4110" t="n"/>
      <c r="P52" s="4111" t="n"/>
      <c r="Q52" s="4185" t="inlineStr">
        <is>
          <t>世　話　人</t>
        </is>
      </c>
      <c r="R52" s="4110" t="n"/>
      <c r="S52" s="4110" t="n"/>
      <c r="T52" s="4110" t="n"/>
      <c r="U52" s="4110" t="n"/>
      <c r="V52" s="4111" t="n"/>
      <c r="W52" s="4185" t="n"/>
      <c r="X52" s="4110" t="n"/>
      <c r="Y52" s="4110" t="n"/>
      <c r="Z52" s="4110" t="n"/>
      <c r="AA52" s="4110" t="n"/>
      <c r="AB52" s="4111" t="n"/>
      <c r="AC52" s="4509" t="inlineStr">
        <is>
          <t xml:space="preserve">　</t>
        </is>
      </c>
      <c r="AD52" s="4110" t="n"/>
      <c r="AE52" s="4110" t="n"/>
      <c r="AF52" s="4110" t="n"/>
      <c r="AG52" s="4110" t="n"/>
      <c r="AH52" s="4113" t="n"/>
    </row>
    <row r="53" ht="15.95" customHeight="1" s="4080">
      <c r="A53" s="4097" t="n"/>
      <c r="B53" s="4107" t="n"/>
      <c r="C53" s="4102" t="n"/>
      <c r="D53" s="4103" t="n"/>
      <c r="E53" s="4103" t="n"/>
      <c r="F53" s="4103" t="n"/>
      <c r="G53" s="4103" t="n"/>
      <c r="H53" s="4103" t="n"/>
      <c r="I53" s="4103" t="n"/>
      <c r="J53" s="4104" t="n"/>
      <c r="K53" s="1617" t="inlineStr">
        <is>
          <t>専従</t>
        </is>
      </c>
      <c r="L53" s="4110" t="n"/>
      <c r="M53" s="4189" t="n"/>
      <c r="N53" s="1603" t="inlineStr">
        <is>
          <t>兼務</t>
        </is>
      </c>
      <c r="O53" s="4110" t="n"/>
      <c r="P53" s="4189" t="n"/>
      <c r="Q53" s="1617" t="inlineStr">
        <is>
          <t>専従</t>
        </is>
      </c>
      <c r="R53" s="4110" t="n"/>
      <c r="S53" s="4189" t="n"/>
      <c r="T53" s="1603" t="inlineStr">
        <is>
          <t>兼務</t>
        </is>
      </c>
      <c r="U53" s="4110" t="n"/>
      <c r="V53" s="4189" t="n"/>
      <c r="W53" s="1617" t="inlineStr">
        <is>
          <t>専従</t>
        </is>
      </c>
      <c r="X53" s="4110" t="n"/>
      <c r="Y53" s="4189" t="n"/>
      <c r="Z53" s="1603" t="inlineStr">
        <is>
          <t>兼務</t>
        </is>
      </c>
      <c r="AA53" s="4110" t="n"/>
      <c r="AB53" s="4189" t="n"/>
      <c r="AC53" s="1617" t="inlineStr">
        <is>
          <t>専従</t>
        </is>
      </c>
      <c r="AD53" s="4110" t="n"/>
      <c r="AE53" s="4189" t="n"/>
      <c r="AF53" s="1603" t="inlineStr">
        <is>
          <t>兼務</t>
        </is>
      </c>
      <c r="AG53" s="4110" t="n"/>
      <c r="AH53" s="4189" t="n"/>
    </row>
    <row r="54" ht="15" customHeight="1" s="4080">
      <c r="A54" s="4097" t="n"/>
      <c r="B54" s="4107" t="n"/>
      <c r="C54" s="1268" t="inlineStr">
        <is>
          <t>常　　　　　勤（人）</t>
        </is>
      </c>
      <c r="D54" s="4110" t="n"/>
      <c r="E54" s="4110" t="n"/>
      <c r="F54" s="4110" t="n"/>
      <c r="G54" s="4110" t="n"/>
      <c r="H54" s="4110" t="n"/>
      <c r="I54" s="4110" t="n"/>
      <c r="J54" s="4111" t="n"/>
      <c r="K54" s="4327" t="n"/>
      <c r="L54" s="4110" t="n"/>
      <c r="M54" s="4189" t="n"/>
      <c r="N54" s="4328" t="n"/>
      <c r="O54" s="4110" t="n"/>
      <c r="P54" s="4189" t="n"/>
      <c r="Q54" s="4327" t="n"/>
      <c r="R54" s="4110" t="n"/>
      <c r="S54" s="4189" t="n"/>
      <c r="T54" s="4328" t="n"/>
      <c r="U54" s="4110" t="n"/>
      <c r="V54" s="4189" t="n"/>
      <c r="W54" s="4327" t="n"/>
      <c r="X54" s="4110" t="n"/>
      <c r="Y54" s="4189" t="n"/>
      <c r="Z54" s="4328" t="n"/>
      <c r="AA54" s="4110" t="n"/>
      <c r="AB54" s="4189" t="n"/>
      <c r="AC54" s="4327" t="n"/>
      <c r="AD54" s="4110" t="n"/>
      <c r="AE54" s="4189" t="n"/>
      <c r="AF54" s="4328" t="n"/>
      <c r="AG54" s="4110" t="n"/>
      <c r="AH54" s="4189" t="n"/>
    </row>
    <row r="55" ht="15" customHeight="1" s="4080">
      <c r="A55" s="4097" t="n"/>
      <c r="B55" s="4107" t="n"/>
      <c r="C55" s="1286" t="inlineStr">
        <is>
          <t>非　　常　　勤（人）</t>
        </is>
      </c>
      <c r="D55" s="4103" t="n"/>
      <c r="E55" s="4103" t="n"/>
      <c r="F55" s="4103" t="n"/>
      <c r="G55" s="4103" t="n"/>
      <c r="H55" s="4103" t="n"/>
      <c r="I55" s="4103" t="n"/>
      <c r="J55" s="4104" t="n"/>
      <c r="K55" s="4327" t="n"/>
      <c r="L55" s="4110" t="n"/>
      <c r="M55" s="4189" t="n"/>
      <c r="N55" s="4328" t="n"/>
      <c r="O55" s="4110" t="n"/>
      <c r="P55" s="4189" t="n"/>
      <c r="Q55" s="4327" t="n"/>
      <c r="R55" s="4110" t="n"/>
      <c r="S55" s="4189" t="n"/>
      <c r="T55" s="4328" t="n"/>
      <c r="U55" s="4110" t="n"/>
      <c r="V55" s="4189" t="n"/>
      <c r="W55" s="4327" t="n"/>
      <c r="X55" s="4110" t="n"/>
      <c r="Y55" s="4189" t="n"/>
      <c r="Z55" s="4328" t="n"/>
      <c r="AA55" s="4110" t="n"/>
      <c r="AB55" s="4189" t="n"/>
      <c r="AC55" s="4327" t="n"/>
      <c r="AD55" s="4110" t="n"/>
      <c r="AE55" s="4189" t="n"/>
      <c r="AF55" s="4328" t="n"/>
      <c r="AG55" s="4110" t="n"/>
      <c r="AH55" s="4189" t="n"/>
    </row>
    <row r="56" ht="15" customHeight="1" s="4080">
      <c r="A56" s="4114" t="n"/>
      <c r="B56" s="4104" t="n"/>
      <c r="C56" s="1268" t="inlineStr">
        <is>
          <t>常勤換算後の人数（人）</t>
        </is>
      </c>
      <c r="D56" s="4110" t="n"/>
      <c r="E56" s="4110" t="n"/>
      <c r="F56" s="4110" t="n"/>
      <c r="G56" s="4110" t="n"/>
      <c r="H56" s="4110" t="n"/>
      <c r="I56" s="4110" t="n"/>
      <c r="J56" s="4111" t="n"/>
      <c r="K56" s="4684" t="n"/>
      <c r="L56" s="4098" t="n"/>
      <c r="M56" s="4098" t="n"/>
      <c r="N56" s="4098" t="n"/>
      <c r="O56" s="4098" t="n"/>
      <c r="P56" s="4099" t="n"/>
      <c r="Q56" s="4684" t="n"/>
      <c r="R56" s="4098" t="n"/>
      <c r="S56" s="4098" t="n"/>
      <c r="T56" s="4098" t="n"/>
      <c r="U56" s="4098" t="n"/>
      <c r="V56" s="4099" t="n"/>
      <c r="W56" s="4684" t="n"/>
      <c r="X56" s="4098" t="n"/>
      <c r="Y56" s="4098" t="n"/>
      <c r="Z56" s="4098" t="n"/>
      <c r="AA56" s="4098" t="n"/>
      <c r="AB56" s="4099" t="n"/>
      <c r="AC56" s="4685" t="n"/>
      <c r="AD56" s="4098" t="n"/>
      <c r="AE56" s="4098" t="n"/>
      <c r="AF56" s="4098" t="n"/>
      <c r="AG56" s="4098" t="n"/>
      <c r="AH56" s="4101" t="n"/>
    </row>
    <row r="57" ht="24" customHeight="1" s="4080">
      <c r="A57" s="2915" t="n"/>
      <c r="B57" s="4110" t="n"/>
      <c r="C57" s="1264" t="inlineStr">
        <is>
          <t>利用定員</t>
        </is>
      </c>
      <c r="D57" s="4110" t="n"/>
      <c r="E57" s="4110" t="n"/>
      <c r="F57" s="4110" t="n"/>
      <c r="G57" s="4110" t="n"/>
      <c r="H57" s="4110" t="n"/>
      <c r="I57" s="1394" t="n"/>
      <c r="J57" s="4111" t="n"/>
      <c r="K57" s="4313" t="inlineStr">
        <is>
          <t>経過的居宅介護
利用型共同生活援助</t>
        </is>
      </c>
      <c r="L57" s="4110" t="n"/>
      <c r="M57" s="4110" t="n"/>
      <c r="N57" s="4110" t="n"/>
      <c r="O57" s="4110" t="n"/>
      <c r="P57" s="4111" t="n"/>
      <c r="Q57" s="2322" t="n"/>
      <c r="R57" s="1645" t="n"/>
      <c r="S57" s="4110" t="n"/>
      <c r="T57" s="4110" t="n"/>
      <c r="U57" s="1645" t="n"/>
      <c r="V57" s="110" t="inlineStr">
        <is>
          <t>人</t>
        </is>
      </c>
      <c r="W57" s="4686" t="n"/>
      <c r="X57" s="4110" t="n"/>
      <c r="Y57" s="4110" t="n"/>
      <c r="Z57" s="4110" t="n"/>
      <c r="AA57" s="4110" t="n"/>
      <c r="AB57" s="4110" t="n"/>
      <c r="AC57" s="4110" t="n"/>
      <c r="AD57" s="4110" t="n"/>
      <c r="AE57" s="4110" t="n"/>
      <c r="AF57" s="4110" t="n"/>
      <c r="AG57" s="4110" t="n"/>
      <c r="AH57" s="4113" t="n"/>
    </row>
    <row r="58" ht="20.1" customHeight="1" s="4080">
      <c r="A58" s="4687" t="inlineStr">
        <is>
          <t>前年度利用者数
(又は推定数)</t>
        </is>
      </c>
      <c r="B58" s="4098" t="n"/>
      <c r="C58" s="4098" t="n"/>
      <c r="D58" s="4098" t="n"/>
      <c r="E58" s="4098" t="n"/>
      <c r="F58" s="4098" t="n"/>
      <c r="G58" s="4099" t="n"/>
      <c r="H58" s="4624" t="inlineStr">
        <is>
          <t>区分１</t>
        </is>
      </c>
      <c r="I58" s="4103" t="n"/>
      <c r="J58" s="4104" t="n"/>
      <c r="K58" s="4624" t="inlineStr">
        <is>
          <t>区分２</t>
        </is>
      </c>
      <c r="L58" s="4103" t="n"/>
      <c r="M58" s="4104" t="n"/>
      <c r="N58" s="4624" t="inlineStr">
        <is>
          <t>区分３</t>
        </is>
      </c>
      <c r="O58" s="4103" t="n"/>
      <c r="P58" s="4104" t="n"/>
      <c r="Q58" s="4624" t="inlineStr">
        <is>
          <t>区分４</t>
        </is>
      </c>
      <c r="R58" s="4103" t="n"/>
      <c r="S58" s="4104" t="n"/>
      <c r="T58" s="4624" t="inlineStr">
        <is>
          <t>区分５</t>
        </is>
      </c>
      <c r="U58" s="4103" t="n"/>
      <c r="V58" s="4104" t="n"/>
      <c r="W58" s="4624" t="inlineStr">
        <is>
          <t>区分６</t>
        </is>
      </c>
      <c r="X58" s="4103" t="n"/>
      <c r="Y58" s="4104" t="n"/>
      <c r="Z58" s="4625" t="inlineStr">
        <is>
          <t>前年度
開所日数</t>
        </is>
      </c>
      <c r="AA58" s="4103" t="n"/>
      <c r="AB58" s="4104" t="n"/>
      <c r="AC58" s="4688" t="inlineStr">
        <is>
          <t>平均障がい
支援区分</t>
        </is>
      </c>
      <c r="AD58" s="4103" t="n"/>
      <c r="AE58" s="4104" t="n"/>
      <c r="AF58" s="4627" t="inlineStr">
        <is>
          <t>平均
利用者数</t>
        </is>
      </c>
      <c r="AG58" s="4103" t="n"/>
      <c r="AH58" s="4105" t="n"/>
    </row>
    <row r="59" ht="12.6" customHeight="1" s="4080">
      <c r="A59" s="4114" t="n"/>
      <c r="B59" s="4103" t="n"/>
      <c r="C59" s="4103" t="n"/>
      <c r="D59" s="4103" t="n"/>
      <c r="E59" s="4103" t="n"/>
      <c r="F59" s="4103" t="n"/>
      <c r="G59" s="4104" t="n"/>
      <c r="H59" s="4689" t="n"/>
      <c r="I59" s="4110" t="n"/>
      <c r="J59" s="4690" t="inlineStr">
        <is>
          <t>人</t>
        </is>
      </c>
      <c r="K59" s="4689" t="n"/>
      <c r="L59" s="4110" t="n"/>
      <c r="M59" s="4690" t="inlineStr">
        <is>
          <t>人</t>
        </is>
      </c>
      <c r="N59" s="4689" t="n"/>
      <c r="O59" s="4110" t="n"/>
      <c r="P59" s="4690" t="inlineStr">
        <is>
          <t>人</t>
        </is>
      </c>
      <c r="Q59" s="4689" t="n"/>
      <c r="R59" s="4110" t="n"/>
      <c r="S59" s="4690" t="inlineStr">
        <is>
          <t>人</t>
        </is>
      </c>
      <c r="T59" s="4689" t="n"/>
      <c r="U59" s="4110" t="n"/>
      <c r="V59" s="4690" t="inlineStr">
        <is>
          <t>人</t>
        </is>
      </c>
      <c r="W59" s="4689" t="n"/>
      <c r="X59" s="4110" t="n"/>
      <c r="Y59" s="4690" t="inlineStr">
        <is>
          <t>人</t>
        </is>
      </c>
      <c r="Z59" s="4689" t="n"/>
      <c r="AA59" s="4110" t="n"/>
      <c r="AB59" s="4691" t="inlineStr">
        <is>
          <t>日</t>
        </is>
      </c>
      <c r="AC59" s="4692">
        <f>IF(Z59=0," ",ROUND(((3*N59)+(4*Q59)+(5*T59)+(6*W59)+(1*H59)+(2*K59))/(H59+K59+N59+Q59+T59+W59),1))</f>
        <v/>
      </c>
      <c r="AD59" s="4110" t="n"/>
      <c r="AE59" s="4111" t="n"/>
      <c r="AF59" s="4693">
        <f>IF(Z59=0," ",ROUNDUP((H59+K59+N59+Q59+T59+W59)/Z59,1))</f>
        <v/>
      </c>
      <c r="AG59" s="4110" t="n"/>
      <c r="AH59" s="4694" t="inlineStr">
        <is>
          <t>人</t>
        </is>
      </c>
    </row>
    <row r="60" ht="24" customHeight="1" s="4080">
      <c r="A60" s="4687" t="inlineStr">
        <is>
          <t>平成18年9月30日において、居宅介護（身体介護、
家事援助、日常生活支援）を利用している利用者数</t>
        </is>
      </c>
      <c r="B60" s="4110" t="n"/>
      <c r="C60" s="4110" t="n"/>
      <c r="D60" s="4110" t="n"/>
      <c r="E60" s="4110" t="n"/>
      <c r="F60" s="4110" t="n"/>
      <c r="G60" s="4110" t="n"/>
      <c r="H60" s="4110" t="n"/>
      <c r="I60" s="4110" t="n"/>
      <c r="J60" s="4110" t="n"/>
      <c r="K60" s="4110" t="n"/>
      <c r="L60" s="4110" t="n"/>
      <c r="M60" s="4110" t="n"/>
      <c r="N60" s="4110" t="n"/>
      <c r="O60" s="4110" t="n"/>
      <c r="P60" s="4111" t="n"/>
      <c r="Q60" s="1688" t="n"/>
      <c r="R60" s="4110" t="n"/>
      <c r="S60" s="4110" t="n"/>
      <c r="T60" s="4110" t="n"/>
      <c r="U60" s="4110" t="n"/>
      <c r="V60" s="3914" t="inlineStr">
        <is>
          <t>人</t>
        </is>
      </c>
      <c r="W60" s="4348" t="n"/>
      <c r="X60" s="4110" t="n"/>
      <c r="Y60" s="4110" t="n"/>
      <c r="Z60" s="4110" t="n"/>
      <c r="AA60" s="4110" t="n"/>
      <c r="AB60" s="4110" t="n"/>
      <c r="AC60" s="4110" t="n"/>
      <c r="AD60" s="4110" t="n"/>
      <c r="AE60" s="4110" t="n"/>
      <c r="AF60" s="4110" t="n"/>
      <c r="AG60" s="4110" t="n"/>
      <c r="AH60" s="4113" t="n"/>
    </row>
    <row r="61" ht="15" customHeight="1" s="4080">
      <c r="A61" s="4635" t="inlineStr">
        <is>
          <t>主な掲示事項</t>
        </is>
      </c>
      <c r="B61" s="4099" t="n"/>
      <c r="C61" s="1411" t="n"/>
      <c r="D61" s="1827" t="inlineStr">
        <is>
          <t>障害者支援施設等
との連携体制等</t>
        </is>
      </c>
      <c r="E61" s="4098" t="n"/>
      <c r="F61" s="4098" t="n"/>
      <c r="G61" s="4098" t="n"/>
      <c r="H61" s="4098" t="n"/>
      <c r="I61" s="4098" t="n"/>
      <c r="J61" s="1414" t="n"/>
      <c r="K61" s="2164" t="inlineStr">
        <is>
          <t>連携施設の種別</t>
        </is>
      </c>
      <c r="L61" s="4110" t="n"/>
      <c r="M61" s="4110" t="n"/>
      <c r="N61" s="4110" t="n"/>
      <c r="O61" s="4110" t="n"/>
      <c r="P61" s="4111" t="n"/>
      <c r="Q61" s="4225" t="inlineStr">
        <is>
          <t xml:space="preserve">　</t>
        </is>
      </c>
      <c r="R61" s="4110" t="n"/>
      <c r="S61" s="4110" t="n"/>
      <c r="T61" s="4110" t="n"/>
      <c r="U61" s="4110" t="n"/>
      <c r="V61" s="4110" t="n"/>
      <c r="W61" s="4110" t="n"/>
      <c r="X61" s="4110" t="n"/>
      <c r="Y61" s="4110" t="n"/>
      <c r="Z61" s="4110" t="n"/>
      <c r="AA61" s="4110" t="n"/>
      <c r="AB61" s="4110" t="n"/>
      <c r="AC61" s="4110" t="n"/>
      <c r="AD61" s="4110" t="n"/>
      <c r="AE61" s="4110" t="n"/>
      <c r="AF61" s="4110" t="n"/>
      <c r="AG61" s="4110" t="n"/>
      <c r="AH61" s="4113" t="n"/>
    </row>
    <row r="62" ht="15" customHeight="1" s="4080">
      <c r="A62" s="4097" t="n"/>
      <c r="B62" s="4107" t="n"/>
      <c r="C62" s="1795" t="n"/>
      <c r="J62" s="1797" t="n"/>
      <c r="K62" s="2164" t="inlineStr">
        <is>
          <t>連携施設の名称</t>
        </is>
      </c>
      <c r="L62" s="4110" t="n"/>
      <c r="M62" s="4110" t="n"/>
      <c r="N62" s="4110" t="n"/>
      <c r="O62" s="4110" t="n"/>
      <c r="P62" s="4111" t="n"/>
      <c r="Q62" s="4225" t="n"/>
      <c r="R62" s="4110" t="n"/>
      <c r="S62" s="4110" t="n"/>
      <c r="T62" s="4110" t="n"/>
      <c r="U62" s="4110" t="n"/>
      <c r="V62" s="4110" t="n"/>
      <c r="W62" s="4110" t="n"/>
      <c r="X62" s="4110" t="n"/>
      <c r="Y62" s="4110" t="n"/>
      <c r="Z62" s="4110" t="n"/>
      <c r="AA62" s="4110" t="n"/>
      <c r="AB62" s="4110" t="n"/>
      <c r="AC62" s="4110" t="n"/>
      <c r="AD62" s="4110" t="n"/>
      <c r="AE62" s="4110" t="n"/>
      <c r="AF62" s="4110" t="n"/>
      <c r="AG62" s="4110" t="n"/>
      <c r="AH62" s="4113" t="n"/>
    </row>
    <row r="63" ht="15" customHeight="1" s="4080">
      <c r="A63" s="4097" t="n"/>
      <c r="B63" s="4107" t="n"/>
      <c r="C63" s="1412" t="n"/>
      <c r="D63" s="4103" t="n"/>
      <c r="E63" s="4103" t="n"/>
      <c r="F63" s="4103" t="n"/>
      <c r="G63" s="4103" t="n"/>
      <c r="H63" s="4103" t="n"/>
      <c r="I63" s="4103" t="n"/>
      <c r="J63" s="1415" t="n"/>
      <c r="K63" s="2164" t="inlineStr">
        <is>
          <t>連携体制の概要</t>
        </is>
      </c>
      <c r="L63" s="4110" t="n"/>
      <c r="M63" s="4110" t="n"/>
      <c r="N63" s="4110" t="n"/>
      <c r="O63" s="4110" t="n"/>
      <c r="P63" s="4111" t="n"/>
      <c r="Q63" s="4121" t="n"/>
      <c r="R63" s="4110" t="n"/>
      <c r="S63" s="4110" t="n"/>
      <c r="T63" s="4110" t="n"/>
      <c r="U63" s="4110" t="n"/>
      <c r="V63" s="4110" t="n"/>
      <c r="W63" s="4110" t="n"/>
      <c r="X63" s="4110" t="n"/>
      <c r="Y63" s="4110" t="n"/>
      <c r="Z63" s="4110" t="n"/>
      <c r="AA63" s="4110" t="n"/>
      <c r="AB63" s="4110" t="n"/>
      <c r="AC63" s="4110" t="n"/>
      <c r="AD63" s="4110" t="n"/>
      <c r="AE63" s="4110" t="n"/>
      <c r="AF63" s="4110" t="n"/>
      <c r="AG63" s="4110" t="n"/>
      <c r="AH63" s="4113" t="n"/>
    </row>
    <row r="64" ht="3.95" customHeight="1" s="4080">
      <c r="A64" s="4097" t="n"/>
      <c r="B64" s="4107" t="n"/>
      <c r="C64" s="4231" t="inlineStr">
        <is>
          <t>その他参考
となる事項</t>
        </is>
      </c>
      <c r="D64" s="4099" t="n"/>
      <c r="E64" s="2753" t="inlineStr">
        <is>
          <t>第三者評価の実施状況</t>
        </is>
      </c>
      <c r="F64" s="4098" t="n"/>
      <c r="G64" s="4098" t="n"/>
      <c r="H64" s="4098" t="n"/>
      <c r="I64" s="4098" t="n"/>
      <c r="J64" s="4099" t="n"/>
      <c r="K64" s="1657" t="n"/>
      <c r="L64" s="1658" t="n"/>
      <c r="M64" s="1658" t="n"/>
      <c r="N64" s="1658" t="n"/>
      <c r="O64" s="1658" t="n"/>
      <c r="P64" s="1658" t="n"/>
      <c r="Q64" s="1658" t="n"/>
      <c r="R64" s="924" t="n"/>
      <c r="S64" s="924" t="n"/>
      <c r="T64" s="924" t="n"/>
      <c r="U64" s="924" t="n"/>
      <c r="V64" s="924" t="n"/>
      <c r="W64" s="924" t="n"/>
      <c r="X64" s="924" t="n"/>
      <c r="Y64" s="924" t="n"/>
      <c r="Z64" s="924" t="n"/>
      <c r="AA64" s="924" t="n"/>
      <c r="AB64" s="1658" t="n"/>
      <c r="AC64" s="1658" t="n"/>
      <c r="AD64" s="1658" t="n"/>
      <c r="AE64" s="1658" t="n"/>
      <c r="AF64" s="1658" t="n"/>
      <c r="AG64" s="1658" t="n"/>
      <c r="AH64" s="1659" t="n"/>
    </row>
    <row r="65" ht="15" customHeight="1" s="4080">
      <c r="A65" s="4097" t="n"/>
      <c r="B65" s="4107" t="n"/>
      <c r="C65" s="4106" t="n"/>
      <c r="D65" s="4107" t="n"/>
      <c r="J65" s="4107" t="n"/>
      <c r="K65" s="1372" t="n"/>
      <c r="L65" s="3376" t="inlineStr">
        <is>
          <t>している</t>
        </is>
      </c>
      <c r="M65" s="3376" t="n"/>
      <c r="N65" s="3376" t="n"/>
      <c r="O65" s="3376" t="inlineStr">
        <is>
          <t>(実施先：</t>
        </is>
      </c>
      <c r="P65" s="3376" t="n"/>
      <c r="Q65" s="3376" t="n"/>
      <c r="R65" s="1457" t="n"/>
      <c r="S65" s="1457" t="n"/>
      <c r="T65" s="1457" t="n"/>
      <c r="U65" s="1457" t="n"/>
      <c r="V65" s="1457" t="n"/>
      <c r="W65" s="1457" t="n"/>
      <c r="X65" s="1457" t="n"/>
      <c r="Y65" s="1457" t="n"/>
      <c r="Z65" s="1457" t="n"/>
      <c r="AA65" s="1457" t="n"/>
      <c r="AB65" s="1889" t="inlineStr">
        <is>
          <t>)・</t>
        </is>
      </c>
      <c r="AC65" s="1290" t="inlineStr">
        <is>
          <t>していない</t>
        </is>
      </c>
      <c r="AH65" s="1668" t="n"/>
    </row>
    <row r="66" ht="3.95" customHeight="1" s="4080">
      <c r="A66" s="4097" t="n"/>
      <c r="B66" s="4107" t="n"/>
      <c r="C66" s="4106" t="n"/>
      <c r="D66" s="4107" t="n"/>
      <c r="E66" s="4103" t="n"/>
      <c r="F66" s="4103" t="n"/>
      <c r="G66" s="4103" t="n"/>
      <c r="H66" s="4103" t="n"/>
      <c r="I66" s="4103" t="n"/>
      <c r="J66" s="4104" t="n"/>
      <c r="K66" s="1657" t="n"/>
      <c r="L66" s="1658" t="n"/>
      <c r="M66" s="1658" t="n"/>
      <c r="N66" s="1658" t="n"/>
      <c r="O66" s="1658" t="n"/>
      <c r="P66" s="1658" t="n"/>
      <c r="Q66" s="1658" t="n"/>
      <c r="R66" s="930" t="n"/>
      <c r="S66" s="930" t="n"/>
      <c r="T66" s="930" t="n"/>
      <c r="U66" s="930" t="n"/>
      <c r="V66" s="930" t="n"/>
      <c r="W66" s="930" t="n"/>
      <c r="X66" s="930" t="n"/>
      <c r="Y66" s="930" t="n"/>
      <c r="Z66" s="930" t="n"/>
      <c r="AA66" s="930" t="n"/>
      <c r="AB66" s="1658" t="n"/>
      <c r="AC66" s="1658" t="n"/>
      <c r="AD66" s="1658" t="n"/>
      <c r="AE66" s="1658" t="n"/>
      <c r="AF66" s="1658" t="n"/>
      <c r="AG66" s="1658" t="n"/>
      <c r="AH66" s="1659" t="n"/>
    </row>
    <row r="67" ht="15" customHeight="1" s="4080">
      <c r="A67" s="4097" t="n"/>
      <c r="B67" s="4107" t="n"/>
      <c r="C67" s="4106" t="n"/>
      <c r="D67" s="4107" t="n"/>
      <c r="E67" s="1439" t="inlineStr">
        <is>
          <t>苦情解決の措置概要</t>
        </is>
      </c>
      <c r="F67" s="4098" t="n"/>
      <c r="G67" s="4098" t="n"/>
      <c r="H67" s="4098" t="n"/>
      <c r="I67" s="4098" t="n"/>
      <c r="J67" s="4099" t="n"/>
      <c r="K67" s="2542" t="inlineStr">
        <is>
          <t>窓　口</t>
        </is>
      </c>
      <c r="L67" s="4110" t="n"/>
      <c r="M67" s="4111" t="n"/>
      <c r="N67" s="4121" t="n"/>
      <c r="O67" s="4110" t="n"/>
      <c r="P67" s="4110" t="n"/>
      <c r="Q67" s="4110" t="n"/>
      <c r="R67" s="4110" t="n"/>
      <c r="S67" s="4110" t="n"/>
      <c r="T67" s="4110" t="n"/>
      <c r="U67" s="4110" t="n"/>
      <c r="V67" s="4110" t="n"/>
      <c r="W67" s="4110" t="n"/>
      <c r="X67" s="4110" t="n"/>
      <c r="Y67" s="4110" t="n"/>
      <c r="Z67" s="4110" t="n"/>
      <c r="AA67" s="4110" t="n"/>
      <c r="AB67" s="4110" t="n"/>
      <c r="AC67" s="4110" t="n"/>
      <c r="AD67" s="4110" t="n"/>
      <c r="AE67" s="4110" t="n"/>
      <c r="AF67" s="4110" t="n"/>
      <c r="AG67" s="4110" t="n"/>
      <c r="AH67" s="4113" t="n"/>
    </row>
    <row r="68" ht="15" customHeight="1" s="4080">
      <c r="A68" s="4097" t="n"/>
      <c r="B68" s="4107" t="n"/>
      <c r="C68" s="4106" t="n"/>
      <c r="D68" s="4107" t="n"/>
      <c r="E68" s="4103" t="n"/>
      <c r="F68" s="4103" t="n"/>
      <c r="G68" s="4103" t="n"/>
      <c r="H68" s="4103" t="n"/>
      <c r="I68" s="4103" t="n"/>
      <c r="J68" s="4104" t="n"/>
      <c r="K68" s="2542" t="inlineStr">
        <is>
          <t>担当者</t>
        </is>
      </c>
      <c r="L68" s="4110" t="n"/>
      <c r="M68" s="4111" t="n"/>
      <c r="N68" s="4233" t="n"/>
      <c r="O68" s="4110" t="n"/>
      <c r="P68" s="4110" t="n"/>
      <c r="Q68" s="4110" t="n"/>
      <c r="R68" s="4110" t="n"/>
      <c r="S68" s="4110" t="n"/>
      <c r="T68" s="4110" t="n"/>
      <c r="U68" s="4111" t="n"/>
      <c r="V68" s="2163" t="inlineStr">
        <is>
          <t>電話</t>
        </is>
      </c>
      <c r="W68" s="4111" t="n"/>
      <c r="X68" s="882" t="n"/>
      <c r="Y68" s="4110" t="n"/>
      <c r="Z68" s="4110" t="n"/>
      <c r="AA68" s="1492" t="inlineStr">
        <is>
          <t>－</t>
        </is>
      </c>
      <c r="AB68" s="920" t="n"/>
      <c r="AC68" s="4110" t="n"/>
      <c r="AD68" s="4110" t="n"/>
      <c r="AE68" s="1492" t="inlineStr">
        <is>
          <t>－</t>
        </is>
      </c>
      <c r="AF68" s="955" t="n"/>
      <c r="AG68" s="4110" t="n"/>
      <c r="AH68" s="4113" t="n"/>
    </row>
    <row r="69" ht="15" customHeight="1" s="4080">
      <c r="A69" s="4114" t="n"/>
      <c r="B69" s="4104" t="n"/>
      <c r="C69" s="4102" t="n"/>
      <c r="D69" s="4104" t="n"/>
      <c r="E69" s="1394" t="inlineStr">
        <is>
          <t>そ　　 の 　　他</t>
        </is>
      </c>
      <c r="F69" s="4110" t="n"/>
      <c r="G69" s="4110" t="n"/>
      <c r="H69" s="4110" t="n"/>
      <c r="I69" s="4110" t="n"/>
      <c r="J69" s="4111" t="n"/>
      <c r="K69" s="4121" t="n"/>
      <c r="L69" s="4110" t="n"/>
      <c r="M69" s="4110" t="n"/>
      <c r="N69" s="4110" t="n"/>
      <c r="O69" s="4110" t="n"/>
      <c r="P69" s="4110" t="n"/>
      <c r="Q69" s="4110" t="n"/>
      <c r="R69" s="4110" t="n"/>
      <c r="S69" s="4110" t="n"/>
      <c r="T69" s="4110" t="n"/>
      <c r="U69" s="4110" t="n"/>
      <c r="V69" s="4110" t="n"/>
      <c r="W69" s="4110" t="n"/>
      <c r="X69" s="4110" t="n"/>
      <c r="Y69" s="4110" t="n"/>
      <c r="Z69" s="4110" t="n"/>
      <c r="AA69" s="4110" t="n"/>
      <c r="AB69" s="4110" t="n"/>
      <c r="AC69" s="4110" t="n"/>
      <c r="AD69" s="4110" t="n"/>
      <c r="AE69" s="4110" t="n"/>
      <c r="AF69" s="4110" t="n"/>
      <c r="AG69" s="4110" t="n"/>
      <c r="AH69" s="4113" t="n"/>
    </row>
    <row r="70" ht="15" customHeight="1" s="4080">
      <c r="A70" s="2915" t="n"/>
      <c r="B70" s="1264" t="inlineStr">
        <is>
          <t>協力医療機関</t>
        </is>
      </c>
      <c r="C70" s="4098" t="n"/>
      <c r="D70" s="4098" t="n"/>
      <c r="E70" s="4098" t="n"/>
      <c r="F70" s="4098" t="n"/>
      <c r="G70" s="4098" t="n"/>
      <c r="H70" s="4098" t="n"/>
      <c r="I70" s="4098" t="n"/>
      <c r="J70" s="2077" t="n"/>
      <c r="K70" s="1865" t="inlineStr">
        <is>
          <t>ﾌﾘｶﾞﾅ</t>
        </is>
      </c>
      <c r="L70" s="4110" t="n"/>
      <c r="M70" s="4110" t="n"/>
      <c r="N70" s="4432" t="n"/>
      <c r="O70" s="4110" t="n"/>
      <c r="P70" s="4110" t="n"/>
      <c r="Q70" s="4110" t="n"/>
      <c r="R70" s="4110" t="n"/>
      <c r="S70" s="4110" t="n"/>
      <c r="T70" s="4110" t="n"/>
      <c r="U70" s="4110" t="n"/>
      <c r="V70" s="4110" t="n"/>
      <c r="W70" s="4110" t="n"/>
      <c r="X70" s="4110" t="n"/>
      <c r="Y70" s="4110" t="n"/>
      <c r="Z70" s="4110" t="n"/>
      <c r="AA70" s="4110" t="n"/>
      <c r="AB70" s="4111" t="n"/>
      <c r="AC70" s="2744" t="inlineStr">
        <is>
          <t>主な診療科名</t>
        </is>
      </c>
      <c r="AD70" s="4099" t="n"/>
      <c r="AE70" s="4489" t="n"/>
      <c r="AF70" s="4098" t="n"/>
      <c r="AG70" s="4098" t="n"/>
      <c r="AH70" s="4101" t="n"/>
    </row>
    <row r="71" ht="21.95" customHeight="1" s="4080">
      <c r="A71" s="4114" t="n"/>
      <c r="B71" s="4103" t="n"/>
      <c r="C71" s="4103" t="n"/>
      <c r="D71" s="4103" t="n"/>
      <c r="E71" s="4103" t="n"/>
      <c r="F71" s="4103" t="n"/>
      <c r="G71" s="4103" t="n"/>
      <c r="H71" s="4103" t="n"/>
      <c r="I71" s="4103" t="n"/>
      <c r="J71" s="4104" t="n"/>
      <c r="K71" s="2164" t="inlineStr">
        <is>
          <t>名　称</t>
        </is>
      </c>
      <c r="L71" s="4110" t="n"/>
      <c r="M71" s="4111" t="n"/>
      <c r="N71" s="4123" t="n"/>
      <c r="O71" s="4110" t="n"/>
      <c r="P71" s="4110" t="n"/>
      <c r="Q71" s="4110" t="n"/>
      <c r="R71" s="4110" t="n"/>
      <c r="S71" s="4110" t="n"/>
      <c r="T71" s="4110" t="n"/>
      <c r="U71" s="4110" t="n"/>
      <c r="V71" s="4110" t="n"/>
      <c r="W71" s="4110" t="n"/>
      <c r="X71" s="4110" t="n"/>
      <c r="Y71" s="4110" t="n"/>
      <c r="Z71" s="4110" t="n"/>
      <c r="AA71" s="4110" t="n"/>
      <c r="AB71" s="4111" t="n"/>
      <c r="AC71" s="4103" t="n"/>
      <c r="AD71" s="4104" t="n"/>
      <c r="AE71" s="4102" t="n"/>
      <c r="AF71" s="4103" t="n"/>
      <c r="AG71" s="4103" t="n"/>
      <c r="AH71" s="4105" t="n"/>
    </row>
    <row r="72" ht="15" customHeight="1" s="4080">
      <c r="A72" s="2915" t="n"/>
      <c r="B72" s="1264" t="inlineStr">
        <is>
          <t>協力歯科医療機関</t>
        </is>
      </c>
      <c r="C72" s="4098" t="n"/>
      <c r="D72" s="4098" t="n"/>
      <c r="E72" s="4098" t="n"/>
      <c r="F72" s="4098" t="n"/>
      <c r="G72" s="4098" t="n"/>
      <c r="H72" s="4098" t="n"/>
      <c r="I72" s="4098" t="n"/>
      <c r="J72" s="2077" t="n"/>
      <c r="K72" s="1865" t="inlineStr">
        <is>
          <t>ﾌﾘｶﾞﾅ</t>
        </is>
      </c>
      <c r="L72" s="4110" t="n"/>
      <c r="M72" s="4110" t="n"/>
      <c r="N72" s="4489" t="n"/>
      <c r="O72" s="4110" t="n"/>
      <c r="P72" s="4110" t="n"/>
      <c r="Q72" s="4110" t="n"/>
      <c r="R72" s="4110" t="n"/>
      <c r="S72" s="4110" t="n"/>
      <c r="T72" s="4110" t="n"/>
      <c r="U72" s="4110" t="n"/>
      <c r="V72" s="4110" t="n"/>
      <c r="W72" s="4110" t="n"/>
      <c r="X72" s="4110" t="n"/>
      <c r="Y72" s="4110" t="n"/>
      <c r="Z72" s="4110" t="n"/>
      <c r="AA72" s="4110" t="n"/>
      <c r="AB72" s="4110" t="n"/>
      <c r="AC72" s="4110" t="n"/>
      <c r="AD72" s="4110" t="n"/>
      <c r="AE72" s="4110" t="n"/>
      <c r="AF72" s="4110" t="n"/>
      <c r="AG72" s="4110" t="n"/>
      <c r="AH72" s="4113" t="n"/>
    </row>
    <row r="73" ht="21.95" customHeight="1" s="4080">
      <c r="A73" s="4114" t="n"/>
      <c r="B73" s="4103" t="n"/>
      <c r="C73" s="4103" t="n"/>
      <c r="D73" s="4103" t="n"/>
      <c r="E73" s="4103" t="n"/>
      <c r="F73" s="4103" t="n"/>
      <c r="G73" s="4103" t="n"/>
      <c r="H73" s="4103" t="n"/>
      <c r="I73" s="4103" t="n"/>
      <c r="J73" s="4104" t="n"/>
      <c r="K73" s="2164" t="inlineStr">
        <is>
          <t>名　称</t>
        </is>
      </c>
      <c r="L73" s="4110" t="n"/>
      <c r="M73" s="4111" t="n"/>
      <c r="N73" s="4230" t="n"/>
      <c r="O73" s="4110" t="n"/>
      <c r="P73" s="4110" t="n"/>
      <c r="Q73" s="4110" t="n"/>
      <c r="R73" s="4110" t="n"/>
      <c r="S73" s="4110" t="n"/>
      <c r="T73" s="4110" t="n"/>
      <c r="U73" s="4110" t="n"/>
      <c r="V73" s="4110" t="n"/>
      <c r="W73" s="4110" t="n"/>
      <c r="X73" s="4110" t="n"/>
      <c r="Y73" s="4110" t="n"/>
      <c r="Z73" s="4110" t="n"/>
      <c r="AA73" s="4110" t="n"/>
      <c r="AB73" s="4110" t="n"/>
      <c r="AC73" s="4110" t="n"/>
      <c r="AD73" s="4110" t="n"/>
      <c r="AE73" s="4110" t="n"/>
      <c r="AF73" s="4110" t="n"/>
      <c r="AG73" s="4110" t="n"/>
      <c r="AH73" s="4113" t="n"/>
    </row>
    <row r="74" ht="15.95" customHeight="1" s="4080" thickBot="1">
      <c r="A74" s="4234" t="inlineStr">
        <is>
          <t>添　　付　　書　　類</t>
        </is>
      </c>
      <c r="B74" s="4153" t="n"/>
      <c r="C74" s="4153" t="n"/>
      <c r="D74" s="4153" t="n"/>
      <c r="E74" s="4153" t="n"/>
      <c r="F74" s="4153" t="n"/>
      <c r="G74" s="4153" t="n"/>
      <c r="H74" s="4153" t="n"/>
      <c r="I74" s="4153" t="n"/>
      <c r="J74" s="4154" t="n"/>
      <c r="K74" s="4235" t="inlineStr">
        <is>
          <t xml:space="preserve">　別紙「添付書類一覧表」のとおり</t>
        </is>
      </c>
      <c r="L74" s="4153" t="n"/>
      <c r="M74" s="4153" t="n"/>
      <c r="N74" s="4153" t="n"/>
      <c r="O74" s="4153" t="n"/>
      <c r="P74" s="4153" t="n"/>
      <c r="Q74" s="4153" t="n"/>
      <c r="R74" s="4153" t="n"/>
      <c r="S74" s="4153" t="n"/>
      <c r="T74" s="4153" t="n"/>
      <c r="U74" s="4153" t="n"/>
      <c r="V74" s="4153" t="n"/>
      <c r="W74" s="4153" t="n"/>
      <c r="X74" s="4153" t="n"/>
      <c r="Y74" s="4153" t="n"/>
      <c r="Z74" s="4153" t="n"/>
      <c r="AA74" s="4153" t="n"/>
      <c r="AB74" s="4153" t="n"/>
      <c r="AC74" s="4153" t="n"/>
      <c r="AD74" s="4153" t="n"/>
      <c r="AE74" s="4153" t="n"/>
      <c r="AF74" s="4153" t="n"/>
      <c r="AG74" s="4153" t="n"/>
      <c r="AH74" s="4155" t="n"/>
    </row>
  </sheetData>
  <mergeCells count="254">
    <mergeCell ref="AC53:AE53"/>
    <mergeCell ref="AF54:AH54"/>
    <mergeCell ref="C14:E16"/>
    <mergeCell ref="C23:L23"/>
    <mergeCell ref="T55:V55"/>
    <mergeCell ref="K11:AH11"/>
    <mergeCell ref="T40:V42"/>
    <mergeCell ref="N71:AB71"/>
    <mergeCell ref="E69:J69"/>
    <mergeCell ref="W32:AH32"/>
    <mergeCell ref="Q63:AH63"/>
    <mergeCell ref="AC55:AE55"/>
    <mergeCell ref="X27:AH29"/>
    <mergeCell ref="AC47:AD47"/>
    <mergeCell ref="X68:Z68"/>
    <mergeCell ref="F27:I29"/>
    <mergeCell ref="F47:H47"/>
    <mergeCell ref="I50:R50"/>
    <mergeCell ref="M21:X21"/>
    <mergeCell ref="K71:M71"/>
    <mergeCell ref="N43:R43"/>
    <mergeCell ref="V18:AH18"/>
    <mergeCell ref="N67:AH67"/>
    <mergeCell ref="K61:P61"/>
    <mergeCell ref="I34:R34"/>
    <mergeCell ref="W58:Y58"/>
    <mergeCell ref="K73:M73"/>
    <mergeCell ref="M24:X24"/>
    <mergeCell ref="S46:U51"/>
    <mergeCell ref="C10:E11"/>
    <mergeCell ref="I10:K10"/>
    <mergeCell ref="AF59:AG59"/>
    <mergeCell ref="W60:AH60"/>
    <mergeCell ref="K62:P62"/>
    <mergeCell ref="C7:E9"/>
    <mergeCell ref="AC50:AD50"/>
    <mergeCell ref="W57:AH57"/>
    <mergeCell ref="N55:P55"/>
    <mergeCell ref="A4:B11"/>
    <mergeCell ref="W53:Y53"/>
    <mergeCell ref="AA2:AA3"/>
    <mergeCell ref="AC2:AC3"/>
    <mergeCell ref="I47:R47"/>
    <mergeCell ref="K68:M68"/>
    <mergeCell ref="C43:M45"/>
    <mergeCell ref="Z55:AB55"/>
    <mergeCell ref="X14:AH16"/>
    <mergeCell ref="V44:AH44"/>
    <mergeCell ref="I37:R37"/>
    <mergeCell ref="C22:L22"/>
    <mergeCell ref="P39:S39"/>
    <mergeCell ref="N30:R30"/>
    <mergeCell ref="V31:AH31"/>
    <mergeCell ref="Y22:AH22"/>
    <mergeCell ref="H58:J58"/>
    <mergeCell ref="S43:U45"/>
    <mergeCell ref="A12:S12"/>
    <mergeCell ref="T58:V58"/>
    <mergeCell ref="W30:AH30"/>
    <mergeCell ref="W45:AH45"/>
    <mergeCell ref="D61:I63"/>
    <mergeCell ref="A58:G59"/>
    <mergeCell ref="T54:V54"/>
    <mergeCell ref="N8:O9"/>
    <mergeCell ref="A52:B56"/>
    <mergeCell ref="X40:AH42"/>
    <mergeCell ref="F13:I13"/>
    <mergeCell ref="Q58:S58"/>
    <mergeCell ref="S33:U38"/>
    <mergeCell ref="F5:AH6"/>
    <mergeCell ref="AC58:AE58"/>
    <mergeCell ref="A70:A71"/>
    <mergeCell ref="AF37:AG37"/>
    <mergeCell ref="AF10:AH10"/>
    <mergeCell ref="N58:P58"/>
    <mergeCell ref="S17:U19"/>
    <mergeCell ref="F50:H50"/>
    <mergeCell ref="N32:R32"/>
    <mergeCell ref="M22:X22"/>
    <mergeCell ref="Z58:AB58"/>
    <mergeCell ref="AC37:AD37"/>
    <mergeCell ref="AC12:AD12"/>
    <mergeCell ref="AE12:AF12"/>
    <mergeCell ref="I57:J57"/>
    <mergeCell ref="C30:M32"/>
    <mergeCell ref="B39:B51"/>
    <mergeCell ref="AF58:AH58"/>
    <mergeCell ref="Y23:AH23"/>
    <mergeCell ref="K70:M70"/>
    <mergeCell ref="P26:S26"/>
    <mergeCell ref="E67:J68"/>
    <mergeCell ref="C39:E39"/>
    <mergeCell ref="C20:AH20"/>
    <mergeCell ref="C55:J55"/>
    <mergeCell ref="W52:AB52"/>
    <mergeCell ref="S30:U32"/>
    <mergeCell ref="P27:Q29"/>
    <mergeCell ref="C24:L24"/>
    <mergeCell ref="AF2:AF3"/>
    <mergeCell ref="Q60:U60"/>
    <mergeCell ref="AH2:AH3"/>
    <mergeCell ref="Y24:AH24"/>
    <mergeCell ref="A26:A51"/>
    <mergeCell ref="N17:R17"/>
    <mergeCell ref="C13:E13"/>
    <mergeCell ref="M23:X23"/>
    <mergeCell ref="AB68:AD68"/>
    <mergeCell ref="J7:N7"/>
    <mergeCell ref="T27:V29"/>
    <mergeCell ref="T10:W10"/>
    <mergeCell ref="AC52:AH52"/>
    <mergeCell ref="A1:AH1"/>
    <mergeCell ref="N19:R19"/>
    <mergeCell ref="C25:L25"/>
    <mergeCell ref="B26:B38"/>
    <mergeCell ref="C46:E51"/>
    <mergeCell ref="V48:AA48"/>
    <mergeCell ref="Z59:AA59"/>
    <mergeCell ref="C26:E26"/>
    <mergeCell ref="V35:AA35"/>
    <mergeCell ref="J27:M29"/>
    <mergeCell ref="C64:D69"/>
    <mergeCell ref="Y25:AH25"/>
    <mergeCell ref="N45:R45"/>
    <mergeCell ref="N39:O42"/>
    <mergeCell ref="T39:X39"/>
    <mergeCell ref="K63:P63"/>
    <mergeCell ref="N72:AH72"/>
    <mergeCell ref="V34:AA34"/>
    <mergeCell ref="F11:J11"/>
    <mergeCell ref="P13:S13"/>
    <mergeCell ref="Q10:S10"/>
    <mergeCell ref="F39:I39"/>
    <mergeCell ref="F4:AH4"/>
    <mergeCell ref="K67:M67"/>
    <mergeCell ref="K56:P56"/>
    <mergeCell ref="P7:AH9"/>
    <mergeCell ref="U2:X3"/>
    <mergeCell ref="AF55:AH55"/>
    <mergeCell ref="N13:O16"/>
    <mergeCell ref="W56:AB56"/>
    <mergeCell ref="K52:P52"/>
    <mergeCell ref="F14:I16"/>
    <mergeCell ref="C5:E6"/>
    <mergeCell ref="N73:AH73"/>
    <mergeCell ref="C27:E29"/>
    <mergeCell ref="C54:J54"/>
    <mergeCell ref="N68:U68"/>
    <mergeCell ref="Z2:Z3"/>
    <mergeCell ref="A13:B25"/>
    <mergeCell ref="AB2:AB3"/>
    <mergeCell ref="AC56:AH56"/>
    <mergeCell ref="AD2:AD3"/>
    <mergeCell ref="F37:H37"/>
    <mergeCell ref="J14:M16"/>
    <mergeCell ref="Q61:AH61"/>
    <mergeCell ref="AC59:AE59"/>
    <mergeCell ref="AC70:AD71"/>
    <mergeCell ref="X10:Z10"/>
    <mergeCell ref="C56:J56"/>
    <mergeCell ref="C57:H57"/>
    <mergeCell ref="U12:V12"/>
    <mergeCell ref="AB10:AD10"/>
    <mergeCell ref="V37:AA37"/>
    <mergeCell ref="A57:B57"/>
    <mergeCell ref="F40:I42"/>
    <mergeCell ref="Q59:R59"/>
    <mergeCell ref="T26:X26"/>
    <mergeCell ref="W12:X12"/>
    <mergeCell ref="F7:I7"/>
    <mergeCell ref="E2:I2"/>
    <mergeCell ref="B72:I73"/>
    <mergeCell ref="V47:AA47"/>
    <mergeCell ref="F8:H9"/>
    <mergeCell ref="Y21:AH21"/>
    <mergeCell ref="N59:O59"/>
    <mergeCell ref="N70:AB70"/>
    <mergeCell ref="J40:M42"/>
    <mergeCell ref="K69:AH69"/>
    <mergeCell ref="F34:H34"/>
    <mergeCell ref="T13:X13"/>
    <mergeCell ref="B70:I71"/>
    <mergeCell ref="A74:J74"/>
    <mergeCell ref="J26:M26"/>
    <mergeCell ref="AF47:AG47"/>
    <mergeCell ref="AE70:AH71"/>
    <mergeCell ref="C4:E4"/>
    <mergeCell ref="Q54:S54"/>
    <mergeCell ref="Q52:V52"/>
    <mergeCell ref="J72:J73"/>
    <mergeCell ref="AF53:AH53"/>
    <mergeCell ref="N53:P53"/>
    <mergeCell ref="Q55:S55"/>
    <mergeCell ref="Z53:AB53"/>
    <mergeCell ref="K72:M72"/>
    <mergeCell ref="V68:W68"/>
    <mergeCell ref="AF34:AG34"/>
    <mergeCell ref="AF68:AH68"/>
    <mergeCell ref="W54:Y54"/>
    <mergeCell ref="M10:O10"/>
    <mergeCell ref="P14:Q16"/>
    <mergeCell ref="C40:E42"/>
    <mergeCell ref="AE2:AE3"/>
    <mergeCell ref="K58:M58"/>
    <mergeCell ref="C52:J53"/>
    <mergeCell ref="AG2:AG3"/>
    <mergeCell ref="Y2:Y3"/>
    <mergeCell ref="I8:M9"/>
    <mergeCell ref="AC54:AE54"/>
    <mergeCell ref="M25:X25"/>
    <mergeCell ref="H59:I59"/>
    <mergeCell ref="V49:AA49"/>
    <mergeCell ref="W43:AH43"/>
    <mergeCell ref="J70:J71"/>
    <mergeCell ref="V36:AA36"/>
    <mergeCell ref="J39:M39"/>
    <mergeCell ref="T59:U59"/>
    <mergeCell ref="P40:Q42"/>
    <mergeCell ref="A61:B69"/>
    <mergeCell ref="K53:M53"/>
    <mergeCell ref="W17:AH17"/>
    <mergeCell ref="C33:E38"/>
    <mergeCell ref="K59:L59"/>
    <mergeCell ref="A60:P60"/>
    <mergeCell ref="V50:AA50"/>
    <mergeCell ref="J13:M13"/>
    <mergeCell ref="K57:P57"/>
    <mergeCell ref="AC34:AD34"/>
    <mergeCell ref="W59:X59"/>
    <mergeCell ref="A72:A73"/>
    <mergeCell ref="K2:O2"/>
    <mergeCell ref="W19:AH19"/>
    <mergeCell ref="Q53:S53"/>
    <mergeCell ref="Q56:V56"/>
    <mergeCell ref="N26:O29"/>
    <mergeCell ref="AF50:AG50"/>
    <mergeCell ref="AC65:AG65"/>
    <mergeCell ref="N54:P54"/>
    <mergeCell ref="F10:H10"/>
    <mergeCell ref="Y12:Z12"/>
    <mergeCell ref="F26:I26"/>
    <mergeCell ref="C17:M19"/>
    <mergeCell ref="AA12:AB12"/>
    <mergeCell ref="K74:AH74"/>
    <mergeCell ref="R57:T57"/>
    <mergeCell ref="Z54:AB54"/>
    <mergeCell ref="T14:V16"/>
    <mergeCell ref="K54:M54"/>
    <mergeCell ref="Q62:AH62"/>
    <mergeCell ref="C21:L21"/>
    <mergeCell ref="K55:M55"/>
    <mergeCell ref="T53:V53"/>
    <mergeCell ref="E64:J66"/>
    <mergeCell ref="W55:Y55"/>
  </mergeCells>
  <conditionalFormatting sqref="Z59:AA59">
    <cfRule type="cellIs" priority="1" operator="lessThanOrEqual" dxfId="0" stopIfTrue="1">
      <formula>0</formula>
    </cfRule>
  </conditionalFormatting>
  <dataValidations count="13">
    <dataValidation sqref="M10:O10 Q10:S10 X10:Z10 AB10:AD10 AF10:AH10" showDropDown="0" showInputMessage="1" showErrorMessage="1" allowBlank="1" error="全角数字で入力してください" imeMode="fullAlpha"/>
    <dataValidation sqref="H59:AA59" showDropDown="0" showInputMessage="1" showErrorMessage="1" allowBlank="1" imeMode="halfAlpha"/>
    <dataValidation sqref="Q57" showDropDown="0" showInputMessage="1" showErrorMessage="1" allowBlank="1" type="list">
      <formula1>"　,（"</formula1>
    </dataValidation>
    <dataValidation sqref="U57" showDropDown="0" showInputMessage="1" showErrorMessage="1" allowBlank="1" type="list" imeMode="fullAlpha">
      <formula1>"　,）"</formula1>
    </dataValidation>
    <dataValidation sqref="V31:AH31 V44:AH44" showDropDown="0" showInputMessage="1" showErrorMessage="1" allowBlank="1" prompt="サービス管理責任者は、サービス提供職員との兼務はできません。" type="list" errorStyle="warning">
      <formula1>"　,管理者,事務職員,管理者、事務職員"</formula1>
    </dataValidation>
    <dataValidation sqref="I34:R34 I47:R47" showDropDown="0" showInputMessage="1" showErrorMessage="1" allowBlank="1" prompt="プルダウンメニューから選択してください。" type="list">
      <formula1>"　,相談支援業務5年以上,直接支援業務10年以上,直接支援業務5年以上＋有資格,国家資格業務5年以上＋相談支援業務3年以上,国家資格業務5年以上＋直接支援業務3年以上"</formula1>
    </dataValidation>
    <dataValidation sqref="I37:R37 I50:R50" showDropDown="0" showInputMessage="1" showErrorMessage="1" allowBlank="1" prompt="プルダウンメニューから選択してください。" type="list">
      <formula1>"　,社会福祉主事任用資格,訪問介護員1級,訪問介護員2級,居宅介護従業者1級,居宅介護従業者2級,児童指導員任用資格,保育士,医師,歯科医師,薬剤師,保健師,助産師,看護師,准看護師,理学療法士,作業療法士,社会福祉士,介護福祉士,視能訓練士,義肢装具士,歯科衛生士,言語聴覚士,あん摩マッサージ指圧師,はり師,きゅう師,柔道整復師,栄養士,管理栄養士,精神保健福祉士"</formula1>
    </dataValidation>
    <dataValidation sqref="F35:H35 F38:H38 F48:H48 F51:H51 O35 O38 O48 O51" showDropDown="0" showInputMessage="1" showErrorMessage="1" allowBlank="1" error="この行には入力できません。_x000a_下の行に入力してください。" prompt="この行には入力できません。_x000a_上の行に入力してください。" imeMode="on"/>
    <dataValidation sqref="E36:H36 E49:H49 F33:G33 F46:G46 I33:O33 I46:O46 R36 R49 V33:AH33 V46:AH46" showDropDown="0" showInputMessage="1" showErrorMessage="1" allowBlank="1" error="この行には入力できません。_x000a_下の行に入力してください。" prompt="この行には入力できません。_x000a_下の行に入力してください。" imeMode="on"/>
    <dataValidation sqref="AC52" showDropDown="0" showInputMessage="1" showErrorMessage="1" allowBlank="1" type="list" errorStyle="warning">
      <formula1>"　,事務職員"</formula1>
    </dataValidation>
    <dataValidation sqref="Q61" showDropDown="0" showInputMessage="1" showErrorMessage="1" allowBlank="1" type="list">
      <formula1>"　,指定身体障害者更生施設,指定身体障害者療護施設,指定身体障害者入所授産施設,指定特定身体障害者通所授産施設,指定知的障害者入所更生施設,指定知的障害者通所更生施設,指定知的障害者入所授産施設,指定特定知的障害者通所授産施設,指定知的障害者通勤寮,児童養護施設,肢体不自由児施設,知的障害児施設,特別養護老人ホーム,障害福祉サービス事業所,障害者地域移行支援センター,身体障害者小規模通所授産施設,知的障害者小規模通所授産施設"</formula1>
    </dataValidation>
    <dataValidation sqref="F4:AH4 F13:M13 F26:M26 F39:M39 J70 J72 N70 N72 AE70" showDropDown="0" showInputMessage="1" showErrorMessage="1" allowBlank="1" imeMode="halfKatakana"/>
    <dataValidation sqref="I10:K10 J7:N7 K54:AH56 T13:X13 T26:X26 T39:X39 U12:V12 X68 Y2:AH3 Y12:Z12 AB68:AD68 AC12:AD12 AF68" showDropDown="0" showInputMessage="1" showErrorMessage="1" allowBlank="1" imeMode="fullAlpha"/>
  </dataValidations>
  <pageMargins left="0.7086614173228347" right="0.5905511811023623" top="0.3937007874015748" bottom="0.3937007874015748" header="0.5118110236220472" footer="0.5118110236220472"/>
  <pageSetup orientation="portrait" paperSize="9" scale="97"/>
  <legacyDrawing xmlns:r="http://schemas.openxmlformats.org/officeDocument/2006/relationships" r:id="anysvml"/>
</worksheet>
</file>

<file path=xl/worksheets/sheet27.xml><?xml version="1.0" encoding="utf-8"?>
<worksheet xmlns="http://schemas.openxmlformats.org/spreadsheetml/2006/main">
  <sheetPr codeName="Sheet26">
    <outlinePr summaryBelow="1" summaryRight="1"/>
    <pageSetUpPr/>
  </sheetPr>
  <dimension ref="A1:AO79"/>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7.1" customHeight="1" s="4080" thickBot="1">
      <c r="A1" s="1213" t="inlineStr">
        <is>
          <t>付表１４　障害者支援施設の指定に係る記載事項</t>
        </is>
      </c>
      <c r="AN1" s="719">
        <f>HYPERLINK("#目次!A1","目次へ戻る")</f>
        <v/>
      </c>
    </row>
    <row r="2" ht="12.95" customHeight="1" s="4080">
      <c r="G2" s="45" t="n"/>
      <c r="H2" s="45" t="n"/>
      <c r="I2" s="1889" t="n"/>
      <c r="J2" s="1889" t="n"/>
      <c r="K2" s="1889" t="n"/>
      <c r="L2" s="1889" t="n"/>
      <c r="M2" s="1889" t="n"/>
      <c r="N2" s="2069" t="n"/>
      <c r="O2" s="1889" t="n"/>
      <c r="P2" s="1889" t="n"/>
      <c r="Q2" s="1889" t="n"/>
      <c r="R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A3" s="197" t="n"/>
      <c r="B3" s="197" t="n"/>
      <c r="C3" s="197" t="n"/>
      <c r="D3" s="197" t="n"/>
      <c r="E3" s="197" t="n"/>
      <c r="F3" s="197" t="n"/>
      <c r="G3" s="197" t="n"/>
      <c r="H3" s="197" t="n"/>
      <c r="I3" s="197" t="n"/>
      <c r="J3" s="197" t="n"/>
      <c r="K3" s="197" t="n"/>
      <c r="L3" s="197" t="n"/>
      <c r="M3" s="197" t="n"/>
      <c r="N3" s="197" t="n"/>
      <c r="O3" s="197" t="n"/>
      <c r="P3" s="197" t="n"/>
      <c r="Q3" s="197" t="n"/>
      <c r="R3" s="197" t="n"/>
      <c r="S3" s="197" t="n"/>
      <c r="T3" s="428" t="n"/>
      <c r="U3" s="4086" t="n"/>
      <c r="V3" s="4087" t="n"/>
      <c r="W3" s="4087" t="n"/>
      <c r="X3" s="4088" t="n"/>
      <c r="Y3" s="4089" t="n"/>
      <c r="Z3" s="4089" t="n"/>
      <c r="AA3" s="4089" t="n"/>
      <c r="AB3" s="4089" t="n"/>
      <c r="AC3" s="4089" t="n"/>
      <c r="AD3" s="4089" t="n"/>
      <c r="AE3" s="4089" t="n"/>
      <c r="AF3" s="4089" t="n"/>
      <c r="AG3" s="4089" t="n"/>
      <c r="AH3" s="4090" t="n"/>
    </row>
    <row r="4" ht="14.1" customHeight="1" s="4080">
      <c r="A4" s="4179" t="inlineStr">
        <is>
          <t>施　　設</t>
        </is>
      </c>
      <c r="B4" s="4082" t="n"/>
      <c r="C4" s="4180" t="inlineStr">
        <is>
          <t>ﾌﾘｶﾞﾅ</t>
        </is>
      </c>
      <c r="D4" s="4093" t="n"/>
      <c r="E4" s="4094" t="n"/>
      <c r="F4" s="4236"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C5" s="4181" t="inlineStr">
        <is>
          <t>名　称</t>
        </is>
      </c>
      <c r="D5" s="4098" t="n"/>
      <c r="E5" s="4099" t="n"/>
      <c r="F5" s="4237"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C7" s="4181" t="inlineStr">
        <is>
          <t>所在地</t>
        </is>
      </c>
      <c r="D7" s="4098" t="n"/>
      <c r="E7" s="4099" t="n"/>
      <c r="F7" s="1244" t="inlineStr">
        <is>
          <t>郵便番号（</t>
        </is>
      </c>
      <c r="G7" s="4098" t="n"/>
      <c r="H7" s="4098" t="n"/>
      <c r="I7" s="4098" t="n"/>
      <c r="J7" s="1287" t="n"/>
      <c r="K7" s="4098" t="n"/>
      <c r="L7" s="4098" t="n"/>
      <c r="M7" s="4098" t="n"/>
      <c r="N7" s="4098" t="n"/>
      <c r="O7" s="1329" t="inlineStr">
        <is>
          <t>）</t>
        </is>
      </c>
      <c r="P7" s="4311" t="n"/>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986" t="n"/>
      <c r="N8" s="1260" t="inlineStr">
        <is>
          <t>区</t>
        </is>
      </c>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1479" t="n"/>
      <c r="J10" s="4110" t="n"/>
      <c r="K10" s="4110" t="n"/>
      <c r="L10" s="1492" t="inlineStr">
        <is>
          <t>－</t>
        </is>
      </c>
      <c r="M10" s="1150" t="n"/>
      <c r="N10" s="4110" t="n"/>
      <c r="O10" s="4110" t="n"/>
      <c r="P10" s="1492" t="inlineStr">
        <is>
          <t>－</t>
        </is>
      </c>
      <c r="Q10" s="1482" t="n"/>
      <c r="R10" s="4110" t="n"/>
      <c r="S10" s="4111" t="n"/>
      <c r="T10" s="4184" t="inlineStr">
        <is>
          <t>ＦＡＸ番号</t>
        </is>
      </c>
      <c r="U10" s="4110" t="n"/>
      <c r="V10" s="4110" t="n"/>
      <c r="W10" s="4111" t="n"/>
      <c r="X10" s="1479" t="n"/>
      <c r="Y10" s="4110" t="n"/>
      <c r="Z10" s="4110" t="n"/>
      <c r="AA10" s="1492" t="inlineStr">
        <is>
          <t>－</t>
        </is>
      </c>
      <c r="AB10" s="1150" t="n"/>
      <c r="AC10" s="4110" t="n"/>
      <c r="AD10" s="4110" t="n"/>
      <c r="AE10" s="1492" t="inlineStr">
        <is>
          <t>－</t>
        </is>
      </c>
      <c r="AF10" s="1483" t="n"/>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186" t="n"/>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1150" t="n"/>
      <c r="V12" s="4110" t="n"/>
      <c r="W12" s="1264" t="inlineStr">
        <is>
          <t>条第</t>
        </is>
      </c>
      <c r="X12" s="4110" t="n"/>
      <c r="Y12" s="1150" t="n"/>
      <c r="Z12" s="4110" t="n"/>
      <c r="AA12" s="1264" t="inlineStr">
        <is>
          <t>項第</t>
        </is>
      </c>
      <c r="AB12" s="4110" t="n"/>
      <c r="AC12" s="1150" t="n"/>
      <c r="AD12" s="4110" t="n"/>
      <c r="AE12" s="1264" t="inlineStr">
        <is>
          <t>号（</t>
        </is>
      </c>
      <c r="AF12" s="4110" t="n"/>
      <c r="AG12" s="1150" t="n"/>
      <c r="AH12" s="2827" t="inlineStr">
        <is>
          <t>）</t>
        </is>
      </c>
    </row>
    <row r="13" ht="12" customHeight="1" s="4080">
      <c r="A13" s="4188" t="inlineStr">
        <is>
          <t>管　　理　　者</t>
        </is>
      </c>
      <c r="B13" s="4099" t="n"/>
      <c r="C13" s="4184" t="inlineStr">
        <is>
          <t>ﾌﾘｶﾞﾅ</t>
        </is>
      </c>
      <c r="D13" s="4110" t="n"/>
      <c r="E13" s="4111" t="n"/>
      <c r="F13" s="1487" t="n"/>
      <c r="G13" s="4110" t="n"/>
      <c r="H13" s="4110" t="n"/>
      <c r="I13" s="4189" t="n"/>
      <c r="J13" s="1488" t="n"/>
      <c r="K13" s="4110" t="n"/>
      <c r="L13" s="4110" t="n"/>
      <c r="M13" s="4189" t="n"/>
      <c r="N13" s="4185" t="inlineStr">
        <is>
          <t>住所</t>
        </is>
      </c>
      <c r="O13" s="4099" t="n"/>
      <c r="P13" s="1244" t="inlineStr">
        <is>
          <t>郵便番号（</t>
        </is>
      </c>
      <c r="Q13" s="4098" t="n"/>
      <c r="R13" s="4098" t="n"/>
      <c r="S13" s="4098" t="n"/>
      <c r="T13" s="1742" t="n"/>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487" t="n"/>
      <c r="G14" s="4098" t="n"/>
      <c r="H14" s="4098" t="n"/>
      <c r="I14" s="4190" t="n"/>
      <c r="J14" s="1488" t="n"/>
      <c r="K14" s="4098" t="n"/>
      <c r="L14" s="4098" t="n"/>
      <c r="M14" s="4190" t="n"/>
      <c r="N14" s="4106" t="n"/>
      <c r="O14" s="4107" t="n"/>
      <c r="P14" s="1509" t="n"/>
      <c r="R14" s="2378" t="inlineStr">
        <is>
          <t>都</t>
        </is>
      </c>
      <c r="S14" s="2378" t="inlineStr">
        <is>
          <t>道</t>
        </is>
      </c>
      <c r="T14" s="2939" t="n"/>
      <c r="W14" s="2378" t="inlineStr">
        <is>
          <t>郡</t>
        </is>
      </c>
      <c r="X14" s="1512" t="n"/>
      <c r="AH14" s="4109" t="n"/>
    </row>
    <row r="15" ht="12" customHeight="1" s="4080">
      <c r="A15" s="4097" t="n"/>
      <c r="B15" s="4107" t="n"/>
      <c r="C15" s="4106" t="n"/>
      <c r="E15" s="4107" t="n"/>
      <c r="F15" s="4106" t="n"/>
      <c r="I15" s="4191" t="n"/>
      <c r="J15" s="4192" t="n"/>
      <c r="M15" s="4191" t="n"/>
      <c r="N15" s="4106" t="n"/>
      <c r="O15" s="4107" t="n"/>
      <c r="P15" s="4106" t="n"/>
      <c r="R15" s="2378" t="inlineStr">
        <is>
          <t>府</t>
        </is>
      </c>
      <c r="S15" s="2378" t="inlineStr">
        <is>
          <t>県</t>
        </is>
      </c>
      <c r="W15" s="2378"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1325" t="inlineStr">
        <is>
          <t>無</t>
        </is>
      </c>
      <c r="R18" s="1332" t="n"/>
      <c r="S18" s="4106" t="n"/>
      <c r="U18" s="4107" t="n"/>
      <c r="V18" s="4196"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7.25" customHeight="1" s="4080">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Height="1" s="4080">
      <c r="A21" s="4097" t="n"/>
      <c r="B21" s="4107" t="n"/>
      <c r="C21" s="1303" t="inlineStr">
        <is>
          <t>事　業　所　名</t>
        </is>
      </c>
      <c r="D21" s="4138" t="n"/>
      <c r="E21" s="4138" t="n"/>
      <c r="F21" s="4138" t="n"/>
      <c r="G21" s="4138" t="n"/>
      <c r="H21" s="4138" t="n"/>
      <c r="I21" s="4138" t="n"/>
      <c r="J21" s="4138" t="n"/>
      <c r="K21" s="4138" t="n"/>
      <c r="L21" s="4198" t="n"/>
      <c r="M21" s="1304" t="inlineStr">
        <is>
          <t>サービス種別</t>
        </is>
      </c>
      <c r="N21" s="4138" t="n"/>
      <c r="O21" s="4138" t="n"/>
      <c r="P21" s="4138" t="n"/>
      <c r="Q21" s="4138" t="n"/>
      <c r="R21" s="4138" t="n"/>
      <c r="S21" s="4138" t="n"/>
      <c r="T21" s="4138" t="n"/>
      <c r="U21" s="4138" t="n"/>
      <c r="V21" s="4138" t="n"/>
      <c r="W21" s="4138" t="n"/>
      <c r="X21" s="4198" t="n"/>
      <c r="Y21" s="1305" t="inlineStr">
        <is>
          <t>職　　　種</t>
        </is>
      </c>
      <c r="Z21" s="4138" t="n"/>
      <c r="AA21" s="4138" t="n"/>
      <c r="AB21" s="4138" t="n"/>
      <c r="AC21" s="4138" t="n"/>
      <c r="AD21" s="4138" t="n"/>
      <c r="AE21" s="4138" t="n"/>
      <c r="AF21" s="4138" t="n"/>
      <c r="AG21" s="4138" t="n"/>
      <c r="AH21" s="4198" t="n"/>
    </row>
    <row r="22" ht="15" customHeight="1" s="4080">
      <c r="A22" s="4097" t="n"/>
      <c r="B22" s="4107" t="n"/>
      <c r="C22" s="1347" t="n"/>
      <c r="D22" s="4098" t="n"/>
      <c r="E22" s="4098" t="n"/>
      <c r="F22" s="4098" t="n"/>
      <c r="G22" s="4098" t="n"/>
      <c r="H22" s="4098" t="n"/>
      <c r="I22" s="4098" t="n"/>
      <c r="J22" s="4098" t="n"/>
      <c r="K22" s="4098" t="n"/>
      <c r="L22" s="4190" t="n"/>
      <c r="M22" s="1348" t="n"/>
      <c r="N22" s="4098" t="n"/>
      <c r="O22" s="4098" t="n"/>
      <c r="P22" s="4098" t="n"/>
      <c r="Q22" s="4098" t="n"/>
      <c r="R22" s="4098" t="n"/>
      <c r="S22" s="4098" t="n"/>
      <c r="T22" s="4098" t="n"/>
      <c r="U22" s="4098" t="n"/>
      <c r="V22" s="4098" t="n"/>
      <c r="W22" s="4098" t="n"/>
      <c r="X22" s="4190" t="n"/>
      <c r="Y22" s="1349" t="n"/>
      <c r="Z22" s="4098" t="n"/>
      <c r="AA22" s="4098" t="n"/>
      <c r="AB22" s="4098" t="n"/>
      <c r="AC22" s="4098" t="n"/>
      <c r="AD22" s="4098" t="n"/>
      <c r="AE22" s="4098" t="n"/>
      <c r="AF22" s="4098" t="n"/>
      <c r="AG22" s="4098" t="n"/>
      <c r="AH22" s="4190" t="n"/>
    </row>
    <row r="23" ht="15" customHeight="1" s="4080">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1" t="n"/>
      <c r="Z23" s="4199" t="n"/>
      <c r="AA23" s="4199" t="n"/>
      <c r="AB23" s="4199" t="n"/>
      <c r="AC23" s="4199" t="n"/>
      <c r="AD23" s="4199" t="n"/>
      <c r="AE23" s="4199" t="n"/>
      <c r="AF23" s="4199" t="n"/>
      <c r="AG23" s="4199" t="n"/>
      <c r="AH23" s="4200" t="n"/>
    </row>
    <row r="24" ht="15" customHeight="1" s="4080">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1" t="n"/>
      <c r="Z24" s="4199" t="n"/>
      <c r="AA24" s="4199" t="n"/>
      <c r="AB24" s="4199" t="n"/>
      <c r="AC24" s="4199" t="n"/>
      <c r="AD24" s="4199" t="n"/>
      <c r="AE24" s="4199" t="n"/>
      <c r="AF24" s="4199" t="n"/>
      <c r="AG24" s="4199" t="n"/>
      <c r="AH24" s="4200" t="n"/>
    </row>
    <row r="25" ht="15" customHeight="1" s="4080">
      <c r="A25" s="4097" t="n"/>
      <c r="B25" s="4107" t="n"/>
      <c r="C25" s="1343" t="n"/>
      <c r="D25" s="4146" t="n"/>
      <c r="E25" s="4146" t="n"/>
      <c r="F25" s="4146" t="n"/>
      <c r="G25" s="4146" t="n"/>
      <c r="H25" s="4146" t="n"/>
      <c r="I25" s="4146" t="n"/>
      <c r="J25" s="4146" t="n"/>
      <c r="K25" s="4146" t="n"/>
      <c r="L25" s="4201" t="n"/>
      <c r="M25" s="1344" t="n"/>
      <c r="N25" s="4146" t="n"/>
      <c r="O25" s="4146" t="n"/>
      <c r="P25" s="4146" t="n"/>
      <c r="Q25" s="4146" t="n"/>
      <c r="R25" s="4146" t="n"/>
      <c r="S25" s="4146" t="n"/>
      <c r="T25" s="4146" t="n"/>
      <c r="U25" s="4146" t="n"/>
      <c r="V25" s="4146" t="n"/>
      <c r="W25" s="4146" t="n"/>
      <c r="X25" s="4201" t="n"/>
      <c r="Y25" s="1345" t="n"/>
      <c r="Z25" s="4146" t="n"/>
      <c r="AA25" s="4146" t="n"/>
      <c r="AB25" s="4146" t="n"/>
      <c r="AC25" s="4146" t="n"/>
      <c r="AD25" s="4146" t="n"/>
      <c r="AE25" s="4146" t="n"/>
      <c r="AF25" s="4146" t="n"/>
      <c r="AG25" s="4146" t="n"/>
      <c r="AH25" s="4201" t="n"/>
    </row>
    <row r="26" ht="14.1" customHeight="1" s="4080" thickBot="1">
      <c r="A26" s="4573" t="inlineStr">
        <is>
          <t>職　員　の　職　種　・　員　数</t>
        </is>
      </c>
      <c r="B26" s="4099" t="n"/>
      <c r="C26" s="4362" t="inlineStr">
        <is>
          <t xml:space="preserve">　　　　　　　　　職種・勤務形態
常勤・非常勤の別</t>
        </is>
      </c>
      <c r="D26" s="4098" t="n"/>
      <c r="E26" s="4098" t="n"/>
      <c r="F26" s="4098" t="n"/>
      <c r="G26" s="4098" t="n"/>
      <c r="H26" s="4098" t="n"/>
      <c r="I26" s="4098" t="n"/>
      <c r="J26" s="4099" t="n"/>
      <c r="K26" s="4403" t="inlineStr">
        <is>
          <t>サービス管理責任者</t>
        </is>
      </c>
      <c r="L26" s="4110" t="n"/>
      <c r="M26" s="4110" t="n"/>
      <c r="N26" s="4110" t="n"/>
      <c r="O26" s="4110" t="n"/>
      <c r="P26" s="4111" t="n"/>
      <c r="Q26" s="4440" t="inlineStr">
        <is>
          <t>医師</t>
        </is>
      </c>
      <c r="R26" s="4110" t="n"/>
      <c r="S26" s="4110" t="n"/>
      <c r="T26" s="4110" t="n"/>
      <c r="U26" s="4110" t="n"/>
      <c r="V26" s="4111" t="n"/>
      <c r="W26" s="4440" t="inlineStr">
        <is>
          <t>心理判定員</t>
        </is>
      </c>
      <c r="X26" s="4110" t="n"/>
      <c r="Y26" s="4110" t="n"/>
      <c r="Z26" s="4110" t="n"/>
      <c r="AA26" s="4110" t="n"/>
      <c r="AB26" s="4111" t="n"/>
      <c r="AC26" s="4441" t="inlineStr">
        <is>
          <t>職能判定員</t>
        </is>
      </c>
      <c r="AD26" s="4110" t="n"/>
      <c r="AE26" s="4110" t="n"/>
      <c r="AF26" s="4110" t="n"/>
      <c r="AG26" s="4110" t="n"/>
      <c r="AH26" s="4113" t="n"/>
    </row>
    <row r="27" ht="14.1" customHeight="1" s="4080" thickBot="1">
      <c r="A27" s="4097" t="n"/>
      <c r="B27" s="4107" t="n"/>
      <c r="C27" s="4102" t="n"/>
      <c r="D27" s="4103" t="n"/>
      <c r="E27" s="4103" t="n"/>
      <c r="F27" s="4103" t="n"/>
      <c r="G27" s="4103" t="n"/>
      <c r="H27" s="4103" t="n"/>
      <c r="I27" s="4103" t="n"/>
      <c r="J27" s="4104" t="n"/>
      <c r="K27" s="1617" t="inlineStr">
        <is>
          <t>専従</t>
        </is>
      </c>
      <c r="L27" s="4110" t="n"/>
      <c r="M27" s="4189" t="n"/>
      <c r="N27" s="1603" t="inlineStr">
        <is>
          <t>兼務</t>
        </is>
      </c>
      <c r="O27" s="4110" t="n"/>
      <c r="P27" s="4189" t="n"/>
      <c r="Q27" s="1617" t="inlineStr">
        <is>
          <t>専従</t>
        </is>
      </c>
      <c r="R27" s="4110" t="n"/>
      <c r="S27" s="4189" t="n"/>
      <c r="T27" s="1603" t="inlineStr">
        <is>
          <t>兼務</t>
        </is>
      </c>
      <c r="U27" s="4110" t="n"/>
      <c r="V27" s="4189" t="n"/>
      <c r="W27" s="1617" t="inlineStr">
        <is>
          <t>専従</t>
        </is>
      </c>
      <c r="X27" s="4110" t="n"/>
      <c r="Y27" s="4189" t="n"/>
      <c r="Z27" s="1603" t="inlineStr">
        <is>
          <t>兼務</t>
        </is>
      </c>
      <c r="AA27" s="4110" t="n"/>
      <c r="AB27" s="4189" t="n"/>
      <c r="AC27" s="1617" t="inlineStr">
        <is>
          <t>専従</t>
        </is>
      </c>
      <c r="AD27" s="4110" t="n"/>
      <c r="AE27" s="4189" t="n"/>
      <c r="AF27" s="1603" t="inlineStr">
        <is>
          <t>兼務</t>
        </is>
      </c>
      <c r="AG27" s="4110" t="n"/>
      <c r="AH27" s="4189" t="n"/>
    </row>
    <row r="28" ht="12" customHeight="1" s="4080" thickBot="1">
      <c r="A28" s="4097" t="n"/>
      <c r="B28" s="4107" t="n"/>
      <c r="C28" s="1268" t="inlineStr">
        <is>
          <t>常　　　　　勤（人）</t>
        </is>
      </c>
      <c r="D28" s="4110" t="n"/>
      <c r="E28" s="4110" t="n"/>
      <c r="F28" s="4110" t="n"/>
      <c r="G28" s="4110" t="n"/>
      <c r="H28" s="4110" t="n"/>
      <c r="I28" s="4110" t="n"/>
      <c r="J28" s="4111" t="n"/>
      <c r="K28" s="1487" t="n"/>
      <c r="L28" s="4110" t="n"/>
      <c r="M28" s="4189" t="n"/>
      <c r="N28" s="1488" t="n"/>
      <c r="O28" s="4110" t="n"/>
      <c r="P28" s="4189" t="n"/>
      <c r="Q28" s="1487" t="n"/>
      <c r="R28" s="4110" t="n"/>
      <c r="S28" s="4189" t="n"/>
      <c r="T28" s="1488" t="n"/>
      <c r="U28" s="4110" t="n"/>
      <c r="V28" s="4189" t="n"/>
      <c r="W28" s="1487" t="n"/>
      <c r="X28" s="4110" t="n"/>
      <c r="Y28" s="4189" t="n"/>
      <c r="Z28" s="1488" t="n"/>
      <c r="AA28" s="4110" t="n"/>
      <c r="AB28" s="4189" t="n"/>
      <c r="AC28" s="1487" t="n"/>
      <c r="AD28" s="4110" t="n"/>
      <c r="AE28" s="4189" t="n"/>
      <c r="AF28" s="1488" t="n"/>
      <c r="AG28" s="4110" t="n"/>
      <c r="AH28" s="4189" t="n"/>
    </row>
    <row r="29" ht="12" customHeight="1" s="4080" thickBot="1">
      <c r="A29" s="4097" t="n"/>
      <c r="B29" s="4107" t="n"/>
      <c r="C29" s="1286" t="inlineStr">
        <is>
          <t>非　　常　　勤（人）</t>
        </is>
      </c>
      <c r="D29" s="4103" t="n"/>
      <c r="E29" s="4103" t="n"/>
      <c r="F29" s="4103" t="n"/>
      <c r="G29" s="4103" t="n"/>
      <c r="H29" s="4103" t="n"/>
      <c r="I29" s="4103" t="n"/>
      <c r="J29" s="4104" t="n"/>
      <c r="K29" s="1487" t="n"/>
      <c r="L29" s="4110" t="n"/>
      <c r="M29" s="4189" t="n"/>
      <c r="N29" s="1488" t="n"/>
      <c r="O29" s="4110" t="n"/>
      <c r="P29" s="4189" t="n"/>
      <c r="Q29" s="1487" t="n"/>
      <c r="R29" s="4110" t="n"/>
      <c r="S29" s="4189" t="n"/>
      <c r="T29" s="1488" t="n"/>
      <c r="U29" s="4110" t="n"/>
      <c r="V29" s="4189" t="n"/>
      <c r="W29" s="1487" t="n"/>
      <c r="X29" s="4110" t="n"/>
      <c r="Y29" s="4189" t="n"/>
      <c r="Z29" s="1488" t="n"/>
      <c r="AA29" s="4110" t="n"/>
      <c r="AB29" s="4189" t="n"/>
      <c r="AC29" s="1487" t="n"/>
      <c r="AD29" s="4110" t="n"/>
      <c r="AE29" s="4189" t="n"/>
      <c r="AF29" s="1488" t="n"/>
      <c r="AG29" s="4110" t="n"/>
      <c r="AH29" s="4189" t="n"/>
    </row>
    <row r="30" ht="14.1" customHeight="1" s="4080" thickBot="1">
      <c r="A30" s="4097" t="n"/>
      <c r="B30" s="4107" t="n"/>
      <c r="C30" s="1268" t="inlineStr">
        <is>
          <t>常勤換算後の人数（人）</t>
        </is>
      </c>
      <c r="D30" s="4110" t="n"/>
      <c r="E30" s="4110" t="n"/>
      <c r="F30" s="4110" t="n"/>
      <c r="G30" s="4110" t="n"/>
      <c r="H30" s="4110" t="n"/>
      <c r="I30" s="4110" t="n"/>
      <c r="J30" s="4111" t="n"/>
      <c r="K30" s="4695" t="n"/>
      <c r="L30" s="4110" t="n"/>
      <c r="M30" s="4110" t="n"/>
      <c r="N30" s="4110" t="n"/>
      <c r="O30" s="4110" t="n"/>
      <c r="P30" s="4111" t="n"/>
      <c r="Q30" s="4695" t="n"/>
      <c r="R30" s="4110" t="n"/>
      <c r="S30" s="4110" t="n"/>
      <c r="T30" s="4110" t="n"/>
      <c r="U30" s="4110" t="n"/>
      <c r="V30" s="4111" t="n"/>
      <c r="W30" s="4695" t="n"/>
      <c r="X30" s="4110" t="n"/>
      <c r="Y30" s="4110" t="n"/>
      <c r="Z30" s="4110" t="n"/>
      <c r="AA30" s="4110" t="n"/>
      <c r="AB30" s="4111" t="n"/>
      <c r="AC30" s="4696" t="n"/>
      <c r="AD30" s="4110" t="n"/>
      <c r="AE30" s="4110" t="n"/>
      <c r="AF30" s="4110" t="n"/>
      <c r="AG30" s="4110" t="n"/>
      <c r="AH30" s="4113" t="n"/>
    </row>
    <row r="31" ht="14.1" customHeight="1" s="4080" thickBot="1">
      <c r="A31" s="4097" t="n"/>
      <c r="B31" s="4107" t="n"/>
      <c r="C31" s="4362" t="inlineStr">
        <is>
          <t xml:space="preserve">　　　　　　　　　職種・勤務形態
常勤・非常勤の別</t>
        </is>
      </c>
      <c r="D31" s="4098" t="n"/>
      <c r="E31" s="4098" t="n"/>
      <c r="F31" s="4098" t="n"/>
      <c r="G31" s="4098" t="n"/>
      <c r="H31" s="4098" t="n"/>
      <c r="I31" s="4098" t="n"/>
      <c r="J31" s="4099" t="n"/>
      <c r="K31" s="4441" t="inlineStr">
        <is>
          <t>看　　　　　　　護　　　　　　　職　　　　　　　員</t>
        </is>
      </c>
      <c r="L31" s="4110" t="n"/>
      <c r="M31" s="4110" t="n"/>
      <c r="N31" s="4110" t="n"/>
      <c r="O31" s="4110" t="n"/>
      <c r="P31" s="4110" t="n"/>
      <c r="Q31" s="4110" t="n"/>
      <c r="R31" s="4110" t="n"/>
      <c r="S31" s="4110" t="n"/>
      <c r="T31" s="4110" t="n"/>
      <c r="U31" s="4110" t="n"/>
      <c r="V31" s="4110" t="n"/>
      <c r="W31" s="4110" t="n"/>
      <c r="X31" s="4110" t="n"/>
      <c r="Y31" s="4110" t="n"/>
      <c r="Z31" s="4110" t="n"/>
      <c r="AA31" s="4110" t="n"/>
      <c r="AB31" s="4110" t="n"/>
      <c r="AC31" s="4110" t="n"/>
      <c r="AD31" s="4110" t="n"/>
      <c r="AE31" s="4110" t="n"/>
      <c r="AF31" s="4110" t="n"/>
      <c r="AG31" s="4110" t="n"/>
      <c r="AH31" s="4113" t="n"/>
    </row>
    <row r="32" ht="14.1" customHeight="1" s="4080" thickBot="1">
      <c r="A32" s="4097" t="n"/>
      <c r="B32" s="4107" t="n"/>
      <c r="C32" s="4106" t="n"/>
      <c r="J32" s="4107" t="n"/>
      <c r="K32" s="4440" t="inlineStr">
        <is>
          <t>保健師</t>
        </is>
      </c>
      <c r="L32" s="4110" t="n"/>
      <c r="M32" s="4110" t="n"/>
      <c r="N32" s="4110" t="n"/>
      <c r="O32" s="4110" t="n"/>
      <c r="P32" s="4111" t="n"/>
      <c r="Q32" s="4440" t="inlineStr">
        <is>
          <t>看護師</t>
        </is>
      </c>
      <c r="R32" s="4110" t="n"/>
      <c r="S32" s="4110" t="n"/>
      <c r="T32" s="4110" t="n"/>
      <c r="U32" s="4110" t="n"/>
      <c r="V32" s="4111" t="n"/>
      <c r="W32" s="4440" t="inlineStr">
        <is>
          <t>准看護師</t>
        </is>
      </c>
      <c r="X32" s="4110" t="n"/>
      <c r="Y32" s="4110" t="n"/>
      <c r="Z32" s="4110" t="n"/>
      <c r="AA32" s="4110" t="n"/>
      <c r="AB32" s="4111" t="n"/>
      <c r="AC32" s="4441" t="inlineStr">
        <is>
          <t>看護職員計</t>
        </is>
      </c>
      <c r="AD32" s="4110" t="n"/>
      <c r="AE32" s="4110" t="n"/>
      <c r="AF32" s="4110" t="n"/>
      <c r="AG32" s="4110" t="n"/>
      <c r="AH32" s="4113" t="n"/>
    </row>
    <row r="33" ht="14.1" customHeight="1" s="4080" thickBot="1">
      <c r="A33" s="4097" t="n"/>
      <c r="B33" s="4107" t="n"/>
      <c r="C33" s="4102" t="n"/>
      <c r="D33" s="4103" t="n"/>
      <c r="E33" s="4103" t="n"/>
      <c r="F33" s="4103" t="n"/>
      <c r="G33" s="4103" t="n"/>
      <c r="H33" s="4103" t="n"/>
      <c r="I33" s="4103" t="n"/>
      <c r="J33" s="4104" t="n"/>
      <c r="K33" s="1617" t="inlineStr">
        <is>
          <t>専従</t>
        </is>
      </c>
      <c r="L33" s="4110" t="n"/>
      <c r="M33" s="4189" t="n"/>
      <c r="N33" s="1603" t="inlineStr">
        <is>
          <t>兼務</t>
        </is>
      </c>
      <c r="O33" s="4110" t="n"/>
      <c r="P33" s="4189" t="n"/>
      <c r="Q33" s="1617" t="inlineStr">
        <is>
          <t>専従</t>
        </is>
      </c>
      <c r="R33" s="4110" t="n"/>
      <c r="S33" s="4189" t="n"/>
      <c r="T33" s="1603" t="inlineStr">
        <is>
          <t>兼務</t>
        </is>
      </c>
      <c r="U33" s="4110" t="n"/>
      <c r="V33" s="4189" t="n"/>
      <c r="W33" s="1617" t="inlineStr">
        <is>
          <t>専従</t>
        </is>
      </c>
      <c r="X33" s="4110" t="n"/>
      <c r="Y33" s="4189" t="n"/>
      <c r="Z33" s="1603" t="inlineStr">
        <is>
          <t>兼務</t>
        </is>
      </c>
      <c r="AA33" s="4110" t="n"/>
      <c r="AB33" s="4189" t="n"/>
      <c r="AC33" s="1617" t="inlineStr">
        <is>
          <t>専従</t>
        </is>
      </c>
      <c r="AD33" s="4110" t="n"/>
      <c r="AE33" s="4189" t="n"/>
      <c r="AF33" s="1603" t="inlineStr">
        <is>
          <t>兼務</t>
        </is>
      </c>
      <c r="AG33" s="4110" t="n"/>
      <c r="AH33" s="4189" t="n"/>
    </row>
    <row r="34" ht="12" customHeight="1" s="4080" thickBot="1">
      <c r="A34" s="4097" t="n"/>
      <c r="B34" s="4107" t="n"/>
      <c r="C34" s="1268" t="inlineStr">
        <is>
          <t>常　　　　　勤（人）</t>
        </is>
      </c>
      <c r="D34" s="4110" t="n"/>
      <c r="E34" s="4110" t="n"/>
      <c r="F34" s="4110" t="n"/>
      <c r="G34" s="4110" t="n"/>
      <c r="H34" s="4110" t="n"/>
      <c r="I34" s="4110" t="n"/>
      <c r="J34" s="4111" t="n"/>
      <c r="K34" s="4697" t="n"/>
      <c r="L34" s="4110" t="n"/>
      <c r="M34" s="4189" t="n"/>
      <c r="N34" s="4698" t="n"/>
      <c r="O34" s="4110" t="n"/>
      <c r="P34" s="4189" t="n"/>
      <c r="Q34" s="4697" t="n"/>
      <c r="R34" s="4110" t="n"/>
      <c r="S34" s="4189" t="n"/>
      <c r="T34" s="4698" t="n"/>
      <c r="U34" s="4110" t="n"/>
      <c r="V34" s="4189" t="n"/>
      <c r="W34" s="4697" t="n"/>
      <c r="X34" s="4110" t="n"/>
      <c r="Y34" s="4189" t="n"/>
      <c r="Z34" s="4698" t="n"/>
      <c r="AA34" s="4110" t="n"/>
      <c r="AB34" s="4189" t="n"/>
      <c r="AC34" s="4697">
        <f>+W34+Q34+K34</f>
        <v/>
      </c>
      <c r="AD34" s="4110" t="n"/>
      <c r="AE34" s="4189" t="n"/>
      <c r="AF34" s="4698">
        <f>+Z34+T34+N34</f>
        <v/>
      </c>
      <c r="AG34" s="4110" t="n"/>
      <c r="AH34" s="4189" t="n"/>
    </row>
    <row r="35" ht="12" customHeight="1" s="4080" thickBot="1">
      <c r="A35" s="4097" t="n"/>
      <c r="B35" s="4107" t="n"/>
      <c r="C35" s="1286" t="inlineStr">
        <is>
          <t>非　　常　　勤（人）</t>
        </is>
      </c>
      <c r="D35" s="4103" t="n"/>
      <c r="E35" s="4103" t="n"/>
      <c r="F35" s="4103" t="n"/>
      <c r="G35" s="4103" t="n"/>
      <c r="H35" s="4103" t="n"/>
      <c r="I35" s="4103" t="n"/>
      <c r="J35" s="4104" t="n"/>
      <c r="K35" s="4697" t="n"/>
      <c r="L35" s="4110" t="n"/>
      <c r="M35" s="4189" t="n"/>
      <c r="N35" s="4698" t="n"/>
      <c r="O35" s="4110" t="n"/>
      <c r="P35" s="4189" t="n"/>
      <c r="Q35" s="4697" t="n"/>
      <c r="R35" s="4110" t="n"/>
      <c r="S35" s="4189" t="n"/>
      <c r="T35" s="4698" t="n"/>
      <c r="U35" s="4110" t="n"/>
      <c r="V35" s="4189" t="n"/>
      <c r="W35" s="4697" t="n"/>
      <c r="X35" s="4110" t="n"/>
      <c r="Y35" s="4189" t="n"/>
      <c r="Z35" s="4698" t="n"/>
      <c r="AA35" s="4110" t="n"/>
      <c r="AB35" s="4189" t="n"/>
      <c r="AC35" s="4697">
        <f>+W35+Q35+K35</f>
        <v/>
      </c>
      <c r="AD35" s="4110" t="n"/>
      <c r="AE35" s="4189" t="n"/>
      <c r="AF35" s="4698">
        <f>+Z35+T35+N35</f>
        <v/>
      </c>
      <c r="AG35" s="4110" t="n"/>
      <c r="AH35" s="4189" t="n"/>
    </row>
    <row r="36" ht="14.1" customHeight="1" s="4080" thickBot="1">
      <c r="A36" s="4097" t="n"/>
      <c r="B36" s="4107" t="n"/>
      <c r="C36" s="1268" t="inlineStr">
        <is>
          <t>常勤換算後の人数（人）</t>
        </is>
      </c>
      <c r="D36" s="4110" t="n"/>
      <c r="E36" s="4110" t="n"/>
      <c r="F36" s="4110" t="n"/>
      <c r="G36" s="4110" t="n"/>
      <c r="H36" s="4110" t="n"/>
      <c r="I36" s="4110" t="n"/>
      <c r="J36" s="4111" t="n"/>
      <c r="K36" s="4695" t="n"/>
      <c r="L36" s="4110" t="n"/>
      <c r="M36" s="4110" t="n"/>
      <c r="N36" s="4110" t="n"/>
      <c r="O36" s="4110" t="n"/>
      <c r="P36" s="4111" t="n"/>
      <c r="Q36" s="4695" t="n"/>
      <c r="R36" s="4110" t="n"/>
      <c r="S36" s="4110" t="n"/>
      <c r="T36" s="4110" t="n"/>
      <c r="U36" s="4110" t="n"/>
      <c r="V36" s="4111" t="n"/>
      <c r="W36" s="4695" t="n"/>
      <c r="X36" s="4110" t="n"/>
      <c r="Y36" s="4110" t="n"/>
      <c r="Z36" s="4110" t="n"/>
      <c r="AA36" s="4110" t="n"/>
      <c r="AB36" s="4111" t="n"/>
      <c r="AC36" s="4696">
        <f>+W36+Q36+K36</f>
        <v/>
      </c>
      <c r="AD36" s="4110" t="n"/>
      <c r="AE36" s="4110" t="n"/>
      <c r="AF36" s="4110" t="n"/>
      <c r="AG36" s="4110" t="n"/>
      <c r="AH36" s="4113" t="n"/>
    </row>
    <row r="37" ht="14.1" customHeight="1" s="4080" thickBot="1">
      <c r="A37" s="4097" t="n"/>
      <c r="B37" s="4107" t="n"/>
      <c r="C37" s="4362" t="inlineStr">
        <is>
          <t xml:space="preserve">　　　　　　　　　職種・勤務形態
常勤・非常勤の別</t>
        </is>
      </c>
      <c r="D37" s="4098" t="n"/>
      <c r="E37" s="4098" t="n"/>
      <c r="F37" s="4098" t="n"/>
      <c r="G37" s="4098" t="n"/>
      <c r="H37" s="4098" t="n"/>
      <c r="I37" s="4098" t="n"/>
      <c r="J37" s="4099" t="n"/>
      <c r="K37" s="4441" t="inlineStr">
        <is>
          <t>理　　　　学　　　　療　　　　法　　　　士　　　　等</t>
        </is>
      </c>
      <c r="L37" s="4110" t="n"/>
      <c r="M37" s="4110" t="n"/>
      <c r="N37" s="4110" t="n"/>
      <c r="O37" s="4110" t="n"/>
      <c r="P37" s="4110" t="n"/>
      <c r="Q37" s="4110" t="n"/>
      <c r="R37" s="4110" t="n"/>
      <c r="S37" s="4110" t="n"/>
      <c r="T37" s="4110" t="n"/>
      <c r="U37" s="4110" t="n"/>
      <c r="V37" s="4110" t="n"/>
      <c r="W37" s="4110" t="n"/>
      <c r="X37" s="4110" t="n"/>
      <c r="Y37" s="4110" t="n"/>
      <c r="Z37" s="4110" t="n"/>
      <c r="AA37" s="4110" t="n"/>
      <c r="AB37" s="4110" t="n"/>
      <c r="AC37" s="4110" t="n"/>
      <c r="AD37" s="4110" t="n"/>
      <c r="AE37" s="4110" t="n"/>
      <c r="AF37" s="4110" t="n"/>
      <c r="AG37" s="4110" t="n"/>
      <c r="AH37" s="4113" t="n"/>
    </row>
    <row r="38" ht="14.1" customHeight="1" s="4080" thickBot="1">
      <c r="A38" s="4097" t="n"/>
      <c r="B38" s="4107" t="n"/>
      <c r="C38" s="4106" t="n"/>
      <c r="J38" s="4107" t="n"/>
      <c r="K38" s="4440" t="inlineStr">
        <is>
          <t>理学療法士</t>
        </is>
      </c>
      <c r="L38" s="4110" t="n"/>
      <c r="M38" s="4110" t="n"/>
      <c r="N38" s="4110" t="n"/>
      <c r="O38" s="4110" t="n"/>
      <c r="P38" s="4111" t="n"/>
      <c r="Q38" s="4440" t="inlineStr">
        <is>
          <t>作業療法士</t>
        </is>
      </c>
      <c r="R38" s="4110" t="n"/>
      <c r="S38" s="4110" t="n"/>
      <c r="T38" s="4110" t="n"/>
      <c r="U38" s="4110" t="n"/>
      <c r="V38" s="4111" t="n"/>
      <c r="W38" s="4440" t="inlineStr">
        <is>
          <t>機能訓練指導員</t>
        </is>
      </c>
      <c r="X38" s="4110" t="n"/>
      <c r="Y38" s="4110" t="n"/>
      <c r="Z38" s="4110" t="n"/>
      <c r="AA38" s="4110" t="n"/>
      <c r="AB38" s="4111" t="n"/>
      <c r="AC38" s="4441" t="inlineStr">
        <is>
          <t>理学療法士等計</t>
        </is>
      </c>
      <c r="AD38" s="4110" t="n"/>
      <c r="AE38" s="4110" t="n"/>
      <c r="AF38" s="4110" t="n"/>
      <c r="AG38" s="4110" t="n"/>
      <c r="AH38" s="4113" t="n"/>
    </row>
    <row r="39" ht="14.1" customHeight="1" s="4080" thickBot="1">
      <c r="A39" s="4097" t="n"/>
      <c r="B39" s="4107" t="n"/>
      <c r="C39" s="4102" t="n"/>
      <c r="D39" s="4103" t="n"/>
      <c r="E39" s="4103" t="n"/>
      <c r="F39" s="4103" t="n"/>
      <c r="G39" s="4103" t="n"/>
      <c r="H39" s="4103" t="n"/>
      <c r="I39" s="4103" t="n"/>
      <c r="J39" s="4104" t="n"/>
      <c r="K39" s="1617" t="inlineStr">
        <is>
          <t>専従</t>
        </is>
      </c>
      <c r="L39" s="4110" t="n"/>
      <c r="M39" s="4189" t="n"/>
      <c r="N39" s="1603" t="inlineStr">
        <is>
          <t>兼務</t>
        </is>
      </c>
      <c r="O39" s="4110" t="n"/>
      <c r="P39" s="4189" t="n"/>
      <c r="Q39" s="1617" t="inlineStr">
        <is>
          <t>専従</t>
        </is>
      </c>
      <c r="R39" s="4110" t="n"/>
      <c r="S39" s="4189" t="n"/>
      <c r="T39" s="1603" t="inlineStr">
        <is>
          <t>兼務</t>
        </is>
      </c>
      <c r="U39" s="4110" t="n"/>
      <c r="V39" s="4189" t="n"/>
      <c r="W39" s="1617" t="inlineStr">
        <is>
          <t>専従</t>
        </is>
      </c>
      <c r="X39" s="4110" t="n"/>
      <c r="Y39" s="4189" t="n"/>
      <c r="Z39" s="1603" t="inlineStr">
        <is>
          <t>兼務</t>
        </is>
      </c>
      <c r="AA39" s="4110" t="n"/>
      <c r="AB39" s="4189" t="n"/>
      <c r="AC39" s="1617" t="inlineStr">
        <is>
          <t>専従</t>
        </is>
      </c>
      <c r="AD39" s="4110" t="n"/>
      <c r="AE39" s="4189" t="n"/>
      <c r="AF39" s="1603" t="inlineStr">
        <is>
          <t>兼務</t>
        </is>
      </c>
      <c r="AG39" s="4110" t="n"/>
      <c r="AH39" s="4189" t="n"/>
    </row>
    <row r="40" ht="12" customHeight="1" s="4080" thickBot="1">
      <c r="A40" s="4097" t="n"/>
      <c r="B40" s="4107" t="n"/>
      <c r="C40" s="1268" t="inlineStr">
        <is>
          <t>常　　　　　勤（人）</t>
        </is>
      </c>
      <c r="D40" s="4110" t="n"/>
      <c r="E40" s="4110" t="n"/>
      <c r="F40" s="4110" t="n"/>
      <c r="G40" s="4110" t="n"/>
      <c r="H40" s="4110" t="n"/>
      <c r="I40" s="4110" t="n"/>
      <c r="J40" s="4111" t="n"/>
      <c r="K40" s="4697" t="n"/>
      <c r="L40" s="4110" t="n"/>
      <c r="M40" s="4189" t="n"/>
      <c r="N40" s="4698" t="n"/>
      <c r="O40" s="4110" t="n"/>
      <c r="P40" s="4189" t="n"/>
      <c r="Q40" s="4697" t="n"/>
      <c r="R40" s="4110" t="n"/>
      <c r="S40" s="4189" t="n"/>
      <c r="T40" s="4698" t="n"/>
      <c r="U40" s="4110" t="n"/>
      <c r="V40" s="4189" t="n"/>
      <c r="W40" s="4697" t="n"/>
      <c r="X40" s="4110" t="n"/>
      <c r="Y40" s="4189" t="n"/>
      <c r="Z40" s="4698" t="n"/>
      <c r="AA40" s="4110" t="n"/>
      <c r="AB40" s="4189" t="n"/>
      <c r="AC40" s="4697">
        <f>+W40+Q40+K40</f>
        <v/>
      </c>
      <c r="AD40" s="4110" t="n"/>
      <c r="AE40" s="4189" t="n"/>
      <c r="AF40" s="4698">
        <f>+Z40+T40+N40</f>
        <v/>
      </c>
      <c r="AG40" s="4110" t="n"/>
      <c r="AH40" s="4189" t="n"/>
    </row>
    <row r="41" ht="12" customHeight="1" s="4080" thickBot="1">
      <c r="A41" s="4097" t="n"/>
      <c r="B41" s="4107" t="n"/>
      <c r="C41" s="1286" t="inlineStr">
        <is>
          <t>非　　常　　勤（人）</t>
        </is>
      </c>
      <c r="D41" s="4103" t="n"/>
      <c r="E41" s="4103" t="n"/>
      <c r="F41" s="4103" t="n"/>
      <c r="G41" s="4103" t="n"/>
      <c r="H41" s="4103" t="n"/>
      <c r="I41" s="4103" t="n"/>
      <c r="J41" s="4104" t="n"/>
      <c r="K41" s="4697" t="n"/>
      <c r="L41" s="4110" t="n"/>
      <c r="M41" s="4189" t="n"/>
      <c r="N41" s="4698" t="n"/>
      <c r="O41" s="4110" t="n"/>
      <c r="P41" s="4189" t="n"/>
      <c r="Q41" s="4697" t="n"/>
      <c r="R41" s="4110" t="n"/>
      <c r="S41" s="4189" t="n"/>
      <c r="T41" s="4698" t="n"/>
      <c r="U41" s="4110" t="n"/>
      <c r="V41" s="4189" t="n"/>
      <c r="W41" s="4697" t="n"/>
      <c r="X41" s="4110" t="n"/>
      <c r="Y41" s="4189" t="n"/>
      <c r="Z41" s="4698" t="n"/>
      <c r="AA41" s="4110" t="n"/>
      <c r="AB41" s="4189" t="n"/>
      <c r="AC41" s="4697">
        <f>+W41+Q41+K41</f>
        <v/>
      </c>
      <c r="AD41" s="4110" t="n"/>
      <c r="AE41" s="4189" t="n"/>
      <c r="AF41" s="4698">
        <f>+Z41+T41+N41</f>
        <v/>
      </c>
      <c r="AG41" s="4110" t="n"/>
      <c r="AH41" s="4189" t="n"/>
    </row>
    <row r="42" ht="14.1" customHeight="1" s="4080" thickBot="1">
      <c r="A42" s="4097" t="n"/>
      <c r="B42" s="4107" t="n"/>
      <c r="C42" s="1268" t="inlineStr">
        <is>
          <t>常勤換算後の人数（人）</t>
        </is>
      </c>
      <c r="D42" s="4110" t="n"/>
      <c r="E42" s="4110" t="n"/>
      <c r="F42" s="4110" t="n"/>
      <c r="G42" s="4110" t="n"/>
      <c r="H42" s="4110" t="n"/>
      <c r="I42" s="4110" t="n"/>
      <c r="J42" s="4111" t="n"/>
      <c r="K42" s="4695" t="n"/>
      <c r="L42" s="4110" t="n"/>
      <c r="M42" s="4110" t="n"/>
      <c r="N42" s="4110" t="n"/>
      <c r="O42" s="4110" t="n"/>
      <c r="P42" s="4111" t="n"/>
      <c r="Q42" s="4695" t="n"/>
      <c r="R42" s="4110" t="n"/>
      <c r="S42" s="4110" t="n"/>
      <c r="T42" s="4110" t="n"/>
      <c r="U42" s="4110" t="n"/>
      <c r="V42" s="4111" t="n"/>
      <c r="W42" s="4695" t="n"/>
      <c r="X42" s="4110" t="n"/>
      <c r="Y42" s="4110" t="n"/>
      <c r="Z42" s="4110" t="n"/>
      <c r="AA42" s="4110" t="n"/>
      <c r="AB42" s="4111" t="n"/>
      <c r="AC42" s="4696">
        <f>+W42+Q42+K42</f>
        <v/>
      </c>
      <c r="AD42" s="4110" t="n"/>
      <c r="AE42" s="4110" t="n"/>
      <c r="AF42" s="4110" t="n"/>
      <c r="AG42" s="4110" t="n"/>
      <c r="AH42" s="4113" t="n"/>
    </row>
    <row r="43" ht="14.1" customHeight="1" s="4080" thickBot="1">
      <c r="A43" s="4097" t="n"/>
      <c r="B43" s="4107" t="n"/>
      <c r="C43" s="1803" t="n"/>
      <c r="D43" s="1803" t="n"/>
      <c r="E43" s="1803" t="n"/>
      <c r="F43" s="1803" t="n"/>
      <c r="G43" s="1803" t="n"/>
      <c r="H43" s="1803" t="n"/>
      <c r="I43" s="1803" t="n"/>
      <c r="J43" s="1282" t="n"/>
      <c r="K43" s="4440" t="inlineStr">
        <is>
          <t>生　　　活　　　支　　　援　　　員</t>
        </is>
      </c>
      <c r="L43" s="4110" t="n"/>
      <c r="M43" s="4110" t="n"/>
      <c r="N43" s="4110" t="n"/>
      <c r="O43" s="4110" t="n"/>
      <c r="P43" s="4110" t="n"/>
      <c r="Q43" s="4110" t="n"/>
      <c r="R43" s="4110" t="n"/>
      <c r="S43" s="4110" t="n"/>
      <c r="T43" s="4110" t="n"/>
      <c r="U43" s="4110" t="n"/>
      <c r="V43" s="4110" t="n"/>
      <c r="W43" s="4110" t="n"/>
      <c r="X43" s="4110" t="n"/>
      <c r="Y43" s="4110" t="n"/>
      <c r="Z43" s="4110" t="n"/>
      <c r="AA43" s="4110" t="n"/>
      <c r="AB43" s="4111" t="n"/>
      <c r="AC43" s="4699" t="inlineStr">
        <is>
          <t>就労支援員</t>
        </is>
      </c>
      <c r="AD43" s="4098" t="n"/>
      <c r="AE43" s="4098" t="n"/>
      <c r="AF43" s="4098" t="n"/>
      <c r="AG43" s="4098" t="n"/>
      <c r="AH43" s="4101" t="n"/>
    </row>
    <row r="44" ht="14.1" customHeight="1" s="4080" thickBot="1">
      <c r="A44" s="4097" t="n"/>
      <c r="B44" s="4107" t="n"/>
      <c r="C44" s="4362" t="inlineStr">
        <is>
          <t xml:space="preserve">　　　　　　　　　職種・勤務形態
常勤・非常勤の別</t>
        </is>
      </c>
      <c r="D44" s="4098" t="n"/>
      <c r="E44" s="4098" t="n"/>
      <c r="F44" s="4098" t="n"/>
      <c r="G44" s="4098" t="n"/>
      <c r="H44" s="4098" t="n"/>
      <c r="I44" s="4098" t="n"/>
      <c r="J44" s="4099" t="n"/>
      <c r="K44" s="4440" t="inlineStr">
        <is>
          <t>通所・入所</t>
        </is>
      </c>
      <c r="L44" s="4110" t="n"/>
      <c r="M44" s="4110" t="n"/>
      <c r="N44" s="4110" t="n"/>
      <c r="O44" s="4110" t="n"/>
      <c r="P44" s="4111" t="n"/>
      <c r="Q44" s="4440" t="inlineStr">
        <is>
          <t>訪　　　問</t>
        </is>
      </c>
      <c r="R44" s="4110" t="n"/>
      <c r="S44" s="4110" t="n"/>
      <c r="T44" s="4110" t="n"/>
      <c r="U44" s="4110" t="n"/>
      <c r="V44" s="4111" t="n"/>
      <c r="W44" s="4440" t="inlineStr">
        <is>
          <t>生活支援員計</t>
        </is>
      </c>
      <c r="X44" s="4110" t="n"/>
      <c r="Y44" s="4110" t="n"/>
      <c r="Z44" s="4110" t="n"/>
      <c r="AA44" s="4110" t="n"/>
      <c r="AB44" s="4111" t="n"/>
      <c r="AC44" s="4102" t="n"/>
      <c r="AD44" s="4103" t="n"/>
      <c r="AE44" s="4103" t="n"/>
      <c r="AF44" s="4103" t="n"/>
      <c r="AG44" s="4103" t="n"/>
      <c r="AH44" s="4105" t="n"/>
      <c r="AI44" s="196" t="n"/>
      <c r="AJ44" s="2587" t="n"/>
    </row>
    <row r="45" ht="14.1" customHeight="1" s="4080" thickBot="1">
      <c r="A45" s="4097" t="n"/>
      <c r="B45" s="4107" t="n"/>
      <c r="C45" s="4102" t="n"/>
      <c r="D45" s="4103" t="n"/>
      <c r="E45" s="4103" t="n"/>
      <c r="F45" s="4103" t="n"/>
      <c r="G45" s="4103" t="n"/>
      <c r="H45" s="4103" t="n"/>
      <c r="I45" s="4103" t="n"/>
      <c r="J45" s="4104" t="n"/>
      <c r="K45" s="1617" t="inlineStr">
        <is>
          <t>専従</t>
        </is>
      </c>
      <c r="L45" s="4110" t="n"/>
      <c r="M45" s="4189" t="n"/>
      <c r="N45" s="1603" t="inlineStr">
        <is>
          <t>兼務</t>
        </is>
      </c>
      <c r="O45" s="4110" t="n"/>
      <c r="P45" s="4189" t="n"/>
      <c r="Q45" s="1617" t="inlineStr">
        <is>
          <t>専従</t>
        </is>
      </c>
      <c r="R45" s="4110" t="n"/>
      <c r="S45" s="4189" t="n"/>
      <c r="T45" s="1603" t="inlineStr">
        <is>
          <t>兼務</t>
        </is>
      </c>
      <c r="U45" s="4110" t="n"/>
      <c r="V45" s="4189" t="n"/>
      <c r="W45" s="1617" t="inlineStr">
        <is>
          <t>専従</t>
        </is>
      </c>
      <c r="X45" s="4110" t="n"/>
      <c r="Y45" s="4189" t="n"/>
      <c r="Z45" s="1603" t="inlineStr">
        <is>
          <t>兼務</t>
        </is>
      </c>
      <c r="AA45" s="4110" t="n"/>
      <c r="AB45" s="4189" t="n"/>
      <c r="AC45" s="1617" t="inlineStr">
        <is>
          <t>専従</t>
        </is>
      </c>
      <c r="AD45" s="4110" t="n"/>
      <c r="AE45" s="4189" t="n"/>
      <c r="AF45" s="1603" t="inlineStr">
        <is>
          <t>兼務</t>
        </is>
      </c>
      <c r="AG45" s="4110" t="n"/>
      <c r="AH45" s="4189" t="n"/>
    </row>
    <row r="46" ht="12" customHeight="1" s="4080" thickBot="1">
      <c r="A46" s="4097" t="n"/>
      <c r="B46" s="4107" t="n"/>
      <c r="C46" s="1268" t="inlineStr">
        <is>
          <t>常　　　　　勤（人）</t>
        </is>
      </c>
      <c r="D46" s="4110" t="n"/>
      <c r="E46" s="4110" t="n"/>
      <c r="F46" s="4110" t="n"/>
      <c r="G46" s="4110" t="n"/>
      <c r="H46" s="4110" t="n"/>
      <c r="I46" s="4110" t="n"/>
      <c r="J46" s="4111" t="n"/>
      <c r="K46" s="4697" t="n"/>
      <c r="L46" s="4110" t="n"/>
      <c r="M46" s="4189" t="n"/>
      <c r="N46" s="4698" t="n"/>
      <c r="O46" s="4110" t="n"/>
      <c r="P46" s="4189" t="n"/>
      <c r="Q46" s="4697" t="n"/>
      <c r="R46" s="4110" t="n"/>
      <c r="S46" s="4189" t="n"/>
      <c r="T46" s="4698" t="n"/>
      <c r="U46" s="4110" t="n"/>
      <c r="V46" s="4189" t="n"/>
      <c r="W46" s="4697">
        <f>+Q46+K46</f>
        <v/>
      </c>
      <c r="X46" s="4110" t="n"/>
      <c r="Y46" s="4189" t="n"/>
      <c r="Z46" s="4698">
        <f>+T46+N46</f>
        <v/>
      </c>
      <c r="AA46" s="4110" t="n"/>
      <c r="AB46" s="4189" t="n"/>
      <c r="AC46" s="4697" t="n"/>
      <c r="AD46" s="4110" t="n"/>
      <c r="AE46" s="4189" t="n"/>
      <c r="AF46" s="4698" t="n"/>
      <c r="AG46" s="4110" t="n"/>
      <c r="AH46" s="4189" t="n"/>
    </row>
    <row r="47" ht="12" customHeight="1" s="4080" thickBot="1">
      <c r="A47" s="4097" t="n"/>
      <c r="B47" s="4107" t="n"/>
      <c r="C47" s="1286" t="inlineStr">
        <is>
          <t>非　　常　　勤（人）</t>
        </is>
      </c>
      <c r="D47" s="4103" t="n"/>
      <c r="E47" s="4103" t="n"/>
      <c r="F47" s="4103" t="n"/>
      <c r="G47" s="4103" t="n"/>
      <c r="H47" s="4103" t="n"/>
      <c r="I47" s="4103" t="n"/>
      <c r="J47" s="4104" t="n"/>
      <c r="K47" s="4697" t="n"/>
      <c r="L47" s="4110" t="n"/>
      <c r="M47" s="4189" t="n"/>
      <c r="N47" s="4698" t="n"/>
      <c r="O47" s="4110" t="n"/>
      <c r="P47" s="4189" t="n"/>
      <c r="Q47" s="4697" t="n"/>
      <c r="R47" s="4110" t="n"/>
      <c r="S47" s="4189" t="n"/>
      <c r="T47" s="4698" t="n"/>
      <c r="U47" s="4110" t="n"/>
      <c r="V47" s="4189" t="n"/>
      <c r="W47" s="4697">
        <f>+Q47+K47</f>
        <v/>
      </c>
      <c r="X47" s="4110" t="n"/>
      <c r="Y47" s="4189" t="n"/>
      <c r="Z47" s="4698">
        <f>+T47+N47</f>
        <v/>
      </c>
      <c r="AA47" s="4110" t="n"/>
      <c r="AB47" s="4189" t="n"/>
      <c r="AC47" s="4697" t="n"/>
      <c r="AD47" s="4110" t="n"/>
      <c r="AE47" s="4189" t="n"/>
      <c r="AF47" s="4698" t="n"/>
      <c r="AG47" s="4110" t="n"/>
      <c r="AH47" s="4189" t="n"/>
    </row>
    <row r="48" ht="14.1" customHeight="1" s="4080" thickBot="1">
      <c r="A48" s="4097" t="n"/>
      <c r="B48" s="4107" t="n"/>
      <c r="C48" s="1268" t="inlineStr">
        <is>
          <t>常勤換算後の人数（人）</t>
        </is>
      </c>
      <c r="D48" s="4110" t="n"/>
      <c r="E48" s="4110" t="n"/>
      <c r="F48" s="4110" t="n"/>
      <c r="G48" s="4110" t="n"/>
      <c r="H48" s="4110" t="n"/>
      <c r="I48" s="4110" t="n"/>
      <c r="J48" s="4111" t="n"/>
      <c r="K48" s="4695" t="n"/>
      <c r="L48" s="4110" t="n"/>
      <c r="M48" s="4110" t="n"/>
      <c r="N48" s="4110" t="n"/>
      <c r="O48" s="4110" t="n"/>
      <c r="P48" s="4111" t="n"/>
      <c r="Q48" s="4695" t="n"/>
      <c r="R48" s="4110" t="n"/>
      <c r="S48" s="4110" t="n"/>
      <c r="T48" s="4110" t="n"/>
      <c r="U48" s="4110" t="n"/>
      <c r="V48" s="4111" t="n"/>
      <c r="W48" s="4695">
        <f>+Q48+K48</f>
        <v/>
      </c>
      <c r="X48" s="4110" t="n"/>
      <c r="Y48" s="4110" t="n"/>
      <c r="Z48" s="4110" t="n"/>
      <c r="AA48" s="4110" t="n"/>
      <c r="AB48" s="4111" t="n"/>
      <c r="AC48" s="4696" t="n"/>
      <c r="AD48" s="4110" t="n"/>
      <c r="AE48" s="4110" t="n"/>
      <c r="AF48" s="4110" t="n"/>
      <c r="AG48" s="4110" t="n"/>
      <c r="AH48" s="4113" t="n"/>
    </row>
    <row r="49" ht="14.1" customHeight="1" s="4080" thickBot="1">
      <c r="A49" s="4097" t="n"/>
      <c r="B49" s="4107" t="n"/>
      <c r="C49" s="4362" t="inlineStr">
        <is>
          <t xml:space="preserve">　　　　　　　　　職種・勤務形態
常勤・非常勤の別</t>
        </is>
      </c>
      <c r="D49" s="4098" t="n"/>
      <c r="E49" s="4098" t="n"/>
      <c r="F49" s="4098" t="n"/>
      <c r="G49" s="4098" t="n"/>
      <c r="H49" s="4098" t="n"/>
      <c r="I49" s="4098" t="n"/>
      <c r="J49" s="4099" t="n"/>
      <c r="K49" s="4599" t="n"/>
      <c r="L49" s="4110" t="n"/>
      <c r="M49" s="4110" t="n"/>
      <c r="N49" s="4110" t="n"/>
      <c r="O49" s="4110" t="n"/>
      <c r="P49" s="4111" t="n"/>
      <c r="Q49" s="4599" t="n"/>
      <c r="R49" s="4110" t="n"/>
      <c r="S49" s="4110" t="n"/>
      <c r="T49" s="4110" t="n"/>
      <c r="U49" s="4110" t="n"/>
      <c r="V49" s="4111" t="n"/>
      <c r="W49" s="4599" t="n"/>
      <c r="X49" s="4110" t="n"/>
      <c r="Y49" s="4110" t="n"/>
      <c r="Z49" s="4110" t="n"/>
      <c r="AA49" s="4110" t="n"/>
      <c r="AB49" s="4111" t="n"/>
      <c r="AC49" s="4599" t="n"/>
      <c r="AD49" s="4110" t="n"/>
      <c r="AE49" s="4110" t="n"/>
      <c r="AF49" s="4110" t="n"/>
      <c r="AG49" s="4110" t="n"/>
      <c r="AH49" s="4111" t="n"/>
      <c r="AI49" s="196" t="n"/>
      <c r="AJ49" s="2587" t="n"/>
    </row>
    <row r="50" ht="14.1" customHeight="1" s="4080" thickBot="1">
      <c r="A50" s="4097" t="n"/>
      <c r="B50" s="4107" t="n"/>
      <c r="C50" s="4102" t="n"/>
      <c r="D50" s="4103" t="n"/>
      <c r="E50" s="4103" t="n"/>
      <c r="F50" s="4103" t="n"/>
      <c r="G50" s="4103" t="n"/>
      <c r="H50" s="4103" t="n"/>
      <c r="I50" s="4103" t="n"/>
      <c r="J50" s="4104" t="n"/>
      <c r="K50" s="1617" t="inlineStr">
        <is>
          <t>専従</t>
        </is>
      </c>
      <c r="L50" s="4110" t="n"/>
      <c r="M50" s="4189" t="n"/>
      <c r="N50" s="1603" t="inlineStr">
        <is>
          <t>兼務</t>
        </is>
      </c>
      <c r="O50" s="4110" t="n"/>
      <c r="P50" s="4189" t="n"/>
      <c r="Q50" s="1617" t="inlineStr">
        <is>
          <t>専従</t>
        </is>
      </c>
      <c r="R50" s="4110" t="n"/>
      <c r="S50" s="4189" t="n"/>
      <c r="T50" s="1603" t="inlineStr">
        <is>
          <t>兼務</t>
        </is>
      </c>
      <c r="U50" s="4110" t="n"/>
      <c r="V50" s="4189" t="n"/>
      <c r="W50" s="1617" t="inlineStr">
        <is>
          <t>専従</t>
        </is>
      </c>
      <c r="X50" s="4110" t="n"/>
      <c r="Y50" s="4189" t="n"/>
      <c r="Z50" s="1603" t="inlineStr">
        <is>
          <t>兼務</t>
        </is>
      </c>
      <c r="AA50" s="4110" t="n"/>
      <c r="AB50" s="4189" t="n"/>
      <c r="AC50" s="1617" t="inlineStr">
        <is>
          <t>専従</t>
        </is>
      </c>
      <c r="AD50" s="4110" t="n"/>
      <c r="AE50" s="4189" t="n"/>
      <c r="AF50" s="1603" t="inlineStr">
        <is>
          <t>兼務</t>
        </is>
      </c>
      <c r="AG50" s="4110" t="n"/>
      <c r="AH50" s="4189" t="n"/>
    </row>
    <row r="51" ht="12" customHeight="1" s="4080" thickBot="1">
      <c r="A51" s="4097" t="n"/>
      <c r="B51" s="4107" t="n"/>
      <c r="C51" s="1268" t="inlineStr">
        <is>
          <t>常　　　　　勤（人）</t>
        </is>
      </c>
      <c r="D51" s="4110" t="n"/>
      <c r="E51" s="4110" t="n"/>
      <c r="F51" s="4110" t="n"/>
      <c r="G51" s="4110" t="n"/>
      <c r="H51" s="4110" t="n"/>
      <c r="I51" s="4110" t="n"/>
      <c r="J51" s="4111" t="n"/>
      <c r="K51" s="4697" t="n"/>
      <c r="L51" s="4110" t="n"/>
      <c r="M51" s="4189" t="n"/>
      <c r="N51" s="4698" t="n"/>
      <c r="O51" s="4110" t="n"/>
      <c r="P51" s="4189" t="n"/>
      <c r="Q51" s="4697" t="n"/>
      <c r="R51" s="4110" t="n"/>
      <c r="S51" s="4189" t="n"/>
      <c r="T51" s="4698" t="n"/>
      <c r="U51" s="4110" t="n"/>
      <c r="V51" s="4189" t="n"/>
      <c r="W51" s="4697" t="n"/>
      <c r="X51" s="4110" t="n"/>
      <c r="Y51" s="4189" t="n"/>
      <c r="Z51" s="4698" t="n"/>
      <c r="AA51" s="4110" t="n"/>
      <c r="AB51" s="4189" t="n"/>
      <c r="AC51" s="4697" t="n"/>
      <c r="AD51" s="4110" t="n"/>
      <c r="AE51" s="4189" t="n"/>
      <c r="AF51" s="4698" t="n"/>
      <c r="AG51" s="4110" t="n"/>
      <c r="AH51" s="4189" t="n"/>
    </row>
    <row r="52" ht="12" customHeight="1" s="4080" thickBot="1">
      <c r="A52" s="4097" t="n"/>
      <c r="B52" s="4107" t="n"/>
      <c r="C52" s="1286" t="inlineStr">
        <is>
          <t>非　　常　　勤（人）</t>
        </is>
      </c>
      <c r="D52" s="4103" t="n"/>
      <c r="E52" s="4103" t="n"/>
      <c r="F52" s="4103" t="n"/>
      <c r="G52" s="4103" t="n"/>
      <c r="H52" s="4103" t="n"/>
      <c r="I52" s="4103" t="n"/>
      <c r="J52" s="4104" t="n"/>
      <c r="K52" s="4697" t="n"/>
      <c r="L52" s="4110" t="n"/>
      <c r="M52" s="4189" t="n"/>
      <c r="N52" s="4698" t="n"/>
      <c r="O52" s="4110" t="n"/>
      <c r="P52" s="4189" t="n"/>
      <c r="Q52" s="4697" t="n"/>
      <c r="R52" s="4110" t="n"/>
      <c r="S52" s="4189" t="n"/>
      <c r="T52" s="4698" t="n"/>
      <c r="U52" s="4110" t="n"/>
      <c r="V52" s="4189" t="n"/>
      <c r="W52" s="4697" t="n"/>
      <c r="X52" s="4110" t="n"/>
      <c r="Y52" s="4189" t="n"/>
      <c r="Z52" s="4698" t="n"/>
      <c r="AA52" s="4110" t="n"/>
      <c r="AB52" s="4189" t="n"/>
      <c r="AC52" s="4697" t="n"/>
      <c r="AD52" s="4110" t="n"/>
      <c r="AE52" s="4189" t="n"/>
      <c r="AF52" s="4698" t="n"/>
      <c r="AG52" s="4110" t="n"/>
      <c r="AH52" s="4189" t="n"/>
    </row>
    <row r="53" ht="14.1" customHeight="1" s="4080">
      <c r="A53" s="4086" t="n"/>
      <c r="B53" s="4410" t="n"/>
      <c r="C53" s="4325" t="inlineStr">
        <is>
          <t>常勤換算後の人数（人）</t>
        </is>
      </c>
      <c r="D53" s="4098" t="n"/>
      <c r="E53" s="4098" t="n"/>
      <c r="F53" s="4098" t="n"/>
      <c r="G53" s="4098" t="n"/>
      <c r="H53" s="4098" t="n"/>
      <c r="I53" s="4098" t="n"/>
      <c r="J53" s="4099" t="n"/>
      <c r="K53" s="4700" t="n"/>
      <c r="L53" s="4098" t="n"/>
      <c r="M53" s="4098" t="n"/>
      <c r="N53" s="4098" t="n"/>
      <c r="O53" s="4098" t="n"/>
      <c r="P53" s="4099" t="n"/>
      <c r="Q53" s="4700" t="n"/>
      <c r="R53" s="4098" t="n"/>
      <c r="S53" s="4098" t="n"/>
      <c r="T53" s="4098" t="n"/>
      <c r="U53" s="4098" t="n"/>
      <c r="V53" s="4099" t="n"/>
      <c r="W53" s="4700" t="n"/>
      <c r="X53" s="4098" t="n"/>
      <c r="Y53" s="4098" t="n"/>
      <c r="Z53" s="4098" t="n"/>
      <c r="AA53" s="4098" t="n"/>
      <c r="AB53" s="4099" t="n"/>
      <c r="AC53" s="4701" t="n"/>
      <c r="AD53" s="4098" t="n"/>
      <c r="AE53" s="4098" t="n"/>
      <c r="AF53" s="4098" t="n"/>
      <c r="AG53" s="4098" t="n"/>
      <c r="AH53" s="4101" t="n"/>
    </row>
    <row r="54" ht="20.1" customHeight="1" s="4080">
      <c r="A54" s="4702" t="inlineStr">
        <is>
          <t>併設する他の
社会福祉施設</t>
        </is>
      </c>
      <c r="B54" s="4098" t="n"/>
      <c r="C54" s="4098" t="n"/>
      <c r="D54" s="4098" t="n"/>
      <c r="E54" s="4099" t="n"/>
      <c r="F54" s="1262" t="inlineStr">
        <is>
          <t>施設名</t>
        </is>
      </c>
      <c r="G54" s="4110" t="n"/>
      <c r="H54" s="4110" t="n"/>
      <c r="I54" s="4110" t="n"/>
      <c r="J54" s="4111" t="n"/>
      <c r="K54" s="4703" t="n"/>
      <c r="L54" s="4110" t="n"/>
      <c r="M54" s="4110" t="n"/>
      <c r="N54" s="4110" t="n"/>
      <c r="O54" s="4110" t="n"/>
      <c r="P54" s="4110" t="n"/>
      <c r="Q54" s="4110" t="n"/>
      <c r="R54" s="4110" t="n"/>
      <c r="S54" s="4110" t="n"/>
      <c r="T54" s="4110" t="n"/>
      <c r="U54" s="4110" t="n"/>
      <c r="V54" s="4110" t="n"/>
      <c r="W54" s="4110" t="n"/>
      <c r="X54" s="4110" t="n"/>
      <c r="Y54" s="4110" t="n"/>
      <c r="Z54" s="4110" t="n"/>
      <c r="AA54" s="4110" t="n"/>
      <c r="AB54" s="4110" t="n"/>
      <c r="AC54" s="4110" t="n"/>
      <c r="AD54" s="4110" t="n"/>
      <c r="AE54" s="4110" t="n"/>
      <c r="AF54" s="4110" t="n"/>
      <c r="AG54" s="4110" t="n"/>
      <c r="AH54" s="4113" t="n"/>
    </row>
    <row r="55" ht="20.1" customHeight="1" s="4080">
      <c r="A55" s="4114" t="n"/>
      <c r="B55" s="4103" t="n"/>
      <c r="C55" s="4103" t="n"/>
      <c r="D55" s="4103" t="n"/>
      <c r="E55" s="4104" t="n"/>
      <c r="F55" s="1262" t="inlineStr">
        <is>
          <t>施設種別</t>
        </is>
      </c>
      <c r="G55" s="4110" t="n"/>
      <c r="H55" s="4110" t="n"/>
      <c r="I55" s="4110" t="n"/>
      <c r="J55" s="4111" t="n"/>
      <c r="K55" s="4703" t="n"/>
      <c r="L55" s="4110" t="n"/>
      <c r="M55" s="4110" t="n"/>
      <c r="N55" s="4110" t="n"/>
      <c r="O55" s="4110" t="n"/>
      <c r="P55" s="4110" t="n"/>
      <c r="Q55" s="4110" t="n"/>
      <c r="R55" s="4110" t="n"/>
      <c r="S55" s="4110" t="n"/>
      <c r="T55" s="4110" t="n"/>
      <c r="U55" s="4110" t="n"/>
      <c r="V55" s="4110" t="n"/>
      <c r="W55" s="4110" t="n"/>
      <c r="X55" s="4110" t="n"/>
      <c r="Y55" s="4110" t="n"/>
      <c r="Z55" s="4110" t="n"/>
      <c r="AA55" s="4110" t="n"/>
      <c r="AB55" s="4110" t="n"/>
      <c r="AC55" s="4110" t="n"/>
      <c r="AD55" s="4110" t="n"/>
      <c r="AE55" s="4110" t="n"/>
      <c r="AF55" s="4110" t="n"/>
      <c r="AG55" s="4110" t="n"/>
      <c r="AH55" s="4113" t="n"/>
    </row>
    <row r="56" ht="20.1" customHeight="1" s="4080">
      <c r="A56" s="4704" t="inlineStr">
        <is>
          <t>旧法施設からの移行状況</t>
        </is>
      </c>
      <c r="B56" s="4098" t="n"/>
      <c r="C56" s="4098" t="n"/>
      <c r="D56" s="4098" t="n"/>
      <c r="E56" s="4099" t="n"/>
      <c r="F56" s="1262" t="inlineStr">
        <is>
          <t>旧法施設名</t>
        </is>
      </c>
      <c r="G56" s="4110" t="n"/>
      <c r="H56" s="4110" t="n"/>
      <c r="I56" s="4110" t="n"/>
      <c r="J56" s="4111" t="n"/>
      <c r="K56" s="4703" t="n"/>
      <c r="L56" s="4110" t="n"/>
      <c r="M56" s="4110" t="n"/>
      <c r="N56" s="4110" t="n"/>
      <c r="O56" s="4110" t="n"/>
      <c r="P56" s="4110" t="n"/>
      <c r="Q56" s="4110" t="n"/>
      <c r="R56" s="4110" t="n"/>
      <c r="S56" s="4110" t="n"/>
      <c r="T56" s="4110" t="n"/>
      <c r="U56" s="4110" t="n"/>
      <c r="V56" s="4110" t="n"/>
      <c r="W56" s="4110" t="n"/>
      <c r="X56" s="4110" t="n"/>
      <c r="Y56" s="4110" t="n"/>
      <c r="Z56" s="4110" t="n"/>
      <c r="AA56" s="4110" t="n"/>
      <c r="AB56" s="4110" t="n"/>
      <c r="AC56" s="4110" t="n"/>
      <c r="AD56" s="4110" t="n"/>
      <c r="AE56" s="4110" t="n"/>
      <c r="AF56" s="4110" t="n"/>
      <c r="AG56" s="4110" t="n"/>
      <c r="AH56" s="4113" t="n"/>
    </row>
    <row r="57" ht="20.1" customHeight="1" s="4080">
      <c r="A57" s="4097" t="n"/>
      <c r="E57" s="4107" t="n"/>
      <c r="F57" s="1262" t="inlineStr">
        <is>
          <t>旧法施設種別</t>
        </is>
      </c>
      <c r="G57" s="4110" t="n"/>
      <c r="H57" s="4110" t="n"/>
      <c r="I57" s="4110" t="n"/>
      <c r="J57" s="4111" t="n"/>
      <c r="K57" s="4703" t="n"/>
      <c r="L57" s="4110" t="n"/>
      <c r="M57" s="4110" t="n"/>
      <c r="N57" s="4110" t="n"/>
      <c r="O57" s="4110" t="n"/>
      <c r="P57" s="4110" t="n"/>
      <c r="Q57" s="4110" t="n"/>
      <c r="R57" s="4110" t="n"/>
      <c r="S57" s="4110" t="n"/>
      <c r="T57" s="4110" t="n"/>
      <c r="U57" s="4110" t="n"/>
      <c r="V57" s="4110" t="n"/>
      <c r="W57" s="4110" t="n"/>
      <c r="X57" s="4110" t="n"/>
      <c r="Y57" s="4110" t="n"/>
      <c r="Z57" s="4110" t="n"/>
      <c r="AA57" s="4110" t="n"/>
      <c r="AB57" s="4110" t="n"/>
      <c r="AC57" s="4110" t="n"/>
      <c r="AD57" s="4110" t="n"/>
      <c r="AE57" s="4110" t="n"/>
      <c r="AF57" s="4110" t="n"/>
      <c r="AG57" s="4110" t="n"/>
      <c r="AH57" s="4113" t="n"/>
    </row>
    <row r="58" ht="3.95" customHeight="1" s="4080">
      <c r="A58" s="4097" t="n"/>
      <c r="E58" s="4107" t="n"/>
      <c r="F58" s="1262" t="inlineStr">
        <is>
          <t>経過措置の有無</t>
        </is>
      </c>
      <c r="G58" s="4098" t="n"/>
      <c r="H58" s="4098" t="n"/>
      <c r="I58" s="4098" t="n"/>
      <c r="J58" s="4099" t="n"/>
      <c r="K58" s="3272" t="n"/>
      <c r="L58" s="1323" t="n"/>
      <c r="M58" s="1323" t="n"/>
      <c r="N58" s="1323" t="n"/>
      <c r="O58" s="1394" t="n"/>
      <c r="P58" s="4705" t="inlineStr">
        <is>
          <t xml:space="preserve">　</t>
        </is>
      </c>
      <c r="Q58" s="4098" t="n"/>
      <c r="R58" s="4098" t="n"/>
      <c r="S58" s="4098" t="n"/>
      <c r="T58" s="4098" t="n"/>
      <c r="U58" s="4098" t="n"/>
      <c r="V58" s="4098" t="n"/>
      <c r="W58" s="4098" t="n"/>
      <c r="X58" s="4098" t="n"/>
      <c r="Y58" s="4098" t="n"/>
      <c r="Z58" s="4098" t="n"/>
      <c r="AA58" s="4098" t="n"/>
      <c r="AB58" s="4098" t="n"/>
      <c r="AC58" s="4098" t="n"/>
      <c r="AD58" s="4098" t="n"/>
      <c r="AE58" s="4098" t="n"/>
      <c r="AF58" s="4098" t="n"/>
      <c r="AG58" s="4098" t="n"/>
      <c r="AH58" s="4101" t="n"/>
    </row>
    <row r="59" ht="12" customHeight="1" s="4080">
      <c r="A59" s="4097" t="n"/>
      <c r="E59" s="4107" t="n"/>
      <c r="J59" s="4107" t="n"/>
      <c r="K59" s="4106" t="n"/>
      <c r="L59" s="1325" t="inlineStr">
        <is>
          <t>有</t>
        </is>
      </c>
      <c r="M59" s="1325" t="inlineStr">
        <is>
          <t>・</t>
        </is>
      </c>
      <c r="N59" s="1325" t="inlineStr">
        <is>
          <t>無</t>
        </is>
      </c>
      <c r="O59" s="4107" t="n"/>
      <c r="P59" s="4106" t="n"/>
      <c r="AH59" s="4109" t="n"/>
    </row>
    <row r="60" ht="3.95" customHeight="1" s="4080">
      <c r="A60" s="4097" t="n"/>
      <c r="E60" s="4107" t="n"/>
      <c r="F60" s="4103" t="n"/>
      <c r="G60" s="4103" t="n"/>
      <c r="H60" s="4103" t="n"/>
      <c r="I60" s="4103" t="n"/>
      <c r="J60" s="4104" t="n"/>
      <c r="K60" s="4102" t="n"/>
      <c r="L60" s="1327" t="n"/>
      <c r="M60" s="1327" t="n"/>
      <c r="N60" s="1327" t="n"/>
      <c r="O60" s="4104" t="n"/>
      <c r="P60" s="4106" t="n"/>
      <c r="AH60" s="4109" t="n"/>
    </row>
    <row r="61" ht="20.1" customHeight="1" s="4080">
      <c r="A61" s="4114" t="n"/>
      <c r="B61" s="4103" t="n"/>
      <c r="C61" s="4103" t="n"/>
      <c r="D61" s="4103" t="n"/>
      <c r="E61" s="4104" t="n"/>
      <c r="F61" s="1274" t="inlineStr">
        <is>
          <t>特定旧法受給者数</t>
        </is>
      </c>
      <c r="G61" s="4110" t="n"/>
      <c r="H61" s="4110" t="n"/>
      <c r="I61" s="4110" t="n"/>
      <c r="J61" s="4111" t="n"/>
      <c r="K61" s="2965" t="n"/>
      <c r="L61" s="4110" t="n"/>
      <c r="M61" s="4110" t="n"/>
      <c r="N61" s="4110" t="n"/>
      <c r="O61" s="2118" t="inlineStr">
        <is>
          <t>人</t>
        </is>
      </c>
      <c r="P61" s="4102" t="n"/>
      <c r="Q61" s="4103" t="n"/>
      <c r="R61" s="4103" t="n"/>
      <c r="S61" s="4103" t="n"/>
      <c r="T61" s="4103" t="n"/>
      <c r="U61" s="4103" t="n"/>
      <c r="V61" s="4103" t="n"/>
      <c r="W61" s="4103" t="n"/>
      <c r="X61" s="4103" t="n"/>
      <c r="Y61" s="4103" t="n"/>
      <c r="Z61" s="4103" t="n"/>
      <c r="AA61" s="4103" t="n"/>
      <c r="AB61" s="4103" t="n"/>
      <c r="AC61" s="4103" t="n"/>
      <c r="AD61" s="4103" t="n"/>
      <c r="AE61" s="4103" t="n"/>
      <c r="AF61" s="4103" t="n"/>
      <c r="AG61" s="4103" t="n"/>
      <c r="AH61" s="4105" t="n"/>
    </row>
    <row r="62" ht="20.1" customHeight="1" s="4080" thickBot="1">
      <c r="A62" s="4706" t="inlineStr">
        <is>
          <t>設備基準上の数値記載項目等</t>
        </is>
      </c>
      <c r="B62" s="4098" t="n"/>
      <c r="C62" s="4098" t="n"/>
      <c r="D62" s="4098" t="n"/>
      <c r="E62" s="4098" t="n"/>
      <c r="F62" s="4098" t="n"/>
      <c r="G62" s="4098" t="n"/>
      <c r="H62" s="4098" t="n"/>
      <c r="I62" s="4098" t="n"/>
      <c r="J62" s="4099" t="n"/>
      <c r="K62" s="3296" t="inlineStr">
        <is>
          <t>居　　　　　室</t>
        </is>
      </c>
      <c r="L62" s="4103" t="n"/>
      <c r="M62" s="4103" t="n"/>
      <c r="N62" s="4103" t="n"/>
      <c r="O62" s="4103" t="n"/>
      <c r="P62" s="4103" t="n"/>
      <c r="Q62" s="4103" t="n"/>
      <c r="R62" s="4103" t="n"/>
      <c r="S62" s="4103" t="n"/>
      <c r="T62" s="4104" t="n"/>
      <c r="U62" s="4536" t="inlineStr">
        <is>
          <t>廊　　　　　下</t>
        </is>
      </c>
      <c r="V62" s="4103" t="n"/>
      <c r="W62" s="4103" t="n"/>
      <c r="X62" s="4103" t="n"/>
      <c r="Y62" s="4103" t="n"/>
      <c r="Z62" s="4103" t="n"/>
      <c r="AA62" s="4103" t="n"/>
      <c r="AB62" s="4103" t="n"/>
      <c r="AC62" s="4103" t="n"/>
      <c r="AD62" s="4104" t="n"/>
      <c r="AE62" s="4707" t="n"/>
      <c r="AF62" s="4098" t="n"/>
      <c r="AG62" s="4098" t="n"/>
      <c r="AH62" s="4101" t="n"/>
    </row>
    <row r="63" ht="20.1" customHeight="1" s="4080" thickBot="1">
      <c r="A63" s="4097" t="n"/>
      <c r="J63" s="4107" t="n"/>
      <c r="K63" s="4181" t="inlineStr">
        <is>
          <t>１室の最大定員</t>
        </is>
      </c>
      <c r="L63" s="4110" t="n"/>
      <c r="M63" s="4110" t="n"/>
      <c r="N63" s="4110" t="n"/>
      <c r="O63" s="4111" t="n"/>
      <c r="P63" s="4708" t="inlineStr">
        <is>
          <t>入所者１人あたりの
最小床面積</t>
        </is>
      </c>
      <c r="Q63" s="4110" t="n"/>
      <c r="R63" s="4110" t="n"/>
      <c r="S63" s="4110" t="n"/>
      <c r="T63" s="4111" t="n"/>
      <c r="U63" s="4536" t="inlineStr">
        <is>
          <t>廊　下　の　幅</t>
        </is>
      </c>
      <c r="V63" s="4103" t="n"/>
      <c r="W63" s="4103" t="n"/>
      <c r="X63" s="4103" t="n"/>
      <c r="Y63" s="4104" t="n"/>
      <c r="Z63" s="2163" t="inlineStr">
        <is>
          <t>中廊下の幅</t>
        </is>
      </c>
      <c r="AA63" s="4110" t="n"/>
      <c r="AB63" s="4110" t="n"/>
      <c r="AC63" s="4110" t="n"/>
      <c r="AD63" s="4111" t="n"/>
      <c r="AE63" s="4106" t="n"/>
      <c r="AH63" s="4109" t="n"/>
    </row>
    <row r="64" ht="20.1" customHeight="1" s="4080" thickBot="1">
      <c r="A64" s="4086" t="n"/>
      <c r="B64" s="4087" t="n"/>
      <c r="C64" s="4087" t="n"/>
      <c r="D64" s="4087" t="n"/>
      <c r="E64" s="4087" t="n"/>
      <c r="F64" s="4087" t="n"/>
      <c r="G64" s="4087" t="n"/>
      <c r="H64" s="4087" t="n"/>
      <c r="I64" s="4087" t="n"/>
      <c r="J64" s="4410" t="n"/>
      <c r="K64" s="3001" t="n"/>
      <c r="L64" s="4153" t="n"/>
      <c r="M64" s="4153" t="n"/>
      <c r="N64" s="4153" t="n"/>
      <c r="O64" s="432" t="inlineStr">
        <is>
          <t>人</t>
        </is>
      </c>
      <c r="P64" s="3003" t="n"/>
      <c r="Q64" s="4153" t="n"/>
      <c r="R64" s="1427" t="inlineStr">
        <is>
          <t>．</t>
        </is>
      </c>
      <c r="S64" s="434" t="n"/>
      <c r="T64" s="432" t="inlineStr">
        <is>
          <t>㎡</t>
        </is>
      </c>
      <c r="U64" s="3003" t="n"/>
      <c r="V64" s="4153" t="n"/>
      <c r="W64" s="1427" t="inlineStr">
        <is>
          <t>．</t>
        </is>
      </c>
      <c r="X64" s="434" t="n"/>
      <c r="Y64" s="432" t="inlineStr">
        <is>
          <t>ｍ</t>
        </is>
      </c>
      <c r="Z64" s="3003" t="n"/>
      <c r="AA64" s="4153" t="n"/>
      <c r="AB64" s="1427" t="inlineStr">
        <is>
          <t>．</t>
        </is>
      </c>
      <c r="AC64" s="434" t="n"/>
      <c r="AD64" s="432" t="inlineStr">
        <is>
          <t>ｍ</t>
        </is>
      </c>
      <c r="AE64" s="4420" t="n"/>
      <c r="AF64" s="4087" t="n"/>
      <c r="AG64" s="4087" t="n"/>
      <c r="AH64" s="4088" t="n"/>
    </row>
    <row r="65" ht="15.95" customHeight="1" s="4080" thickBot="1">
      <c r="A65" s="4709" t="inlineStr">
        <is>
          <t>主な掲示事項</t>
        </is>
      </c>
      <c r="B65" s="4356" t="n"/>
      <c r="C65" s="1999" t="n"/>
      <c r="D65" s="2645" t="inlineStr">
        <is>
          <t>提供する施設障害
福祉サービスの
種類及び利用定員</t>
        </is>
      </c>
      <c r="E65" s="4082" t="n"/>
      <c r="F65" s="4082" t="n"/>
      <c r="G65" s="4082" t="n"/>
      <c r="H65" s="4082" t="n"/>
      <c r="I65" s="4082" t="n"/>
      <c r="J65" s="2974" t="n"/>
      <c r="K65" s="4710" t="inlineStr">
        <is>
          <t>施設入所支援</t>
        </is>
      </c>
      <c r="L65" s="4082" t="n"/>
      <c r="M65" s="4356" t="n"/>
      <c r="N65" s="4711" t="inlineStr">
        <is>
          <t>昼間実施サービス</t>
        </is>
      </c>
      <c r="O65" s="4093" t="n"/>
      <c r="P65" s="4093" t="n"/>
      <c r="Q65" s="4093" t="n"/>
      <c r="R65" s="4093" t="n"/>
      <c r="S65" s="4093" t="n"/>
      <c r="T65" s="4093" t="n"/>
      <c r="U65" s="4093" t="n"/>
      <c r="V65" s="4093" t="n"/>
      <c r="W65" s="4093" t="n"/>
      <c r="X65" s="4093" t="n"/>
      <c r="Y65" s="4093" t="n"/>
      <c r="Z65" s="4093" t="n"/>
      <c r="AA65" s="4093" t="n"/>
      <c r="AB65" s="4093" t="n"/>
      <c r="AC65" s="4093" t="n"/>
      <c r="AD65" s="4093" t="n"/>
      <c r="AE65" s="4093" t="n"/>
      <c r="AF65" s="4093" t="n"/>
      <c r="AG65" s="4093" t="n"/>
      <c r="AH65" s="4096" t="n"/>
    </row>
    <row r="66" ht="15.95" customHeight="1" s="4080" thickBot="1">
      <c r="A66" s="4097" t="n"/>
      <c r="B66" s="4107" t="n"/>
      <c r="C66" s="4106" t="n"/>
      <c r="J66" s="4107" t="n"/>
      <c r="K66" s="4106" t="n"/>
      <c r="M66" s="4107" t="n"/>
      <c r="N66" s="4185" t="inlineStr">
        <is>
          <t>生活介護</t>
        </is>
      </c>
      <c r="O66" s="4098" t="n"/>
      <c r="P66" s="4099" t="n"/>
      <c r="Q66" s="4712" t="inlineStr">
        <is>
          <t>自立訓練</t>
        </is>
      </c>
      <c r="R66" s="4138" t="n"/>
      <c r="S66" s="4138" t="n"/>
      <c r="T66" s="4138" t="n"/>
      <c r="U66" s="4138" t="n"/>
      <c r="V66" s="4139" t="n"/>
      <c r="W66" s="4313" t="inlineStr">
        <is>
          <t>就労移行支援</t>
        </is>
      </c>
      <c r="X66" s="4098" t="n"/>
      <c r="Y66" s="4099" t="n"/>
      <c r="Z66" s="4712" t="inlineStr">
        <is>
          <t>就労継続支援</t>
        </is>
      </c>
      <c r="AA66" s="4138" t="n"/>
      <c r="AB66" s="4138" t="n"/>
      <c r="AC66" s="4138" t="n"/>
      <c r="AD66" s="4138" t="n"/>
      <c r="AE66" s="4139" t="n"/>
      <c r="AF66" s="4713" t="inlineStr">
        <is>
          <t>利用定員合計</t>
        </is>
      </c>
      <c r="AG66" s="4098" t="n"/>
      <c r="AH66" s="4101" t="n"/>
    </row>
    <row r="67" ht="15.95" customHeight="1" s="4080" thickBot="1">
      <c r="A67" s="4097" t="n"/>
      <c r="B67" s="4107" t="n"/>
      <c r="C67" s="4106" t="n"/>
      <c r="J67" s="4107" t="n"/>
      <c r="K67" s="4102" t="n"/>
      <c r="L67" s="4103" t="n"/>
      <c r="M67" s="4104" t="n"/>
      <c r="N67" s="4102" t="n"/>
      <c r="O67" s="4103" t="n"/>
      <c r="P67" s="4104" t="n"/>
      <c r="Q67" s="3005" t="inlineStr">
        <is>
          <t>機能訓練</t>
        </is>
      </c>
      <c r="R67" s="4103" t="n"/>
      <c r="S67" s="4193" t="n"/>
      <c r="T67" s="4714" t="inlineStr">
        <is>
          <t>生活訓練</t>
        </is>
      </c>
      <c r="U67" s="4103" t="n"/>
      <c r="V67" s="4104" t="n"/>
      <c r="W67" s="4102" t="n"/>
      <c r="X67" s="4103" t="n"/>
      <c r="Y67" s="4104" t="n"/>
      <c r="Z67" s="4715" t="inlineStr">
        <is>
          <t>Ａ型</t>
        </is>
      </c>
      <c r="AA67" s="4103" t="n"/>
      <c r="AB67" s="4193" t="n"/>
      <c r="AC67" s="3095" t="inlineStr">
        <is>
          <t>Ｂ型</t>
        </is>
      </c>
      <c r="AD67" s="4103" t="n"/>
      <c r="AE67" s="4104" t="n"/>
      <c r="AF67" s="4102" t="n"/>
      <c r="AG67" s="4103" t="n"/>
      <c r="AH67" s="4105" t="n"/>
    </row>
    <row r="68" ht="15.95" customHeight="1" s="4080">
      <c r="A68" s="4097" t="n"/>
      <c r="B68" s="4107" t="n"/>
      <c r="C68" s="4420" t="n"/>
      <c r="D68" s="4087" t="n"/>
      <c r="E68" s="4087" t="n"/>
      <c r="F68" s="4087" t="n"/>
      <c r="G68" s="4087" t="n"/>
      <c r="H68" s="4087" t="n"/>
      <c r="I68" s="4087" t="n"/>
      <c r="J68" s="4410" t="n"/>
      <c r="K68" s="4716" t="n"/>
      <c r="L68" s="4110" t="n"/>
      <c r="M68" s="4717" t="inlineStr">
        <is>
          <t>人</t>
        </is>
      </c>
      <c r="N68" s="4716" t="n"/>
      <c r="O68" s="4110" t="n"/>
      <c r="P68" s="4717" t="inlineStr">
        <is>
          <t>人</t>
        </is>
      </c>
      <c r="Q68" s="4718" t="n"/>
      <c r="R68" s="4110" t="n"/>
      <c r="S68" s="4719" t="inlineStr">
        <is>
          <t>人</t>
        </is>
      </c>
      <c r="T68" s="4720" t="n"/>
      <c r="U68" s="4110" t="n"/>
      <c r="V68" s="4717" t="inlineStr">
        <is>
          <t>人</t>
        </is>
      </c>
      <c r="W68" s="4716" t="n"/>
      <c r="X68" s="4110" t="n"/>
      <c r="Y68" s="4717" t="inlineStr">
        <is>
          <t>人</t>
        </is>
      </c>
      <c r="Z68" s="4716" t="n"/>
      <c r="AA68" s="4110" t="n"/>
      <c r="AB68" s="4719" t="inlineStr">
        <is>
          <t>人</t>
        </is>
      </c>
      <c r="AC68" s="4720" t="n"/>
      <c r="AD68" s="4110" t="n"/>
      <c r="AE68" s="4717" t="inlineStr">
        <is>
          <t>人</t>
        </is>
      </c>
      <c r="AF68" s="4718">
        <f>+AC68+Z68+W68+T68+Q68+N68</f>
        <v/>
      </c>
      <c r="AG68" s="4110" t="n"/>
      <c r="AH68" s="4721" t="inlineStr">
        <is>
          <t>人</t>
        </is>
      </c>
    </row>
    <row r="69" ht="3.95" customHeight="1" s="4080">
      <c r="A69" s="4097" t="n"/>
      <c r="B69" s="4107" t="n"/>
      <c r="C69" s="4722" t="inlineStr">
        <is>
          <t>その他参考
となる事項</t>
        </is>
      </c>
      <c r="D69" s="4099" t="n"/>
      <c r="E69" s="4634" t="inlineStr">
        <is>
          <t>第三者評価の実施状況</t>
        </is>
      </c>
      <c r="F69" s="4098" t="n"/>
      <c r="G69" s="4098" t="n"/>
      <c r="H69" s="4098" t="n"/>
      <c r="I69" s="4098" t="n"/>
      <c r="J69" s="4099" t="n"/>
      <c r="K69" s="1660" t="n"/>
      <c r="L69" s="1661" t="n"/>
      <c r="M69" s="1661" t="n"/>
      <c r="N69" s="1661" t="n"/>
      <c r="O69" s="1661" t="n"/>
      <c r="P69" s="1661" t="n"/>
      <c r="Q69" s="1661" t="n"/>
      <c r="R69" s="4232" t="n"/>
      <c r="S69" s="4098" t="n"/>
      <c r="T69" s="4098" t="n"/>
      <c r="U69" s="4098" t="n"/>
      <c r="V69" s="4098" t="n"/>
      <c r="W69" s="4098" t="n"/>
      <c r="X69" s="4098" t="n"/>
      <c r="Y69" s="4098" t="n"/>
      <c r="Z69" s="4098" t="n"/>
      <c r="AA69" s="4098" t="n"/>
      <c r="AB69" s="1661" t="n"/>
      <c r="AC69" s="1661" t="n"/>
      <c r="AD69" s="1661" t="n"/>
      <c r="AE69" s="1661" t="n"/>
      <c r="AF69" s="1661" t="n"/>
      <c r="AG69" s="1661" t="n"/>
      <c r="AH69" s="1662" t="n"/>
    </row>
    <row r="70" ht="15" customHeight="1" s="4080">
      <c r="A70" s="4097" t="n"/>
      <c r="B70" s="4107" t="n"/>
      <c r="D70" s="4107" t="n"/>
      <c r="E70" s="4106" t="n"/>
      <c r="J70" s="4107" t="n"/>
      <c r="K70" s="1372" t="n"/>
      <c r="L70" s="1432" t="inlineStr">
        <is>
          <t>している</t>
        </is>
      </c>
      <c r="O70" s="1458" t="inlineStr">
        <is>
          <t>(実施先：</t>
        </is>
      </c>
      <c r="AB70" s="1325" t="inlineStr">
        <is>
          <t>)・</t>
        </is>
      </c>
      <c r="AD70" s="1432" t="inlineStr">
        <is>
          <t>していない</t>
        </is>
      </c>
      <c r="AH70" s="1668" t="n"/>
    </row>
    <row r="71" ht="3.95" customHeight="1" s="4080">
      <c r="A71" s="4097" t="n"/>
      <c r="B71" s="4107" t="n"/>
      <c r="D71" s="4107" t="n"/>
      <c r="E71" s="4102" t="n"/>
      <c r="F71" s="4103" t="n"/>
      <c r="G71" s="4103" t="n"/>
      <c r="H71" s="4103" t="n"/>
      <c r="I71" s="4103" t="n"/>
      <c r="J71" s="4104" t="n"/>
      <c r="K71" s="438" t="n"/>
      <c r="L71" s="389" t="n"/>
      <c r="M71" s="389" t="n"/>
      <c r="N71" s="389" t="n"/>
      <c r="O71" s="389" t="n"/>
      <c r="P71" s="389" t="n"/>
      <c r="Q71" s="389" t="n"/>
      <c r="R71" s="4103" t="n"/>
      <c r="S71" s="4103" t="n"/>
      <c r="T71" s="4103" t="n"/>
      <c r="U71" s="4103" t="n"/>
      <c r="V71" s="4103" t="n"/>
      <c r="W71" s="4103" t="n"/>
      <c r="X71" s="4103" t="n"/>
      <c r="Y71" s="4103" t="n"/>
      <c r="Z71" s="4103" t="n"/>
      <c r="AA71" s="4103" t="n"/>
      <c r="AB71" s="389" t="n"/>
      <c r="AC71" s="389" t="n"/>
      <c r="AD71" s="389" t="n"/>
      <c r="AE71" s="389" t="n"/>
      <c r="AF71" s="389" t="n"/>
      <c r="AG71" s="389" t="n"/>
      <c r="AH71" s="390" t="n"/>
    </row>
    <row r="72" ht="15" customHeight="1" s="4080">
      <c r="A72" s="4097" t="n"/>
      <c r="B72" s="4107" t="n"/>
      <c r="D72" s="4107" t="n"/>
      <c r="E72" s="1439" t="inlineStr">
        <is>
          <t>苦情解決の措置概要</t>
        </is>
      </c>
      <c r="F72" s="4098" t="n"/>
      <c r="G72" s="4098" t="n"/>
      <c r="H72" s="4098" t="n"/>
      <c r="I72" s="4098" t="n"/>
      <c r="J72" s="4099" t="n"/>
      <c r="K72" s="2542" t="inlineStr">
        <is>
          <t>窓　口</t>
        </is>
      </c>
      <c r="L72" s="4110" t="n"/>
      <c r="M72" s="4111" t="n"/>
      <c r="N72" s="4267" t="n"/>
      <c r="O72" s="4110" t="n"/>
      <c r="P72" s="4110" t="n"/>
      <c r="Q72" s="4110" t="n"/>
      <c r="R72" s="4110" t="n"/>
      <c r="S72" s="4110" t="n"/>
      <c r="T72" s="4110" t="n"/>
      <c r="U72" s="4110" t="n"/>
      <c r="V72" s="4110" t="n"/>
      <c r="W72" s="4110" t="n"/>
      <c r="X72" s="4110" t="n"/>
      <c r="Y72" s="4110" t="n"/>
      <c r="Z72" s="4110" t="n"/>
      <c r="AA72" s="4110" t="n"/>
      <c r="AB72" s="4110" t="n"/>
      <c r="AC72" s="4110" t="n"/>
      <c r="AD72" s="4110" t="n"/>
      <c r="AE72" s="4110" t="n"/>
      <c r="AF72" s="4110" t="n"/>
      <c r="AG72" s="4110" t="n"/>
      <c r="AH72" s="4113" t="n"/>
    </row>
    <row r="73" ht="15" customHeight="1" s="4080">
      <c r="A73" s="4097" t="n"/>
      <c r="B73" s="4107" t="n"/>
      <c r="D73" s="4107" t="n"/>
      <c r="E73" s="4103" t="n"/>
      <c r="F73" s="4103" t="n"/>
      <c r="G73" s="4103" t="n"/>
      <c r="H73" s="4103" t="n"/>
      <c r="I73" s="4103" t="n"/>
      <c r="J73" s="4104" t="n"/>
      <c r="K73" s="2542" t="inlineStr">
        <is>
          <t>担当者</t>
        </is>
      </c>
      <c r="L73" s="4110" t="n"/>
      <c r="M73" s="4111" t="n"/>
      <c r="N73" s="4233" t="n"/>
      <c r="O73" s="4110" t="n"/>
      <c r="P73" s="4110" t="n"/>
      <c r="Q73" s="4110" t="n"/>
      <c r="R73" s="4110" t="n"/>
      <c r="S73" s="4110" t="n"/>
      <c r="T73" s="4110" t="n"/>
      <c r="U73" s="4111" t="n"/>
      <c r="V73" s="2163" t="inlineStr">
        <is>
          <t>電話</t>
        </is>
      </c>
      <c r="W73" s="4111" t="n"/>
      <c r="X73" s="1479" t="n"/>
      <c r="Y73" s="4110" t="n"/>
      <c r="Z73" s="4110" t="n"/>
      <c r="AA73" s="1492" t="inlineStr">
        <is>
          <t>－</t>
        </is>
      </c>
      <c r="AB73" s="1150" t="n"/>
      <c r="AC73" s="4110" t="n"/>
      <c r="AD73" s="4110" t="n"/>
      <c r="AE73" s="1492" t="inlineStr">
        <is>
          <t>－</t>
        </is>
      </c>
      <c r="AF73" s="1483" t="n"/>
      <c r="AG73" s="4110" t="n"/>
      <c r="AH73" s="4113" t="n"/>
    </row>
    <row r="74" ht="15" customHeight="1" s="4080">
      <c r="A74" s="4097" t="n"/>
      <c r="B74" s="4107" t="n"/>
      <c r="C74" s="4103" t="n"/>
      <c r="D74" s="4104" t="n"/>
      <c r="E74" s="1394" t="inlineStr">
        <is>
          <t>そ　　 の 　　他</t>
        </is>
      </c>
      <c r="F74" s="4110" t="n"/>
      <c r="G74" s="4110" t="n"/>
      <c r="H74" s="4110" t="n"/>
      <c r="I74" s="4110" t="n"/>
      <c r="J74" s="4111" t="n"/>
      <c r="K74" s="4121" t="n"/>
      <c r="L74" s="4110" t="n"/>
      <c r="M74" s="4110" t="n"/>
      <c r="N74" s="4110" t="n"/>
      <c r="O74" s="4110" t="n"/>
      <c r="P74" s="4110" t="n"/>
      <c r="Q74" s="4110" t="n"/>
      <c r="R74" s="4110" t="n"/>
      <c r="S74" s="4110" t="n"/>
      <c r="T74" s="4110" t="n"/>
      <c r="U74" s="4110" t="n"/>
      <c r="V74" s="4110" t="n"/>
      <c r="W74" s="4110" t="n"/>
      <c r="X74" s="4110" t="n"/>
      <c r="Y74" s="4110" t="n"/>
      <c r="Z74" s="4110" t="n"/>
      <c r="AA74" s="4110" t="n"/>
      <c r="AB74" s="4110" t="n"/>
      <c r="AC74" s="4110" t="n"/>
      <c r="AD74" s="4110" t="n"/>
      <c r="AE74" s="4110" t="n"/>
      <c r="AF74" s="4110" t="n"/>
      <c r="AG74" s="4110" t="n"/>
      <c r="AH74" s="4113" t="n"/>
    </row>
    <row r="75" ht="15" customHeight="1" s="4080">
      <c r="A75" s="4097" t="n"/>
      <c r="B75" s="4107" t="n"/>
      <c r="C75" s="1245" t="n"/>
      <c r="D75" s="1264" t="inlineStr">
        <is>
          <t>協力医療機関</t>
        </is>
      </c>
      <c r="E75" s="4098" t="n"/>
      <c r="F75" s="4098" t="n"/>
      <c r="G75" s="4098" t="n"/>
      <c r="H75" s="4098" t="n"/>
      <c r="I75" s="4098" t="n"/>
      <c r="J75" s="2077" t="n"/>
      <c r="K75" s="4181" t="inlineStr">
        <is>
          <t>ﾌﾘｶﾞﾅ</t>
        </is>
      </c>
      <c r="L75" s="4110" t="n"/>
      <c r="M75" s="4111" t="n"/>
      <c r="N75" s="4456" t="n"/>
      <c r="O75" s="4110" t="n"/>
      <c r="P75" s="4110" t="n"/>
      <c r="Q75" s="4110" t="n"/>
      <c r="R75" s="4110" t="n"/>
      <c r="S75" s="4110" t="n"/>
      <c r="T75" s="4110" t="n"/>
      <c r="U75" s="4110" t="n"/>
      <c r="V75" s="4110" t="n"/>
      <c r="W75" s="4110" t="n"/>
      <c r="X75" s="4110" t="n"/>
      <c r="Y75" s="4110" t="n"/>
      <c r="Z75" s="4110" t="n"/>
      <c r="AA75" s="4110" t="n"/>
      <c r="AB75" s="4111" t="n"/>
      <c r="AC75" s="4594" t="inlineStr">
        <is>
          <t>主な診療科名</t>
        </is>
      </c>
      <c r="AD75" s="4099" t="n"/>
      <c r="AE75" s="4260" t="n"/>
      <c r="AF75" s="4098" t="n"/>
      <c r="AG75" s="4098" t="n"/>
      <c r="AH75" s="4101" t="n"/>
    </row>
    <row r="76" ht="24" customHeight="1" s="4080">
      <c r="A76" s="4097" t="n"/>
      <c r="B76" s="4107" t="n"/>
      <c r="C76" s="1293" t="n"/>
      <c r="D76" s="4103" t="n"/>
      <c r="E76" s="4103" t="n"/>
      <c r="F76" s="4103" t="n"/>
      <c r="G76" s="4103" t="n"/>
      <c r="H76" s="4103" t="n"/>
      <c r="I76" s="4103" t="n"/>
      <c r="J76" s="4104" t="n"/>
      <c r="K76" s="2164" t="inlineStr">
        <is>
          <t>名　称</t>
        </is>
      </c>
      <c r="L76" s="4110" t="n"/>
      <c r="M76" s="4111" t="n"/>
      <c r="N76" s="4233" t="n"/>
      <c r="O76" s="4110" t="n"/>
      <c r="P76" s="4110" t="n"/>
      <c r="Q76" s="4110" t="n"/>
      <c r="R76" s="4110" t="n"/>
      <c r="S76" s="4110" t="n"/>
      <c r="T76" s="4110" t="n"/>
      <c r="U76" s="4110" t="n"/>
      <c r="V76" s="4110" t="n"/>
      <c r="W76" s="4110" t="n"/>
      <c r="X76" s="4110" t="n"/>
      <c r="Y76" s="4110" t="n"/>
      <c r="Z76" s="4110" t="n"/>
      <c r="AA76" s="4110" t="n"/>
      <c r="AB76" s="4111" t="n"/>
      <c r="AC76" s="4103" t="n"/>
      <c r="AD76" s="4104" t="n"/>
      <c r="AE76" s="4102" t="n"/>
      <c r="AF76" s="4103" t="n"/>
      <c r="AG76" s="4103" t="n"/>
      <c r="AH76" s="4105" t="n"/>
    </row>
    <row r="77" ht="15" customHeight="1" s="4080">
      <c r="A77" s="4097" t="n"/>
      <c r="B77" s="4107" t="n"/>
      <c r="C77" s="1245" t="n"/>
      <c r="D77" s="1264" t="inlineStr">
        <is>
          <t>協力歯科医療機関</t>
        </is>
      </c>
      <c r="E77" s="4098" t="n"/>
      <c r="F77" s="4098" t="n"/>
      <c r="G77" s="4098" t="n"/>
      <c r="H77" s="4098" t="n"/>
      <c r="I77" s="4098" t="n"/>
      <c r="J77" s="2077" t="n"/>
      <c r="K77" s="4181" t="inlineStr">
        <is>
          <t>ﾌﾘｶﾞﾅ</t>
        </is>
      </c>
      <c r="L77" s="4110" t="n"/>
      <c r="M77" s="4111" t="n"/>
      <c r="N77" s="4648" t="n"/>
      <c r="O77" s="4110" t="n"/>
      <c r="P77" s="4110" t="n"/>
      <c r="Q77" s="4110" t="n"/>
      <c r="R77" s="4110" t="n"/>
      <c r="S77" s="4110" t="n"/>
      <c r="T77" s="4110" t="n"/>
      <c r="U77" s="4110" t="n"/>
      <c r="V77" s="4110" t="n"/>
      <c r="W77" s="4110" t="n"/>
      <c r="X77" s="4110" t="n"/>
      <c r="Y77" s="4110" t="n"/>
      <c r="Z77" s="4110" t="n"/>
      <c r="AA77" s="4110" t="n"/>
      <c r="AB77" s="4110" t="n"/>
      <c r="AC77" s="4110" t="n"/>
      <c r="AD77" s="4110" t="n"/>
      <c r="AE77" s="4110" t="n"/>
      <c r="AF77" s="4110" t="n"/>
      <c r="AG77" s="4110" t="n"/>
      <c r="AH77" s="4113" t="n"/>
    </row>
    <row r="78" ht="24" customHeight="1" s="4080">
      <c r="A78" s="4114" t="n"/>
      <c r="B78" s="4104" t="n"/>
      <c r="C78" s="1293" t="n"/>
      <c r="D78" s="4103" t="n"/>
      <c r="E78" s="4103" t="n"/>
      <c r="F78" s="4103" t="n"/>
      <c r="G78" s="4103" t="n"/>
      <c r="H78" s="4103" t="n"/>
      <c r="I78" s="4103" t="n"/>
      <c r="J78" s="4104" t="n"/>
      <c r="K78" s="2164" t="inlineStr">
        <is>
          <t>名　称</t>
        </is>
      </c>
      <c r="L78" s="4110" t="n"/>
      <c r="M78" s="4111" t="n"/>
      <c r="N78" s="4649" t="n"/>
      <c r="O78" s="4110" t="n"/>
      <c r="P78" s="4110" t="n"/>
      <c r="Q78" s="4110" t="n"/>
      <c r="R78" s="4110" t="n"/>
      <c r="S78" s="4110" t="n"/>
      <c r="T78" s="4110" t="n"/>
      <c r="U78" s="4110" t="n"/>
      <c r="V78" s="4110" t="n"/>
      <c r="W78" s="4110" t="n"/>
      <c r="X78" s="4110" t="n"/>
      <c r="Y78" s="4110" t="n"/>
      <c r="Z78" s="4110" t="n"/>
      <c r="AA78" s="4110" t="n"/>
      <c r="AB78" s="4110" t="n"/>
      <c r="AC78" s="4110" t="n"/>
      <c r="AD78" s="4110" t="n"/>
      <c r="AE78" s="4110" t="n"/>
      <c r="AF78" s="4110" t="n"/>
      <c r="AG78" s="4110" t="n"/>
      <c r="AH78" s="4113" t="n"/>
    </row>
    <row r="79" ht="17.1" customHeight="1" s="4080" thickBot="1">
      <c r="A79" s="4234" t="inlineStr">
        <is>
          <t>添　　付　　書　　類</t>
        </is>
      </c>
      <c r="B79" s="4153" t="n"/>
      <c r="C79" s="4153" t="n"/>
      <c r="D79" s="4153" t="n"/>
      <c r="E79" s="4153" t="n"/>
      <c r="F79" s="4153" t="n"/>
      <c r="G79" s="4153" t="n"/>
      <c r="H79" s="4153" t="n"/>
      <c r="I79" s="4153" t="n"/>
      <c r="J79" s="4154" t="n"/>
      <c r="K79" s="4235" t="inlineStr">
        <is>
          <t xml:space="preserve">　別紙「添付書類一覧表」のとおり</t>
        </is>
      </c>
      <c r="L79" s="4153" t="n"/>
      <c r="M79" s="4153" t="n"/>
      <c r="N79" s="4153" t="n"/>
      <c r="O79" s="4153" t="n"/>
      <c r="P79" s="4153" t="n"/>
      <c r="Q79" s="4153" t="n"/>
      <c r="R79" s="4153" t="n"/>
      <c r="S79" s="4153" t="n"/>
      <c r="T79" s="4153" t="n"/>
      <c r="U79" s="4153" t="n"/>
      <c r="V79" s="4153" t="n"/>
      <c r="W79" s="4153" t="n"/>
      <c r="X79" s="4153" t="n"/>
      <c r="Y79" s="4153" t="n"/>
      <c r="Z79" s="4153" t="n"/>
      <c r="AA79" s="4153" t="n"/>
      <c r="AB79" s="4153" t="n"/>
      <c r="AC79" s="4153" t="n"/>
      <c r="AD79" s="4153" t="n"/>
      <c r="AE79" s="4153" t="n"/>
      <c r="AF79" s="4153" t="n"/>
      <c r="AG79" s="4153" t="n"/>
      <c r="AH79" s="4155" t="n"/>
    </row>
  </sheetData>
  <mergeCells count="349">
    <mergeCell ref="U62:AD62"/>
    <mergeCell ref="P58:AH61"/>
    <mergeCell ref="W47:Y47"/>
    <mergeCell ref="V73:W73"/>
    <mergeCell ref="K11:AH11"/>
    <mergeCell ref="Q44:V44"/>
    <mergeCell ref="Z67:AB67"/>
    <mergeCell ref="V18:AH18"/>
    <mergeCell ref="K38:P38"/>
    <mergeCell ref="T34:V34"/>
    <mergeCell ref="C10:E11"/>
    <mergeCell ref="D77:I78"/>
    <mergeCell ref="T28:V28"/>
    <mergeCell ref="AA2:AA3"/>
    <mergeCell ref="D75:I76"/>
    <mergeCell ref="AC48:AH48"/>
    <mergeCell ref="K34:M34"/>
    <mergeCell ref="AC2:AC3"/>
    <mergeCell ref="T29:V29"/>
    <mergeCell ref="Q33:S33"/>
    <mergeCell ref="C22:L22"/>
    <mergeCell ref="Z66:AE66"/>
    <mergeCell ref="K29:M29"/>
    <mergeCell ref="F13:I13"/>
    <mergeCell ref="J77:J78"/>
    <mergeCell ref="AC39:AE39"/>
    <mergeCell ref="E74:J74"/>
    <mergeCell ref="A56:E61"/>
    <mergeCell ref="W46:Y46"/>
    <mergeCell ref="Z51:AB51"/>
    <mergeCell ref="Y23:AH23"/>
    <mergeCell ref="Q46:S46"/>
    <mergeCell ref="C20:AH20"/>
    <mergeCell ref="Z68:AA68"/>
    <mergeCell ref="N45:P45"/>
    <mergeCell ref="C49:J50"/>
    <mergeCell ref="A1:AH1"/>
    <mergeCell ref="R69:AA71"/>
    <mergeCell ref="N47:P47"/>
    <mergeCell ref="C44:J45"/>
    <mergeCell ref="N75:AB75"/>
    <mergeCell ref="T50:V50"/>
    <mergeCell ref="Q38:V38"/>
    <mergeCell ref="W68:X68"/>
    <mergeCell ref="Q35:S35"/>
    <mergeCell ref="K75:M75"/>
    <mergeCell ref="Q34:S34"/>
    <mergeCell ref="F55:J55"/>
    <mergeCell ref="N40:P40"/>
    <mergeCell ref="K39:M39"/>
    <mergeCell ref="Z2:Z3"/>
    <mergeCell ref="AB2:AB3"/>
    <mergeCell ref="AD2:AD3"/>
    <mergeCell ref="W29:Y29"/>
    <mergeCell ref="AF27:AH27"/>
    <mergeCell ref="Q66:V66"/>
    <mergeCell ref="W53:AB53"/>
    <mergeCell ref="N35:P35"/>
    <mergeCell ref="K54:AH54"/>
    <mergeCell ref="W51:Y51"/>
    <mergeCell ref="N46:P46"/>
    <mergeCell ref="K50:M50"/>
    <mergeCell ref="P14:Q16"/>
    <mergeCell ref="E69:J71"/>
    <mergeCell ref="AF45:AH45"/>
    <mergeCell ref="K52:M52"/>
    <mergeCell ref="I8:M9"/>
    <mergeCell ref="A62:J64"/>
    <mergeCell ref="C47:J47"/>
    <mergeCell ref="Q48:V48"/>
    <mergeCell ref="AF40:AH40"/>
    <mergeCell ref="C40:J40"/>
    <mergeCell ref="W17:AH17"/>
    <mergeCell ref="AB70:AC70"/>
    <mergeCell ref="C51:J51"/>
    <mergeCell ref="W19:AH19"/>
    <mergeCell ref="AB73:AD73"/>
    <mergeCell ref="C17:M19"/>
    <mergeCell ref="N41:P41"/>
    <mergeCell ref="AF73:AH73"/>
    <mergeCell ref="T14:V16"/>
    <mergeCell ref="AC28:AE28"/>
    <mergeCell ref="N51:P51"/>
    <mergeCell ref="Q52:S52"/>
    <mergeCell ref="Q39:S39"/>
    <mergeCell ref="W36:AB36"/>
    <mergeCell ref="W30:AB30"/>
    <mergeCell ref="K61:N61"/>
    <mergeCell ref="C14:E16"/>
    <mergeCell ref="AC67:AE67"/>
    <mergeCell ref="K46:M46"/>
    <mergeCell ref="K40:M40"/>
    <mergeCell ref="P63:T63"/>
    <mergeCell ref="C35:J35"/>
    <mergeCell ref="N68:O68"/>
    <mergeCell ref="C65:C68"/>
    <mergeCell ref="O70:Q70"/>
    <mergeCell ref="K73:M73"/>
    <mergeCell ref="AF47:AH47"/>
    <mergeCell ref="M24:X24"/>
    <mergeCell ref="I10:K10"/>
    <mergeCell ref="AF46:AH46"/>
    <mergeCell ref="C46:J46"/>
    <mergeCell ref="C7:E9"/>
    <mergeCell ref="X14:AH16"/>
    <mergeCell ref="C48:J48"/>
    <mergeCell ref="W49:AB49"/>
    <mergeCell ref="A12:S12"/>
    <mergeCell ref="W26:AB26"/>
    <mergeCell ref="N8:O9"/>
    <mergeCell ref="AF10:AH10"/>
    <mergeCell ref="S17:U19"/>
    <mergeCell ref="AC29:AE29"/>
    <mergeCell ref="Z33:AB33"/>
    <mergeCell ref="A26:B53"/>
    <mergeCell ref="J65:J68"/>
    <mergeCell ref="W42:AB42"/>
    <mergeCell ref="AF68:AG68"/>
    <mergeCell ref="AF66:AH67"/>
    <mergeCell ref="Z35:AB35"/>
    <mergeCell ref="K53:P53"/>
    <mergeCell ref="AC43:AH44"/>
    <mergeCell ref="Z34:AB34"/>
    <mergeCell ref="Y24:AH24"/>
    <mergeCell ref="Z28:AB28"/>
    <mergeCell ref="K64:N64"/>
    <mergeCell ref="AE62:AH64"/>
    <mergeCell ref="C36:J36"/>
    <mergeCell ref="W40:Y40"/>
    <mergeCell ref="T39:V39"/>
    <mergeCell ref="C25:L25"/>
    <mergeCell ref="W33:Y33"/>
    <mergeCell ref="N76:AB76"/>
    <mergeCell ref="T47:V47"/>
    <mergeCell ref="W35:Y35"/>
    <mergeCell ref="K79:AH79"/>
    <mergeCell ref="K76:M76"/>
    <mergeCell ref="K68:L68"/>
    <mergeCell ref="P64:Q64"/>
    <mergeCell ref="N72:AH72"/>
    <mergeCell ref="P13:S13"/>
    <mergeCell ref="Q10:S10"/>
    <mergeCell ref="W32:AB32"/>
    <mergeCell ref="F4:AH4"/>
    <mergeCell ref="Q26:V26"/>
    <mergeCell ref="U2:X3"/>
    <mergeCell ref="K77:M77"/>
    <mergeCell ref="AF51:AH51"/>
    <mergeCell ref="C5:E6"/>
    <mergeCell ref="A13:B25"/>
    <mergeCell ref="J14:M16"/>
    <mergeCell ref="C31:J33"/>
    <mergeCell ref="T52:V52"/>
    <mergeCell ref="AC49:AH49"/>
    <mergeCell ref="F7:I7"/>
    <mergeCell ref="T27:V27"/>
    <mergeCell ref="AC36:AH36"/>
    <mergeCell ref="AC52:AE52"/>
    <mergeCell ref="N27:P27"/>
    <mergeCell ref="Y21:AH21"/>
    <mergeCell ref="AC75:AD76"/>
    <mergeCell ref="AC45:AE45"/>
    <mergeCell ref="K30:P30"/>
    <mergeCell ref="T13:X13"/>
    <mergeCell ref="AF33:AH33"/>
    <mergeCell ref="Z63:AD63"/>
    <mergeCell ref="C4:E4"/>
    <mergeCell ref="AC47:AE47"/>
    <mergeCell ref="K51:M51"/>
    <mergeCell ref="C26:J27"/>
    <mergeCell ref="K72:M72"/>
    <mergeCell ref="Z50:AB50"/>
    <mergeCell ref="K58:K60"/>
    <mergeCell ref="W41:Y41"/>
    <mergeCell ref="Z52:AB52"/>
    <mergeCell ref="Z39:AB39"/>
    <mergeCell ref="K56:AH56"/>
    <mergeCell ref="AC50:AE50"/>
    <mergeCell ref="AC27:AE27"/>
    <mergeCell ref="Z64:AA64"/>
    <mergeCell ref="Q28:S28"/>
    <mergeCell ref="Y12:Z12"/>
    <mergeCell ref="AA12:AB12"/>
    <mergeCell ref="K36:P36"/>
    <mergeCell ref="C21:L21"/>
    <mergeCell ref="Q29:S29"/>
    <mergeCell ref="N33:P33"/>
    <mergeCell ref="C23:L23"/>
    <mergeCell ref="K44:P44"/>
    <mergeCell ref="K31:AH31"/>
    <mergeCell ref="K27:M27"/>
    <mergeCell ref="N28:P28"/>
    <mergeCell ref="AC46:AE46"/>
    <mergeCell ref="AC40:AE40"/>
    <mergeCell ref="W48:AB48"/>
    <mergeCell ref="T46:V46"/>
    <mergeCell ref="AC41:AE41"/>
    <mergeCell ref="Z45:AB45"/>
    <mergeCell ref="K49:P49"/>
    <mergeCell ref="K57:AH57"/>
    <mergeCell ref="AC32:AH32"/>
    <mergeCell ref="F61:J61"/>
    <mergeCell ref="K45:M45"/>
    <mergeCell ref="K26:P26"/>
    <mergeCell ref="K47:M47"/>
    <mergeCell ref="F5:AH6"/>
    <mergeCell ref="M22:X22"/>
    <mergeCell ref="X73:Z73"/>
    <mergeCell ref="T40:V40"/>
    <mergeCell ref="K43:AB43"/>
    <mergeCell ref="T68:U68"/>
    <mergeCell ref="Q49:V49"/>
    <mergeCell ref="N66:P67"/>
    <mergeCell ref="Q36:V36"/>
    <mergeCell ref="Q30:V30"/>
    <mergeCell ref="N34:P34"/>
    <mergeCell ref="C24:L24"/>
    <mergeCell ref="AF2:AF3"/>
    <mergeCell ref="AH2:AH3"/>
    <mergeCell ref="Q45:S45"/>
    <mergeCell ref="C13:E13"/>
    <mergeCell ref="J7:N7"/>
    <mergeCell ref="T10:W10"/>
    <mergeCell ref="Q47:S47"/>
    <mergeCell ref="K65:M67"/>
    <mergeCell ref="K33:M33"/>
    <mergeCell ref="A54:E55"/>
    <mergeCell ref="T45:V45"/>
    <mergeCell ref="C28:J28"/>
    <mergeCell ref="K35:M35"/>
    <mergeCell ref="Y25:AH25"/>
    <mergeCell ref="E72:J73"/>
    <mergeCell ref="C30:J30"/>
    <mergeCell ref="Q50:S50"/>
    <mergeCell ref="P7:AH9"/>
    <mergeCell ref="N13:O16"/>
    <mergeCell ref="T51:V51"/>
    <mergeCell ref="AC68:AD68"/>
    <mergeCell ref="Q27:S27"/>
    <mergeCell ref="AF41:AH41"/>
    <mergeCell ref="C41:J41"/>
    <mergeCell ref="AF35:AH35"/>
    <mergeCell ref="X10:Z10"/>
    <mergeCell ref="A79:J79"/>
    <mergeCell ref="U12:V12"/>
    <mergeCell ref="AB10:AD10"/>
    <mergeCell ref="W12:X12"/>
    <mergeCell ref="AJ44:AO44"/>
    <mergeCell ref="T67:V67"/>
    <mergeCell ref="C69:D74"/>
    <mergeCell ref="T33:V33"/>
    <mergeCell ref="T35:V35"/>
    <mergeCell ref="F57:J57"/>
    <mergeCell ref="K55:AH55"/>
    <mergeCell ref="C34:J34"/>
    <mergeCell ref="K41:M41"/>
    <mergeCell ref="AC30:AH30"/>
    <mergeCell ref="N52:P52"/>
    <mergeCell ref="Q40:S40"/>
    <mergeCell ref="N39:P39"/>
    <mergeCell ref="AE2:AE3"/>
    <mergeCell ref="AG2:AG3"/>
    <mergeCell ref="Y2:Y3"/>
    <mergeCell ref="M25:X25"/>
    <mergeCell ref="C29:J29"/>
    <mergeCell ref="Z29:AB29"/>
    <mergeCell ref="K63:O63"/>
    <mergeCell ref="J13:M13"/>
    <mergeCell ref="Q32:V32"/>
    <mergeCell ref="L70:N70"/>
    <mergeCell ref="W28:Y28"/>
    <mergeCell ref="N65:AH65"/>
    <mergeCell ref="W44:AB44"/>
    <mergeCell ref="F10:H10"/>
    <mergeCell ref="K74:AH74"/>
    <mergeCell ref="N50:P50"/>
    <mergeCell ref="AD70:AG70"/>
    <mergeCell ref="F54:J54"/>
    <mergeCell ref="C42:J42"/>
    <mergeCell ref="AC42:AH42"/>
    <mergeCell ref="M21:X21"/>
    <mergeCell ref="K48:P48"/>
    <mergeCell ref="D65:I68"/>
    <mergeCell ref="N78:AH78"/>
    <mergeCell ref="Q41:S41"/>
    <mergeCell ref="N73:U73"/>
    <mergeCell ref="W38:AB38"/>
    <mergeCell ref="AF28:AH28"/>
    <mergeCell ref="A4:B11"/>
    <mergeCell ref="C52:J52"/>
    <mergeCell ref="W66:Y67"/>
    <mergeCell ref="AF39:AH39"/>
    <mergeCell ref="W34:Y34"/>
    <mergeCell ref="Y22:AH22"/>
    <mergeCell ref="U63:Y63"/>
    <mergeCell ref="Q67:S67"/>
    <mergeCell ref="Q68:R68"/>
    <mergeCell ref="AC26:AH26"/>
    <mergeCell ref="AC12:AD12"/>
    <mergeCell ref="AE12:AF12"/>
    <mergeCell ref="K62:T62"/>
    <mergeCell ref="AF50:AH50"/>
    <mergeCell ref="AF52:AH52"/>
    <mergeCell ref="AC51:AE51"/>
    <mergeCell ref="N17:R17"/>
    <mergeCell ref="M23:X23"/>
    <mergeCell ref="Q53:V53"/>
    <mergeCell ref="N19:R19"/>
    <mergeCell ref="AF34:AH34"/>
    <mergeCell ref="Q51:S51"/>
    <mergeCell ref="AF29:AH29"/>
    <mergeCell ref="AC33:AE33"/>
    <mergeCell ref="F11:J11"/>
    <mergeCell ref="C37:J39"/>
    <mergeCell ref="Z47:AB47"/>
    <mergeCell ref="AC35:AE35"/>
    <mergeCell ref="AC34:AE34"/>
    <mergeCell ref="F14:I16"/>
    <mergeCell ref="T41:V41"/>
    <mergeCell ref="K42:P42"/>
    <mergeCell ref="W52:Y52"/>
    <mergeCell ref="W39:Y39"/>
    <mergeCell ref="A65:B78"/>
    <mergeCell ref="J75:J76"/>
    <mergeCell ref="K78:M78"/>
    <mergeCell ref="F8:H9"/>
    <mergeCell ref="K37:AH37"/>
    <mergeCell ref="Z27:AB27"/>
    <mergeCell ref="U64:V64"/>
    <mergeCell ref="F58:J60"/>
    <mergeCell ref="C53:J53"/>
    <mergeCell ref="AC53:AH53"/>
    <mergeCell ref="M10:O10"/>
    <mergeCell ref="K32:P32"/>
    <mergeCell ref="N77:AH77"/>
    <mergeCell ref="W50:Y50"/>
    <mergeCell ref="O58:O60"/>
    <mergeCell ref="AC38:AH38"/>
    <mergeCell ref="N29:P29"/>
    <mergeCell ref="W27:Y27"/>
    <mergeCell ref="AJ49:AO49"/>
    <mergeCell ref="K28:M28"/>
    <mergeCell ref="Z46:AB46"/>
    <mergeCell ref="Z40:AB40"/>
    <mergeCell ref="F56:J56"/>
    <mergeCell ref="Z41:AB41"/>
    <mergeCell ref="Q42:V42"/>
    <mergeCell ref="W45:Y45"/>
    <mergeCell ref="AE75:AH76"/>
  </mergeCells>
  <conditionalFormatting sqref="W46:AB48 AF68:AG68">
    <cfRule type="cellIs" priority="1" operator="equal" dxfId="0" stopIfTrue="1">
      <formula>0</formula>
    </cfRule>
  </conditionalFormatting>
  <conditionalFormatting sqref="AC34:AH36 AC40:AH42">
    <cfRule type="cellIs" priority="2" operator="lessThanOrEqual" dxfId="0" stopIfTrue="1">
      <formula>0</formula>
    </cfRule>
  </conditionalFormatting>
  <dataValidations count="6">
    <dataValidation sqref="M10:O10 Q10:S10 X10:Z10 AB10:AD10 AF10:AH10" showDropDown="0" showInputMessage="1" showErrorMessage="1" allowBlank="1" error="全角数字で入力してください" imeMode="fullAlpha"/>
    <dataValidation sqref="K49:AH49" showDropDown="0" showInputMessage="1" showErrorMessage="1" allowBlank="1" error="栄養士、調理員、事務職員、運転手等の直接処遇職員以外の職員は、(14)以降に記入すること" type="list" errorStyle="warning">
      <formula1>"　,職業指導員,あん摩マッサージ指圧師,介護職員,保育士,事務職員,調理員,栄養士,運転手"</formula1>
    </dataValidation>
    <dataValidation sqref="K26" showDropDown="0" showInputMessage="1" showErrorMessage="1" allowBlank="1" error="栄養士、調理員、事務職員、運転手等の直接処遇職員以外の職員は、(14)以降に記入すること" type="list" errorStyle="warning">
      <formula1>"　,医師,看護師(保健師),職業指導員,生活支援員,心理判定員,職能判定員,作業療法士,あん摩マッサージ指圧師,介護職員,保育士"</formula1>
    </dataValidation>
    <dataValidation sqref="K28:AH30 K34:AH36 K40:AH42 K46:AH48 K51:AH53" showDropDown="0" showInputMessage="1" showErrorMessage="1" allowBlank="1" imeMode="halfAlpha"/>
    <dataValidation sqref="I10:K10 J7:N7 T13:X13 U12:V12 X73 Y2:AH3 Y12:Z12 AB73:AD73 AC12:AD12 AF73" showDropDown="0" showInputMessage="1" showErrorMessage="1" allowBlank="1" imeMode="fullAlpha"/>
    <dataValidation sqref="F4:AH4 F13:M13 J75 J77 N75 N77" showDropDown="0" showInputMessage="1" showErrorMessage="1" allowBlank="1" imeMode="halfKatakana"/>
  </dataValidations>
  <printOptions horizontalCentered="1"/>
  <pageMargins left="0.7086614173228347" right="0.5905511811023623" top="0.3937007874015748" bottom="0.3937007874015748" header="0.5118110236220472" footer="0.5118110236220472"/>
  <pageSetup orientation="portrait" paperSize="9"/>
  <rowBreaks count="1" manualBreakCount="1">
    <brk id="64" min="0" max="33" man="1"/>
  </rowBreaks>
  <legacyDrawing xmlns:r="http://schemas.openxmlformats.org/officeDocument/2006/relationships" r:id="anysvml"/>
</worksheet>
</file>

<file path=xl/worksheets/sheet28.xml><?xml version="1.0" encoding="utf-8"?>
<worksheet xmlns="http://schemas.openxmlformats.org/spreadsheetml/2006/main">
  <sheetPr codeName="Sheet27">
    <outlinePr summaryBelow="1" summaryRight="1"/>
    <pageSetUpPr/>
  </sheetPr>
  <dimension ref="A1:AO79"/>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7.1" customHeight="1" s="4080" thickBot="1">
      <c r="A1" s="1213" t="inlineStr">
        <is>
          <t>付表１４　障害者支援施設の指定に係る記載事項</t>
        </is>
      </c>
      <c r="AN1" s="719">
        <f>HYPERLINK("#目次!A1","目次へ戻る")</f>
        <v/>
      </c>
    </row>
    <row r="2" ht="12.95" customHeight="1" s="4080">
      <c r="G2" s="45" t="n"/>
      <c r="H2" s="45" t="n"/>
      <c r="I2" s="1889" t="n"/>
      <c r="J2" s="1889" t="n"/>
      <c r="K2" s="1889" t="n"/>
      <c r="L2" s="1889" t="n"/>
      <c r="M2" s="1889" t="n"/>
      <c r="N2" s="2069" t="n"/>
      <c r="O2" s="1889" t="n"/>
      <c r="P2" s="1889" t="n"/>
      <c r="Q2" s="1889" t="n"/>
      <c r="R2" s="1889" t="n"/>
      <c r="S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A3" s="197" t="n"/>
      <c r="B3" s="197" t="n"/>
      <c r="C3" s="197" t="n"/>
      <c r="D3" s="197" t="n"/>
      <c r="E3" s="197" t="n"/>
      <c r="F3" s="197" t="n"/>
      <c r="G3" s="197" t="n"/>
      <c r="H3" s="197" t="n"/>
      <c r="I3" s="197" t="n"/>
      <c r="J3" s="197" t="n"/>
      <c r="K3" s="197" t="n"/>
      <c r="L3" s="197" t="n"/>
      <c r="M3" s="197" t="n"/>
      <c r="N3" s="197" t="n"/>
      <c r="O3" s="197" t="n"/>
      <c r="P3" s="197" t="n"/>
      <c r="Q3" s="197" t="n"/>
      <c r="R3" s="197" t="n"/>
      <c r="S3" s="197" t="n"/>
      <c r="T3" s="428" t="n"/>
      <c r="U3" s="4086" t="n"/>
      <c r="V3" s="4087" t="n"/>
      <c r="W3" s="4087" t="n"/>
      <c r="X3" s="4088" t="n"/>
      <c r="Y3" s="4089" t="n"/>
      <c r="Z3" s="4089" t="n"/>
      <c r="AA3" s="4089" t="n"/>
      <c r="AB3" s="4089" t="n"/>
      <c r="AC3" s="4089" t="n"/>
      <c r="AD3" s="4089" t="n"/>
      <c r="AE3" s="4089" t="n"/>
      <c r="AF3" s="4089" t="n"/>
      <c r="AG3" s="4089" t="n"/>
      <c r="AH3" s="4090" t="n"/>
    </row>
    <row r="4" ht="14.1" customHeight="1" s="4080">
      <c r="A4" s="4179" t="inlineStr">
        <is>
          <t>施　　設</t>
        </is>
      </c>
      <c r="B4" s="4082" t="n"/>
      <c r="C4" s="4180" t="inlineStr">
        <is>
          <t>ﾌﾘｶﾞﾅ</t>
        </is>
      </c>
      <c r="D4" s="4093" t="n"/>
      <c r="E4" s="4094" t="n"/>
      <c r="F4" s="4236" t="inlineStr">
        <is>
          <t>ｼｮｳｶﾞｲｼｬｼｴﾝｼｾﾂ ﾅｶﾉｼﾏｴﾝ</t>
        </is>
      </c>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C5" s="4181" t="inlineStr">
        <is>
          <t>名　称</t>
        </is>
      </c>
      <c r="D5" s="4098" t="n"/>
      <c r="E5" s="4099" t="n"/>
      <c r="F5" s="4237" t="inlineStr">
        <is>
          <t>障がい者支援施設　中之島園</t>
        </is>
      </c>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C7" s="4181" t="inlineStr">
        <is>
          <t>所在地</t>
        </is>
      </c>
      <c r="D7" s="4098" t="n"/>
      <c r="E7" s="4099" t="n"/>
      <c r="F7" s="1244" t="inlineStr">
        <is>
          <t>郵便番号（</t>
        </is>
      </c>
      <c r="G7" s="4098" t="n"/>
      <c r="H7" s="4098" t="n"/>
      <c r="I7" s="4098" t="n"/>
      <c r="J7" s="2094" t="inlineStr">
        <is>
          <t>５３０－８２０１</t>
        </is>
      </c>
      <c r="K7" s="4098" t="n"/>
      <c r="L7" s="4098" t="n"/>
      <c r="M7" s="4098" t="n"/>
      <c r="N7" s="4098" t="n"/>
      <c r="O7" s="1329" t="inlineStr">
        <is>
          <t>）</t>
        </is>
      </c>
      <c r="P7" s="4434" t="inlineStr">
        <is>
          <t>中之島１－３－２０</t>
        </is>
      </c>
      <c r="Q7" s="4098" t="n"/>
      <c r="R7" s="4098" t="n"/>
      <c r="S7" s="4098" t="n"/>
      <c r="T7" s="4098" t="n"/>
      <c r="U7" s="4098" t="n"/>
      <c r="V7" s="4098" t="n"/>
      <c r="W7" s="4098" t="n"/>
      <c r="X7" s="4098" t="n"/>
      <c r="Y7" s="4098" t="n"/>
      <c r="Z7" s="4098" t="n"/>
      <c r="AA7" s="4098" t="n"/>
      <c r="AB7" s="4098" t="n"/>
      <c r="AC7" s="4098" t="n"/>
      <c r="AD7" s="4098" t="n"/>
      <c r="AE7" s="4098" t="n"/>
      <c r="AF7" s="4098" t="n"/>
      <c r="AG7" s="4098" t="n"/>
      <c r="AH7" s="4101" t="n"/>
    </row>
    <row r="8" ht="14.1" customHeight="1" s="4080">
      <c r="A8" s="4097" t="n"/>
      <c r="C8" s="4106" t="n"/>
      <c r="E8" s="4107" t="n"/>
      <c r="F8" s="1255" t="inlineStr">
        <is>
          <t>大阪市</t>
        </is>
      </c>
      <c r="I8" s="2093" t="inlineStr">
        <is>
          <t>北</t>
        </is>
      </c>
      <c r="N8" s="1260" t="inlineStr">
        <is>
          <t>区</t>
        </is>
      </c>
      <c r="AH8" s="4109" t="n"/>
    </row>
    <row r="9" ht="3.95"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C10" s="4181" t="inlineStr">
        <is>
          <t>連絡先</t>
        </is>
      </c>
      <c r="D10" s="4098" t="n"/>
      <c r="E10" s="4099" t="n"/>
      <c r="F10" s="1262" t="inlineStr">
        <is>
          <t>電話番号</t>
        </is>
      </c>
      <c r="G10" s="4110" t="n"/>
      <c r="H10" s="4111" t="n"/>
      <c r="I10" s="1479" t="inlineStr">
        <is>
          <t>０６</t>
        </is>
      </c>
      <c r="J10" s="4110" t="n"/>
      <c r="K10" s="4110" t="n"/>
      <c r="L10" s="1492" t="inlineStr">
        <is>
          <t>－</t>
        </is>
      </c>
      <c r="M10" s="1150" t="inlineStr">
        <is>
          <t>６２４１</t>
        </is>
      </c>
      <c r="N10" s="4110" t="n"/>
      <c r="O10" s="4110" t="n"/>
      <c r="P10" s="1492" t="inlineStr">
        <is>
          <t>－</t>
        </is>
      </c>
      <c r="Q10" s="1482" t="inlineStr">
        <is>
          <t>６５２０</t>
        </is>
      </c>
      <c r="R10" s="4110" t="n"/>
      <c r="S10" s="4111" t="n"/>
      <c r="T10" s="4184" t="inlineStr">
        <is>
          <t>ＦＡＸ番号</t>
        </is>
      </c>
      <c r="U10" s="4110" t="n"/>
      <c r="V10" s="4110" t="n"/>
      <c r="W10" s="4111" t="n"/>
      <c r="X10" s="1479" t="inlineStr">
        <is>
          <t>０６</t>
        </is>
      </c>
      <c r="Y10" s="4110" t="n"/>
      <c r="Z10" s="4110" t="n"/>
      <c r="AA10" s="1492" t="inlineStr">
        <is>
          <t>－</t>
        </is>
      </c>
      <c r="AB10" s="1150" t="inlineStr">
        <is>
          <t>６２４１</t>
        </is>
      </c>
      <c r="AC10" s="4110" t="n"/>
      <c r="AD10" s="4110" t="n"/>
      <c r="AE10" s="1492" t="inlineStr">
        <is>
          <t>－</t>
        </is>
      </c>
      <c r="AF10" s="1483" t="inlineStr">
        <is>
          <t>６６０８</t>
        </is>
      </c>
      <c r="AG10" s="4110" t="n"/>
      <c r="AH10" s="4113" t="n"/>
    </row>
    <row r="11" ht="15" customHeight="1" s="4080">
      <c r="A11" s="4114" t="n"/>
      <c r="B11" s="4103" t="n"/>
      <c r="C11" s="4102" t="n"/>
      <c r="D11" s="4103" t="n"/>
      <c r="E11" s="4104" t="n"/>
      <c r="F11" s="4185" t="inlineStr">
        <is>
          <t>メールアドレス</t>
        </is>
      </c>
      <c r="G11" s="4110" t="n"/>
      <c r="H11" s="4110" t="n"/>
      <c r="I11" s="4110" t="n"/>
      <c r="J11" s="4111" t="n"/>
      <c r="K11" s="4239" t="inlineStr">
        <is>
          <t>fa0260@city.osaka.lg.jp</t>
        </is>
      </c>
      <c r="L11" s="4110" t="n"/>
      <c r="M11" s="4110" t="n"/>
      <c r="N11" s="4110" t="n"/>
      <c r="O11" s="4110" t="n"/>
      <c r="P11" s="4110" t="n"/>
      <c r="Q11" s="4110" t="n"/>
      <c r="R11" s="4110" t="n"/>
      <c r="S11" s="4110" t="n"/>
      <c r="T11" s="4110" t="n"/>
      <c r="U11" s="4110" t="n"/>
      <c r="V11" s="4110" t="n"/>
      <c r="W11" s="4110" t="n"/>
      <c r="X11" s="4110" t="n"/>
      <c r="Y11" s="4110" t="n"/>
      <c r="Z11" s="4110" t="n"/>
      <c r="AA11" s="4110" t="n"/>
      <c r="AB11" s="4110" t="n"/>
      <c r="AC11" s="4110" t="n"/>
      <c r="AD11" s="4110" t="n"/>
      <c r="AE11" s="4110" t="n"/>
      <c r="AF11" s="4110" t="n"/>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1150" t="inlineStr">
        <is>
          <t>２</t>
        </is>
      </c>
      <c r="V12" s="4110" t="n"/>
      <c r="W12" s="1264" t="inlineStr">
        <is>
          <t>条第</t>
        </is>
      </c>
      <c r="X12" s="4110" t="n"/>
      <c r="Y12" s="1150" t="inlineStr">
        <is>
          <t>１</t>
        </is>
      </c>
      <c r="Z12" s="4110" t="n"/>
      <c r="AA12" s="1264" t="inlineStr">
        <is>
          <t>項第</t>
        </is>
      </c>
      <c r="AB12" s="4110" t="n"/>
      <c r="AC12" s="1150" t="inlineStr">
        <is>
          <t>１４</t>
        </is>
      </c>
      <c r="AD12" s="4110" t="n"/>
      <c r="AE12" s="1264" t="inlineStr">
        <is>
          <t>号（</t>
        </is>
      </c>
      <c r="AF12" s="4110" t="n"/>
      <c r="AG12" s="1150" t="inlineStr">
        <is>
          <t>ア</t>
        </is>
      </c>
      <c r="AH12" s="2827" t="inlineStr">
        <is>
          <t>）</t>
        </is>
      </c>
    </row>
    <row r="13" ht="12" customHeight="1" s="4080">
      <c r="A13" s="4188" t="inlineStr">
        <is>
          <t>管　　理　　者</t>
        </is>
      </c>
      <c r="B13" s="4099" t="n"/>
      <c r="C13" s="4184" t="inlineStr">
        <is>
          <t>ﾌﾘｶﾞﾅ</t>
        </is>
      </c>
      <c r="D13" s="4110" t="n"/>
      <c r="E13" s="4111" t="n"/>
      <c r="F13" s="1487" t="inlineStr">
        <is>
          <t>ｵｵｻｶ</t>
        </is>
      </c>
      <c r="G13" s="4110" t="n"/>
      <c r="H13" s="4110" t="n"/>
      <c r="I13" s="4189" t="n"/>
      <c r="J13" s="1488" t="inlineStr">
        <is>
          <t>ﾀﾛｳ</t>
        </is>
      </c>
      <c r="K13" s="4110" t="n"/>
      <c r="L13" s="4110" t="n"/>
      <c r="M13" s="4189" t="n"/>
      <c r="N13" s="4185" t="inlineStr">
        <is>
          <t>住所</t>
        </is>
      </c>
      <c r="O13" s="4099" t="n"/>
      <c r="P13" s="1244" t="inlineStr">
        <is>
          <t>郵便番号（</t>
        </is>
      </c>
      <c r="Q13" s="4098" t="n"/>
      <c r="R13" s="4098" t="n"/>
      <c r="S13" s="4098" t="n"/>
      <c r="T13" s="1742" t="inlineStr">
        <is>
          <t>５４０－８５７０</t>
        </is>
      </c>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487" t="inlineStr">
        <is>
          <t>大阪</t>
        </is>
      </c>
      <c r="G14" s="4098" t="n"/>
      <c r="H14" s="4098" t="n"/>
      <c r="I14" s="4190" t="n"/>
      <c r="J14" s="1488" t="inlineStr">
        <is>
          <t>太郎</t>
        </is>
      </c>
      <c r="K14" s="4098" t="n"/>
      <c r="L14" s="4098" t="n"/>
      <c r="M14" s="4190" t="n"/>
      <c r="N14" s="4106" t="n"/>
      <c r="O14" s="4107" t="n"/>
      <c r="P14" s="1509" t="inlineStr">
        <is>
          <t>大阪</t>
        </is>
      </c>
      <c r="R14" s="2378" t="inlineStr">
        <is>
          <t>都</t>
        </is>
      </c>
      <c r="S14" s="2378" t="inlineStr">
        <is>
          <t>道</t>
        </is>
      </c>
      <c r="T14" s="2939" t="inlineStr">
        <is>
          <t>大阪</t>
        </is>
      </c>
      <c r="W14" s="2378" t="inlineStr">
        <is>
          <t>郡</t>
        </is>
      </c>
      <c r="X14" s="1512" t="inlineStr">
        <is>
          <t>中央区大手前○丁目○番○号</t>
        </is>
      </c>
      <c r="AH14" s="4109" t="n"/>
    </row>
    <row r="15" ht="12" customHeight="1" s="4080">
      <c r="A15" s="4097" t="n"/>
      <c r="B15" s="4107" t="n"/>
      <c r="C15" s="4106" t="n"/>
      <c r="E15" s="4107" t="n"/>
      <c r="F15" s="4106" t="n"/>
      <c r="I15" s="4191" t="n"/>
      <c r="J15" s="4192" t="n"/>
      <c r="M15" s="4191" t="n"/>
      <c r="N15" s="4106" t="n"/>
      <c r="O15" s="4107" t="n"/>
      <c r="P15" s="4106" t="n"/>
      <c r="R15" s="79" t="inlineStr">
        <is>
          <t>府</t>
        </is>
      </c>
      <c r="S15" s="2378" t="inlineStr">
        <is>
          <t>県</t>
        </is>
      </c>
      <c r="W15" s="79"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80" t="inlineStr">
        <is>
          <t>有</t>
        </is>
      </c>
      <c r="P18" s="1325" t="inlineStr">
        <is>
          <t>・</t>
        </is>
      </c>
      <c r="Q18" s="1325" t="inlineStr">
        <is>
          <t>無</t>
        </is>
      </c>
      <c r="R18" s="1332" t="n"/>
      <c r="S18" s="4106" t="n"/>
      <c r="U18" s="4107" t="n"/>
      <c r="V18" s="4196" t="inlineStr">
        <is>
          <t>サービス管理責任者</t>
        </is>
      </c>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7.25" customHeight="1" s="4080">
      <c r="A20" s="4097" t="n"/>
      <c r="B20" s="4107" t="n"/>
      <c r="C20" s="2166" t="inlineStr">
        <is>
          <t>他の事業所又は施設を兼務する場合における当該兼務する事業所等の名称等</t>
        </is>
      </c>
      <c r="D20" s="4110" t="n"/>
      <c r="E20" s="4110" t="n"/>
      <c r="F20" s="4110" t="n"/>
      <c r="G20" s="4110" t="n"/>
      <c r="H20" s="4110" t="n"/>
      <c r="I20" s="4110" t="n"/>
      <c r="J20" s="4110" t="n"/>
      <c r="K20" s="4110" t="n"/>
      <c r="L20" s="4110" t="n"/>
      <c r="M20" s="4110" t="n"/>
      <c r="N20" s="4110" t="n"/>
      <c r="O20" s="4110" t="n"/>
      <c r="P20" s="4110" t="n"/>
      <c r="Q20" s="4110" t="n"/>
      <c r="R20" s="4110" t="n"/>
      <c r="S20" s="4110" t="n"/>
      <c r="T20" s="4110" t="n"/>
      <c r="U20" s="4110" t="n"/>
      <c r="V20" s="4110" t="n"/>
      <c r="W20" s="4110" t="n"/>
      <c r="X20" s="4110" t="n"/>
      <c r="Y20" s="4110" t="n"/>
      <c r="Z20" s="4110" t="n"/>
      <c r="AA20" s="4110" t="n"/>
      <c r="AB20" s="4110" t="n"/>
      <c r="AC20" s="4110" t="n"/>
      <c r="AD20" s="4110" t="n"/>
      <c r="AE20" s="4110" t="n"/>
      <c r="AF20" s="4110" t="n"/>
      <c r="AG20" s="4110" t="n"/>
      <c r="AH20" s="4113" t="n"/>
    </row>
    <row r="21" ht="17.25" customHeight="1" s="4080">
      <c r="A21" s="4097" t="n"/>
      <c r="B21" s="4107" t="n"/>
      <c r="C21" s="4240" t="inlineStr">
        <is>
          <t>事　業　所　名</t>
        </is>
      </c>
      <c r="D21" s="4110" t="n"/>
      <c r="E21" s="4110" t="n"/>
      <c r="F21" s="4110" t="n"/>
      <c r="G21" s="4110" t="n"/>
      <c r="H21" s="4110" t="n"/>
      <c r="I21" s="4110" t="n"/>
      <c r="J21" s="4110" t="n"/>
      <c r="K21" s="4110" t="n"/>
      <c r="L21" s="4189" t="n"/>
      <c r="M21" s="4241" t="inlineStr">
        <is>
          <t>サービス種別</t>
        </is>
      </c>
      <c r="N21" s="4110" t="n"/>
      <c r="O21" s="4110" t="n"/>
      <c r="P21" s="4110" t="n"/>
      <c r="Q21" s="4110" t="n"/>
      <c r="R21" s="4110" t="n"/>
      <c r="S21" s="4110" t="n"/>
      <c r="T21" s="4110" t="n"/>
      <c r="U21" s="4110" t="n"/>
      <c r="V21" s="4110" t="n"/>
      <c r="W21" s="4110" t="n"/>
      <c r="X21" s="4189" t="n"/>
      <c r="Y21" s="4242" t="inlineStr">
        <is>
          <t>職　　　種</t>
        </is>
      </c>
      <c r="Z21" s="4110" t="n"/>
      <c r="AA21" s="4110" t="n"/>
      <c r="AB21" s="4110" t="n"/>
      <c r="AC21" s="4110" t="n"/>
      <c r="AD21" s="4110" t="n"/>
      <c r="AE21" s="4110" t="n"/>
      <c r="AF21" s="4110" t="n"/>
      <c r="AG21" s="4110" t="n"/>
      <c r="AH21" s="4113" t="n"/>
    </row>
    <row r="22" ht="15" customHeight="1" s="4080">
      <c r="A22" s="4097" t="n"/>
      <c r="B22" s="4107" t="n"/>
      <c r="C22" s="4243" t="inlineStr">
        <is>
          <t>大阪市障がい福祉サービス</t>
        </is>
      </c>
      <c r="D22" s="4138" t="n"/>
      <c r="E22" s="4138" t="n"/>
      <c r="F22" s="4138" t="n"/>
      <c r="G22" s="4138" t="n"/>
      <c r="H22" s="4138" t="n"/>
      <c r="I22" s="4138" t="n"/>
      <c r="J22" s="4138" t="n"/>
      <c r="K22" s="4138" t="n"/>
      <c r="L22" s="4198" t="n"/>
      <c r="M22" s="4244" t="inlineStr">
        <is>
          <t>就労継続支援B型</t>
        </is>
      </c>
      <c r="N22" s="4138" t="n"/>
      <c r="O22" s="4138" t="n"/>
      <c r="P22" s="4138" t="n"/>
      <c r="Q22" s="4138" t="n"/>
      <c r="R22" s="4138" t="n"/>
      <c r="S22" s="4138" t="n"/>
      <c r="T22" s="4138" t="n"/>
      <c r="U22" s="4138" t="n"/>
      <c r="V22" s="4138" t="n"/>
      <c r="W22" s="4138" t="n"/>
      <c r="X22" s="4198" t="n"/>
      <c r="Y22" s="4245" t="inlineStr">
        <is>
          <t>管理者</t>
        </is>
      </c>
      <c r="Z22" s="4138" t="n"/>
      <c r="AA22" s="4138" t="n"/>
      <c r="AB22" s="4138" t="n"/>
      <c r="AC22" s="4138" t="n"/>
      <c r="AD22" s="4138" t="n"/>
      <c r="AE22" s="4138" t="n"/>
      <c r="AF22" s="4138" t="n"/>
      <c r="AG22" s="4138" t="n"/>
      <c r="AH22" s="4246" t="n"/>
    </row>
    <row r="23" ht="15" customHeight="1" s="4080">
      <c r="A23" s="4097" t="n"/>
      <c r="B23" s="4107" t="n"/>
      <c r="C23" s="1339" t="n"/>
      <c r="D23" s="4199" t="n"/>
      <c r="E23" s="4199" t="n"/>
      <c r="F23" s="4199" t="n"/>
      <c r="G23" s="4199" t="n"/>
      <c r="H23" s="4199" t="n"/>
      <c r="I23" s="4199" t="n"/>
      <c r="J23" s="4199" t="n"/>
      <c r="K23" s="4199" t="n"/>
      <c r="L23" s="4200" t="n"/>
      <c r="M23" s="1340" t="n"/>
      <c r="N23" s="4199" t="n"/>
      <c r="O23" s="4199" t="n"/>
      <c r="P23" s="4199" t="n"/>
      <c r="Q23" s="4199" t="n"/>
      <c r="R23" s="4199" t="n"/>
      <c r="S23" s="4199" t="n"/>
      <c r="T23" s="4199" t="n"/>
      <c r="U23" s="4199" t="n"/>
      <c r="V23" s="4199" t="n"/>
      <c r="W23" s="4199" t="n"/>
      <c r="X23" s="4200" t="n"/>
      <c r="Y23" s="1342" t="n"/>
      <c r="Z23" s="4199" t="n"/>
      <c r="AA23" s="4199" t="n"/>
      <c r="AB23" s="4199" t="n"/>
      <c r="AC23" s="4199" t="n"/>
      <c r="AD23" s="4199" t="n"/>
      <c r="AE23" s="4199" t="n"/>
      <c r="AF23" s="4199" t="n"/>
      <c r="AG23" s="4199" t="n"/>
      <c r="AH23" s="4247" t="n"/>
    </row>
    <row r="24" ht="15" customHeight="1" s="4080">
      <c r="A24" s="4097" t="n"/>
      <c r="B24" s="4107" t="n"/>
      <c r="C24" s="1339" t="n"/>
      <c r="D24" s="4199" t="n"/>
      <c r="E24" s="4199" t="n"/>
      <c r="F24" s="4199" t="n"/>
      <c r="G24" s="4199" t="n"/>
      <c r="H24" s="4199" t="n"/>
      <c r="I24" s="4199" t="n"/>
      <c r="J24" s="4199" t="n"/>
      <c r="K24" s="4199" t="n"/>
      <c r="L24" s="4200" t="n"/>
      <c r="M24" s="1340" t="n"/>
      <c r="N24" s="4199" t="n"/>
      <c r="O24" s="4199" t="n"/>
      <c r="P24" s="4199" t="n"/>
      <c r="Q24" s="4199" t="n"/>
      <c r="R24" s="4199" t="n"/>
      <c r="S24" s="4199" t="n"/>
      <c r="T24" s="4199" t="n"/>
      <c r="U24" s="4199" t="n"/>
      <c r="V24" s="4199" t="n"/>
      <c r="W24" s="4199" t="n"/>
      <c r="X24" s="4200" t="n"/>
      <c r="Y24" s="1342" t="n"/>
      <c r="Z24" s="4199" t="n"/>
      <c r="AA24" s="4199" t="n"/>
      <c r="AB24" s="4199" t="n"/>
      <c r="AC24" s="4199" t="n"/>
      <c r="AD24" s="4199" t="n"/>
      <c r="AE24" s="4199" t="n"/>
      <c r="AF24" s="4199" t="n"/>
      <c r="AG24" s="4199" t="n"/>
      <c r="AH24" s="4247" t="n"/>
    </row>
    <row r="25" ht="15" customHeight="1" s="4080">
      <c r="A25" s="4097" t="n"/>
      <c r="B25" s="4107" t="n"/>
      <c r="C25" s="4248" t="n"/>
      <c r="D25" s="4140" t="n"/>
      <c r="E25" s="4140" t="n"/>
      <c r="F25" s="4140" t="n"/>
      <c r="G25" s="4140" t="n"/>
      <c r="H25" s="4140" t="n"/>
      <c r="I25" s="4140" t="n"/>
      <c r="J25" s="4140" t="n"/>
      <c r="K25" s="4140" t="n"/>
      <c r="L25" s="4249" t="n"/>
      <c r="M25" s="4250" t="n"/>
      <c r="N25" s="4140" t="n"/>
      <c r="O25" s="4140" t="n"/>
      <c r="P25" s="4140" t="n"/>
      <c r="Q25" s="4140" t="n"/>
      <c r="R25" s="4140" t="n"/>
      <c r="S25" s="4140" t="n"/>
      <c r="T25" s="4140" t="n"/>
      <c r="U25" s="4140" t="n"/>
      <c r="V25" s="4140" t="n"/>
      <c r="W25" s="4140" t="n"/>
      <c r="X25" s="4249" t="n"/>
      <c r="Y25" s="4251" t="n"/>
      <c r="Z25" s="4140" t="n"/>
      <c r="AA25" s="4140" t="n"/>
      <c r="AB25" s="4140" t="n"/>
      <c r="AC25" s="4140" t="n"/>
      <c r="AD25" s="4140" t="n"/>
      <c r="AE25" s="4140" t="n"/>
      <c r="AF25" s="4140" t="n"/>
      <c r="AG25" s="4140" t="n"/>
      <c r="AH25" s="4252" t="n"/>
    </row>
    <row r="26" ht="14.1" customHeight="1" s="4080" thickBot="1">
      <c r="A26" s="4573" t="inlineStr">
        <is>
          <t>職　員　の　職　種　・　員　数</t>
        </is>
      </c>
      <c r="B26" s="4099" t="n"/>
      <c r="C26" s="4362" t="inlineStr">
        <is>
          <t xml:space="preserve">　　　　　　　　　職種・勤務形態
常勤・非常勤の別</t>
        </is>
      </c>
      <c r="D26" s="4098" t="n"/>
      <c r="E26" s="4098" t="n"/>
      <c r="F26" s="4098" t="n"/>
      <c r="G26" s="4098" t="n"/>
      <c r="H26" s="4098" t="n"/>
      <c r="I26" s="4098" t="n"/>
      <c r="J26" s="4099" t="n"/>
      <c r="K26" s="4403" t="inlineStr">
        <is>
          <t>サービス管理責任者</t>
        </is>
      </c>
      <c r="L26" s="4110" t="n"/>
      <c r="M26" s="4110" t="n"/>
      <c r="N26" s="4110" t="n"/>
      <c r="O26" s="4110" t="n"/>
      <c r="P26" s="4111" t="n"/>
      <c r="Q26" s="4440" t="inlineStr">
        <is>
          <t>医師</t>
        </is>
      </c>
      <c r="R26" s="4110" t="n"/>
      <c r="S26" s="4110" t="n"/>
      <c r="T26" s="4110" t="n"/>
      <c r="U26" s="4110" t="n"/>
      <c r="V26" s="4111" t="n"/>
      <c r="W26" s="4440" t="inlineStr">
        <is>
          <t>心理判定員</t>
        </is>
      </c>
      <c r="X26" s="4110" t="n"/>
      <c r="Y26" s="4110" t="n"/>
      <c r="Z26" s="4110" t="n"/>
      <c r="AA26" s="4110" t="n"/>
      <c r="AB26" s="4111" t="n"/>
      <c r="AC26" s="4441" t="inlineStr">
        <is>
          <t>職能判定員</t>
        </is>
      </c>
      <c r="AD26" s="4110" t="n"/>
      <c r="AE26" s="4110" t="n"/>
      <c r="AF26" s="4110" t="n"/>
      <c r="AG26" s="4110" t="n"/>
      <c r="AH26" s="4113" t="n"/>
    </row>
    <row r="27" ht="14.1" customHeight="1" s="4080" thickBot="1">
      <c r="A27" s="4097" t="n"/>
      <c r="B27" s="4107" t="n"/>
      <c r="C27" s="4102" t="n"/>
      <c r="D27" s="4103" t="n"/>
      <c r="E27" s="4103" t="n"/>
      <c r="F27" s="4103" t="n"/>
      <c r="G27" s="4103" t="n"/>
      <c r="H27" s="4103" t="n"/>
      <c r="I27" s="4103" t="n"/>
      <c r="J27" s="4104" t="n"/>
      <c r="K27" s="1617" t="inlineStr">
        <is>
          <t>専従</t>
        </is>
      </c>
      <c r="L27" s="4110" t="n"/>
      <c r="M27" s="4189" t="n"/>
      <c r="N27" s="1603" t="inlineStr">
        <is>
          <t>兼務</t>
        </is>
      </c>
      <c r="O27" s="4110" t="n"/>
      <c r="P27" s="4189" t="n"/>
      <c r="Q27" s="1617" t="inlineStr">
        <is>
          <t>専従</t>
        </is>
      </c>
      <c r="R27" s="4110" t="n"/>
      <c r="S27" s="4189" t="n"/>
      <c r="T27" s="1603" t="inlineStr">
        <is>
          <t>兼務</t>
        </is>
      </c>
      <c r="U27" s="4110" t="n"/>
      <c r="V27" s="4189" t="n"/>
      <c r="W27" s="1617" t="inlineStr">
        <is>
          <t>専従</t>
        </is>
      </c>
      <c r="X27" s="4110" t="n"/>
      <c r="Y27" s="4189" t="n"/>
      <c r="Z27" s="1603" t="inlineStr">
        <is>
          <t>兼務</t>
        </is>
      </c>
      <c r="AA27" s="4110" t="n"/>
      <c r="AB27" s="4189" t="n"/>
      <c r="AC27" s="1617" t="inlineStr">
        <is>
          <t>専従</t>
        </is>
      </c>
      <c r="AD27" s="4110" t="n"/>
      <c r="AE27" s="4189" t="n"/>
      <c r="AF27" s="1603" t="inlineStr">
        <is>
          <t>兼務</t>
        </is>
      </c>
      <c r="AG27" s="4110" t="n"/>
      <c r="AH27" s="4189" t="n"/>
    </row>
    <row r="28" ht="12" customHeight="1" s="4080" thickBot="1">
      <c r="A28" s="4097" t="n"/>
      <c r="B28" s="4107" t="n"/>
      <c r="C28" s="1268" t="inlineStr">
        <is>
          <t>常　　　　　勤（人）</t>
        </is>
      </c>
      <c r="D28" s="4110" t="n"/>
      <c r="E28" s="4110" t="n"/>
      <c r="F28" s="4110" t="n"/>
      <c r="G28" s="4110" t="n"/>
      <c r="H28" s="4110" t="n"/>
      <c r="I28" s="4110" t="n"/>
      <c r="J28" s="4111" t="n"/>
      <c r="K28" s="4638" t="n"/>
      <c r="L28" s="4110" t="n"/>
      <c r="M28" s="4189" t="n"/>
      <c r="N28" s="4723" t="n">
        <v>1</v>
      </c>
      <c r="O28" s="4110" t="n"/>
      <c r="P28" s="4189" t="n"/>
      <c r="Q28" s="4638" t="n"/>
      <c r="R28" s="4110" t="n"/>
      <c r="S28" s="4189" t="n"/>
      <c r="T28" s="4723" t="n"/>
      <c r="U28" s="4110" t="n"/>
      <c r="V28" s="4189" t="n"/>
      <c r="W28" s="4638" t="n"/>
      <c r="X28" s="4110" t="n"/>
      <c r="Y28" s="4189" t="n"/>
      <c r="Z28" s="4723" t="n"/>
      <c r="AA28" s="4110" t="n"/>
      <c r="AB28" s="4189" t="n"/>
      <c r="AC28" s="4638" t="n"/>
      <c r="AD28" s="4110" t="n"/>
      <c r="AE28" s="4189" t="n"/>
      <c r="AF28" s="4723" t="n"/>
      <c r="AG28" s="4110" t="n"/>
      <c r="AH28" s="4189" t="n"/>
    </row>
    <row r="29" ht="12" customHeight="1" s="4080" thickBot="1">
      <c r="A29" s="4097" t="n"/>
      <c r="B29" s="4107" t="n"/>
      <c r="C29" s="1286" t="inlineStr">
        <is>
          <t>非　　常　　勤（人）</t>
        </is>
      </c>
      <c r="D29" s="4103" t="n"/>
      <c r="E29" s="4103" t="n"/>
      <c r="F29" s="4103" t="n"/>
      <c r="G29" s="4103" t="n"/>
      <c r="H29" s="4103" t="n"/>
      <c r="I29" s="4103" t="n"/>
      <c r="J29" s="4104" t="n"/>
      <c r="K29" s="4638" t="n"/>
      <c r="L29" s="4110" t="n"/>
      <c r="M29" s="4189" t="n"/>
      <c r="N29" s="4723" t="n"/>
      <c r="O29" s="4110" t="n"/>
      <c r="P29" s="4189" t="n"/>
      <c r="Q29" s="4638" t="n"/>
      <c r="R29" s="4110" t="n"/>
      <c r="S29" s="4189" t="n"/>
      <c r="T29" s="4723" t="n"/>
      <c r="U29" s="4110" t="n"/>
      <c r="V29" s="4189" t="n"/>
      <c r="W29" s="4638" t="n"/>
      <c r="X29" s="4110" t="n"/>
      <c r="Y29" s="4189" t="n"/>
      <c r="Z29" s="4723" t="n"/>
      <c r="AA29" s="4110" t="n"/>
      <c r="AB29" s="4189" t="n"/>
      <c r="AC29" s="4638" t="n"/>
      <c r="AD29" s="4110" t="n"/>
      <c r="AE29" s="4189" t="n"/>
      <c r="AF29" s="4723" t="n"/>
      <c r="AG29" s="4110" t="n"/>
      <c r="AH29" s="4189" t="n"/>
    </row>
    <row r="30" ht="14.1" customHeight="1" s="4080" thickBot="1">
      <c r="A30" s="4097" t="n"/>
      <c r="B30" s="4107" t="n"/>
      <c r="C30" s="1268" t="inlineStr">
        <is>
          <t>常勤換算後の人数（人）</t>
        </is>
      </c>
      <c r="D30" s="4110" t="n"/>
      <c r="E30" s="4110" t="n"/>
      <c r="F30" s="4110" t="n"/>
      <c r="G30" s="4110" t="n"/>
      <c r="H30" s="4110" t="n"/>
      <c r="I30" s="4110" t="n"/>
      <c r="J30" s="4111" t="n"/>
      <c r="K30" s="4695" t="n">
        <v>1</v>
      </c>
      <c r="L30" s="4110" t="n"/>
      <c r="M30" s="4110" t="n"/>
      <c r="N30" s="4110" t="n"/>
      <c r="O30" s="4110" t="n"/>
      <c r="P30" s="4111" t="n"/>
      <c r="Q30" s="4695" t="n"/>
      <c r="R30" s="4110" t="n"/>
      <c r="S30" s="4110" t="n"/>
      <c r="T30" s="4110" t="n"/>
      <c r="U30" s="4110" t="n"/>
      <c r="V30" s="4111" t="n"/>
      <c r="W30" s="4695" t="n"/>
      <c r="X30" s="4110" t="n"/>
      <c r="Y30" s="4110" t="n"/>
      <c r="Z30" s="4110" t="n"/>
      <c r="AA30" s="4110" t="n"/>
      <c r="AB30" s="4111" t="n"/>
      <c r="AC30" s="4696" t="n"/>
      <c r="AD30" s="4110" t="n"/>
      <c r="AE30" s="4110" t="n"/>
      <c r="AF30" s="4110" t="n"/>
      <c r="AG30" s="4110" t="n"/>
      <c r="AH30" s="4113" t="n"/>
    </row>
    <row r="31" ht="14.1" customHeight="1" s="4080" thickBot="1">
      <c r="A31" s="4097" t="n"/>
      <c r="B31" s="4107" t="n"/>
      <c r="C31" s="4362" t="inlineStr">
        <is>
          <t xml:space="preserve">　　　　　　　　　職種・勤務形態
常勤・非常勤の別</t>
        </is>
      </c>
      <c r="D31" s="4098" t="n"/>
      <c r="E31" s="4098" t="n"/>
      <c r="F31" s="4098" t="n"/>
      <c r="G31" s="4098" t="n"/>
      <c r="H31" s="4098" t="n"/>
      <c r="I31" s="4098" t="n"/>
      <c r="J31" s="4099" t="n"/>
      <c r="K31" s="4441" t="inlineStr">
        <is>
          <t>看　　　　　　　護　　　　　　　職　　　　　　　員</t>
        </is>
      </c>
      <c r="L31" s="4110" t="n"/>
      <c r="M31" s="4110" t="n"/>
      <c r="N31" s="4110" t="n"/>
      <c r="O31" s="4110" t="n"/>
      <c r="P31" s="4110" t="n"/>
      <c r="Q31" s="4110" t="n"/>
      <c r="R31" s="4110" t="n"/>
      <c r="S31" s="4110" t="n"/>
      <c r="T31" s="4110" t="n"/>
      <c r="U31" s="4110" t="n"/>
      <c r="V31" s="4110" t="n"/>
      <c r="W31" s="4110" t="n"/>
      <c r="X31" s="4110" t="n"/>
      <c r="Y31" s="4110" t="n"/>
      <c r="Z31" s="4110" t="n"/>
      <c r="AA31" s="4110" t="n"/>
      <c r="AB31" s="4110" t="n"/>
      <c r="AC31" s="4110" t="n"/>
      <c r="AD31" s="4110" t="n"/>
      <c r="AE31" s="4110" t="n"/>
      <c r="AF31" s="4110" t="n"/>
      <c r="AG31" s="4110" t="n"/>
      <c r="AH31" s="4113" t="n"/>
    </row>
    <row r="32" ht="14.1" customHeight="1" s="4080" thickBot="1">
      <c r="A32" s="4097" t="n"/>
      <c r="B32" s="4107" t="n"/>
      <c r="C32" s="4106" t="n"/>
      <c r="J32" s="4107" t="n"/>
      <c r="K32" s="4440" t="inlineStr">
        <is>
          <t>保健師</t>
        </is>
      </c>
      <c r="L32" s="4110" t="n"/>
      <c r="M32" s="4110" t="n"/>
      <c r="N32" s="4110" t="n"/>
      <c r="O32" s="4110" t="n"/>
      <c r="P32" s="4111" t="n"/>
      <c r="Q32" s="4440" t="inlineStr">
        <is>
          <t>看護師</t>
        </is>
      </c>
      <c r="R32" s="4110" t="n"/>
      <c r="S32" s="4110" t="n"/>
      <c r="T32" s="4110" t="n"/>
      <c r="U32" s="4110" t="n"/>
      <c r="V32" s="4111" t="n"/>
      <c r="W32" s="4440" t="inlineStr">
        <is>
          <t>准看護師</t>
        </is>
      </c>
      <c r="X32" s="4110" t="n"/>
      <c r="Y32" s="4110" t="n"/>
      <c r="Z32" s="4110" t="n"/>
      <c r="AA32" s="4110" t="n"/>
      <c r="AB32" s="4111" t="n"/>
      <c r="AC32" s="4441" t="inlineStr">
        <is>
          <t>看護職員計</t>
        </is>
      </c>
      <c r="AD32" s="4110" t="n"/>
      <c r="AE32" s="4110" t="n"/>
      <c r="AF32" s="4110" t="n"/>
      <c r="AG32" s="4110" t="n"/>
      <c r="AH32" s="4113" t="n"/>
    </row>
    <row r="33" ht="14.1" customHeight="1" s="4080" thickBot="1">
      <c r="A33" s="4097" t="n"/>
      <c r="B33" s="4107" t="n"/>
      <c r="C33" s="4102" t="n"/>
      <c r="D33" s="4103" t="n"/>
      <c r="E33" s="4103" t="n"/>
      <c r="F33" s="4103" t="n"/>
      <c r="G33" s="4103" t="n"/>
      <c r="H33" s="4103" t="n"/>
      <c r="I33" s="4103" t="n"/>
      <c r="J33" s="4104" t="n"/>
      <c r="K33" s="1617" t="inlineStr">
        <is>
          <t>専従</t>
        </is>
      </c>
      <c r="L33" s="4110" t="n"/>
      <c r="M33" s="4189" t="n"/>
      <c r="N33" s="1603" t="inlineStr">
        <is>
          <t>兼務</t>
        </is>
      </c>
      <c r="O33" s="4110" t="n"/>
      <c r="P33" s="4189" t="n"/>
      <c r="Q33" s="1617" t="inlineStr">
        <is>
          <t>専従</t>
        </is>
      </c>
      <c r="R33" s="4110" t="n"/>
      <c r="S33" s="4189" t="n"/>
      <c r="T33" s="1603" t="inlineStr">
        <is>
          <t>兼務</t>
        </is>
      </c>
      <c r="U33" s="4110" t="n"/>
      <c r="V33" s="4189" t="n"/>
      <c r="W33" s="1617" t="inlineStr">
        <is>
          <t>専従</t>
        </is>
      </c>
      <c r="X33" s="4110" t="n"/>
      <c r="Y33" s="4189" t="n"/>
      <c r="Z33" s="1603" t="inlineStr">
        <is>
          <t>兼務</t>
        </is>
      </c>
      <c r="AA33" s="4110" t="n"/>
      <c r="AB33" s="4189" t="n"/>
      <c r="AC33" s="1617" t="inlineStr">
        <is>
          <t>専従</t>
        </is>
      </c>
      <c r="AD33" s="4110" t="n"/>
      <c r="AE33" s="4189" t="n"/>
      <c r="AF33" s="1603" t="inlineStr">
        <is>
          <t>兼務</t>
        </is>
      </c>
      <c r="AG33" s="4110" t="n"/>
      <c r="AH33" s="4189" t="n"/>
    </row>
    <row r="34" ht="12" customHeight="1" s="4080" thickBot="1">
      <c r="A34" s="4097" t="n"/>
      <c r="B34" s="4107" t="n"/>
      <c r="C34" s="1268" t="inlineStr">
        <is>
          <t>常　　　　　勤（人）</t>
        </is>
      </c>
      <c r="D34" s="4110" t="n"/>
      <c r="E34" s="4110" t="n"/>
      <c r="F34" s="4110" t="n"/>
      <c r="G34" s="4110" t="n"/>
      <c r="H34" s="4110" t="n"/>
      <c r="I34" s="4110" t="n"/>
      <c r="J34" s="4111" t="n"/>
      <c r="K34" s="4697" t="n"/>
      <c r="L34" s="4110" t="n"/>
      <c r="M34" s="4189" t="n"/>
      <c r="N34" s="4698" t="n"/>
      <c r="O34" s="4110" t="n"/>
      <c r="P34" s="4189" t="n"/>
      <c r="Q34" s="4697" t="n">
        <v>1</v>
      </c>
      <c r="R34" s="4110" t="n"/>
      <c r="S34" s="4189" t="n"/>
      <c r="T34" s="4698" t="n"/>
      <c r="U34" s="4110" t="n"/>
      <c r="V34" s="4189" t="n"/>
      <c r="W34" s="4697" t="n"/>
      <c r="X34" s="4110" t="n"/>
      <c r="Y34" s="4189" t="n"/>
      <c r="Z34" s="4698" t="n"/>
      <c r="AA34" s="4110" t="n"/>
      <c r="AB34" s="4189" t="n"/>
      <c r="AC34" s="4697">
        <f>+W34+Q34+K34</f>
        <v/>
      </c>
      <c r="AD34" s="4110" t="n"/>
      <c r="AE34" s="4189" t="n"/>
      <c r="AF34" s="4698">
        <f>+Z34+T34+N34</f>
        <v/>
      </c>
      <c r="AG34" s="4110" t="n"/>
      <c r="AH34" s="4189" t="n"/>
    </row>
    <row r="35" ht="12" customHeight="1" s="4080" thickBot="1">
      <c r="A35" s="4097" t="n"/>
      <c r="B35" s="4107" t="n"/>
      <c r="C35" s="1286" t="inlineStr">
        <is>
          <t>非　　常　　勤（人）</t>
        </is>
      </c>
      <c r="D35" s="4103" t="n"/>
      <c r="E35" s="4103" t="n"/>
      <c r="F35" s="4103" t="n"/>
      <c r="G35" s="4103" t="n"/>
      <c r="H35" s="4103" t="n"/>
      <c r="I35" s="4103" t="n"/>
      <c r="J35" s="4104" t="n"/>
      <c r="K35" s="4697" t="n"/>
      <c r="L35" s="4110" t="n"/>
      <c r="M35" s="4189" t="n"/>
      <c r="N35" s="4698" t="n"/>
      <c r="O35" s="4110" t="n"/>
      <c r="P35" s="4189" t="n"/>
      <c r="Q35" s="4697" t="n"/>
      <c r="R35" s="4110" t="n"/>
      <c r="S35" s="4189" t="n"/>
      <c r="T35" s="4698" t="n"/>
      <c r="U35" s="4110" t="n"/>
      <c r="V35" s="4189" t="n"/>
      <c r="W35" s="4697" t="n"/>
      <c r="X35" s="4110" t="n"/>
      <c r="Y35" s="4189" t="n"/>
      <c r="Z35" s="4698" t="n"/>
      <c r="AA35" s="4110" t="n"/>
      <c r="AB35" s="4189" t="n"/>
      <c r="AC35" s="4697">
        <f>+W35+Q35+K35</f>
        <v/>
      </c>
      <c r="AD35" s="4110" t="n"/>
      <c r="AE35" s="4189" t="n"/>
      <c r="AF35" s="4698">
        <f>+Z35+T35+N35</f>
        <v/>
      </c>
      <c r="AG35" s="4110" t="n"/>
      <c r="AH35" s="4189" t="n"/>
    </row>
    <row r="36" ht="14.1" customHeight="1" s="4080" thickBot="1">
      <c r="A36" s="4097" t="n"/>
      <c r="B36" s="4107" t="n"/>
      <c r="C36" s="1268" t="inlineStr">
        <is>
          <t>常勤換算後の人数（人）</t>
        </is>
      </c>
      <c r="D36" s="4110" t="n"/>
      <c r="E36" s="4110" t="n"/>
      <c r="F36" s="4110" t="n"/>
      <c r="G36" s="4110" t="n"/>
      <c r="H36" s="4110" t="n"/>
      <c r="I36" s="4110" t="n"/>
      <c r="J36" s="4111" t="n"/>
      <c r="K36" s="4695" t="n"/>
      <c r="L36" s="4110" t="n"/>
      <c r="M36" s="4110" t="n"/>
      <c r="N36" s="4110" t="n"/>
      <c r="O36" s="4110" t="n"/>
      <c r="P36" s="4111" t="n"/>
      <c r="Q36" s="4695" t="n">
        <v>1</v>
      </c>
      <c r="R36" s="4110" t="n"/>
      <c r="S36" s="4110" t="n"/>
      <c r="T36" s="4110" t="n"/>
      <c r="U36" s="4110" t="n"/>
      <c r="V36" s="4111" t="n"/>
      <c r="W36" s="4695" t="n"/>
      <c r="X36" s="4110" t="n"/>
      <c r="Y36" s="4110" t="n"/>
      <c r="Z36" s="4110" t="n"/>
      <c r="AA36" s="4110" t="n"/>
      <c r="AB36" s="4111" t="n"/>
      <c r="AC36" s="4696">
        <f>+W36+Q36+K36</f>
        <v/>
      </c>
      <c r="AD36" s="4110" t="n"/>
      <c r="AE36" s="4110" t="n"/>
      <c r="AF36" s="4110" t="n"/>
      <c r="AG36" s="4110" t="n"/>
      <c r="AH36" s="4113" t="n"/>
    </row>
    <row r="37" ht="14.1" customHeight="1" s="4080" thickBot="1">
      <c r="A37" s="4097" t="n"/>
      <c r="B37" s="4107" t="n"/>
      <c r="C37" s="4362" t="inlineStr">
        <is>
          <t xml:space="preserve">　　　　　　　　　職種・勤務形態
常勤・非常勤の別</t>
        </is>
      </c>
      <c r="D37" s="4098" t="n"/>
      <c r="E37" s="4098" t="n"/>
      <c r="F37" s="4098" t="n"/>
      <c r="G37" s="4098" t="n"/>
      <c r="H37" s="4098" t="n"/>
      <c r="I37" s="4098" t="n"/>
      <c r="J37" s="4099" t="n"/>
      <c r="K37" s="4441" t="inlineStr">
        <is>
          <t>理　　　　学　　　　療　　　　法　　　　士　　　　等</t>
        </is>
      </c>
      <c r="L37" s="4110" t="n"/>
      <c r="M37" s="4110" t="n"/>
      <c r="N37" s="4110" t="n"/>
      <c r="O37" s="4110" t="n"/>
      <c r="P37" s="4110" t="n"/>
      <c r="Q37" s="4110" t="n"/>
      <c r="R37" s="4110" t="n"/>
      <c r="S37" s="4110" t="n"/>
      <c r="T37" s="4110" t="n"/>
      <c r="U37" s="4110" t="n"/>
      <c r="V37" s="4110" t="n"/>
      <c r="W37" s="4110" t="n"/>
      <c r="X37" s="4110" t="n"/>
      <c r="Y37" s="4110" t="n"/>
      <c r="Z37" s="4110" t="n"/>
      <c r="AA37" s="4110" t="n"/>
      <c r="AB37" s="4110" t="n"/>
      <c r="AC37" s="4110" t="n"/>
      <c r="AD37" s="4110" t="n"/>
      <c r="AE37" s="4110" t="n"/>
      <c r="AF37" s="4110" t="n"/>
      <c r="AG37" s="4110" t="n"/>
      <c r="AH37" s="4113" t="n"/>
    </row>
    <row r="38" ht="14.1" customHeight="1" s="4080" thickBot="1">
      <c r="A38" s="4097" t="n"/>
      <c r="B38" s="4107" t="n"/>
      <c r="C38" s="4106" t="n"/>
      <c r="J38" s="4107" t="n"/>
      <c r="K38" s="4440" t="inlineStr">
        <is>
          <t>理学療法士</t>
        </is>
      </c>
      <c r="L38" s="4110" t="n"/>
      <c r="M38" s="4110" t="n"/>
      <c r="N38" s="4110" t="n"/>
      <c r="O38" s="4110" t="n"/>
      <c r="P38" s="4111" t="n"/>
      <c r="Q38" s="4440" t="inlineStr">
        <is>
          <t>作業療法士</t>
        </is>
      </c>
      <c r="R38" s="4110" t="n"/>
      <c r="S38" s="4110" t="n"/>
      <c r="T38" s="4110" t="n"/>
      <c r="U38" s="4110" t="n"/>
      <c r="V38" s="4111" t="n"/>
      <c r="W38" s="4440" t="inlineStr">
        <is>
          <t>機能訓練指導員</t>
        </is>
      </c>
      <c r="X38" s="4110" t="n"/>
      <c r="Y38" s="4110" t="n"/>
      <c r="Z38" s="4110" t="n"/>
      <c r="AA38" s="4110" t="n"/>
      <c r="AB38" s="4111" t="n"/>
      <c r="AC38" s="4441" t="inlineStr">
        <is>
          <t>理学療法士等計</t>
        </is>
      </c>
      <c r="AD38" s="4110" t="n"/>
      <c r="AE38" s="4110" t="n"/>
      <c r="AF38" s="4110" t="n"/>
      <c r="AG38" s="4110" t="n"/>
      <c r="AH38" s="4113" t="n"/>
    </row>
    <row r="39" ht="14.1" customHeight="1" s="4080" thickBot="1">
      <c r="A39" s="4097" t="n"/>
      <c r="B39" s="4107" t="n"/>
      <c r="C39" s="4102" t="n"/>
      <c r="D39" s="4103" t="n"/>
      <c r="E39" s="4103" t="n"/>
      <c r="F39" s="4103" t="n"/>
      <c r="G39" s="4103" t="n"/>
      <c r="H39" s="4103" t="n"/>
      <c r="I39" s="4103" t="n"/>
      <c r="J39" s="4104" t="n"/>
      <c r="K39" s="1617" t="inlineStr">
        <is>
          <t>専従</t>
        </is>
      </c>
      <c r="L39" s="4110" t="n"/>
      <c r="M39" s="4189" t="n"/>
      <c r="N39" s="1603" t="inlineStr">
        <is>
          <t>兼務</t>
        </is>
      </c>
      <c r="O39" s="4110" t="n"/>
      <c r="P39" s="4189" t="n"/>
      <c r="Q39" s="1617" t="inlineStr">
        <is>
          <t>専従</t>
        </is>
      </c>
      <c r="R39" s="4110" t="n"/>
      <c r="S39" s="4189" t="n"/>
      <c r="T39" s="1603" t="inlineStr">
        <is>
          <t>兼務</t>
        </is>
      </c>
      <c r="U39" s="4110" t="n"/>
      <c r="V39" s="4189" t="n"/>
      <c r="W39" s="1617" t="inlineStr">
        <is>
          <t>専従</t>
        </is>
      </c>
      <c r="X39" s="4110" t="n"/>
      <c r="Y39" s="4189" t="n"/>
      <c r="Z39" s="1603" t="inlineStr">
        <is>
          <t>兼務</t>
        </is>
      </c>
      <c r="AA39" s="4110" t="n"/>
      <c r="AB39" s="4189" t="n"/>
      <c r="AC39" s="1617" t="inlineStr">
        <is>
          <t>専従</t>
        </is>
      </c>
      <c r="AD39" s="4110" t="n"/>
      <c r="AE39" s="4189" t="n"/>
      <c r="AF39" s="1603" t="inlineStr">
        <is>
          <t>兼務</t>
        </is>
      </c>
      <c r="AG39" s="4110" t="n"/>
      <c r="AH39" s="4189" t="n"/>
    </row>
    <row r="40" ht="12" customHeight="1" s="4080" thickBot="1">
      <c r="A40" s="4097" t="n"/>
      <c r="B40" s="4107" t="n"/>
      <c r="C40" s="1268" t="inlineStr">
        <is>
          <t>常　　　　　勤（人）</t>
        </is>
      </c>
      <c r="D40" s="4110" t="n"/>
      <c r="E40" s="4110" t="n"/>
      <c r="F40" s="4110" t="n"/>
      <c r="G40" s="4110" t="n"/>
      <c r="H40" s="4110" t="n"/>
      <c r="I40" s="4110" t="n"/>
      <c r="J40" s="4111" t="n"/>
      <c r="K40" s="4697" t="n"/>
      <c r="L40" s="4110" t="n"/>
      <c r="M40" s="4189" t="n"/>
      <c r="N40" s="4698" t="n"/>
      <c r="O40" s="4110" t="n"/>
      <c r="P40" s="4189" t="n"/>
      <c r="Q40" s="4697" t="n"/>
      <c r="R40" s="4110" t="n"/>
      <c r="S40" s="4189" t="n"/>
      <c r="T40" s="4698" t="n"/>
      <c r="U40" s="4110" t="n"/>
      <c r="V40" s="4189" t="n"/>
      <c r="W40" s="4697" t="n"/>
      <c r="X40" s="4110" t="n"/>
      <c r="Y40" s="4189" t="n"/>
      <c r="Z40" s="4698" t="n"/>
      <c r="AA40" s="4110" t="n"/>
      <c r="AB40" s="4189" t="n"/>
      <c r="AC40" s="4697">
        <f>+W40+Q40+K40</f>
        <v/>
      </c>
      <c r="AD40" s="4110" t="n"/>
      <c r="AE40" s="4189" t="n"/>
      <c r="AF40" s="4698">
        <f>+Z40+T40+N40</f>
        <v/>
      </c>
      <c r="AG40" s="4110" t="n"/>
      <c r="AH40" s="4189" t="n"/>
    </row>
    <row r="41" ht="12" customHeight="1" s="4080" thickBot="1">
      <c r="A41" s="4097" t="n"/>
      <c r="B41" s="4107" t="n"/>
      <c r="C41" s="1286" t="inlineStr">
        <is>
          <t>非　　常　　勤（人）</t>
        </is>
      </c>
      <c r="D41" s="4103" t="n"/>
      <c r="E41" s="4103" t="n"/>
      <c r="F41" s="4103" t="n"/>
      <c r="G41" s="4103" t="n"/>
      <c r="H41" s="4103" t="n"/>
      <c r="I41" s="4103" t="n"/>
      <c r="J41" s="4104" t="n"/>
      <c r="K41" s="4697" t="n">
        <v>1</v>
      </c>
      <c r="L41" s="4110" t="n"/>
      <c r="M41" s="4189" t="n"/>
      <c r="N41" s="4698" t="n"/>
      <c r="O41" s="4110" t="n"/>
      <c r="P41" s="4189" t="n"/>
      <c r="Q41" s="4697" t="n"/>
      <c r="R41" s="4110" t="n"/>
      <c r="S41" s="4189" t="n"/>
      <c r="T41" s="4698" t="n"/>
      <c r="U41" s="4110" t="n"/>
      <c r="V41" s="4189" t="n"/>
      <c r="W41" s="4697" t="n">
        <v>1</v>
      </c>
      <c r="X41" s="4110" t="n"/>
      <c r="Y41" s="4189" t="n"/>
      <c r="Z41" s="4698" t="n"/>
      <c r="AA41" s="4110" t="n"/>
      <c r="AB41" s="4189" t="n"/>
      <c r="AC41" s="4697">
        <f>+W41+Q41+K41</f>
        <v/>
      </c>
      <c r="AD41" s="4110" t="n"/>
      <c r="AE41" s="4189" t="n"/>
      <c r="AF41" s="4698">
        <f>+Z41+T41+N41</f>
        <v/>
      </c>
      <c r="AG41" s="4110" t="n"/>
      <c r="AH41" s="4189" t="n"/>
    </row>
    <row r="42" ht="14.1" customHeight="1" s="4080" thickBot="1">
      <c r="A42" s="4097" t="n"/>
      <c r="B42" s="4107" t="n"/>
      <c r="C42" s="1268" t="inlineStr">
        <is>
          <t>常勤換算後の人数（人）</t>
        </is>
      </c>
      <c r="D42" s="4110" t="n"/>
      <c r="E42" s="4110" t="n"/>
      <c r="F42" s="4110" t="n"/>
      <c r="G42" s="4110" t="n"/>
      <c r="H42" s="4110" t="n"/>
      <c r="I42" s="4110" t="n"/>
      <c r="J42" s="4111" t="n"/>
      <c r="K42" s="4695" t="n">
        <v>0.5</v>
      </c>
      <c r="L42" s="4110" t="n"/>
      <c r="M42" s="4110" t="n"/>
      <c r="N42" s="4110" t="n"/>
      <c r="O42" s="4110" t="n"/>
      <c r="P42" s="4111" t="n"/>
      <c r="Q42" s="4695" t="n"/>
      <c r="R42" s="4110" t="n"/>
      <c r="S42" s="4110" t="n"/>
      <c r="T42" s="4110" t="n"/>
      <c r="U42" s="4110" t="n"/>
      <c r="V42" s="4111" t="n"/>
      <c r="W42" s="4695" t="n">
        <v>0.5</v>
      </c>
      <c r="X42" s="4110" t="n"/>
      <c r="Y42" s="4110" t="n"/>
      <c r="Z42" s="4110" t="n"/>
      <c r="AA42" s="4110" t="n"/>
      <c r="AB42" s="4111" t="n"/>
      <c r="AC42" s="4696">
        <f>+W42+Q42+K42</f>
        <v/>
      </c>
      <c r="AD42" s="4110" t="n"/>
      <c r="AE42" s="4110" t="n"/>
      <c r="AF42" s="4110" t="n"/>
      <c r="AG42" s="4110" t="n"/>
      <c r="AH42" s="4113" t="n"/>
    </row>
    <row r="43" ht="14.1" customHeight="1" s="4080" thickBot="1">
      <c r="A43" s="4097" t="n"/>
      <c r="B43" s="4107" t="n"/>
      <c r="C43" s="1803" t="n"/>
      <c r="D43" s="1803" t="n"/>
      <c r="E43" s="1803" t="n"/>
      <c r="F43" s="1803" t="n"/>
      <c r="G43" s="1803" t="n"/>
      <c r="H43" s="1803" t="n"/>
      <c r="I43" s="1803" t="n"/>
      <c r="J43" s="1282" t="n"/>
      <c r="K43" s="4440" t="inlineStr">
        <is>
          <t>生　　　活　　　支　　　援　　　員</t>
        </is>
      </c>
      <c r="L43" s="4110" t="n"/>
      <c r="M43" s="4110" t="n"/>
      <c r="N43" s="4110" t="n"/>
      <c r="O43" s="4110" t="n"/>
      <c r="P43" s="4110" t="n"/>
      <c r="Q43" s="4110" t="n"/>
      <c r="R43" s="4110" t="n"/>
      <c r="S43" s="4110" t="n"/>
      <c r="T43" s="4110" t="n"/>
      <c r="U43" s="4110" t="n"/>
      <c r="V43" s="4110" t="n"/>
      <c r="W43" s="4110" t="n"/>
      <c r="X43" s="4110" t="n"/>
      <c r="Y43" s="4110" t="n"/>
      <c r="Z43" s="4110" t="n"/>
      <c r="AA43" s="4110" t="n"/>
      <c r="AB43" s="4111" t="n"/>
      <c r="AC43" s="4699" t="inlineStr">
        <is>
          <t>就労支援員</t>
        </is>
      </c>
      <c r="AD43" s="4098" t="n"/>
      <c r="AE43" s="4098" t="n"/>
      <c r="AF43" s="4098" t="n"/>
      <c r="AG43" s="4098" t="n"/>
      <c r="AH43" s="4101" t="n"/>
    </row>
    <row r="44" ht="14.1" customHeight="1" s="4080" thickBot="1">
      <c r="A44" s="4097" t="n"/>
      <c r="B44" s="4107" t="n"/>
      <c r="C44" s="4362" t="inlineStr">
        <is>
          <t xml:space="preserve">　　　　　　　　　職種・勤務形態
常勤・非常勤の別</t>
        </is>
      </c>
      <c r="D44" s="4098" t="n"/>
      <c r="E44" s="4098" t="n"/>
      <c r="F44" s="4098" t="n"/>
      <c r="G44" s="4098" t="n"/>
      <c r="H44" s="4098" t="n"/>
      <c r="I44" s="4098" t="n"/>
      <c r="J44" s="4099" t="n"/>
      <c r="K44" s="4440" t="inlineStr">
        <is>
          <t>通所・入所</t>
        </is>
      </c>
      <c r="L44" s="4110" t="n"/>
      <c r="M44" s="4110" t="n"/>
      <c r="N44" s="4110" t="n"/>
      <c r="O44" s="4110" t="n"/>
      <c r="P44" s="4111" t="n"/>
      <c r="Q44" s="4440" t="inlineStr">
        <is>
          <t>訪　　　問</t>
        </is>
      </c>
      <c r="R44" s="4110" t="n"/>
      <c r="S44" s="4110" t="n"/>
      <c r="T44" s="4110" t="n"/>
      <c r="U44" s="4110" t="n"/>
      <c r="V44" s="4111" t="n"/>
      <c r="W44" s="4440" t="inlineStr">
        <is>
          <t>生活支援員計</t>
        </is>
      </c>
      <c r="X44" s="4110" t="n"/>
      <c r="Y44" s="4110" t="n"/>
      <c r="Z44" s="4110" t="n"/>
      <c r="AA44" s="4110" t="n"/>
      <c r="AB44" s="4111" t="n"/>
      <c r="AC44" s="4102" t="n"/>
      <c r="AD44" s="4103" t="n"/>
      <c r="AE44" s="4103" t="n"/>
      <c r="AF44" s="4103" t="n"/>
      <c r="AG44" s="4103" t="n"/>
      <c r="AH44" s="4105" t="n"/>
      <c r="AI44" s="196" t="n"/>
      <c r="AJ44" s="2587" t="n"/>
    </row>
    <row r="45" ht="14.1" customHeight="1" s="4080" thickBot="1">
      <c r="A45" s="4097" t="n"/>
      <c r="B45" s="4107" t="n"/>
      <c r="C45" s="4102" t="n"/>
      <c r="D45" s="4103" t="n"/>
      <c r="E45" s="4103" t="n"/>
      <c r="F45" s="4103" t="n"/>
      <c r="G45" s="4103" t="n"/>
      <c r="H45" s="4103" t="n"/>
      <c r="I45" s="4103" t="n"/>
      <c r="J45" s="4104" t="n"/>
      <c r="K45" s="1617" t="inlineStr">
        <is>
          <t>専従</t>
        </is>
      </c>
      <c r="L45" s="4110" t="n"/>
      <c r="M45" s="4189" t="n"/>
      <c r="N45" s="1603" t="inlineStr">
        <is>
          <t>兼務</t>
        </is>
      </c>
      <c r="O45" s="4110" t="n"/>
      <c r="P45" s="4189" t="n"/>
      <c r="Q45" s="1617" t="inlineStr">
        <is>
          <t>専従</t>
        </is>
      </c>
      <c r="R45" s="4110" t="n"/>
      <c r="S45" s="4189" t="n"/>
      <c r="T45" s="1603" t="inlineStr">
        <is>
          <t>兼務</t>
        </is>
      </c>
      <c r="U45" s="4110" t="n"/>
      <c r="V45" s="4189" t="n"/>
      <c r="W45" s="1617" t="inlineStr">
        <is>
          <t>専従</t>
        </is>
      </c>
      <c r="X45" s="4110" t="n"/>
      <c r="Y45" s="4189" t="n"/>
      <c r="Z45" s="1603" t="inlineStr">
        <is>
          <t>兼務</t>
        </is>
      </c>
      <c r="AA45" s="4110" t="n"/>
      <c r="AB45" s="4189" t="n"/>
      <c r="AC45" s="1617" t="inlineStr">
        <is>
          <t>専従</t>
        </is>
      </c>
      <c r="AD45" s="4110" t="n"/>
      <c r="AE45" s="4189" t="n"/>
      <c r="AF45" s="1603" t="inlineStr">
        <is>
          <t>兼務</t>
        </is>
      </c>
      <c r="AG45" s="4110" t="n"/>
      <c r="AH45" s="4189" t="n"/>
    </row>
    <row r="46" ht="12" customHeight="1" s="4080" thickBot="1">
      <c r="A46" s="4097" t="n"/>
      <c r="B46" s="4107" t="n"/>
      <c r="C46" s="1268" t="inlineStr">
        <is>
          <t>常　　　　　勤（人）</t>
        </is>
      </c>
      <c r="D46" s="4110" t="n"/>
      <c r="E46" s="4110" t="n"/>
      <c r="F46" s="4110" t="n"/>
      <c r="G46" s="4110" t="n"/>
      <c r="H46" s="4110" t="n"/>
      <c r="I46" s="4110" t="n"/>
      <c r="J46" s="4111" t="n"/>
      <c r="K46" s="4298" t="n">
        <v>7</v>
      </c>
      <c r="L46" s="4110" t="n"/>
      <c r="M46" s="4189" t="n"/>
      <c r="N46" s="4724" t="n"/>
      <c r="O46" s="4110" t="n"/>
      <c r="P46" s="4189" t="n"/>
      <c r="Q46" s="4298" t="n"/>
      <c r="R46" s="4110" t="n"/>
      <c r="S46" s="4189" t="n"/>
      <c r="T46" s="4724" t="n"/>
      <c r="U46" s="4110" t="n"/>
      <c r="V46" s="4189" t="n"/>
      <c r="W46" s="4298">
        <f>+Q46+K46</f>
        <v/>
      </c>
      <c r="X46" s="4110" t="n"/>
      <c r="Y46" s="4189" t="n"/>
      <c r="Z46" s="4724">
        <f>+T46+N46</f>
        <v/>
      </c>
      <c r="AA46" s="4110" t="n"/>
      <c r="AB46" s="4189" t="n"/>
      <c r="AC46" s="4298" t="n">
        <v>1</v>
      </c>
      <c r="AD46" s="4110" t="n"/>
      <c r="AE46" s="4189" t="n"/>
      <c r="AF46" s="4724" t="n"/>
      <c r="AG46" s="4110" t="n"/>
      <c r="AH46" s="4189" t="n"/>
    </row>
    <row r="47" ht="12" customHeight="1" s="4080" thickBot="1">
      <c r="A47" s="4097" t="n"/>
      <c r="B47" s="4107" t="n"/>
      <c r="C47" s="1286" t="inlineStr">
        <is>
          <t>非　　常　　勤（人）</t>
        </is>
      </c>
      <c r="D47" s="4103" t="n"/>
      <c r="E47" s="4103" t="n"/>
      <c r="F47" s="4103" t="n"/>
      <c r="G47" s="4103" t="n"/>
      <c r="H47" s="4103" t="n"/>
      <c r="I47" s="4103" t="n"/>
      <c r="J47" s="4104" t="n"/>
      <c r="K47" s="4298" t="n">
        <v>2</v>
      </c>
      <c r="L47" s="4110" t="n"/>
      <c r="M47" s="4189" t="n"/>
      <c r="N47" s="4724" t="n">
        <v>4</v>
      </c>
      <c r="O47" s="4110" t="n"/>
      <c r="P47" s="4189" t="n"/>
      <c r="Q47" s="4298" t="n"/>
      <c r="R47" s="4110" t="n"/>
      <c r="S47" s="4189" t="n"/>
      <c r="T47" s="4724" t="n"/>
      <c r="U47" s="4110" t="n"/>
      <c r="V47" s="4189" t="n"/>
      <c r="W47" s="4298">
        <f>+Q47+K47</f>
        <v/>
      </c>
      <c r="X47" s="4110" t="n"/>
      <c r="Y47" s="4189" t="n"/>
      <c r="Z47" s="4724">
        <f>+T47+N47</f>
        <v/>
      </c>
      <c r="AA47" s="4110" t="n"/>
      <c r="AB47" s="4189" t="n"/>
      <c r="AC47" s="4298" t="n"/>
      <c r="AD47" s="4110" t="n"/>
      <c r="AE47" s="4189" t="n"/>
      <c r="AF47" s="4724" t="n"/>
      <c r="AG47" s="4110" t="n"/>
      <c r="AH47" s="4189" t="n"/>
    </row>
    <row r="48" ht="14.1" customHeight="1" s="4080" thickBot="1">
      <c r="A48" s="4097" t="n"/>
      <c r="B48" s="4107" t="n"/>
      <c r="C48" s="1268" t="inlineStr">
        <is>
          <t>常勤換算後の人数（人）</t>
        </is>
      </c>
      <c r="D48" s="4110" t="n"/>
      <c r="E48" s="4110" t="n"/>
      <c r="F48" s="4110" t="n"/>
      <c r="G48" s="4110" t="n"/>
      <c r="H48" s="4110" t="n"/>
      <c r="I48" s="4110" t="n"/>
      <c r="J48" s="4111" t="n"/>
      <c r="K48" s="4695" t="n">
        <v>8</v>
      </c>
      <c r="L48" s="4110" t="n"/>
      <c r="M48" s="4110" t="n"/>
      <c r="N48" s="4110" t="n"/>
      <c r="O48" s="4110" t="n"/>
      <c r="P48" s="4111" t="n"/>
      <c r="Q48" s="4695" t="n"/>
      <c r="R48" s="4110" t="n"/>
      <c r="S48" s="4110" t="n"/>
      <c r="T48" s="4110" t="n"/>
      <c r="U48" s="4110" t="n"/>
      <c r="V48" s="4111" t="n"/>
      <c r="W48" s="4695">
        <f>+Q48+K48</f>
        <v/>
      </c>
      <c r="X48" s="4110" t="n"/>
      <c r="Y48" s="4110" t="n"/>
      <c r="Z48" s="4110" t="n"/>
      <c r="AA48" s="4110" t="n"/>
      <c r="AB48" s="4111" t="n"/>
      <c r="AC48" s="4696" t="n">
        <v>1</v>
      </c>
      <c r="AD48" s="4110" t="n"/>
      <c r="AE48" s="4110" t="n"/>
      <c r="AF48" s="4110" t="n"/>
      <c r="AG48" s="4110" t="n"/>
      <c r="AH48" s="4113" t="n"/>
    </row>
    <row r="49" ht="14.1" customHeight="1" s="4080" thickBot="1">
      <c r="A49" s="4097" t="n"/>
      <c r="B49" s="4107" t="n"/>
      <c r="C49" s="4362" t="inlineStr">
        <is>
          <t xml:space="preserve">　　　　　　　　　職種・勤務形態
常勤・非常勤の別</t>
        </is>
      </c>
      <c r="D49" s="4098" t="n"/>
      <c r="E49" s="4098" t="n"/>
      <c r="F49" s="4098" t="n"/>
      <c r="G49" s="4098" t="n"/>
      <c r="H49" s="4098" t="n"/>
      <c r="I49" s="4098" t="n"/>
      <c r="J49" s="4099" t="n"/>
      <c r="K49" s="4599" t="inlineStr">
        <is>
          <t>栄養士</t>
        </is>
      </c>
      <c r="L49" s="4110" t="n"/>
      <c r="M49" s="4110" t="n"/>
      <c r="N49" s="4110" t="n"/>
      <c r="O49" s="4110" t="n"/>
      <c r="P49" s="4111" t="n"/>
      <c r="Q49" s="4599" t="inlineStr">
        <is>
          <t>調理員</t>
        </is>
      </c>
      <c r="R49" s="4110" t="n"/>
      <c r="S49" s="4110" t="n"/>
      <c r="T49" s="4110" t="n"/>
      <c r="U49" s="4110" t="n"/>
      <c r="V49" s="4111" t="n"/>
      <c r="W49" s="4599" t="inlineStr">
        <is>
          <t>運転手</t>
        </is>
      </c>
      <c r="X49" s="4110" t="n"/>
      <c r="Y49" s="4110" t="n"/>
      <c r="Z49" s="4110" t="n"/>
      <c r="AA49" s="4110" t="n"/>
      <c r="AB49" s="4111" t="n"/>
      <c r="AC49" s="4599" t="inlineStr">
        <is>
          <t>職業指導員</t>
        </is>
      </c>
      <c r="AD49" s="4110" t="n"/>
      <c r="AE49" s="4110" t="n"/>
      <c r="AF49" s="4110" t="n"/>
      <c r="AG49" s="4110" t="n"/>
      <c r="AH49" s="4111" t="n"/>
      <c r="AI49" s="196" t="n"/>
      <c r="AJ49" s="2587" t="n"/>
    </row>
    <row r="50" ht="14.1" customHeight="1" s="4080" thickBot="1">
      <c r="A50" s="4097" t="n"/>
      <c r="B50" s="4107" t="n"/>
      <c r="C50" s="4102" t="n"/>
      <c r="D50" s="4103" t="n"/>
      <c r="E50" s="4103" t="n"/>
      <c r="F50" s="4103" t="n"/>
      <c r="G50" s="4103" t="n"/>
      <c r="H50" s="4103" t="n"/>
      <c r="I50" s="4103" t="n"/>
      <c r="J50" s="4104" t="n"/>
      <c r="K50" s="1617" t="inlineStr">
        <is>
          <t>専従</t>
        </is>
      </c>
      <c r="L50" s="4110" t="n"/>
      <c r="M50" s="4189" t="n"/>
      <c r="N50" s="1603" t="inlineStr">
        <is>
          <t>兼務</t>
        </is>
      </c>
      <c r="O50" s="4110" t="n"/>
      <c r="P50" s="4189" t="n"/>
      <c r="Q50" s="1617" t="inlineStr">
        <is>
          <t>専従</t>
        </is>
      </c>
      <c r="R50" s="4110" t="n"/>
      <c r="S50" s="4189" t="n"/>
      <c r="T50" s="1603" t="inlineStr">
        <is>
          <t>兼務</t>
        </is>
      </c>
      <c r="U50" s="4110" t="n"/>
      <c r="V50" s="4189" t="n"/>
      <c r="W50" s="1617" t="inlineStr">
        <is>
          <t>専従</t>
        </is>
      </c>
      <c r="X50" s="4110" t="n"/>
      <c r="Y50" s="4189" t="n"/>
      <c r="Z50" s="1603" t="inlineStr">
        <is>
          <t>兼務</t>
        </is>
      </c>
      <c r="AA50" s="4110" t="n"/>
      <c r="AB50" s="4189" t="n"/>
      <c r="AC50" s="1617" t="inlineStr">
        <is>
          <t>専従</t>
        </is>
      </c>
      <c r="AD50" s="4110" t="n"/>
      <c r="AE50" s="4189" t="n"/>
      <c r="AF50" s="1603" t="inlineStr">
        <is>
          <t>兼務</t>
        </is>
      </c>
      <c r="AG50" s="4110" t="n"/>
      <c r="AH50" s="4189" t="n"/>
    </row>
    <row r="51" ht="12" customHeight="1" s="4080" thickBot="1">
      <c r="A51" s="4097" t="n"/>
      <c r="B51" s="4107" t="n"/>
      <c r="C51" s="1268" t="inlineStr">
        <is>
          <t>常　　　　　勤（人）</t>
        </is>
      </c>
      <c r="D51" s="4110" t="n"/>
      <c r="E51" s="4110" t="n"/>
      <c r="F51" s="4110" t="n"/>
      <c r="G51" s="4110" t="n"/>
      <c r="H51" s="4110" t="n"/>
      <c r="I51" s="4110" t="n"/>
      <c r="J51" s="4111" t="n"/>
      <c r="K51" s="4697" t="n"/>
      <c r="L51" s="4110" t="n"/>
      <c r="M51" s="4189" t="n"/>
      <c r="N51" s="4698" t="n">
        <v>1</v>
      </c>
      <c r="O51" s="4110" t="n"/>
      <c r="P51" s="4189" t="n"/>
      <c r="Q51" s="4697" t="n"/>
      <c r="R51" s="4110" t="n"/>
      <c r="S51" s="4189" t="n"/>
      <c r="T51" s="4698" t="n">
        <v>1</v>
      </c>
      <c r="U51" s="4110" t="n"/>
      <c r="V51" s="4189" t="n"/>
      <c r="W51" s="4697" t="n"/>
      <c r="X51" s="4110" t="n"/>
      <c r="Y51" s="4189" t="n"/>
      <c r="Z51" s="4698" t="n"/>
      <c r="AA51" s="4110" t="n"/>
      <c r="AB51" s="4189" t="n"/>
      <c r="AC51" s="4697" t="n">
        <v>1</v>
      </c>
      <c r="AD51" s="4110" t="n"/>
      <c r="AE51" s="4189" t="n"/>
      <c r="AF51" s="4698" t="n"/>
      <c r="AG51" s="4110" t="n"/>
      <c r="AH51" s="4189" t="n"/>
    </row>
    <row r="52" ht="12" customHeight="1" s="4080" thickBot="1">
      <c r="A52" s="4097" t="n"/>
      <c r="B52" s="4107" t="n"/>
      <c r="C52" s="1286" t="inlineStr">
        <is>
          <t>非　　常　　勤（人）</t>
        </is>
      </c>
      <c r="D52" s="4103" t="n"/>
      <c r="E52" s="4103" t="n"/>
      <c r="F52" s="4103" t="n"/>
      <c r="G52" s="4103" t="n"/>
      <c r="H52" s="4103" t="n"/>
      <c r="I52" s="4103" t="n"/>
      <c r="J52" s="4104" t="n"/>
      <c r="K52" s="4697" t="n"/>
      <c r="L52" s="4110" t="n"/>
      <c r="M52" s="4189" t="n"/>
      <c r="N52" s="4698" t="n"/>
      <c r="O52" s="4110" t="n"/>
      <c r="P52" s="4189" t="n"/>
      <c r="Q52" s="4697" t="n"/>
      <c r="R52" s="4110" t="n"/>
      <c r="S52" s="4189" t="n"/>
      <c r="T52" s="4698" t="n">
        <v>3</v>
      </c>
      <c r="U52" s="4110" t="n"/>
      <c r="V52" s="4189" t="n"/>
      <c r="W52" s="4697" t="n"/>
      <c r="X52" s="4110" t="n"/>
      <c r="Y52" s="4189" t="n"/>
      <c r="Z52" s="4698" t="n">
        <v>2</v>
      </c>
      <c r="AA52" s="4110" t="n"/>
      <c r="AB52" s="4189" t="n"/>
      <c r="AC52" s="4697" t="n"/>
      <c r="AD52" s="4110" t="n"/>
      <c r="AE52" s="4189" t="n"/>
      <c r="AF52" s="4698" t="n"/>
      <c r="AG52" s="4110" t="n"/>
      <c r="AH52" s="4189" t="n"/>
    </row>
    <row r="53" ht="14.1" customHeight="1" s="4080">
      <c r="A53" s="4086" t="n"/>
      <c r="B53" s="4410" t="n"/>
      <c r="C53" s="4325" t="inlineStr">
        <is>
          <t>常勤換算後の人数（人）</t>
        </is>
      </c>
      <c r="D53" s="4098" t="n"/>
      <c r="E53" s="4098" t="n"/>
      <c r="F53" s="4098" t="n"/>
      <c r="G53" s="4098" t="n"/>
      <c r="H53" s="4098" t="n"/>
      <c r="I53" s="4098" t="n"/>
      <c r="J53" s="4099" t="n"/>
      <c r="K53" s="4700" t="n">
        <v>1</v>
      </c>
      <c r="L53" s="4098" t="n"/>
      <c r="M53" s="4098" t="n"/>
      <c r="N53" s="4098" t="n"/>
      <c r="O53" s="4098" t="n"/>
      <c r="P53" s="4099" t="n"/>
      <c r="Q53" s="4700" t="n">
        <v>2.5</v>
      </c>
      <c r="R53" s="4098" t="n"/>
      <c r="S53" s="4098" t="n"/>
      <c r="T53" s="4098" t="n"/>
      <c r="U53" s="4098" t="n"/>
      <c r="V53" s="4099" t="n"/>
      <c r="W53" s="4700" t="n">
        <v>1</v>
      </c>
      <c r="X53" s="4098" t="n"/>
      <c r="Y53" s="4098" t="n"/>
      <c r="Z53" s="4098" t="n"/>
      <c r="AA53" s="4098" t="n"/>
      <c r="AB53" s="4099" t="n"/>
      <c r="AC53" s="4701" t="n">
        <v>1</v>
      </c>
      <c r="AD53" s="4098" t="n"/>
      <c r="AE53" s="4098" t="n"/>
      <c r="AF53" s="4098" t="n"/>
      <c r="AG53" s="4098" t="n"/>
      <c r="AH53" s="4101" t="n"/>
    </row>
    <row r="54" ht="20.1" customHeight="1" s="4080">
      <c r="A54" s="4725" t="inlineStr">
        <is>
          <t>設備基準上の数値記載項目等</t>
        </is>
      </c>
      <c r="B54" s="4098" t="n"/>
      <c r="C54" s="4098" t="n"/>
      <c r="D54" s="4098" t="n"/>
      <c r="E54" s="4098" t="n"/>
      <c r="F54" s="4098" t="n"/>
      <c r="G54" s="4098" t="n"/>
      <c r="H54" s="4098" t="n"/>
      <c r="I54" s="4098" t="n"/>
      <c r="J54" s="4099" t="n"/>
      <c r="K54" s="2163" t="inlineStr">
        <is>
          <t>居　　　　　室</t>
        </is>
      </c>
      <c r="L54" s="4110" t="n"/>
      <c r="M54" s="4110" t="n"/>
      <c r="N54" s="4110" t="n"/>
      <c r="O54" s="4110" t="n"/>
      <c r="P54" s="4110" t="n"/>
      <c r="Q54" s="4110" t="n"/>
      <c r="R54" s="4110" t="n"/>
      <c r="S54" s="4110" t="n"/>
      <c r="T54" s="4111" t="n"/>
      <c r="U54" s="4181" t="inlineStr">
        <is>
          <t>廊　　　　　下</t>
        </is>
      </c>
      <c r="V54" s="4110" t="n"/>
      <c r="W54" s="4110" t="n"/>
      <c r="X54" s="4110" t="n"/>
      <c r="Y54" s="4110" t="n"/>
      <c r="Z54" s="4110" t="n"/>
      <c r="AA54" s="4110" t="n"/>
      <c r="AB54" s="4110" t="n"/>
      <c r="AC54" s="4110" t="n"/>
      <c r="AD54" s="4111" t="n"/>
      <c r="AE54" s="4726" t="n"/>
      <c r="AF54" s="4098" t="n"/>
      <c r="AG54" s="4098" t="n"/>
      <c r="AH54" s="4101" t="n"/>
    </row>
    <row r="55" ht="20.1" customHeight="1" s="4080">
      <c r="A55" s="4097" t="n"/>
      <c r="J55" s="4107" t="n"/>
      <c r="K55" s="4181" t="inlineStr">
        <is>
          <t>１室の最大定員</t>
        </is>
      </c>
      <c r="L55" s="4110" t="n"/>
      <c r="M55" s="4110" t="n"/>
      <c r="N55" s="4110" t="n"/>
      <c r="O55" s="4111" t="n"/>
      <c r="P55" s="4708" t="inlineStr">
        <is>
          <t>入所者１人あたりの
最小床面積</t>
        </is>
      </c>
      <c r="Q55" s="4110" t="n"/>
      <c r="R55" s="4110" t="n"/>
      <c r="S55" s="4110" t="n"/>
      <c r="T55" s="4111" t="n"/>
      <c r="U55" s="4536" t="inlineStr">
        <is>
          <t>廊　下　の　幅</t>
        </is>
      </c>
      <c r="V55" s="4103" t="n"/>
      <c r="W55" s="4103" t="n"/>
      <c r="X55" s="4103" t="n"/>
      <c r="Y55" s="4104" t="n"/>
      <c r="Z55" s="2163" t="inlineStr">
        <is>
          <t>中廊下の幅</t>
        </is>
      </c>
      <c r="AA55" s="4110" t="n"/>
      <c r="AB55" s="4110" t="n"/>
      <c r="AC55" s="4110" t="n"/>
      <c r="AD55" s="4111" t="n"/>
      <c r="AE55" s="4106" t="n"/>
      <c r="AH55" s="4109" t="n"/>
    </row>
    <row r="56" ht="20.1" customHeight="1" s="4080">
      <c r="A56" s="4114" t="n"/>
      <c r="B56" s="4103" t="n"/>
      <c r="C56" s="4103" t="n"/>
      <c r="D56" s="4103" t="n"/>
      <c r="E56" s="4103" t="n"/>
      <c r="F56" s="4103" t="n"/>
      <c r="G56" s="4103" t="n"/>
      <c r="H56" s="4103" t="n"/>
      <c r="I56" s="4103" t="n"/>
      <c r="J56" s="4104" t="n"/>
      <c r="K56" s="1728" t="inlineStr">
        <is>
          <t>２</t>
        </is>
      </c>
      <c r="L56" s="4110" t="n"/>
      <c r="M56" s="4110" t="n"/>
      <c r="N56" s="4110" t="n"/>
      <c r="O56" s="440" t="inlineStr">
        <is>
          <t>人</t>
        </is>
      </c>
      <c r="P56" s="3032" t="inlineStr">
        <is>
          <t>９</t>
        </is>
      </c>
      <c r="Q56" s="4110" t="n"/>
      <c r="R56" s="1301" t="inlineStr">
        <is>
          <t>．</t>
        </is>
      </c>
      <c r="S56" s="441" t="inlineStr">
        <is>
          <t>９</t>
        </is>
      </c>
      <c r="T56" s="440" t="inlineStr">
        <is>
          <t>㎡</t>
        </is>
      </c>
      <c r="U56" s="3032" t="inlineStr">
        <is>
          <t>２</t>
        </is>
      </c>
      <c r="V56" s="4110" t="n"/>
      <c r="W56" s="1301" t="inlineStr">
        <is>
          <t>．</t>
        </is>
      </c>
      <c r="X56" s="441" t="inlineStr">
        <is>
          <t>２</t>
        </is>
      </c>
      <c r="Y56" s="440" t="inlineStr">
        <is>
          <t>ｍ</t>
        </is>
      </c>
      <c r="Z56" s="3032" t="inlineStr">
        <is>
          <t>１</t>
        </is>
      </c>
      <c r="AA56" s="4110" t="n"/>
      <c r="AB56" s="1301" t="inlineStr">
        <is>
          <t>．</t>
        </is>
      </c>
      <c r="AC56" s="441" t="inlineStr">
        <is>
          <t>８</t>
        </is>
      </c>
      <c r="AD56" s="440" t="inlineStr">
        <is>
          <t>ｍ</t>
        </is>
      </c>
      <c r="AE56" s="4102" t="n"/>
      <c r="AF56" s="4103" t="n"/>
      <c r="AG56" s="4103" t="n"/>
      <c r="AH56" s="4105" t="n"/>
    </row>
    <row r="57" ht="20.1" customHeight="1" s="4080">
      <c r="A57" s="4702" t="inlineStr">
        <is>
          <t>併設する他の
社会福祉施設</t>
        </is>
      </c>
      <c r="B57" s="4098" t="n"/>
      <c r="C57" s="4098" t="n"/>
      <c r="D57" s="4098" t="n"/>
      <c r="E57" s="4099" t="n"/>
      <c r="F57" s="1262" t="inlineStr">
        <is>
          <t>施設名</t>
        </is>
      </c>
      <c r="G57" s="4110" t="n"/>
      <c r="H57" s="4110" t="n"/>
      <c r="I57" s="4110" t="n"/>
      <c r="J57" s="4111" t="n"/>
      <c r="K57" s="4703" t="n"/>
      <c r="L57" s="4110" t="n"/>
      <c r="M57" s="4110" t="n"/>
      <c r="N57" s="4110" t="n"/>
      <c r="O57" s="4110" t="n"/>
      <c r="P57" s="4110" t="n"/>
      <c r="Q57" s="4110" t="n"/>
      <c r="R57" s="4110" t="n"/>
      <c r="S57" s="4110" t="n"/>
      <c r="T57" s="4110" t="n"/>
      <c r="U57" s="4110" t="n"/>
      <c r="V57" s="4110" t="n"/>
      <c r="W57" s="4110" t="n"/>
      <c r="X57" s="4110" t="n"/>
      <c r="Y57" s="4110" t="n"/>
      <c r="Z57" s="4110" t="n"/>
      <c r="AA57" s="4110" t="n"/>
      <c r="AB57" s="4110" t="n"/>
      <c r="AC57" s="4110" t="n"/>
      <c r="AD57" s="4110" t="n"/>
      <c r="AE57" s="4110" t="n"/>
      <c r="AF57" s="4110" t="n"/>
      <c r="AG57" s="4110" t="n"/>
      <c r="AH57" s="4113" t="n"/>
    </row>
    <row r="58" ht="20.1" customHeight="1" s="4080">
      <c r="A58" s="4114" t="n"/>
      <c r="B58" s="4103" t="n"/>
      <c r="C58" s="4103" t="n"/>
      <c r="D58" s="4103" t="n"/>
      <c r="E58" s="4104" t="n"/>
      <c r="F58" s="1262" t="inlineStr">
        <is>
          <t>施設種別</t>
        </is>
      </c>
      <c r="G58" s="4110" t="n"/>
      <c r="H58" s="4110" t="n"/>
      <c r="I58" s="4110" t="n"/>
      <c r="J58" s="4111" t="n"/>
      <c r="K58" s="4703" t="n"/>
      <c r="L58" s="4110" t="n"/>
      <c r="M58" s="4110" t="n"/>
      <c r="N58" s="4110" t="n"/>
      <c r="O58" s="4110" t="n"/>
      <c r="P58" s="4110" t="n"/>
      <c r="Q58" s="4110" t="n"/>
      <c r="R58" s="4110" t="n"/>
      <c r="S58" s="4110" t="n"/>
      <c r="T58" s="4110" t="n"/>
      <c r="U58" s="4110" t="n"/>
      <c r="V58" s="4110" t="n"/>
      <c r="W58" s="4110" t="n"/>
      <c r="X58" s="4110" t="n"/>
      <c r="Y58" s="4110" t="n"/>
      <c r="Z58" s="4110" t="n"/>
      <c r="AA58" s="4110" t="n"/>
      <c r="AB58" s="4110" t="n"/>
      <c r="AC58" s="4110" t="n"/>
      <c r="AD58" s="4110" t="n"/>
      <c r="AE58" s="4110" t="n"/>
      <c r="AF58" s="4110" t="n"/>
      <c r="AG58" s="4110" t="n"/>
      <c r="AH58" s="4113" t="n"/>
    </row>
    <row r="59" ht="20.1" customHeight="1" s="4080">
      <c r="A59" s="4727" t="inlineStr">
        <is>
          <t>旧法施設からの移行状況</t>
        </is>
      </c>
      <c r="B59" s="4098" t="n"/>
      <c r="C59" s="4098" t="n"/>
      <c r="D59" s="4098" t="n"/>
      <c r="E59" s="4099" t="n"/>
      <c r="F59" s="1262" t="inlineStr">
        <is>
          <t>旧法施設名</t>
        </is>
      </c>
      <c r="G59" s="4110" t="n"/>
      <c r="H59" s="4110" t="n"/>
      <c r="I59" s="4110" t="n"/>
      <c r="J59" s="4111" t="n"/>
      <c r="K59" s="4703" t="inlineStr">
        <is>
          <t>中之島園</t>
        </is>
      </c>
      <c r="L59" s="4110" t="n"/>
      <c r="M59" s="4110" t="n"/>
      <c r="N59" s="4110" t="n"/>
      <c r="O59" s="4110" t="n"/>
      <c r="P59" s="4110" t="n"/>
      <c r="Q59" s="4110" t="n"/>
      <c r="R59" s="4110" t="n"/>
      <c r="S59" s="4110" t="n"/>
      <c r="T59" s="4110" t="n"/>
      <c r="U59" s="4110" t="n"/>
      <c r="V59" s="4110" t="n"/>
      <c r="W59" s="4110" t="n"/>
      <c r="X59" s="4110" t="n"/>
      <c r="Y59" s="4110" t="n"/>
      <c r="Z59" s="4110" t="n"/>
      <c r="AA59" s="4110" t="n"/>
      <c r="AB59" s="4110" t="n"/>
      <c r="AC59" s="4110" t="n"/>
      <c r="AD59" s="4110" t="n"/>
      <c r="AE59" s="4110" t="n"/>
      <c r="AF59" s="4110" t="n"/>
      <c r="AG59" s="4110" t="n"/>
      <c r="AH59" s="4113" t="n"/>
    </row>
    <row r="60" ht="20.1" customHeight="1" s="4080">
      <c r="A60" s="4097" t="n"/>
      <c r="E60" s="4107" t="n"/>
      <c r="F60" s="1262" t="inlineStr">
        <is>
          <t>旧法施設種別</t>
        </is>
      </c>
      <c r="G60" s="4110" t="n"/>
      <c r="H60" s="4110" t="n"/>
      <c r="I60" s="4110" t="n"/>
      <c r="J60" s="4111" t="n"/>
      <c r="K60" s="4703" t="inlineStr">
        <is>
          <t>指定知的障害者入所更生施設</t>
        </is>
      </c>
      <c r="L60" s="4110" t="n"/>
      <c r="M60" s="4110" t="n"/>
      <c r="N60" s="4110" t="n"/>
      <c r="O60" s="4110" t="n"/>
      <c r="P60" s="4110" t="n"/>
      <c r="Q60" s="4110" t="n"/>
      <c r="R60" s="4110" t="n"/>
      <c r="S60" s="4110" t="n"/>
      <c r="T60" s="4110" t="n"/>
      <c r="U60" s="4110" t="n"/>
      <c r="V60" s="4110" t="n"/>
      <c r="W60" s="4110" t="n"/>
      <c r="X60" s="4110" t="n"/>
      <c r="Y60" s="4110" t="n"/>
      <c r="Z60" s="4110" t="n"/>
      <c r="AA60" s="4110" t="n"/>
      <c r="AB60" s="4110" t="n"/>
      <c r="AC60" s="4110" t="n"/>
      <c r="AD60" s="4110" t="n"/>
      <c r="AE60" s="4110" t="n"/>
      <c r="AF60" s="4110" t="n"/>
      <c r="AG60" s="4110" t="n"/>
      <c r="AH60" s="4113" t="n"/>
    </row>
    <row r="61" ht="3.95" customHeight="1" s="4080">
      <c r="A61" s="4097" t="n"/>
      <c r="E61" s="4107" t="n"/>
      <c r="F61" s="1262" t="inlineStr">
        <is>
          <t>経過措置の有無</t>
        </is>
      </c>
      <c r="G61" s="4098" t="n"/>
      <c r="H61" s="4098" t="n"/>
      <c r="I61" s="4098" t="n"/>
      <c r="J61" s="4099" t="n"/>
      <c r="K61" s="3272" t="n"/>
      <c r="L61" s="1323" t="n"/>
      <c r="M61" s="1323" t="n"/>
      <c r="N61" s="1323" t="n"/>
      <c r="O61" s="1394" t="n"/>
      <c r="P61" s="4728" t="inlineStr">
        <is>
          <t xml:space="preserve">　</t>
        </is>
      </c>
      <c r="Q61" s="4098" t="n"/>
      <c r="R61" s="4098" t="n"/>
      <c r="S61" s="4098" t="n"/>
      <c r="T61" s="4098" t="n"/>
      <c r="U61" s="4098" t="n"/>
      <c r="V61" s="4098" t="n"/>
      <c r="W61" s="4098" t="n"/>
      <c r="X61" s="4098" t="n"/>
      <c r="Y61" s="4098" t="n"/>
      <c r="Z61" s="4098" t="n"/>
      <c r="AA61" s="4098" t="n"/>
      <c r="AB61" s="4098" t="n"/>
      <c r="AC61" s="4098" t="n"/>
      <c r="AD61" s="4098" t="n"/>
      <c r="AE61" s="4098" t="n"/>
      <c r="AF61" s="4098" t="n"/>
      <c r="AG61" s="4098" t="n"/>
      <c r="AH61" s="4101" t="n"/>
    </row>
    <row r="62" ht="12" customHeight="1" s="4080">
      <c r="A62" s="4097" t="n"/>
      <c r="E62" s="4107" t="n"/>
      <c r="J62" s="4107" t="n"/>
      <c r="K62" s="4106" t="n"/>
      <c r="L62" s="80" t="inlineStr">
        <is>
          <t>有</t>
        </is>
      </c>
      <c r="M62" s="1325" t="inlineStr">
        <is>
          <t>・</t>
        </is>
      </c>
      <c r="N62" s="1325" t="inlineStr">
        <is>
          <t>無</t>
        </is>
      </c>
      <c r="O62" s="4107" t="n"/>
      <c r="P62" s="4106" t="n"/>
      <c r="AH62" s="4109" t="n"/>
    </row>
    <row r="63" ht="3.95" customHeight="1" s="4080">
      <c r="A63" s="4097" t="n"/>
      <c r="E63" s="4107" t="n"/>
      <c r="F63" s="4103" t="n"/>
      <c r="G63" s="4103" t="n"/>
      <c r="H63" s="4103" t="n"/>
      <c r="I63" s="4103" t="n"/>
      <c r="J63" s="4104" t="n"/>
      <c r="K63" s="4102" t="n"/>
      <c r="L63" s="1327" t="n"/>
      <c r="M63" s="1327" t="n"/>
      <c r="N63" s="1327" t="n"/>
      <c r="O63" s="4104" t="n"/>
      <c r="P63" s="4106" t="n"/>
      <c r="AH63" s="4109" t="n"/>
    </row>
    <row r="64" ht="20.1" customHeight="1" s="4080" thickBot="1">
      <c r="A64" s="4086" t="n"/>
      <c r="B64" s="4087" t="n"/>
      <c r="C64" s="4087" t="n"/>
      <c r="D64" s="4087" t="n"/>
      <c r="E64" s="4410" t="n"/>
      <c r="F64" s="3031" t="inlineStr">
        <is>
          <t>特定旧法受給者数</t>
        </is>
      </c>
      <c r="G64" s="4153" t="n"/>
      <c r="H64" s="4153" t="n"/>
      <c r="I64" s="4153" t="n"/>
      <c r="J64" s="4154" t="n"/>
      <c r="K64" s="3040" t="inlineStr">
        <is>
          <t>１０</t>
        </is>
      </c>
      <c r="L64" s="4153" t="n"/>
      <c r="M64" s="4153" t="n"/>
      <c r="N64" s="4153" t="n"/>
      <c r="O64" s="442" t="inlineStr">
        <is>
          <t>人</t>
        </is>
      </c>
      <c r="P64" s="4420" t="n"/>
      <c r="Q64" s="4087" t="n"/>
      <c r="R64" s="4087" t="n"/>
      <c r="S64" s="4087" t="n"/>
      <c r="T64" s="4087" t="n"/>
      <c r="U64" s="4087" t="n"/>
      <c r="V64" s="4087" t="n"/>
      <c r="W64" s="4087" t="n"/>
      <c r="X64" s="4087" t="n"/>
      <c r="Y64" s="4087" t="n"/>
      <c r="Z64" s="4087" t="n"/>
      <c r="AA64" s="4087" t="n"/>
      <c r="AB64" s="4087" t="n"/>
      <c r="AC64" s="4087" t="n"/>
      <c r="AD64" s="4087" t="n"/>
      <c r="AE64" s="4087" t="n"/>
      <c r="AF64" s="4087" t="n"/>
      <c r="AG64" s="4087" t="n"/>
      <c r="AH64" s="4088" t="n"/>
    </row>
    <row r="65" ht="15.95" customHeight="1" s="4080" thickBot="1">
      <c r="A65" s="4709" t="inlineStr">
        <is>
          <t>主な掲示事項</t>
        </is>
      </c>
      <c r="B65" s="4356" t="n"/>
      <c r="C65" s="1999" t="n"/>
      <c r="D65" s="2645" t="inlineStr">
        <is>
          <t>提供する施設障害
福祉サービスの
種類及び利用定員</t>
        </is>
      </c>
      <c r="E65" s="4082" t="n"/>
      <c r="F65" s="4082" t="n"/>
      <c r="G65" s="4082" t="n"/>
      <c r="H65" s="4082" t="n"/>
      <c r="I65" s="4082" t="n"/>
      <c r="J65" s="2974" t="n"/>
      <c r="K65" s="4710" t="inlineStr">
        <is>
          <t>施設入所支援</t>
        </is>
      </c>
      <c r="L65" s="4082" t="n"/>
      <c r="M65" s="4356" t="n"/>
      <c r="N65" s="4711" t="inlineStr">
        <is>
          <t>昼間実施サービス</t>
        </is>
      </c>
      <c r="O65" s="4093" t="n"/>
      <c r="P65" s="4093" t="n"/>
      <c r="Q65" s="4093" t="n"/>
      <c r="R65" s="4093" t="n"/>
      <c r="S65" s="4093" t="n"/>
      <c r="T65" s="4093" t="n"/>
      <c r="U65" s="4093" t="n"/>
      <c r="V65" s="4093" t="n"/>
      <c r="W65" s="4093" t="n"/>
      <c r="X65" s="4093" t="n"/>
      <c r="Y65" s="4093" t="n"/>
      <c r="Z65" s="4093" t="n"/>
      <c r="AA65" s="4093" t="n"/>
      <c r="AB65" s="4093" t="n"/>
      <c r="AC65" s="4093" t="n"/>
      <c r="AD65" s="4093" t="n"/>
      <c r="AE65" s="4093" t="n"/>
      <c r="AF65" s="4093" t="n"/>
      <c r="AG65" s="4093" t="n"/>
      <c r="AH65" s="4096" t="n"/>
    </row>
    <row r="66" ht="15.95" customHeight="1" s="4080" thickBot="1">
      <c r="A66" s="4097" t="n"/>
      <c r="B66" s="4107" t="n"/>
      <c r="C66" s="4106" t="n"/>
      <c r="J66" s="4107" t="n"/>
      <c r="K66" s="4106" t="n"/>
      <c r="M66" s="4107" t="n"/>
      <c r="N66" s="4185" t="inlineStr">
        <is>
          <t>生活介護</t>
        </is>
      </c>
      <c r="O66" s="4098" t="n"/>
      <c r="P66" s="4099" t="n"/>
      <c r="Q66" s="4712" t="inlineStr">
        <is>
          <t>自立訓練</t>
        </is>
      </c>
      <c r="R66" s="4138" t="n"/>
      <c r="S66" s="4138" t="n"/>
      <c r="T66" s="4138" t="n"/>
      <c r="U66" s="4138" t="n"/>
      <c r="V66" s="4139" t="n"/>
      <c r="W66" s="4313" t="inlineStr">
        <is>
          <t>就労移行支援</t>
        </is>
      </c>
      <c r="X66" s="4098" t="n"/>
      <c r="Y66" s="4099" t="n"/>
      <c r="Z66" s="4712" t="inlineStr">
        <is>
          <t>就労継続支援</t>
        </is>
      </c>
      <c r="AA66" s="4138" t="n"/>
      <c r="AB66" s="4138" t="n"/>
      <c r="AC66" s="4138" t="n"/>
      <c r="AD66" s="4138" t="n"/>
      <c r="AE66" s="4139" t="n"/>
      <c r="AF66" s="4713" t="inlineStr">
        <is>
          <t>利用定員合計</t>
        </is>
      </c>
      <c r="AG66" s="4098" t="n"/>
      <c r="AH66" s="4101" t="n"/>
    </row>
    <row r="67" ht="15.95" customHeight="1" s="4080" thickBot="1">
      <c r="A67" s="4097" t="n"/>
      <c r="B67" s="4107" t="n"/>
      <c r="C67" s="4106" t="n"/>
      <c r="J67" s="4107" t="n"/>
      <c r="K67" s="4102" t="n"/>
      <c r="L67" s="4103" t="n"/>
      <c r="M67" s="4104" t="n"/>
      <c r="N67" s="4102" t="n"/>
      <c r="O67" s="4103" t="n"/>
      <c r="P67" s="4104" t="n"/>
      <c r="Q67" s="3005" t="inlineStr">
        <is>
          <t>機能訓練</t>
        </is>
      </c>
      <c r="R67" s="4103" t="n"/>
      <c r="S67" s="4193" t="n"/>
      <c r="T67" s="4714" t="inlineStr">
        <is>
          <t>生活訓練</t>
        </is>
      </c>
      <c r="U67" s="4103" t="n"/>
      <c r="V67" s="4104" t="n"/>
      <c r="W67" s="4102" t="n"/>
      <c r="X67" s="4103" t="n"/>
      <c r="Y67" s="4104" t="n"/>
      <c r="Z67" s="4715" t="inlineStr">
        <is>
          <t>Ａ型</t>
        </is>
      </c>
      <c r="AA67" s="4103" t="n"/>
      <c r="AB67" s="4193" t="n"/>
      <c r="AC67" s="3095" t="inlineStr">
        <is>
          <t>Ｂ型</t>
        </is>
      </c>
      <c r="AD67" s="4103" t="n"/>
      <c r="AE67" s="4104" t="n"/>
      <c r="AF67" s="4102" t="n"/>
      <c r="AG67" s="4103" t="n"/>
      <c r="AH67" s="4105" t="n"/>
    </row>
    <row r="68" ht="15.95" customHeight="1" s="4080">
      <c r="A68" s="4097" t="n"/>
      <c r="B68" s="4107" t="n"/>
      <c r="C68" s="4420" t="n"/>
      <c r="D68" s="4087" t="n"/>
      <c r="E68" s="4087" t="n"/>
      <c r="F68" s="4087" t="n"/>
      <c r="G68" s="4087" t="n"/>
      <c r="H68" s="4087" t="n"/>
      <c r="I68" s="4087" t="n"/>
      <c r="J68" s="4410" t="n"/>
      <c r="K68" s="4716" t="n">
        <v>30</v>
      </c>
      <c r="L68" s="4110" t="n"/>
      <c r="M68" s="4717" t="inlineStr">
        <is>
          <t>人</t>
        </is>
      </c>
      <c r="N68" s="4716" t="n">
        <v>20</v>
      </c>
      <c r="O68" s="4110" t="n"/>
      <c r="P68" s="4717" t="inlineStr">
        <is>
          <t>人</t>
        </is>
      </c>
      <c r="Q68" s="4718" t="n"/>
      <c r="R68" s="4110" t="n"/>
      <c r="S68" s="4719" t="inlineStr">
        <is>
          <t>人</t>
        </is>
      </c>
      <c r="T68" s="4720" t="n"/>
      <c r="U68" s="4110" t="n"/>
      <c r="V68" s="4717" t="inlineStr">
        <is>
          <t>人</t>
        </is>
      </c>
      <c r="W68" s="4716" t="n"/>
      <c r="X68" s="4110" t="n"/>
      <c r="Y68" s="4717" t="inlineStr">
        <is>
          <t>人</t>
        </is>
      </c>
      <c r="Z68" s="4716" t="n"/>
      <c r="AA68" s="4110" t="n"/>
      <c r="AB68" s="4719" t="inlineStr">
        <is>
          <t>人</t>
        </is>
      </c>
      <c r="AC68" s="4720" t="n">
        <v>10</v>
      </c>
      <c r="AD68" s="4110" t="n"/>
      <c r="AE68" s="4717" t="inlineStr">
        <is>
          <t>人</t>
        </is>
      </c>
      <c r="AF68" s="4718">
        <f>+AC68+Z68+W68+T68+Q68+N68</f>
        <v/>
      </c>
      <c r="AG68" s="4110" t="n"/>
      <c r="AH68" s="4721" t="inlineStr">
        <is>
          <t>人</t>
        </is>
      </c>
    </row>
    <row r="69" ht="3.95" customHeight="1" s="4080">
      <c r="A69" s="4097" t="n"/>
      <c r="B69" s="4107" t="n"/>
      <c r="C69" s="4722" t="inlineStr">
        <is>
          <t>その他参考
となる事項</t>
        </is>
      </c>
      <c r="D69" s="4099" t="n"/>
      <c r="E69" s="4634" t="inlineStr">
        <is>
          <t>第三者評価の実施状況</t>
        </is>
      </c>
      <c r="F69" s="4098" t="n"/>
      <c r="G69" s="4098" t="n"/>
      <c r="H69" s="4098" t="n"/>
      <c r="I69" s="4098" t="n"/>
      <c r="J69" s="4099" t="n"/>
      <c r="K69" s="1660" t="n"/>
      <c r="L69" s="1661" t="n"/>
      <c r="M69" s="1661" t="n"/>
      <c r="N69" s="1661" t="n"/>
      <c r="O69" s="1661" t="n"/>
      <c r="P69" s="1661" t="n"/>
      <c r="Q69" s="1661" t="n"/>
      <c r="R69" s="4232" t="n"/>
      <c r="S69" s="4098" t="n"/>
      <c r="T69" s="4098" t="n"/>
      <c r="U69" s="4098" t="n"/>
      <c r="V69" s="4098" t="n"/>
      <c r="W69" s="4098" t="n"/>
      <c r="X69" s="4098" t="n"/>
      <c r="Y69" s="4098" t="n"/>
      <c r="Z69" s="4098" t="n"/>
      <c r="AA69" s="4098" t="n"/>
      <c r="AB69" s="1661" t="n"/>
      <c r="AC69" s="1661" t="n"/>
      <c r="AD69" s="1661" t="n"/>
      <c r="AE69" s="1661" t="n"/>
      <c r="AF69" s="1661" t="n"/>
      <c r="AG69" s="1661" t="n"/>
      <c r="AH69" s="1662" t="n"/>
    </row>
    <row r="70" ht="15" customHeight="1" s="4080">
      <c r="A70" s="4097" t="n"/>
      <c r="B70" s="4107" t="n"/>
      <c r="D70" s="4107" t="n"/>
      <c r="E70" s="4106" t="n"/>
      <c r="J70" s="4107" t="n"/>
      <c r="K70" s="1372" t="n"/>
      <c r="L70" s="1432" t="inlineStr">
        <is>
          <t>している</t>
        </is>
      </c>
      <c r="O70" s="1458" t="inlineStr">
        <is>
          <t>(実施先：</t>
        </is>
      </c>
      <c r="AB70" s="1325" t="inlineStr">
        <is>
          <t>)・</t>
        </is>
      </c>
      <c r="AD70" s="4264" t="inlineStr">
        <is>
          <t>していない</t>
        </is>
      </c>
      <c r="AE70" s="4265" t="n"/>
      <c r="AF70" s="4265" t="n"/>
      <c r="AG70" s="4266" t="n"/>
      <c r="AH70" s="1668" t="n"/>
    </row>
    <row r="71" ht="3.95" customHeight="1" s="4080">
      <c r="A71" s="4097" t="n"/>
      <c r="B71" s="4107" t="n"/>
      <c r="D71" s="4107" t="n"/>
      <c r="E71" s="4102" t="n"/>
      <c r="F71" s="4103" t="n"/>
      <c r="G71" s="4103" t="n"/>
      <c r="H71" s="4103" t="n"/>
      <c r="I71" s="4103" t="n"/>
      <c r="J71" s="4104" t="n"/>
      <c r="K71" s="438" t="n"/>
      <c r="L71" s="389" t="n"/>
      <c r="M71" s="389" t="n"/>
      <c r="N71" s="389" t="n"/>
      <c r="O71" s="389" t="n"/>
      <c r="P71" s="389" t="n"/>
      <c r="Q71" s="389" t="n"/>
      <c r="R71" s="4103" t="n"/>
      <c r="S71" s="4103" t="n"/>
      <c r="T71" s="4103" t="n"/>
      <c r="U71" s="4103" t="n"/>
      <c r="V71" s="4103" t="n"/>
      <c r="W71" s="4103" t="n"/>
      <c r="X71" s="4103" t="n"/>
      <c r="Y71" s="4103" t="n"/>
      <c r="Z71" s="4103" t="n"/>
      <c r="AA71" s="4103" t="n"/>
      <c r="AB71" s="389" t="n"/>
      <c r="AC71" s="389" t="n"/>
      <c r="AD71" s="389" t="n"/>
      <c r="AE71" s="389" t="n"/>
      <c r="AF71" s="389" t="n"/>
      <c r="AG71" s="389" t="n"/>
      <c r="AH71" s="390" t="n"/>
    </row>
    <row r="72" ht="15" customHeight="1" s="4080">
      <c r="A72" s="4097" t="n"/>
      <c r="B72" s="4107" t="n"/>
      <c r="D72" s="4107" t="n"/>
      <c r="E72" s="1439" t="inlineStr">
        <is>
          <t>苦情解決の措置概要</t>
        </is>
      </c>
      <c r="F72" s="4098" t="n"/>
      <c r="G72" s="4098" t="n"/>
      <c r="H72" s="4098" t="n"/>
      <c r="I72" s="4098" t="n"/>
      <c r="J72" s="4099" t="n"/>
      <c r="K72" s="2542" t="inlineStr">
        <is>
          <t>窓　口</t>
        </is>
      </c>
      <c r="L72" s="4110" t="n"/>
      <c r="M72" s="4111" t="n"/>
      <c r="N72" s="4267" t="inlineStr">
        <is>
          <t>障害者支援施設　中之島園</t>
        </is>
      </c>
      <c r="O72" s="4110" t="n"/>
      <c r="P72" s="4110" t="n"/>
      <c r="Q72" s="4110" t="n"/>
      <c r="R72" s="4110" t="n"/>
      <c r="S72" s="4110" t="n"/>
      <c r="T72" s="4110" t="n"/>
      <c r="U72" s="4110" t="n"/>
      <c r="V72" s="4110" t="n"/>
      <c r="W72" s="4110" t="n"/>
      <c r="X72" s="4110" t="n"/>
      <c r="Y72" s="4110" t="n"/>
      <c r="Z72" s="4110" t="n"/>
      <c r="AA72" s="4110" t="n"/>
      <c r="AB72" s="4110" t="n"/>
      <c r="AC72" s="4110" t="n"/>
      <c r="AD72" s="4110" t="n"/>
      <c r="AE72" s="4110" t="n"/>
      <c r="AF72" s="4110" t="n"/>
      <c r="AG72" s="4110" t="n"/>
      <c r="AH72" s="4113" t="n"/>
    </row>
    <row r="73" ht="15" customHeight="1" s="4080">
      <c r="A73" s="4097" t="n"/>
      <c r="B73" s="4107" t="n"/>
      <c r="D73" s="4107" t="n"/>
      <c r="E73" s="4103" t="n"/>
      <c r="F73" s="4103" t="n"/>
      <c r="G73" s="4103" t="n"/>
      <c r="H73" s="4103" t="n"/>
      <c r="I73" s="4103" t="n"/>
      <c r="J73" s="4104" t="n"/>
      <c r="K73" s="2542" t="inlineStr">
        <is>
          <t>担当者</t>
        </is>
      </c>
      <c r="L73" s="4110" t="n"/>
      <c r="M73" s="4111" t="n"/>
      <c r="N73" s="4233" t="inlineStr">
        <is>
          <t>淀屋橋花子</t>
        </is>
      </c>
      <c r="O73" s="4110" t="n"/>
      <c r="P73" s="4110" t="n"/>
      <c r="Q73" s="4110" t="n"/>
      <c r="R73" s="4110" t="n"/>
      <c r="S73" s="4110" t="n"/>
      <c r="T73" s="4110" t="n"/>
      <c r="U73" s="4111" t="n"/>
      <c r="V73" s="2163" t="inlineStr">
        <is>
          <t>電話</t>
        </is>
      </c>
      <c r="W73" s="4111" t="n"/>
      <c r="X73" s="1479" t="inlineStr">
        <is>
          <t>０６</t>
        </is>
      </c>
      <c r="Y73" s="4110" t="n"/>
      <c r="Z73" s="4110" t="n"/>
      <c r="AA73" s="1492" t="inlineStr">
        <is>
          <t>－</t>
        </is>
      </c>
      <c r="AB73" s="1150" t="inlineStr">
        <is>
          <t>６２４１</t>
        </is>
      </c>
      <c r="AC73" s="4110" t="n"/>
      <c r="AD73" s="4110" t="n"/>
      <c r="AE73" s="1492" t="inlineStr">
        <is>
          <t>－</t>
        </is>
      </c>
      <c r="AF73" s="1483" t="inlineStr">
        <is>
          <t>６５２０</t>
        </is>
      </c>
      <c r="AG73" s="4110" t="n"/>
      <c r="AH73" s="4113" t="n"/>
    </row>
    <row r="74" ht="15" customHeight="1" s="4080">
      <c r="A74" s="4097" t="n"/>
      <c r="B74" s="4107" t="n"/>
      <c r="C74" s="4103" t="n"/>
      <c r="D74" s="4104" t="n"/>
      <c r="E74" s="1394" t="inlineStr">
        <is>
          <t>そ　　 の 　　他</t>
        </is>
      </c>
      <c r="F74" s="4110" t="n"/>
      <c r="G74" s="4110" t="n"/>
      <c r="H74" s="4110" t="n"/>
      <c r="I74" s="4110" t="n"/>
      <c r="J74" s="4111" t="n"/>
      <c r="K74" s="4121" t="n"/>
      <c r="L74" s="4110" t="n"/>
      <c r="M74" s="4110" t="n"/>
      <c r="N74" s="4110" t="n"/>
      <c r="O74" s="4110" t="n"/>
      <c r="P74" s="4110" t="n"/>
      <c r="Q74" s="4110" t="n"/>
      <c r="R74" s="4110" t="n"/>
      <c r="S74" s="4110" t="n"/>
      <c r="T74" s="4110" t="n"/>
      <c r="U74" s="4110" t="n"/>
      <c r="V74" s="4110" t="n"/>
      <c r="W74" s="4110" t="n"/>
      <c r="X74" s="4110" t="n"/>
      <c r="Y74" s="4110" t="n"/>
      <c r="Z74" s="4110" t="n"/>
      <c r="AA74" s="4110" t="n"/>
      <c r="AB74" s="4110" t="n"/>
      <c r="AC74" s="4110" t="n"/>
      <c r="AD74" s="4110" t="n"/>
      <c r="AE74" s="4110" t="n"/>
      <c r="AF74" s="4110" t="n"/>
      <c r="AG74" s="4110" t="n"/>
      <c r="AH74" s="4113" t="n"/>
    </row>
    <row r="75" ht="15" customHeight="1" s="4080">
      <c r="A75" s="4097" t="n"/>
      <c r="B75" s="4107" t="n"/>
      <c r="C75" s="1245" t="n"/>
      <c r="D75" s="1264" t="inlineStr">
        <is>
          <t>協力医療機関</t>
        </is>
      </c>
      <c r="E75" s="4098" t="n"/>
      <c r="F75" s="4098" t="n"/>
      <c r="G75" s="4098" t="n"/>
      <c r="H75" s="4098" t="n"/>
      <c r="I75" s="4098" t="n"/>
      <c r="J75" s="2077" t="n"/>
      <c r="K75" s="4181" t="inlineStr">
        <is>
          <t>ﾌﾘｶﾞﾅ</t>
        </is>
      </c>
      <c r="L75" s="4110" t="n"/>
      <c r="M75" s="4111" t="n"/>
      <c r="N75" s="4456" t="inlineStr">
        <is>
          <t>ﾏﾙﾏﾙｷﾈﾝﾋﾞｮｳｲﾝ</t>
        </is>
      </c>
      <c r="O75" s="4110" t="n"/>
      <c r="P75" s="4110" t="n"/>
      <c r="Q75" s="4110" t="n"/>
      <c r="R75" s="4110" t="n"/>
      <c r="S75" s="4110" t="n"/>
      <c r="T75" s="4110" t="n"/>
      <c r="U75" s="4110" t="n"/>
      <c r="V75" s="4110" t="n"/>
      <c r="W75" s="4110" t="n"/>
      <c r="X75" s="4110" t="n"/>
      <c r="Y75" s="4110" t="n"/>
      <c r="Z75" s="4110" t="n"/>
      <c r="AA75" s="4110" t="n"/>
      <c r="AB75" s="4111" t="n"/>
      <c r="AC75" s="3362" t="inlineStr">
        <is>
          <t>主な診療科名</t>
        </is>
      </c>
      <c r="AD75" s="4099" t="n"/>
      <c r="AE75" s="4260" t="inlineStr">
        <is>
          <t>内科､外科</t>
        </is>
      </c>
      <c r="AF75" s="4098" t="n"/>
      <c r="AG75" s="4098" t="n"/>
      <c r="AH75" s="4101" t="n"/>
    </row>
    <row r="76" ht="24" customHeight="1" s="4080">
      <c r="A76" s="4097" t="n"/>
      <c r="B76" s="4107" t="n"/>
      <c r="C76" s="1293" t="n"/>
      <c r="D76" s="4103" t="n"/>
      <c r="E76" s="4103" t="n"/>
      <c r="F76" s="4103" t="n"/>
      <c r="G76" s="4103" t="n"/>
      <c r="H76" s="4103" t="n"/>
      <c r="I76" s="4103" t="n"/>
      <c r="J76" s="4104" t="n"/>
      <c r="K76" s="2164" t="inlineStr">
        <is>
          <t>名　称</t>
        </is>
      </c>
      <c r="L76" s="4110" t="n"/>
      <c r="M76" s="4111" t="n"/>
      <c r="N76" s="4233" t="inlineStr">
        <is>
          <t>○○記念病院</t>
        </is>
      </c>
      <c r="O76" s="4110" t="n"/>
      <c r="P76" s="4110" t="n"/>
      <c r="Q76" s="4110" t="n"/>
      <c r="R76" s="4110" t="n"/>
      <c r="S76" s="4110" t="n"/>
      <c r="T76" s="4110" t="n"/>
      <c r="U76" s="4110" t="n"/>
      <c r="V76" s="4110" t="n"/>
      <c r="W76" s="4110" t="n"/>
      <c r="X76" s="4110" t="n"/>
      <c r="Y76" s="4110" t="n"/>
      <c r="Z76" s="4110" t="n"/>
      <c r="AA76" s="4110" t="n"/>
      <c r="AB76" s="4111" t="n"/>
      <c r="AC76" s="4103" t="n"/>
      <c r="AD76" s="4104" t="n"/>
      <c r="AE76" s="4102" t="n"/>
      <c r="AF76" s="4103" t="n"/>
      <c r="AG76" s="4103" t="n"/>
      <c r="AH76" s="4105" t="n"/>
    </row>
    <row r="77" ht="15" customHeight="1" s="4080">
      <c r="A77" s="4097" t="n"/>
      <c r="B77" s="4107" t="n"/>
      <c r="C77" s="1245" t="n"/>
      <c r="D77" s="1264" t="inlineStr">
        <is>
          <t>協力歯科医療機関</t>
        </is>
      </c>
      <c r="E77" s="4098" t="n"/>
      <c r="F77" s="4098" t="n"/>
      <c r="G77" s="4098" t="n"/>
      <c r="H77" s="4098" t="n"/>
      <c r="I77" s="4098" t="n"/>
      <c r="J77" s="2077" t="n"/>
      <c r="K77" s="4181" t="inlineStr">
        <is>
          <t>ﾌﾘｶﾞﾅ</t>
        </is>
      </c>
      <c r="L77" s="4110" t="n"/>
      <c r="M77" s="4111" t="n"/>
      <c r="N77" s="4648" t="inlineStr">
        <is>
          <t>ｷﾀﾊﾏﾃﾞﾝﾀﾙｸﾘﾆｯｸ</t>
        </is>
      </c>
      <c r="O77" s="4110" t="n"/>
      <c r="P77" s="4110" t="n"/>
      <c r="Q77" s="4110" t="n"/>
      <c r="R77" s="4110" t="n"/>
      <c r="S77" s="4110" t="n"/>
      <c r="T77" s="4110" t="n"/>
      <c r="U77" s="4110" t="n"/>
      <c r="V77" s="4110" t="n"/>
      <c r="W77" s="4110" t="n"/>
      <c r="X77" s="4110" t="n"/>
      <c r="Y77" s="4110" t="n"/>
      <c r="Z77" s="4110" t="n"/>
      <c r="AA77" s="4110" t="n"/>
      <c r="AB77" s="4110" t="n"/>
      <c r="AC77" s="4110" t="n"/>
      <c r="AD77" s="4110" t="n"/>
      <c r="AE77" s="4110" t="n"/>
      <c r="AF77" s="4110" t="n"/>
      <c r="AG77" s="4110" t="n"/>
      <c r="AH77" s="4113" t="n"/>
    </row>
    <row r="78" ht="24" customHeight="1" s="4080">
      <c r="A78" s="4114" t="n"/>
      <c r="B78" s="4104" t="n"/>
      <c r="C78" s="1293" t="n"/>
      <c r="D78" s="4103" t="n"/>
      <c r="E78" s="4103" t="n"/>
      <c r="F78" s="4103" t="n"/>
      <c r="G78" s="4103" t="n"/>
      <c r="H78" s="4103" t="n"/>
      <c r="I78" s="4103" t="n"/>
      <c r="J78" s="4104" t="n"/>
      <c r="K78" s="2164" t="inlineStr">
        <is>
          <t>名　称</t>
        </is>
      </c>
      <c r="L78" s="4110" t="n"/>
      <c r="M78" s="4111" t="n"/>
      <c r="N78" s="4649" t="inlineStr">
        <is>
          <t>北浜デンタルクリニック</t>
        </is>
      </c>
      <c r="O78" s="4110" t="n"/>
      <c r="P78" s="4110" t="n"/>
      <c r="Q78" s="4110" t="n"/>
      <c r="R78" s="4110" t="n"/>
      <c r="S78" s="4110" t="n"/>
      <c r="T78" s="4110" t="n"/>
      <c r="U78" s="4110" t="n"/>
      <c r="V78" s="4110" t="n"/>
      <c r="W78" s="4110" t="n"/>
      <c r="X78" s="4110" t="n"/>
      <c r="Y78" s="4110" t="n"/>
      <c r="Z78" s="4110" t="n"/>
      <c r="AA78" s="4110" t="n"/>
      <c r="AB78" s="4110" t="n"/>
      <c r="AC78" s="4110" t="n"/>
      <c r="AD78" s="4110" t="n"/>
      <c r="AE78" s="4110" t="n"/>
      <c r="AF78" s="4110" t="n"/>
      <c r="AG78" s="4110" t="n"/>
      <c r="AH78" s="4113" t="n"/>
    </row>
    <row r="79" ht="17.1" customHeight="1" s="4080" thickBot="1">
      <c r="A79" s="4234" t="inlineStr">
        <is>
          <t>添　　付　　書　　類</t>
        </is>
      </c>
      <c r="B79" s="4153" t="n"/>
      <c r="C79" s="4153" t="n"/>
      <c r="D79" s="4153" t="n"/>
      <c r="E79" s="4153" t="n"/>
      <c r="F79" s="4153" t="n"/>
      <c r="G79" s="4153" t="n"/>
      <c r="H79" s="4153" t="n"/>
      <c r="I79" s="4153" t="n"/>
      <c r="J79" s="4154" t="n"/>
      <c r="K79" s="4235" t="inlineStr">
        <is>
          <t xml:space="preserve">　別紙「添付書類一覧表」のとおり</t>
        </is>
      </c>
      <c r="L79" s="4153" t="n"/>
      <c r="M79" s="4153" t="n"/>
      <c r="N79" s="4153" t="n"/>
      <c r="O79" s="4153" t="n"/>
      <c r="P79" s="4153" t="n"/>
      <c r="Q79" s="4153" t="n"/>
      <c r="R79" s="4153" t="n"/>
      <c r="S79" s="4153" t="n"/>
      <c r="T79" s="4153" t="n"/>
      <c r="U79" s="4153" t="n"/>
      <c r="V79" s="4153" t="n"/>
      <c r="W79" s="4153" t="n"/>
      <c r="X79" s="4153" t="n"/>
      <c r="Y79" s="4153" t="n"/>
      <c r="Z79" s="4153" t="n"/>
      <c r="AA79" s="4153" t="n"/>
      <c r="AB79" s="4153" t="n"/>
      <c r="AC79" s="4153" t="n"/>
      <c r="AD79" s="4153" t="n"/>
      <c r="AE79" s="4153" t="n"/>
      <c r="AF79" s="4153" t="n"/>
      <c r="AG79" s="4153" t="n"/>
      <c r="AH79" s="4155" t="n"/>
    </row>
  </sheetData>
  <mergeCells count="349">
    <mergeCell ref="W47:Y47"/>
    <mergeCell ref="V73:W73"/>
    <mergeCell ref="K11:AH11"/>
    <mergeCell ref="Q44:V44"/>
    <mergeCell ref="Z67:AB67"/>
    <mergeCell ref="V18:AH18"/>
    <mergeCell ref="K38:P38"/>
    <mergeCell ref="T34:V34"/>
    <mergeCell ref="C10:E11"/>
    <mergeCell ref="D77:I78"/>
    <mergeCell ref="T28:V28"/>
    <mergeCell ref="AA2:AA3"/>
    <mergeCell ref="D75:I76"/>
    <mergeCell ref="AC48:AH48"/>
    <mergeCell ref="K34:M34"/>
    <mergeCell ref="AC2:AC3"/>
    <mergeCell ref="A59:E64"/>
    <mergeCell ref="T29:V29"/>
    <mergeCell ref="Q33:S33"/>
    <mergeCell ref="C22:L22"/>
    <mergeCell ref="Z66:AE66"/>
    <mergeCell ref="K29:M29"/>
    <mergeCell ref="F64:J64"/>
    <mergeCell ref="F13:I13"/>
    <mergeCell ref="Z55:AD55"/>
    <mergeCell ref="J77:J78"/>
    <mergeCell ref="AC39:AE39"/>
    <mergeCell ref="E74:J74"/>
    <mergeCell ref="W46:Y46"/>
    <mergeCell ref="Z51:AB51"/>
    <mergeCell ref="Y23:AH23"/>
    <mergeCell ref="K59:AH59"/>
    <mergeCell ref="Q46:S46"/>
    <mergeCell ref="C20:AH20"/>
    <mergeCell ref="Z68:AA68"/>
    <mergeCell ref="N45:P45"/>
    <mergeCell ref="C49:J50"/>
    <mergeCell ref="A1:AH1"/>
    <mergeCell ref="R69:AA71"/>
    <mergeCell ref="N47:P47"/>
    <mergeCell ref="C44:J45"/>
    <mergeCell ref="N75:AB75"/>
    <mergeCell ref="T50:V50"/>
    <mergeCell ref="Q38:V38"/>
    <mergeCell ref="W68:X68"/>
    <mergeCell ref="Q35:S35"/>
    <mergeCell ref="K75:M75"/>
    <mergeCell ref="Q34:S34"/>
    <mergeCell ref="N40:P40"/>
    <mergeCell ref="K39:M39"/>
    <mergeCell ref="Z2:Z3"/>
    <mergeCell ref="AB2:AB3"/>
    <mergeCell ref="AD2:AD3"/>
    <mergeCell ref="W29:Y29"/>
    <mergeCell ref="AF27:AH27"/>
    <mergeCell ref="Q66:V66"/>
    <mergeCell ref="W53:AB53"/>
    <mergeCell ref="N35:P35"/>
    <mergeCell ref="F58:J58"/>
    <mergeCell ref="F60:J60"/>
    <mergeCell ref="W51:Y51"/>
    <mergeCell ref="N46:P46"/>
    <mergeCell ref="K50:M50"/>
    <mergeCell ref="P14:Q16"/>
    <mergeCell ref="E69:J71"/>
    <mergeCell ref="AF45:AH45"/>
    <mergeCell ref="K52:M52"/>
    <mergeCell ref="I8:M9"/>
    <mergeCell ref="A57:E58"/>
    <mergeCell ref="C47:J47"/>
    <mergeCell ref="Q48:V48"/>
    <mergeCell ref="AF40:AH40"/>
    <mergeCell ref="AE54:AH56"/>
    <mergeCell ref="C40:J40"/>
    <mergeCell ref="W17:AH17"/>
    <mergeCell ref="AB70:AC70"/>
    <mergeCell ref="K54:T54"/>
    <mergeCell ref="C51:J51"/>
    <mergeCell ref="W19:AH19"/>
    <mergeCell ref="AB73:AD73"/>
    <mergeCell ref="C17:M19"/>
    <mergeCell ref="N41:P41"/>
    <mergeCell ref="AF73:AH73"/>
    <mergeCell ref="T14:V16"/>
    <mergeCell ref="AC28:AE28"/>
    <mergeCell ref="N51:P51"/>
    <mergeCell ref="Q52:S52"/>
    <mergeCell ref="Q39:S39"/>
    <mergeCell ref="W36:AB36"/>
    <mergeCell ref="W30:AB30"/>
    <mergeCell ref="C14:E16"/>
    <mergeCell ref="AC67:AE67"/>
    <mergeCell ref="K60:AH60"/>
    <mergeCell ref="K46:M46"/>
    <mergeCell ref="K40:M40"/>
    <mergeCell ref="C35:J35"/>
    <mergeCell ref="N68:O68"/>
    <mergeCell ref="C65:C68"/>
    <mergeCell ref="O70:Q70"/>
    <mergeCell ref="K73:M73"/>
    <mergeCell ref="AF47:AH47"/>
    <mergeCell ref="M24:X24"/>
    <mergeCell ref="I10:K10"/>
    <mergeCell ref="AF46:AH46"/>
    <mergeCell ref="C46:J46"/>
    <mergeCell ref="C7:E9"/>
    <mergeCell ref="X14:AH16"/>
    <mergeCell ref="C48:J48"/>
    <mergeCell ref="W49:AB49"/>
    <mergeCell ref="A12:S12"/>
    <mergeCell ref="F61:J63"/>
    <mergeCell ref="W26:AB26"/>
    <mergeCell ref="N8:O9"/>
    <mergeCell ref="P55:T55"/>
    <mergeCell ref="AF10:AH10"/>
    <mergeCell ref="S17:U19"/>
    <mergeCell ref="U54:AD54"/>
    <mergeCell ref="AC29:AE29"/>
    <mergeCell ref="O61:O63"/>
    <mergeCell ref="A26:B53"/>
    <mergeCell ref="Z33:AB33"/>
    <mergeCell ref="J65:J68"/>
    <mergeCell ref="W42:AB42"/>
    <mergeCell ref="AF68:AG68"/>
    <mergeCell ref="AF66:AH67"/>
    <mergeCell ref="Z35:AB35"/>
    <mergeCell ref="K53:P53"/>
    <mergeCell ref="AC43:AH44"/>
    <mergeCell ref="Z34:AB34"/>
    <mergeCell ref="Y24:AH24"/>
    <mergeCell ref="Z28:AB28"/>
    <mergeCell ref="K64:N64"/>
    <mergeCell ref="C36:J36"/>
    <mergeCell ref="W40:Y40"/>
    <mergeCell ref="T39:V39"/>
    <mergeCell ref="C25:L25"/>
    <mergeCell ref="W33:Y33"/>
    <mergeCell ref="N76:AB76"/>
    <mergeCell ref="T47:V47"/>
    <mergeCell ref="W35:Y35"/>
    <mergeCell ref="K79:AH79"/>
    <mergeCell ref="K76:M76"/>
    <mergeCell ref="K68:L68"/>
    <mergeCell ref="N72:AH72"/>
    <mergeCell ref="P13:S13"/>
    <mergeCell ref="Q10:S10"/>
    <mergeCell ref="W32:AB32"/>
    <mergeCell ref="F4:AH4"/>
    <mergeCell ref="Q26:V26"/>
    <mergeCell ref="U2:X3"/>
    <mergeCell ref="K77:M77"/>
    <mergeCell ref="F59:J59"/>
    <mergeCell ref="AF51:AH51"/>
    <mergeCell ref="C5:E6"/>
    <mergeCell ref="A13:B25"/>
    <mergeCell ref="J14:M16"/>
    <mergeCell ref="C31:J33"/>
    <mergeCell ref="T52:V52"/>
    <mergeCell ref="AC49:AH49"/>
    <mergeCell ref="F7:I7"/>
    <mergeCell ref="T27:V27"/>
    <mergeCell ref="AC36:AH36"/>
    <mergeCell ref="AC52:AE52"/>
    <mergeCell ref="N27:P27"/>
    <mergeCell ref="Y21:AH21"/>
    <mergeCell ref="AC75:AD76"/>
    <mergeCell ref="AC45:AE45"/>
    <mergeCell ref="K30:P30"/>
    <mergeCell ref="T13:X13"/>
    <mergeCell ref="AF33:AH33"/>
    <mergeCell ref="C4:E4"/>
    <mergeCell ref="AC47:AE47"/>
    <mergeCell ref="K51:M51"/>
    <mergeCell ref="C26:J27"/>
    <mergeCell ref="K72:M72"/>
    <mergeCell ref="Z50:AB50"/>
    <mergeCell ref="W41:Y41"/>
    <mergeCell ref="Z52:AB52"/>
    <mergeCell ref="Z39:AB39"/>
    <mergeCell ref="AC50:AE50"/>
    <mergeCell ref="Z56:AA56"/>
    <mergeCell ref="AC27:AE27"/>
    <mergeCell ref="Q28:S28"/>
    <mergeCell ref="Y12:Z12"/>
    <mergeCell ref="AA12:AB12"/>
    <mergeCell ref="K36:P36"/>
    <mergeCell ref="C21:L21"/>
    <mergeCell ref="Q29:S29"/>
    <mergeCell ref="N33:P33"/>
    <mergeCell ref="C23:L23"/>
    <mergeCell ref="K44:P44"/>
    <mergeCell ref="K31:AH31"/>
    <mergeCell ref="N28:P28"/>
    <mergeCell ref="K27:M27"/>
    <mergeCell ref="AC46:AE46"/>
    <mergeCell ref="AC40:AE40"/>
    <mergeCell ref="W48:AB48"/>
    <mergeCell ref="T46:V46"/>
    <mergeCell ref="AC41:AE41"/>
    <mergeCell ref="Z45:AB45"/>
    <mergeCell ref="K49:P49"/>
    <mergeCell ref="K57:AH57"/>
    <mergeCell ref="AC32:AH32"/>
    <mergeCell ref="K45:M45"/>
    <mergeCell ref="K26:P26"/>
    <mergeCell ref="K47:M47"/>
    <mergeCell ref="F5:AH6"/>
    <mergeCell ref="M22:X22"/>
    <mergeCell ref="X73:Z73"/>
    <mergeCell ref="T40:V40"/>
    <mergeCell ref="K43:AB43"/>
    <mergeCell ref="T68:U68"/>
    <mergeCell ref="Q49:V49"/>
    <mergeCell ref="N66:P67"/>
    <mergeCell ref="Q36:V36"/>
    <mergeCell ref="Q30:V30"/>
    <mergeCell ref="N34:P34"/>
    <mergeCell ref="C24:L24"/>
    <mergeCell ref="AF2:AF3"/>
    <mergeCell ref="AH2:AH3"/>
    <mergeCell ref="Q45:S45"/>
    <mergeCell ref="C13:E13"/>
    <mergeCell ref="J7:N7"/>
    <mergeCell ref="T10:W10"/>
    <mergeCell ref="Q47:S47"/>
    <mergeCell ref="K65:M67"/>
    <mergeCell ref="K33:M33"/>
    <mergeCell ref="K56:N56"/>
    <mergeCell ref="T45:V45"/>
    <mergeCell ref="C28:J28"/>
    <mergeCell ref="K35:M35"/>
    <mergeCell ref="Y25:AH25"/>
    <mergeCell ref="E72:J73"/>
    <mergeCell ref="C30:J30"/>
    <mergeCell ref="Q50:S50"/>
    <mergeCell ref="P7:AH9"/>
    <mergeCell ref="N13:O16"/>
    <mergeCell ref="T51:V51"/>
    <mergeCell ref="P56:Q56"/>
    <mergeCell ref="AC68:AD68"/>
    <mergeCell ref="K58:AH58"/>
    <mergeCell ref="Q27:S27"/>
    <mergeCell ref="AF41:AH41"/>
    <mergeCell ref="C41:J41"/>
    <mergeCell ref="AF35:AH35"/>
    <mergeCell ref="X10:Z10"/>
    <mergeCell ref="A79:J79"/>
    <mergeCell ref="U12:V12"/>
    <mergeCell ref="AB10:AD10"/>
    <mergeCell ref="W12:X12"/>
    <mergeCell ref="AJ44:AO44"/>
    <mergeCell ref="T67:V67"/>
    <mergeCell ref="C69:D74"/>
    <mergeCell ref="T33:V33"/>
    <mergeCell ref="T35:V35"/>
    <mergeCell ref="F57:J57"/>
    <mergeCell ref="C34:J34"/>
    <mergeCell ref="K41:M41"/>
    <mergeCell ref="AC30:AH30"/>
    <mergeCell ref="N52:P52"/>
    <mergeCell ref="Q40:S40"/>
    <mergeCell ref="N39:P39"/>
    <mergeCell ref="AE2:AE3"/>
    <mergeCell ref="AG2:AG3"/>
    <mergeCell ref="Y2:Y3"/>
    <mergeCell ref="M25:X25"/>
    <mergeCell ref="C29:J29"/>
    <mergeCell ref="Z29:AB29"/>
    <mergeCell ref="J13:M13"/>
    <mergeCell ref="Q32:V32"/>
    <mergeCell ref="L70:N70"/>
    <mergeCell ref="W28:Y28"/>
    <mergeCell ref="N65:AH65"/>
    <mergeCell ref="W44:AB44"/>
    <mergeCell ref="F10:H10"/>
    <mergeCell ref="K74:AH74"/>
    <mergeCell ref="N50:P50"/>
    <mergeCell ref="AD70:AG70"/>
    <mergeCell ref="C42:J42"/>
    <mergeCell ref="AC42:AH42"/>
    <mergeCell ref="K55:O55"/>
    <mergeCell ref="M21:X21"/>
    <mergeCell ref="K48:P48"/>
    <mergeCell ref="D65:I68"/>
    <mergeCell ref="P61:AH64"/>
    <mergeCell ref="N78:AH78"/>
    <mergeCell ref="Q41:S41"/>
    <mergeCell ref="N73:U73"/>
    <mergeCell ref="W38:AB38"/>
    <mergeCell ref="AF28:AH28"/>
    <mergeCell ref="A4:B11"/>
    <mergeCell ref="C52:J52"/>
    <mergeCell ref="W66:Y67"/>
    <mergeCell ref="AF39:AH39"/>
    <mergeCell ref="W34:Y34"/>
    <mergeCell ref="Y22:AH22"/>
    <mergeCell ref="Q67:S67"/>
    <mergeCell ref="K61:K63"/>
    <mergeCell ref="Q68:R68"/>
    <mergeCell ref="AC26:AH26"/>
    <mergeCell ref="AC12:AD12"/>
    <mergeCell ref="AE12:AF12"/>
    <mergeCell ref="AF50:AH50"/>
    <mergeCell ref="AF52:AH52"/>
    <mergeCell ref="U56:V56"/>
    <mergeCell ref="AC51:AE51"/>
    <mergeCell ref="N17:R17"/>
    <mergeCell ref="M23:X23"/>
    <mergeCell ref="Q53:V53"/>
    <mergeCell ref="N19:R19"/>
    <mergeCell ref="A54:J56"/>
    <mergeCell ref="AF34:AH34"/>
    <mergeCell ref="U55:Y55"/>
    <mergeCell ref="Q51:S51"/>
    <mergeCell ref="AF29:AH29"/>
    <mergeCell ref="AC33:AE33"/>
    <mergeCell ref="F11:J11"/>
    <mergeCell ref="C37:J39"/>
    <mergeCell ref="Z47:AB47"/>
    <mergeCell ref="AC35:AE35"/>
    <mergeCell ref="AC34:AE34"/>
    <mergeCell ref="F14:I16"/>
    <mergeCell ref="T41:V41"/>
    <mergeCell ref="K42:P42"/>
    <mergeCell ref="W52:Y52"/>
    <mergeCell ref="W39:Y39"/>
    <mergeCell ref="A65:B78"/>
    <mergeCell ref="J75:J76"/>
    <mergeCell ref="K78:M78"/>
    <mergeCell ref="F8:H9"/>
    <mergeCell ref="K37:AH37"/>
    <mergeCell ref="Z27:AB27"/>
    <mergeCell ref="C53:J53"/>
    <mergeCell ref="AC53:AH53"/>
    <mergeCell ref="M10:O10"/>
    <mergeCell ref="K32:P32"/>
    <mergeCell ref="N77:AH77"/>
    <mergeCell ref="W50:Y50"/>
    <mergeCell ref="AC38:AH38"/>
    <mergeCell ref="N29:P29"/>
    <mergeCell ref="W27:Y27"/>
    <mergeCell ref="AJ49:AO49"/>
    <mergeCell ref="K28:M28"/>
    <mergeCell ref="Z46:AB46"/>
    <mergeCell ref="Z40:AB40"/>
    <mergeCell ref="Z41:AB41"/>
    <mergeCell ref="Q42:V42"/>
    <mergeCell ref="W45:Y45"/>
    <mergeCell ref="AE75:AH76"/>
  </mergeCells>
  <conditionalFormatting sqref="W46:AB48 AF68:AG68">
    <cfRule type="cellIs" priority="1" operator="equal" dxfId="0" stopIfTrue="1">
      <formula>0</formula>
    </cfRule>
  </conditionalFormatting>
  <conditionalFormatting sqref="AC34:AH36 AC40:AH42">
    <cfRule type="cellIs" priority="2" operator="lessThanOrEqual" dxfId="0" stopIfTrue="1">
      <formula>0</formula>
    </cfRule>
  </conditionalFormatting>
  <dataValidations count="7">
    <dataValidation sqref="V18:AH18"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M10:O10 Q10:S10 X10:Z10 AB10:AD10 AF10:AH10" showDropDown="0" showInputMessage="1" showErrorMessage="1" allowBlank="1" error="全角数字で入力してください" imeMode="fullAlpha"/>
    <dataValidation sqref="K49:AH49" showDropDown="0" showInputMessage="1" showErrorMessage="1" allowBlank="1" error="栄養士、調理員、事務職員、運転手等の直接処遇職員以外の職員は、(14)以降に記入すること" type="list" errorStyle="warning">
      <formula1>"　,職業指導員,あん摩マッサージ指圧師,介護職員,保育士,事務職員,調理員,栄養士,運転手"</formula1>
    </dataValidation>
    <dataValidation sqref="K28:AH30 K34:AH36 K40:AH42 K46:AH48 K51:AH53" showDropDown="0" showInputMessage="1" showErrorMessage="1" allowBlank="1" imeMode="halfAlpha"/>
    <dataValidation sqref="K26" showDropDown="0" showInputMessage="1" showErrorMessage="1" allowBlank="1" error="栄養士、調理員、事務職員、運転手等の直接処遇職員以外の職員は、(14)以降に記入すること" type="list" errorStyle="warning">
      <formula1>"　,医師,看護師(保健師),職業指導員,生活支援員,心理判定員,職能判定員,作業療法士,あん摩マッサージ指圧師,介護職員,保育士"</formula1>
    </dataValidation>
    <dataValidation sqref="I10:K10 J7:N7 T13:X13 U12:V12 X73 Y2:AH3 Y12:Z12 AB73:AD73 AC12:AD12 AF73" showDropDown="0" showInputMessage="1" showErrorMessage="1" allowBlank="1" imeMode="fullAlpha"/>
    <dataValidation sqref="F4:AH4 F13:M13 J75 J77 N75 N77 AE75" showDropDown="0" showInputMessage="1" showErrorMessage="1" allowBlank="1" imeMode="halfKatakana"/>
  </dataValidations>
  <printOptions horizontalCentered="1"/>
  <pageMargins left="0.7086614173228347" right="0.5905511811023623" top="0.3937007874015748" bottom="0.3937007874015748" header="0.5118110236220472" footer="0.5118110236220472"/>
  <pageSetup orientation="portrait" paperSize="9"/>
  <rowBreaks count="1" manualBreakCount="1">
    <brk id="64" min="0" max="33" man="1"/>
  </rowBreaks>
  <legacyDrawing xmlns:r="http://schemas.openxmlformats.org/officeDocument/2006/relationships" r:id="anysvml"/>
</worksheet>
</file>

<file path=xl/worksheets/sheet29.xml><?xml version="1.0" encoding="utf-8"?>
<worksheet xmlns="http://schemas.openxmlformats.org/spreadsheetml/2006/main">
  <sheetPr codeName="Sheet28">
    <outlinePr summaryBelow="1" summaryRight="1"/>
    <pageSetUpPr/>
  </sheetPr>
  <dimension ref="A1:AS79"/>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4.1" customHeight="1" s="4080">
      <c r="A1" s="2914" t="inlineStr">
        <is>
          <t>付表１４の２　障害者支援施設において実施する昼間実施サービス及び施設入所支援に係る記載事項（その１）</t>
        </is>
      </c>
      <c r="Z1" s="3045" t="n"/>
      <c r="AB1" s="3046" t="inlineStr">
        <is>
          <t>枚／</t>
        </is>
      </c>
      <c r="AE1" s="3045" t="n"/>
      <c r="AG1" s="3047" t="inlineStr">
        <is>
          <t>枚</t>
        </is>
      </c>
      <c r="AS1" s="719">
        <f>HYPERLINK("#目次!A1","目次へ戻る")</f>
        <v/>
      </c>
    </row>
    <row r="2" ht="14.1" customHeight="1" s="4080" thickBot="1">
      <c r="Z2" s="3048" t="n"/>
      <c r="AA2" s="4087" t="n"/>
      <c r="AB2" s="3049" t="inlineStr">
        <is>
          <t>単位／</t>
        </is>
      </c>
      <c r="AC2" s="4087" t="n"/>
      <c r="AD2" s="4087" t="n"/>
      <c r="AE2" s="3048" t="n"/>
      <c r="AF2" s="4087" t="n"/>
      <c r="AG2" s="3050" t="inlineStr">
        <is>
          <t>単位</t>
        </is>
      </c>
      <c r="AH2" s="4087" t="n"/>
    </row>
    <row r="3" ht="12" customHeight="1" s="4080">
      <c r="A3" s="3054" t="n"/>
      <c r="T3" s="4109" t="n"/>
      <c r="U3" s="4178" t="inlineStr">
        <is>
          <t>事業所番号</t>
        </is>
      </c>
      <c r="V3" s="4082" t="n"/>
      <c r="W3" s="4082" t="n"/>
      <c r="X3" s="4083" t="n"/>
      <c r="Y3" s="4084" t="n"/>
      <c r="Z3" s="4084" t="n"/>
      <c r="AA3" s="4084" t="n"/>
      <c r="AB3" s="4084" t="n"/>
      <c r="AC3" s="4084" t="n"/>
      <c r="AD3" s="4084" t="n"/>
      <c r="AE3" s="4084" t="n"/>
      <c r="AF3" s="4084" t="n"/>
      <c r="AG3" s="4084" t="n"/>
      <c r="AH3" s="4085" t="n"/>
    </row>
    <row r="4" ht="3.95" customHeight="1" s="4080" thickBot="1">
      <c r="A4" s="4087" t="n"/>
      <c r="B4" s="4087" t="n"/>
      <c r="C4" s="4087" t="n"/>
      <c r="D4" s="4087" t="n"/>
      <c r="E4" s="4087" t="n"/>
      <c r="F4" s="4087" t="n"/>
      <c r="G4" s="4087" t="n"/>
      <c r="H4" s="4087" t="n"/>
      <c r="I4" s="4087" t="n"/>
      <c r="J4" s="4087" t="n"/>
      <c r="K4" s="4087" t="n"/>
      <c r="L4" s="4087" t="n"/>
      <c r="M4" s="4087" t="n"/>
      <c r="N4" s="4087" t="n"/>
      <c r="O4" s="4087" t="n"/>
      <c r="P4" s="4087" t="n"/>
      <c r="Q4" s="4087" t="n"/>
      <c r="R4" s="4087" t="n"/>
      <c r="S4" s="4087" t="n"/>
      <c r="T4" s="4088" t="n"/>
      <c r="U4" s="4086" t="n"/>
      <c r="V4" s="4087" t="n"/>
      <c r="W4" s="4087" t="n"/>
      <c r="X4" s="4088" t="n"/>
      <c r="Y4" s="4089" t="n"/>
      <c r="Z4" s="4089" t="n"/>
      <c r="AA4" s="4089" t="n"/>
      <c r="AB4" s="4089" t="n"/>
      <c r="AC4" s="4089" t="n"/>
      <c r="AD4" s="4089" t="n"/>
      <c r="AE4" s="4089" t="n"/>
      <c r="AF4" s="4089" t="n"/>
      <c r="AG4" s="4089" t="n"/>
      <c r="AH4" s="4090" t="n"/>
    </row>
    <row r="5" ht="12" customHeight="1" s="4080">
      <c r="A5" s="2506" t="inlineStr">
        <is>
          <t>施設</t>
        </is>
      </c>
      <c r="B5" s="4356" t="n"/>
      <c r="C5" s="4180" t="inlineStr">
        <is>
          <t>ﾌﾘｶﾞﾅ</t>
        </is>
      </c>
      <c r="D5" s="4093" t="n"/>
      <c r="E5" s="4094" t="n"/>
      <c r="F5" s="4095" t="n"/>
      <c r="G5" s="4093" t="n"/>
      <c r="H5" s="4093" t="n"/>
      <c r="I5" s="4093" t="n"/>
      <c r="J5" s="4093" t="n"/>
      <c r="K5" s="4093" t="n"/>
      <c r="L5" s="4093" t="n"/>
      <c r="M5" s="4093" t="n"/>
      <c r="N5" s="4093" t="n"/>
      <c r="O5" s="4093" t="n"/>
      <c r="P5" s="4093" t="n"/>
      <c r="Q5" s="4093" t="n"/>
      <c r="R5" s="4093" t="n"/>
      <c r="S5" s="4093" t="n"/>
      <c r="T5" s="4093" t="n"/>
      <c r="U5" s="4093" t="n"/>
      <c r="V5" s="4093" t="n"/>
      <c r="W5" s="4093" t="n"/>
      <c r="X5" s="4093" t="n"/>
      <c r="Y5" s="4093" t="n"/>
      <c r="Z5" s="4093" t="n"/>
      <c r="AA5" s="4093" t="n"/>
      <c r="AB5" s="4093" t="n"/>
      <c r="AC5" s="4093" t="n"/>
      <c r="AD5" s="4093" t="n"/>
      <c r="AE5" s="4093" t="n"/>
      <c r="AF5" s="4093" t="n"/>
      <c r="AG5" s="4093" t="n"/>
      <c r="AH5" s="4096" t="n"/>
    </row>
    <row r="6" ht="11.1" customHeight="1" s="4080">
      <c r="A6" s="4097" t="n"/>
      <c r="B6" s="4107" t="n"/>
      <c r="C6" s="4268" t="inlineStr">
        <is>
          <t>名　称</t>
        </is>
      </c>
      <c r="D6" s="4098" t="n"/>
      <c r="E6" s="4099" t="n"/>
      <c r="F6" s="4729" t="n"/>
      <c r="G6" s="4098" t="n"/>
      <c r="H6" s="4098" t="n"/>
      <c r="I6" s="4098" t="n"/>
      <c r="J6" s="4098" t="n"/>
      <c r="K6" s="4098" t="n"/>
      <c r="L6" s="4098" t="n"/>
      <c r="M6" s="4098" t="n"/>
      <c r="N6" s="4098" t="n"/>
      <c r="O6" s="4098" t="n"/>
      <c r="P6" s="4098" t="n"/>
      <c r="Q6" s="4098" t="n"/>
      <c r="R6" s="4098" t="n"/>
      <c r="S6" s="4098" t="n"/>
      <c r="T6" s="4098" t="n"/>
      <c r="U6" s="4098" t="n"/>
      <c r="V6" s="4098" t="n"/>
      <c r="W6" s="4098" t="n"/>
      <c r="X6" s="4098" t="n"/>
      <c r="Y6" s="4098" t="n"/>
      <c r="Z6" s="4098" t="n"/>
      <c r="AA6" s="4098" t="n"/>
      <c r="AB6" s="4098" t="n"/>
      <c r="AC6" s="4098" t="n"/>
      <c r="AD6" s="4098" t="n"/>
      <c r="AE6" s="4098" t="n"/>
      <c r="AF6" s="4098" t="n"/>
      <c r="AG6" s="4098" t="n"/>
      <c r="AH6" s="4101" t="n"/>
    </row>
    <row r="7" ht="11.1" customHeight="1" s="4080">
      <c r="A7" s="4097" t="n"/>
      <c r="B7" s="4107" t="n"/>
      <c r="C7" s="4106" t="n"/>
      <c r="E7" s="4107" t="n"/>
      <c r="F7" s="4102" t="n"/>
      <c r="G7" s="4103" t="n"/>
      <c r="H7" s="4103" t="n"/>
      <c r="I7" s="4103" t="n"/>
      <c r="J7" s="4103" t="n"/>
      <c r="K7" s="4103" t="n"/>
      <c r="L7" s="4103" t="n"/>
      <c r="M7" s="4103" t="n"/>
      <c r="N7" s="4103" t="n"/>
      <c r="O7" s="4103" t="n"/>
      <c r="P7" s="4103" t="n"/>
      <c r="Q7" s="4103" t="n"/>
      <c r="R7" s="4103" t="n"/>
      <c r="S7" s="4103" t="n"/>
      <c r="T7" s="4103" t="n"/>
      <c r="U7" s="4103" t="n"/>
      <c r="V7" s="4103" t="n"/>
      <c r="W7" s="4103" t="n"/>
      <c r="X7" s="4103" t="n"/>
      <c r="Y7" s="4103" t="n"/>
      <c r="Z7" s="4103" t="n"/>
      <c r="AA7" s="4103" t="n"/>
      <c r="AB7" s="4103" t="n"/>
      <c r="AC7" s="4103" t="n"/>
      <c r="AD7" s="4103" t="n"/>
      <c r="AE7" s="4103" t="n"/>
      <c r="AF7" s="4103" t="n"/>
      <c r="AG7" s="4103" t="n"/>
      <c r="AH7" s="4105" t="n"/>
    </row>
    <row r="8" ht="20.1" customHeight="1" s="4080">
      <c r="A8" s="4490" t="inlineStr">
        <is>
          <t>昼 間 実 施 サ ー ビ ス（１）</t>
        </is>
      </c>
      <c r="B8" s="1841" t="n"/>
      <c r="C8" s="1264" t="inlineStr">
        <is>
          <t>サービス種別</t>
        </is>
      </c>
      <c r="D8" s="4110" t="n"/>
      <c r="E8" s="4110" t="n"/>
      <c r="F8" s="4110" t="n"/>
      <c r="G8" s="4110" t="n"/>
      <c r="H8" s="4110" t="n"/>
      <c r="I8" s="4110" t="n"/>
      <c r="J8" s="1294" t="n"/>
      <c r="K8" s="4730" t="n"/>
      <c r="L8" s="4103" t="n"/>
      <c r="M8" s="4103" t="n"/>
      <c r="N8" s="4103" t="n"/>
      <c r="O8" s="4103" t="n"/>
      <c r="P8" s="4103" t="n"/>
      <c r="Q8" s="4103" t="n"/>
      <c r="R8" s="4103" t="n"/>
      <c r="S8" s="4103" t="n"/>
      <c r="T8" s="4103" t="n"/>
      <c r="U8" s="4103" t="n"/>
      <c r="V8" s="4103" t="n"/>
      <c r="W8" s="4103" t="n"/>
      <c r="X8" s="4103" t="n"/>
      <c r="Y8" s="4104" t="n"/>
      <c r="Z8" s="4313" t="inlineStr">
        <is>
          <t>利用定員</t>
        </is>
      </c>
      <c r="AA8" s="4110" t="n"/>
      <c r="AB8" s="4110" t="n"/>
      <c r="AC8" s="4110" t="n"/>
      <c r="AD8" s="4111" t="n"/>
      <c r="AE8" s="2644" t="n"/>
      <c r="AF8" s="4103" t="n"/>
      <c r="AG8" s="4103" t="n"/>
      <c r="AH8" s="2592" t="inlineStr">
        <is>
          <t>人</t>
        </is>
      </c>
    </row>
    <row r="9" ht="12" customHeight="1" s="4080">
      <c r="A9" s="4208" t="n"/>
      <c r="B9" s="4731" t="inlineStr">
        <is>
          <t>サービス管理責任者</t>
        </is>
      </c>
      <c r="C9" s="4184" t="inlineStr">
        <is>
          <t>ﾌﾘｶﾞﾅ</t>
        </is>
      </c>
      <c r="D9" s="4110" t="n"/>
      <c r="E9" s="4111" t="n"/>
      <c r="F9" s="4612" t="n"/>
      <c r="G9" s="4110" t="n"/>
      <c r="H9" s="4110" t="n"/>
      <c r="I9" s="4204" t="n"/>
      <c r="J9" s="4613" t="n"/>
      <c r="K9" s="4110" t="n"/>
      <c r="L9" s="4110" t="n"/>
      <c r="M9" s="4111" t="n"/>
      <c r="N9" s="2164" t="inlineStr">
        <is>
          <t>住所</t>
        </is>
      </c>
      <c r="O9" s="4099" t="n"/>
      <c r="P9" s="1244" t="inlineStr">
        <is>
          <t>郵便番号（</t>
        </is>
      </c>
      <c r="Q9" s="4098" t="n"/>
      <c r="R9" s="4098" t="n"/>
      <c r="S9" s="4098" t="n"/>
      <c r="T9" s="1287" t="n"/>
      <c r="U9" s="4098" t="n"/>
      <c r="V9" s="4098" t="n"/>
      <c r="W9" s="4098" t="n"/>
      <c r="X9" s="4098" t="n"/>
      <c r="Y9" s="1329" t="inlineStr">
        <is>
          <t>）</t>
        </is>
      </c>
      <c r="Z9" s="1017" t="n"/>
      <c r="AA9" s="1017" t="n"/>
      <c r="AB9" s="1017" t="n"/>
      <c r="AC9" s="1017" t="n"/>
      <c r="AD9" s="1017" t="n"/>
      <c r="AE9" s="120" t="n"/>
      <c r="AF9" s="119" t="n"/>
      <c r="AG9" s="119" t="n"/>
      <c r="AH9" s="118" t="n"/>
    </row>
    <row r="10" ht="12" customHeight="1" s="4080">
      <c r="A10" s="4208" t="n"/>
      <c r="B10" s="4122" t="n"/>
      <c r="C10" s="4209" t="inlineStr">
        <is>
          <t>氏　　名</t>
        </is>
      </c>
      <c r="D10" s="4098" t="n"/>
      <c r="E10" s="4099" t="n"/>
      <c r="F10" s="4612" t="n"/>
      <c r="G10" s="4098" t="n"/>
      <c r="H10" s="4098" t="n"/>
      <c r="I10" s="4210" t="n"/>
      <c r="J10" s="4613" t="n"/>
      <c r="K10" s="4098" t="n"/>
      <c r="L10" s="4098" t="n"/>
      <c r="M10" s="4099" t="n"/>
      <c r="N10" s="4106" t="n"/>
      <c r="O10" s="4107" t="n"/>
      <c r="P10" s="1318" t="n"/>
      <c r="R10" s="2378" t="inlineStr">
        <is>
          <t>都</t>
        </is>
      </c>
      <c r="S10" s="2378" t="inlineStr">
        <is>
          <t>道</t>
        </is>
      </c>
      <c r="T10" s="1319" t="n"/>
      <c r="W10" s="2378" t="inlineStr">
        <is>
          <t>郡</t>
        </is>
      </c>
      <c r="X10" s="1321" t="n"/>
      <c r="AH10" s="4109" t="n"/>
    </row>
    <row r="11" ht="12" customHeight="1" s="4080">
      <c r="A11" s="4208" t="n"/>
      <c r="B11" s="4122" t="n"/>
      <c r="C11" s="4106" t="n"/>
      <c r="E11" s="4107" t="n"/>
      <c r="F11" s="4106" t="n"/>
      <c r="I11" s="4212" t="n"/>
      <c r="J11" s="4213" t="n"/>
      <c r="M11" s="4107" t="n"/>
      <c r="N11" s="4106" t="n"/>
      <c r="O11" s="4107" t="n"/>
      <c r="P11" s="4106" t="n"/>
      <c r="R11" s="2378" t="inlineStr">
        <is>
          <t>府</t>
        </is>
      </c>
      <c r="S11" s="2378" t="inlineStr">
        <is>
          <t>県</t>
        </is>
      </c>
      <c r="W11" s="2378" t="inlineStr">
        <is>
          <t>市</t>
        </is>
      </c>
      <c r="AH11" s="4109" t="n"/>
    </row>
    <row r="12" ht="3" customHeight="1" s="4080">
      <c r="A12" s="4208" t="n"/>
      <c r="B12" s="4122" t="n"/>
      <c r="C12" s="4102" t="n"/>
      <c r="D12" s="4103" t="n"/>
      <c r="E12" s="4104" t="n"/>
      <c r="F12" s="4102" t="n"/>
      <c r="G12" s="4103" t="n"/>
      <c r="H12" s="4103" t="n"/>
      <c r="I12" s="4215" t="n"/>
      <c r="J12" s="4216" t="n"/>
      <c r="K12" s="4103" t="n"/>
      <c r="L12" s="4103" t="n"/>
      <c r="M12" s="4104" t="n"/>
      <c r="N12" s="4102" t="n"/>
      <c r="O12" s="4104" t="n"/>
      <c r="P12" s="4102" t="n"/>
      <c r="Q12" s="4103" t="n"/>
      <c r="R12" s="1810" t="n"/>
      <c r="S12" s="1810" t="n"/>
      <c r="T12" s="4103" t="n"/>
      <c r="U12" s="4103" t="n"/>
      <c r="V12" s="4103" t="n"/>
      <c r="W12" s="1810" t="n"/>
      <c r="AH12" s="4109" t="n"/>
    </row>
    <row r="13" ht="3.95" customHeight="1" s="4080">
      <c r="A13" s="4208" t="n"/>
      <c r="B13" s="4122" t="n"/>
      <c r="C13" s="1393" t="inlineStr">
        <is>
          <t>他の職務との兼務の有無及び職種</t>
        </is>
      </c>
      <c r="D13" s="4098" t="n"/>
      <c r="E13" s="4098" t="n"/>
      <c r="F13" s="4098" t="n"/>
      <c r="G13" s="4098" t="n"/>
      <c r="H13" s="4098" t="n"/>
      <c r="I13" s="4098" t="n"/>
      <c r="J13" s="4098" t="n"/>
      <c r="K13" s="4098" t="n"/>
      <c r="L13" s="4098" t="n"/>
      <c r="M13" s="4098" t="n"/>
      <c r="N13" s="4195" t="n"/>
      <c r="O13" s="4098" t="n"/>
      <c r="P13" s="4098" t="n"/>
      <c r="Q13" s="4098" t="n"/>
      <c r="R13" s="4099" t="n"/>
      <c r="S13" s="2163" t="inlineStr">
        <is>
          <t>職　　種</t>
        </is>
      </c>
      <c r="T13" s="4098" t="n"/>
      <c r="U13" s="4099" t="n"/>
      <c r="V13" s="1322" t="n"/>
      <c r="W13" s="1335" t="inlineStr">
        <is>
          <t xml:space="preserve">　</t>
        </is>
      </c>
      <c r="X13" s="4098" t="n"/>
      <c r="Y13" s="4098" t="n"/>
      <c r="Z13" s="4098" t="n"/>
      <c r="AA13" s="4098" t="n"/>
      <c r="AB13" s="4098" t="n"/>
      <c r="AC13" s="4098" t="n"/>
      <c r="AD13" s="4098" t="n"/>
      <c r="AE13" s="4098" t="n"/>
      <c r="AF13" s="4098" t="n"/>
      <c r="AG13" s="4098" t="n"/>
      <c r="AH13" s="4101" t="n"/>
    </row>
    <row r="14" ht="12" customHeight="1" s="4080">
      <c r="A14" s="4208" t="n"/>
      <c r="B14" s="4122" t="n"/>
      <c r="C14" s="4106" t="n"/>
      <c r="N14" s="1354" t="n"/>
      <c r="O14" s="1325" t="inlineStr">
        <is>
          <t>有</t>
        </is>
      </c>
      <c r="P14" s="1325" t="inlineStr">
        <is>
          <t>・</t>
        </is>
      </c>
      <c r="Q14" s="1325" t="inlineStr">
        <is>
          <t>無</t>
        </is>
      </c>
      <c r="R14" s="1332" t="n"/>
      <c r="S14" s="4106" t="n"/>
      <c r="U14" s="4107" t="n"/>
      <c r="V14" s="4312" t="n"/>
      <c r="AH14" s="4109" t="n"/>
    </row>
    <row r="15" ht="3.95" customHeight="1" s="4080">
      <c r="A15" s="4208" t="n"/>
      <c r="B15" s="4122" t="n"/>
      <c r="C15" s="4102" t="n"/>
      <c r="D15" s="4103" t="n"/>
      <c r="E15" s="4103" t="n"/>
      <c r="F15" s="4103" t="n"/>
      <c r="G15" s="4103" t="n"/>
      <c r="H15" s="4103" t="n"/>
      <c r="I15" s="4103" t="n"/>
      <c r="J15" s="4103" t="n"/>
      <c r="K15" s="4103" t="n"/>
      <c r="L15" s="4103" t="n"/>
      <c r="M15" s="4103" t="n"/>
      <c r="N15" s="4197" t="n"/>
      <c r="O15" s="4103" t="n"/>
      <c r="P15" s="4103" t="n"/>
      <c r="Q15" s="4103" t="n"/>
      <c r="R15" s="4104" t="n"/>
      <c r="S15" s="4102" t="n"/>
      <c r="T15" s="4103" t="n"/>
      <c r="U15" s="4104" t="n"/>
      <c r="V15" s="1326" t="n"/>
      <c r="W15" s="1299" t="n"/>
      <c r="X15" s="4103" t="n"/>
      <c r="Y15" s="4103" t="n"/>
      <c r="Z15" s="4103" t="n"/>
      <c r="AA15" s="4103" t="n"/>
      <c r="AB15" s="4103" t="n"/>
      <c r="AC15" s="4103" t="n"/>
      <c r="AD15" s="4103" t="n"/>
      <c r="AE15" s="4103" t="n"/>
      <c r="AF15" s="4103" t="n"/>
      <c r="AG15" s="4103" t="n"/>
      <c r="AH15" s="4105" t="n"/>
    </row>
    <row r="16" ht="3.95" customHeight="1" s="4080">
      <c r="A16" s="4208" t="n"/>
      <c r="B16" s="4122" t="n"/>
      <c r="C16" s="1826" t="inlineStr">
        <is>
          <t>資格要件</t>
        </is>
      </c>
      <c r="D16" s="4098" t="n"/>
      <c r="E16" s="4098" t="n"/>
      <c r="F16" s="1322" t="n"/>
      <c r="G16" s="1323" t="n"/>
      <c r="H16" s="1414" t="n"/>
      <c r="I16" s="2056" t="n"/>
      <c r="J16" s="2056" t="n"/>
      <c r="K16" s="2056" t="n"/>
      <c r="L16" s="2056" t="n"/>
      <c r="M16" s="2056" t="n"/>
      <c r="N16" s="2056" t="n"/>
      <c r="O16" s="2056" t="n"/>
      <c r="P16" s="1402" t="n"/>
      <c r="Q16" s="1402" t="n"/>
      <c r="R16" s="1402" t="n"/>
      <c r="S16" s="4313" t="inlineStr">
        <is>
          <t>研修の
受講状況</t>
        </is>
      </c>
      <c r="T16" s="4098" t="n"/>
      <c r="U16" s="4099" t="n"/>
      <c r="V16" s="1322" t="n"/>
      <c r="W16" s="1323" t="n"/>
      <c r="X16" s="1323" t="n"/>
      <c r="Y16" s="1323" t="n"/>
      <c r="Z16" s="1323" t="n"/>
      <c r="AA16" s="1331" t="n"/>
      <c r="AB16" s="1323" t="n"/>
      <c r="AC16" s="1323" t="n"/>
      <c r="AD16" s="1323" t="n"/>
      <c r="AE16" s="1323" t="n"/>
      <c r="AF16" s="1323" t="n"/>
      <c r="AG16" s="1323" t="n"/>
      <c r="AH16" s="2297" t="n"/>
    </row>
    <row r="17" ht="12" customHeight="1" s="4080">
      <c r="A17" s="4208" t="n"/>
      <c r="B17" s="4122" t="n"/>
      <c r="C17" s="4106" t="n"/>
      <c r="F17" s="4314" t="inlineStr">
        <is>
          <t>実務経験</t>
        </is>
      </c>
      <c r="H17" s="4107" t="n"/>
      <c r="I17" s="1790" t="n"/>
      <c r="S17" s="4106" t="n"/>
      <c r="U17" s="4107" t="n"/>
      <c r="V17" s="4315" t="inlineStr">
        <is>
          <t>相談支援従事者研修</t>
        </is>
      </c>
      <c r="AA17" s="4107" t="n"/>
      <c r="AB17" s="128" t="n"/>
      <c r="AC17" s="1783" t="inlineStr">
        <is>
          <t>受講済</t>
        </is>
      </c>
      <c r="AE17" s="2379" t="inlineStr">
        <is>
          <t>・</t>
        </is>
      </c>
      <c r="AF17" s="1770" t="inlineStr">
        <is>
          <t>未受講</t>
        </is>
      </c>
      <c r="AH17" s="130" t="n"/>
    </row>
    <row r="18" ht="3.95" customHeight="1" s="4080">
      <c r="A18" s="4208" t="n"/>
      <c r="B18" s="4122" t="n"/>
      <c r="C18" s="4106" t="n"/>
      <c r="F18" s="131" t="n"/>
      <c r="G18" s="132" t="n"/>
      <c r="H18" s="133" t="n"/>
      <c r="I18" s="134" t="n"/>
      <c r="J18" s="134" t="n"/>
      <c r="K18" s="134" t="n"/>
      <c r="L18" s="134" t="n"/>
      <c r="M18" s="134" t="n"/>
      <c r="N18" s="134" t="n"/>
      <c r="O18" s="135" t="n"/>
      <c r="P18" s="136" t="n"/>
      <c r="Q18" s="136" t="n"/>
      <c r="R18" s="137" t="n"/>
      <c r="S18" s="4106" t="n"/>
      <c r="U18" s="4107" t="n"/>
      <c r="V18" s="4316" t="n"/>
      <c r="W18" s="4317" t="n"/>
      <c r="X18" s="4317" t="n"/>
      <c r="Y18" s="4317" t="n"/>
      <c r="Z18" s="4317" t="n"/>
      <c r="AA18" s="4318" t="n"/>
      <c r="AB18" s="138" t="n"/>
      <c r="AC18" s="138" t="n"/>
      <c r="AD18" s="138" t="n"/>
      <c r="AE18" s="138" t="n"/>
      <c r="AF18" s="138" t="n"/>
      <c r="AG18" s="138" t="n"/>
      <c r="AH18" s="139" t="n"/>
    </row>
    <row r="19" ht="3.95" customHeight="1" s="4080">
      <c r="A19" s="4208" t="n"/>
      <c r="B19" s="4122" t="n"/>
      <c r="C19" s="4106" t="n"/>
      <c r="F19" s="140" t="n"/>
      <c r="G19" s="141" t="n"/>
      <c r="H19" s="142" t="n"/>
      <c r="I19" s="143" t="n"/>
      <c r="J19" s="143" t="n"/>
      <c r="K19" s="144" t="n"/>
      <c r="L19" s="141" t="n"/>
      <c r="M19" s="141" t="n"/>
      <c r="N19" s="141" t="n"/>
      <c r="O19" s="141" t="n"/>
      <c r="P19" s="145" t="n"/>
      <c r="Q19" s="145" t="n"/>
      <c r="R19" s="146" t="n"/>
      <c r="S19" s="4106" t="n"/>
      <c r="U19" s="4107" t="n"/>
      <c r="V19" s="4319" t="n"/>
      <c r="W19" s="4320" t="n"/>
      <c r="X19" s="4320" t="n"/>
      <c r="Y19" s="4320" t="n"/>
      <c r="Z19" s="4320" t="n"/>
      <c r="AA19" s="4321" t="n"/>
      <c r="AB19" s="141" t="n"/>
      <c r="AC19" s="141" t="n"/>
      <c r="AD19" s="141" t="n"/>
      <c r="AE19" s="141" t="n"/>
      <c r="AF19" s="141" t="n"/>
      <c r="AG19" s="141" t="n"/>
      <c r="AH19" s="147" t="n"/>
    </row>
    <row r="20" ht="12" customHeight="1" s="4080">
      <c r="A20" s="4208" t="n"/>
      <c r="B20" s="4122" t="n"/>
      <c r="C20" s="4106" t="n"/>
      <c r="F20" s="4314" t="inlineStr">
        <is>
          <t>資格種類</t>
        </is>
      </c>
      <c r="H20" s="4107" t="n"/>
      <c r="I20" s="4732" t="n"/>
      <c r="R20" s="4107" t="n"/>
      <c r="S20" s="4106" t="n"/>
      <c r="U20" s="4107" t="n"/>
      <c r="V20" s="4322" t="inlineStr">
        <is>
          <t>サービス管理責任者研修</t>
        </is>
      </c>
      <c r="AA20" s="4107" t="n"/>
      <c r="AB20" s="1355" t="n"/>
      <c r="AC20" s="1783" t="inlineStr">
        <is>
          <t>受講済</t>
        </is>
      </c>
      <c r="AE20" s="2379" t="inlineStr">
        <is>
          <t>・</t>
        </is>
      </c>
      <c r="AF20" s="1770" t="inlineStr">
        <is>
          <t>未受講</t>
        </is>
      </c>
      <c r="AH20" s="148" t="n"/>
    </row>
    <row r="21" ht="3.95" customHeight="1" s="4080">
      <c r="A21" s="4208" t="n"/>
      <c r="B21" s="4124" t="n"/>
      <c r="C21" s="4102" t="n"/>
      <c r="D21" s="4103" t="n"/>
      <c r="E21" s="4103" t="n"/>
      <c r="F21" s="1326" t="n"/>
      <c r="G21" s="1327" t="n"/>
      <c r="H21" s="1333" t="n"/>
      <c r="I21" s="134" t="n"/>
      <c r="J21" s="134" t="n"/>
      <c r="K21" s="134" t="n"/>
      <c r="L21" s="134" t="n"/>
      <c r="M21" s="134" t="n"/>
      <c r="N21" s="134" t="n"/>
      <c r="O21" s="2059" t="n"/>
      <c r="P21" s="1413" t="n"/>
      <c r="Q21" s="1413" t="n"/>
      <c r="R21" s="1413" t="n"/>
      <c r="S21" s="4102" t="n"/>
      <c r="T21" s="4103" t="n"/>
      <c r="U21" s="4104" t="n"/>
      <c r="V21" s="1412" t="n"/>
      <c r="W21" s="154" t="n"/>
      <c r="X21" s="154" t="n"/>
      <c r="Y21" s="138" t="n"/>
      <c r="Z21" s="138" t="n"/>
      <c r="AA21" s="155" t="n"/>
      <c r="AB21" s="138" t="n"/>
      <c r="AC21" s="138" t="n"/>
      <c r="AD21" s="138" t="n"/>
      <c r="AE21" s="138" t="n"/>
      <c r="AF21" s="138" t="n"/>
      <c r="AG21" s="138" t="n"/>
      <c r="AH21" s="139" t="n"/>
    </row>
    <row r="22" ht="12" customHeight="1" s="4080">
      <c r="A22" s="4208" t="n"/>
      <c r="B22" s="4231" t="inlineStr">
        <is>
          <t>主な掲示事項</t>
        </is>
      </c>
      <c r="C22" s="1393" t="n"/>
      <c r="D22" s="1264" t="inlineStr">
        <is>
          <t>サービス提供日</t>
        </is>
      </c>
      <c r="E22" s="4098" t="n"/>
      <c r="F22" s="4098" t="n"/>
      <c r="G22" s="4098" t="n"/>
      <c r="H22" s="4098" t="n"/>
      <c r="I22" s="4098" t="n"/>
      <c r="J22" s="4423" t="n"/>
      <c r="K22" s="2244" t="inlineStr">
        <is>
          <t>月</t>
        </is>
      </c>
      <c r="L22" s="2245" t="inlineStr">
        <is>
          <t>火</t>
        </is>
      </c>
      <c r="M22" s="2245" t="inlineStr">
        <is>
          <t>水</t>
        </is>
      </c>
      <c r="N22" s="2245" t="inlineStr">
        <is>
          <t>木</t>
        </is>
      </c>
      <c r="O22" s="2245" t="inlineStr">
        <is>
          <t>金</t>
        </is>
      </c>
      <c r="P22" s="2245" t="inlineStr">
        <is>
          <t>土</t>
        </is>
      </c>
      <c r="Q22" s="2245" t="inlineStr">
        <is>
          <t>日</t>
        </is>
      </c>
      <c r="R22" s="2249" t="inlineStr">
        <is>
          <t>祝</t>
        </is>
      </c>
      <c r="S22" s="4279" t="inlineStr">
        <is>
          <t>休業日</t>
        </is>
      </c>
      <c r="T22" s="1611" t="inlineStr">
        <is>
          <t>年末年始</t>
        </is>
      </c>
      <c r="U22" s="4098" t="n"/>
      <c r="V22" s="934" t="n"/>
      <c r="W22" s="4098" t="n"/>
      <c r="X22" s="4098" t="n"/>
      <c r="Y22" s="4098" t="n"/>
      <c r="Z22" s="4098" t="n"/>
      <c r="AA22" s="4098" t="n"/>
      <c r="AB22" s="4099" t="n"/>
      <c r="AC22" s="4733" t="inlineStr">
        <is>
          <t>備考</t>
        </is>
      </c>
      <c r="AD22" s="4281" t="n"/>
      <c r="AE22" s="4098" t="n"/>
      <c r="AF22" s="4098" t="n"/>
      <c r="AG22" s="4098" t="n"/>
      <c r="AH22" s="4101" t="n"/>
    </row>
    <row r="23" ht="12" customHeight="1" s="4080">
      <c r="A23" s="4208" t="n"/>
      <c r="B23" s="4122" t="n"/>
      <c r="C23" s="4106" t="n"/>
      <c r="J23" s="4107" t="n"/>
      <c r="K23" s="2244" t="n"/>
      <c r="L23" s="2245" t="n"/>
      <c r="M23" s="2245" t="n"/>
      <c r="N23" s="2245" t="n"/>
      <c r="O23" s="2245" t="n"/>
      <c r="P23" s="2245" t="n"/>
      <c r="Q23" s="2245" t="n"/>
      <c r="R23" s="2249" t="n"/>
      <c r="S23" s="4282" t="n"/>
      <c r="T23" s="1609" t="inlineStr">
        <is>
          <t>夏季</t>
        </is>
      </c>
      <c r="V23" s="937" t="n"/>
      <c r="AB23" s="4107" t="n"/>
      <c r="AC23" s="4282" t="n"/>
      <c r="AD23" s="4192" t="n"/>
      <c r="AH23" s="4109" t="n"/>
    </row>
    <row r="24" ht="12" customHeight="1" s="4080">
      <c r="A24" s="4208" t="n"/>
      <c r="B24" s="4122" t="n"/>
      <c r="C24" s="4102" t="n"/>
      <c r="D24" s="4103" t="n"/>
      <c r="E24" s="4103" t="n"/>
      <c r="F24" s="4103" t="n"/>
      <c r="G24" s="4103" t="n"/>
      <c r="H24" s="4103" t="n"/>
      <c r="I24" s="4103" t="n"/>
      <c r="J24" s="4104" t="n"/>
      <c r="K24" s="4283" t="n"/>
      <c r="L24" s="4284" t="n"/>
      <c r="M24" s="4284" t="n"/>
      <c r="N24" s="4284" t="n"/>
      <c r="O24" s="4284" t="n"/>
      <c r="P24" s="4284" t="n"/>
      <c r="Q24" s="4284" t="n"/>
      <c r="R24" s="4285" t="n"/>
      <c r="S24" s="4286" t="n"/>
      <c r="T24" s="1610" t="inlineStr">
        <is>
          <t>その他</t>
        </is>
      </c>
      <c r="U24" s="4103" t="n"/>
      <c r="V24" s="940" t="n"/>
      <c r="W24" s="4103" t="n"/>
      <c r="X24" s="4103" t="n"/>
      <c r="Y24" s="4103" t="n"/>
      <c r="Z24" s="4103" t="n"/>
      <c r="AA24" s="4103" t="n"/>
      <c r="AB24" s="4104" t="n"/>
      <c r="AC24" s="4286" t="n"/>
      <c r="AD24" s="4194" t="n"/>
      <c r="AE24" s="4103" t="n"/>
      <c r="AF24" s="4103" t="n"/>
      <c r="AG24" s="4103" t="n"/>
      <c r="AH24" s="4105" t="n"/>
    </row>
    <row r="25" ht="3.95" customHeight="1" s="4080">
      <c r="A25" s="4208" t="n"/>
      <c r="B25" s="4122" t="n"/>
      <c r="C25" s="1393" t="n"/>
      <c r="D25" s="1264" t="inlineStr">
        <is>
          <t>サービス提供時間</t>
        </is>
      </c>
      <c r="E25" s="4098" t="n"/>
      <c r="F25" s="4098" t="n"/>
      <c r="G25" s="4098" t="n"/>
      <c r="H25" s="4098" t="n"/>
      <c r="I25" s="4098" t="n"/>
      <c r="J25" s="4223" t="n"/>
      <c r="K25" s="1660" t="n"/>
      <c r="L25" s="1661" t="n"/>
      <c r="M25" s="1661" t="n"/>
      <c r="N25" s="1661" t="n"/>
      <c r="O25" s="1661" t="n"/>
      <c r="P25" s="1661" t="n"/>
      <c r="Q25" s="1661" t="n"/>
      <c r="R25" s="1661" t="n"/>
      <c r="S25" s="1661" t="n"/>
      <c r="T25" s="1661" t="n"/>
      <c r="U25" s="1661" t="n"/>
      <c r="V25" s="1661" t="n"/>
      <c r="W25" s="1661" t="n"/>
      <c r="X25" s="1661" t="n"/>
      <c r="Y25" s="1661" t="n"/>
      <c r="Z25" s="1661" t="n"/>
      <c r="AA25" s="1661" t="n"/>
      <c r="AB25" s="1661" t="n"/>
      <c r="AC25" s="4734" t="inlineStr">
        <is>
          <t>備考</t>
        </is>
      </c>
      <c r="AD25" s="4735" t="n"/>
      <c r="AE25" s="4098" t="n"/>
      <c r="AF25" s="4098" t="n"/>
      <c r="AG25" s="4098" t="n"/>
      <c r="AH25" s="4101" t="n"/>
    </row>
    <row r="26" ht="12" customHeight="1" s="4080">
      <c r="A26" s="4208" t="n"/>
      <c r="B26" s="4122" t="n"/>
      <c r="C26" s="4106" t="n"/>
      <c r="J26" s="4107" t="n"/>
      <c r="K26" s="224" t="n"/>
      <c r="L26" s="1388" t="n"/>
      <c r="O26" s="1325" t="inlineStr">
        <is>
          <t>時</t>
        </is>
      </c>
      <c r="P26" s="1626" t="n"/>
      <c r="R26" s="1325" t="inlineStr">
        <is>
          <t>分～</t>
        </is>
      </c>
      <c r="T26" s="1388" t="n"/>
      <c r="W26" s="1325" t="inlineStr">
        <is>
          <t>時</t>
        </is>
      </c>
      <c r="X26" s="1626" t="n"/>
      <c r="Z26" s="1325" t="inlineStr">
        <is>
          <t>分</t>
        </is>
      </c>
      <c r="AA26" s="1325" t="n"/>
      <c r="AB26" s="1325" t="n"/>
      <c r="AC26" s="4282" t="n"/>
      <c r="AD26" s="4192" t="n"/>
      <c r="AH26" s="4109" t="n"/>
    </row>
    <row r="27" ht="3.95" customHeight="1" s="4080">
      <c r="A27" s="4208" t="n"/>
      <c r="B27" s="4122" t="n"/>
      <c r="C27" s="4102" t="n"/>
      <c r="D27" s="4103" t="n"/>
      <c r="E27" s="4103" t="n"/>
      <c r="F27" s="4103" t="n"/>
      <c r="G27" s="4103" t="n"/>
      <c r="H27" s="4103" t="n"/>
      <c r="I27" s="4103" t="n"/>
      <c r="J27" s="4104" t="n"/>
      <c r="K27" s="1657" t="n"/>
      <c r="L27" s="1658" t="n"/>
      <c r="M27" s="1658" t="n"/>
      <c r="N27" s="1658" t="n"/>
      <c r="O27" s="1658" t="n"/>
      <c r="P27" s="1658" t="n"/>
      <c r="Q27" s="1658" t="n"/>
      <c r="R27" s="1658" t="n"/>
      <c r="S27" s="1658" t="n"/>
      <c r="T27" s="1658" t="n"/>
      <c r="U27" s="1658" t="n"/>
      <c r="V27" s="1658" t="n"/>
      <c r="W27" s="1658" t="n"/>
      <c r="X27" s="1658" t="n"/>
      <c r="Y27" s="1658" t="n"/>
      <c r="Z27" s="1658" t="n"/>
      <c r="AA27" s="1658" t="n"/>
      <c r="AB27" s="1658" t="n"/>
      <c r="AC27" s="4286" t="n"/>
      <c r="AD27" s="4194" t="n"/>
      <c r="AE27" s="4103" t="n"/>
      <c r="AF27" s="4103" t="n"/>
      <c r="AG27" s="4103" t="n"/>
      <c r="AH27" s="4105" t="n"/>
    </row>
    <row r="28" ht="11.1" customHeight="1" s="4080">
      <c r="A28" s="4208" t="n"/>
      <c r="B28" s="4122" t="n"/>
      <c r="C28" s="1393" t="n"/>
      <c r="D28" s="4222" t="inlineStr">
        <is>
          <t>サービスを提供
する主たる対象者</t>
        </is>
      </c>
      <c r="E28" s="4098" t="n"/>
      <c r="F28" s="4098" t="n"/>
      <c r="G28" s="4098" t="n"/>
      <c r="H28" s="4098" t="n"/>
      <c r="I28" s="4098" t="n"/>
      <c r="J28" s="4223" t="n"/>
      <c r="K28" s="4712" t="inlineStr">
        <is>
          <t>身　　　体　　　障　　　害　　　者</t>
        </is>
      </c>
      <c r="L28" s="4138" t="n"/>
      <c r="M28" s="4138" t="n"/>
      <c r="N28" s="4138" t="n"/>
      <c r="O28" s="4138" t="n"/>
      <c r="P28" s="4138" t="n"/>
      <c r="Q28" s="4138" t="n"/>
      <c r="R28" s="4138" t="n"/>
      <c r="S28" s="4138" t="n"/>
      <c r="T28" s="4138" t="n"/>
      <c r="U28" s="4138" t="n"/>
      <c r="V28" s="4138" t="n"/>
      <c r="W28" s="4138" t="n"/>
      <c r="X28" s="4138" t="n"/>
      <c r="Y28" s="4138" t="n"/>
      <c r="Z28" s="4139" t="n"/>
      <c r="AA28" s="2542" t="inlineStr">
        <is>
          <t>知的障害者</t>
        </is>
      </c>
      <c r="AB28" s="4098" t="n"/>
      <c r="AC28" s="4098" t="n"/>
      <c r="AD28" s="4099" t="n"/>
      <c r="AE28" s="2542" t="inlineStr">
        <is>
          <t>精神障害者</t>
        </is>
      </c>
      <c r="AF28" s="4098" t="n"/>
      <c r="AG28" s="4098" t="n"/>
      <c r="AH28" s="4099" t="n"/>
    </row>
    <row r="29" ht="11.1" customHeight="1" s="4080">
      <c r="A29" s="4208" t="n"/>
      <c r="B29" s="4122" t="n"/>
      <c r="C29" s="4106" t="n"/>
      <c r="J29" s="4107" t="n"/>
      <c r="K29" s="3092" t="inlineStr">
        <is>
          <t>肢体不自由</t>
        </is>
      </c>
      <c r="L29" s="4103" t="n"/>
      <c r="M29" s="4103" t="n"/>
      <c r="N29" s="4193" t="n"/>
      <c r="O29" s="3094" t="inlineStr">
        <is>
          <t>視　　覚</t>
        </is>
      </c>
      <c r="P29" s="4103" t="n"/>
      <c r="Q29" s="4103" t="n"/>
      <c r="R29" s="4193" t="n"/>
      <c r="S29" s="3093" t="inlineStr">
        <is>
          <t>聴覚・言語</t>
        </is>
      </c>
      <c r="T29" s="4103" t="n"/>
      <c r="U29" s="4103" t="n"/>
      <c r="V29" s="4193" t="n"/>
      <c r="W29" s="3094" t="inlineStr">
        <is>
          <t>内　　部</t>
        </is>
      </c>
      <c r="X29" s="4103" t="n"/>
      <c r="Y29" s="4103" t="n"/>
      <c r="Z29" s="4193" t="n"/>
      <c r="AA29" s="4102" t="n"/>
      <c r="AB29" s="4103" t="n"/>
      <c r="AC29" s="4103" t="n"/>
      <c r="AD29" s="4104" t="n"/>
      <c r="AE29" s="4102" t="n"/>
      <c r="AF29" s="4103" t="n"/>
      <c r="AG29" s="4103" t="n"/>
      <c r="AH29" s="4104" t="n"/>
    </row>
    <row r="30" ht="12" customHeight="1" s="4080">
      <c r="A30" s="4208" t="n"/>
      <c r="B30" s="4122" t="n"/>
      <c r="C30" s="4102" t="n"/>
      <c r="D30" s="4103" t="n"/>
      <c r="E30" s="4103" t="n"/>
      <c r="F30" s="4103" t="n"/>
      <c r="G30" s="4103" t="n"/>
      <c r="H30" s="4103" t="n"/>
      <c r="I30" s="4103" t="n"/>
      <c r="J30" s="4104" t="n"/>
      <c r="K30" s="3096" t="n"/>
      <c r="L30" s="4140" t="n"/>
      <c r="M30" s="4140" t="n"/>
      <c r="N30" s="4249" t="n"/>
      <c r="O30" s="3097" t="n"/>
      <c r="P30" s="4140" t="n"/>
      <c r="Q30" s="4140" t="n"/>
      <c r="R30" s="4249" t="n"/>
      <c r="S30" s="3097" t="n"/>
      <c r="T30" s="4140" t="n"/>
      <c r="U30" s="4140" t="n"/>
      <c r="V30" s="4249" t="n"/>
      <c r="W30" s="3097" t="n"/>
      <c r="X30" s="4140" t="n"/>
      <c r="Y30" s="4140" t="n"/>
      <c r="Z30" s="4249" t="n"/>
      <c r="AA30" s="1663" t="n"/>
      <c r="AB30" s="4140" t="n"/>
      <c r="AC30" s="4140" t="n"/>
      <c r="AD30" s="4141" t="n"/>
      <c r="AE30" s="1663" t="n"/>
      <c r="AF30" s="4140" t="n"/>
      <c r="AG30" s="4140" t="n"/>
      <c r="AH30" s="4141" t="n"/>
    </row>
    <row r="31" ht="12.95" customHeight="1" s="4080">
      <c r="A31" s="4208" t="n"/>
      <c r="B31" s="4122" t="n"/>
      <c r="C31" s="1393" t="n"/>
      <c r="D31" s="1264" t="inlineStr">
        <is>
          <t>利用料</t>
        </is>
      </c>
      <c r="E31" s="4110" t="n"/>
      <c r="F31" s="4110" t="n"/>
      <c r="G31" s="4110" t="n"/>
      <c r="H31" s="4110" t="n"/>
      <c r="I31" s="4110" t="n"/>
      <c r="J31" s="1394" t="n"/>
      <c r="K31" s="4227" t="n"/>
      <c r="L31" s="4110" t="n"/>
      <c r="M31" s="4110" t="n"/>
      <c r="N31" s="4110" t="n"/>
      <c r="O31" s="4110" t="n"/>
      <c r="P31" s="4110" t="n"/>
      <c r="Q31" s="4110" t="n"/>
      <c r="R31" s="4110" t="n"/>
      <c r="S31" s="4110" t="n"/>
      <c r="T31" s="4110" t="n"/>
      <c r="U31" s="4110" t="n"/>
      <c r="V31" s="4110" t="n"/>
      <c r="W31" s="4110" t="n"/>
      <c r="X31" s="4110" t="n"/>
      <c r="Y31" s="4110" t="n"/>
      <c r="Z31" s="4110" t="n"/>
      <c r="AA31" s="4110" t="n"/>
      <c r="AB31" s="4110" t="n"/>
      <c r="AC31" s="4110" t="n"/>
      <c r="AD31" s="4110" t="n"/>
      <c r="AE31" s="4110" t="n"/>
      <c r="AF31" s="4110" t="n"/>
      <c r="AG31" s="4110" t="n"/>
      <c r="AH31" s="4113" t="n"/>
    </row>
    <row r="32" ht="12.95" customHeight="1" s="4080">
      <c r="A32" s="4208" t="n"/>
      <c r="B32" s="4122" t="n"/>
      <c r="C32" s="1322" t="n"/>
      <c r="D32" s="1264" t="inlineStr">
        <is>
          <t>その他の費用</t>
        </is>
      </c>
      <c r="E32" s="4110" t="n"/>
      <c r="F32" s="4110" t="n"/>
      <c r="G32" s="4110" t="n"/>
      <c r="H32" s="4110" t="n"/>
      <c r="I32" s="4110" t="n"/>
      <c r="J32" s="1331" t="n"/>
      <c r="K32" s="4228" t="n"/>
      <c r="L32" s="4098" t="n"/>
      <c r="M32" s="4098" t="n"/>
      <c r="N32" s="4098" t="n"/>
      <c r="O32" s="4098" t="n"/>
      <c r="P32" s="4098" t="n"/>
      <c r="Q32" s="4098" t="n"/>
      <c r="R32" s="4098" t="n"/>
      <c r="S32" s="4098" t="n"/>
      <c r="T32" s="4098" t="n"/>
      <c r="U32" s="4098" t="n"/>
      <c r="V32" s="4098" t="n"/>
      <c r="W32" s="4098" t="n"/>
      <c r="X32" s="4098" t="n"/>
      <c r="Y32" s="4098" t="n"/>
      <c r="Z32" s="4098" t="n"/>
      <c r="AA32" s="4098" t="n"/>
      <c r="AB32" s="4098" t="n"/>
      <c r="AC32" s="4098" t="n"/>
      <c r="AD32" s="4098" t="n"/>
      <c r="AE32" s="4098" t="n"/>
      <c r="AF32" s="4098" t="n"/>
      <c r="AG32" s="4098" t="n"/>
      <c r="AH32" s="4101" t="n"/>
    </row>
    <row r="33" ht="20.1" customHeight="1" s="4080">
      <c r="A33" s="4208" t="n"/>
      <c r="B33" s="4122" t="n"/>
      <c r="C33" s="1300" t="n"/>
      <c r="D33" s="4222" t="inlineStr">
        <is>
          <t>通常の事業の
実施地域</t>
        </is>
      </c>
      <c r="E33" s="4098" t="n"/>
      <c r="F33" s="4098" t="n"/>
      <c r="G33" s="4098" t="n"/>
      <c r="H33" s="4098" t="n"/>
      <c r="I33" s="4098" t="n"/>
      <c r="J33" s="1963" t="n"/>
      <c r="K33" s="3272" t="inlineStr">
        <is>
          <t>1)</t>
        </is>
      </c>
      <c r="L33" s="1406" t="n"/>
      <c r="M33" s="4110" t="n"/>
      <c r="N33" s="4110" t="n"/>
      <c r="O33" s="2325" t="inlineStr">
        <is>
          <t>2)</t>
        </is>
      </c>
      <c r="P33" s="1406" t="n"/>
      <c r="Q33" s="4110" t="n"/>
      <c r="R33" s="4110" t="n"/>
      <c r="S33" s="2325" t="inlineStr">
        <is>
          <t>3)</t>
        </is>
      </c>
      <c r="T33" s="1406" t="n"/>
      <c r="U33" s="4110" t="n"/>
      <c r="V33" s="4110" t="n"/>
      <c r="W33" s="2325" t="inlineStr">
        <is>
          <t>4)</t>
        </is>
      </c>
      <c r="X33" s="1406" t="n"/>
      <c r="Y33" s="4110" t="n"/>
      <c r="Z33" s="4110" t="n"/>
      <c r="AA33" s="2325" t="inlineStr">
        <is>
          <t>5)</t>
        </is>
      </c>
      <c r="AB33" s="1406" t="n"/>
      <c r="AC33" s="4110" t="n"/>
      <c r="AD33" s="4110" t="n"/>
      <c r="AE33" s="4736" t="inlineStr">
        <is>
          <t>備考</t>
        </is>
      </c>
      <c r="AF33" s="4230" t="n"/>
      <c r="AG33" s="4098" t="n"/>
      <c r="AH33" s="4101" t="n"/>
    </row>
    <row r="34" ht="20.1" customHeight="1" s="4080">
      <c r="A34" s="4208" t="n"/>
      <c r="B34" s="4124" t="n"/>
      <c r="C34" s="4102" t="n"/>
      <c r="D34" s="4103" t="n"/>
      <c r="E34" s="4103" t="n"/>
      <c r="F34" s="4103" t="n"/>
      <c r="G34" s="4103" t="n"/>
      <c r="H34" s="4103" t="n"/>
      <c r="I34" s="4103" t="n"/>
      <c r="J34" s="4104" t="n"/>
      <c r="K34" s="3272" t="inlineStr">
        <is>
          <t>6)</t>
        </is>
      </c>
      <c r="L34" s="1406" t="n"/>
      <c r="M34" s="4110" t="n"/>
      <c r="N34" s="4110" t="n"/>
      <c r="O34" s="2325" t="inlineStr">
        <is>
          <t>7)</t>
        </is>
      </c>
      <c r="P34" s="1406" t="n"/>
      <c r="Q34" s="4110" t="n"/>
      <c r="R34" s="4110" t="n"/>
      <c r="S34" s="2325" t="inlineStr">
        <is>
          <t>8)</t>
        </is>
      </c>
      <c r="T34" s="1406" t="n"/>
      <c r="U34" s="4110" t="n"/>
      <c r="V34" s="4110" t="n"/>
      <c r="W34" s="2325" t="inlineStr">
        <is>
          <t>9)</t>
        </is>
      </c>
      <c r="X34" s="1406" t="n"/>
      <c r="Y34" s="4110" t="n"/>
      <c r="Z34" s="4110" t="n"/>
      <c r="AA34" s="71" t="inlineStr">
        <is>
          <t>10)</t>
        </is>
      </c>
      <c r="AB34" s="1406" t="n"/>
      <c r="AC34" s="4110" t="n"/>
      <c r="AD34" s="4110" t="n"/>
      <c r="AE34" s="4124" t="n"/>
      <c r="AF34" s="4102" t="n"/>
      <c r="AG34" s="4103" t="n"/>
      <c r="AH34" s="4105" t="n"/>
    </row>
    <row r="35" ht="20.1" customHeight="1" s="4080">
      <c r="A35" s="4208" t="n"/>
      <c r="B35" s="4425" t="inlineStr">
        <is>
          <t>前年度利用者数
(又は推定数)</t>
        </is>
      </c>
      <c r="C35" s="4098" t="n"/>
      <c r="D35" s="4098" t="n"/>
      <c r="E35" s="4098" t="n"/>
      <c r="F35" s="4098" t="n"/>
      <c r="G35" s="4099" t="n"/>
      <c r="H35" s="4624" t="inlineStr">
        <is>
          <t>区分１</t>
        </is>
      </c>
      <c r="I35" s="4103" t="n"/>
      <c r="J35" s="4104" t="n"/>
      <c r="K35" s="4624" t="inlineStr">
        <is>
          <t>区分２</t>
        </is>
      </c>
      <c r="L35" s="4103" t="n"/>
      <c r="M35" s="4104" t="n"/>
      <c r="N35" s="4624" t="inlineStr">
        <is>
          <t>区分３</t>
        </is>
      </c>
      <c r="O35" s="4103" t="n"/>
      <c r="P35" s="4104" t="n"/>
      <c r="Q35" s="4624" t="inlineStr">
        <is>
          <t>区分４</t>
        </is>
      </c>
      <c r="R35" s="4103" t="n"/>
      <c r="S35" s="4104" t="n"/>
      <c r="T35" s="4624" t="inlineStr">
        <is>
          <t>区分５</t>
        </is>
      </c>
      <c r="U35" s="4103" t="n"/>
      <c r="V35" s="4104" t="n"/>
      <c r="W35" s="4624" t="inlineStr">
        <is>
          <t>区分６</t>
        </is>
      </c>
      <c r="X35" s="4103" t="n"/>
      <c r="Y35" s="4104" t="n"/>
      <c r="Z35" s="4625" t="inlineStr">
        <is>
          <t>前年度
開所日数</t>
        </is>
      </c>
      <c r="AA35" s="4103" t="n"/>
      <c r="AB35" s="4104" t="n"/>
      <c r="AC35" s="4688" t="inlineStr">
        <is>
          <t>平均障がい
支援区分</t>
        </is>
      </c>
      <c r="AD35" s="4103" t="n"/>
      <c r="AE35" s="4104" t="n"/>
      <c r="AF35" s="4627" t="inlineStr">
        <is>
          <t>平均
利用者数</t>
        </is>
      </c>
      <c r="AG35" s="4103" t="n"/>
      <c r="AH35" s="4105" t="n"/>
    </row>
    <row r="36" ht="15" customHeight="1" s="4080">
      <c r="A36" s="4737" t="n"/>
      <c r="B36" s="4102" t="n"/>
      <c r="C36" s="4103" t="n"/>
      <c r="D36" s="4103" t="n"/>
      <c r="E36" s="4103" t="n"/>
      <c r="F36" s="4103" t="n"/>
      <c r="G36" s="4104" t="n"/>
      <c r="H36" s="4738" t="n"/>
      <c r="I36" s="4110" t="n"/>
      <c r="J36" s="4350" t="inlineStr">
        <is>
          <t>人</t>
        </is>
      </c>
      <c r="K36" s="4739" t="n"/>
      <c r="L36" s="4098" t="n"/>
      <c r="M36" s="4740" t="inlineStr">
        <is>
          <t>人</t>
        </is>
      </c>
      <c r="N36" s="4739" t="n"/>
      <c r="O36" s="4098" t="n"/>
      <c r="P36" s="4740" t="inlineStr">
        <is>
          <t>人</t>
        </is>
      </c>
      <c r="Q36" s="4739" t="n"/>
      <c r="R36" s="4098" t="n"/>
      <c r="S36" s="4740" t="inlineStr">
        <is>
          <t>人</t>
        </is>
      </c>
      <c r="T36" s="4739" t="n"/>
      <c r="U36" s="4098" t="n"/>
      <c r="V36" s="4740" t="inlineStr">
        <is>
          <t>人</t>
        </is>
      </c>
      <c r="W36" s="4739" t="n"/>
      <c r="X36" s="4098" t="n"/>
      <c r="Y36" s="4740" t="inlineStr">
        <is>
          <t>人</t>
        </is>
      </c>
      <c r="Z36" s="4739" t="n"/>
      <c r="AA36" s="4098" t="n"/>
      <c r="AB36" s="447" t="inlineStr">
        <is>
          <t>日</t>
        </is>
      </c>
      <c r="AC36" s="4741">
        <f>IF(Z36=0," ",ROUND(((3*N36)+(4*Q36)+(5*T36)+(6*W36)+(1*H36)+(2*K36))/(H36+K36+N36+Q36+T36+W36),1))</f>
        <v/>
      </c>
      <c r="AD36" s="4098" t="n"/>
      <c r="AE36" s="4099" t="n"/>
      <c r="AF36" s="4742">
        <f>IF(Z36=0," ",ROUNDUP((H36+K36+N36+Q36+T36+W36)/Z36,1))</f>
        <v/>
      </c>
      <c r="AG36" s="4098" t="n"/>
      <c r="AH36" s="4632" t="inlineStr">
        <is>
          <t>人</t>
        </is>
      </c>
    </row>
    <row r="37" ht="20.1" customHeight="1" s="4080">
      <c r="A37" s="3063" t="inlineStr">
        <is>
          <t>昼 間 実 施 サ ー ビ ス（２）</t>
        </is>
      </c>
      <c r="B37" s="3011" t="n"/>
      <c r="C37" s="1293" t="inlineStr">
        <is>
          <t>サービス種別</t>
        </is>
      </c>
      <c r="D37" s="4103" t="n"/>
      <c r="E37" s="4103" t="n"/>
      <c r="F37" s="4103" t="n"/>
      <c r="G37" s="4103" t="n"/>
      <c r="H37" s="4103" t="n"/>
      <c r="I37" s="4103" t="n"/>
      <c r="J37" s="1294" t="n"/>
      <c r="K37" s="3109" t="n"/>
      <c r="L37" s="4110" t="n"/>
      <c r="M37" s="4110" t="n"/>
      <c r="N37" s="4110" t="n"/>
      <c r="O37" s="4110" t="n"/>
      <c r="P37" s="4110" t="n"/>
      <c r="Q37" s="4110" t="n"/>
      <c r="R37" s="4110" t="n"/>
      <c r="S37" s="4110" t="n"/>
      <c r="T37" s="4110" t="n"/>
      <c r="U37" s="4110" t="n"/>
      <c r="V37" s="4110" t="n"/>
      <c r="W37" s="4110" t="n"/>
      <c r="X37" s="4110" t="n"/>
      <c r="Y37" s="4110" t="n"/>
      <c r="Z37" s="4110" t="n"/>
      <c r="AA37" s="1826" t="inlineStr">
        <is>
          <t>利用定員</t>
        </is>
      </c>
      <c r="AB37" s="4110" t="n"/>
      <c r="AC37" s="4110" t="n"/>
      <c r="AD37" s="4110" t="n"/>
      <c r="AE37" s="2323" t="n"/>
      <c r="AF37" s="4110" t="n"/>
      <c r="AG37" s="4110" t="n"/>
      <c r="AH37" s="2592" t="inlineStr">
        <is>
          <t>人</t>
        </is>
      </c>
    </row>
    <row r="38" ht="12" customHeight="1" s="4080">
      <c r="A38" s="4208" t="n"/>
      <c r="B38" s="4731" t="inlineStr">
        <is>
          <t>サービス管理責任者</t>
        </is>
      </c>
      <c r="C38" s="4184" t="inlineStr">
        <is>
          <t>ﾌﾘｶﾞﾅ</t>
        </is>
      </c>
      <c r="D38" s="4110" t="n"/>
      <c r="E38" s="4111" t="n"/>
      <c r="F38" s="4612" t="n"/>
      <c r="G38" s="4110" t="n"/>
      <c r="H38" s="4110" t="n"/>
      <c r="I38" s="4204" t="n"/>
      <c r="J38" s="4613" t="n"/>
      <c r="K38" s="4110" t="n"/>
      <c r="L38" s="4110" t="n"/>
      <c r="M38" s="4111" t="n"/>
      <c r="N38" s="2164" t="inlineStr">
        <is>
          <t>住所</t>
        </is>
      </c>
      <c r="O38" s="4099" t="n"/>
      <c r="P38" s="1244" t="inlineStr">
        <is>
          <t>郵便番号（</t>
        </is>
      </c>
      <c r="Q38" s="4098" t="n"/>
      <c r="R38" s="4098" t="n"/>
      <c r="S38" s="4098" t="n"/>
      <c r="T38" s="1287" t="n"/>
      <c r="U38" s="4098" t="n"/>
      <c r="V38" s="4098" t="n"/>
      <c r="W38" s="4098" t="n"/>
      <c r="X38" s="4098" t="n"/>
      <c r="Y38" s="1329" t="inlineStr">
        <is>
          <t>）</t>
        </is>
      </c>
      <c r="Z38" s="1017" t="n"/>
      <c r="AA38" s="1017" t="n"/>
      <c r="AB38" s="1017" t="n"/>
      <c r="AC38" s="1017" t="n"/>
      <c r="AD38" s="1017" t="n"/>
      <c r="AE38" s="120" t="n"/>
      <c r="AF38" s="119" t="n"/>
      <c r="AG38" s="119" t="n"/>
      <c r="AH38" s="118" t="n"/>
    </row>
    <row r="39" ht="12" customHeight="1" s="4080">
      <c r="A39" s="4208" t="n"/>
      <c r="B39" s="4122" t="n"/>
      <c r="C39" s="4209" t="inlineStr">
        <is>
          <t>氏　　名</t>
        </is>
      </c>
      <c r="D39" s="4098" t="n"/>
      <c r="E39" s="4099" t="n"/>
      <c r="F39" s="4612" t="n"/>
      <c r="G39" s="4098" t="n"/>
      <c r="H39" s="4098" t="n"/>
      <c r="I39" s="4210" t="n"/>
      <c r="J39" s="4613" t="n"/>
      <c r="K39" s="4098" t="n"/>
      <c r="L39" s="4098" t="n"/>
      <c r="M39" s="4099" t="n"/>
      <c r="N39" s="4106" t="n"/>
      <c r="O39" s="4107" t="n"/>
      <c r="P39" s="1318" t="n"/>
      <c r="R39" s="2378" t="inlineStr">
        <is>
          <t>都</t>
        </is>
      </c>
      <c r="S39" s="2378" t="inlineStr">
        <is>
          <t>道</t>
        </is>
      </c>
      <c r="T39" s="1319" t="n"/>
      <c r="W39" s="2378" t="inlineStr">
        <is>
          <t>郡</t>
        </is>
      </c>
      <c r="X39" s="1321" t="n"/>
      <c r="AH39" s="4109" t="n"/>
    </row>
    <row r="40" ht="12" customHeight="1" s="4080">
      <c r="A40" s="4208" t="n"/>
      <c r="B40" s="4122" t="n"/>
      <c r="C40" s="4106" t="n"/>
      <c r="E40" s="4107" t="n"/>
      <c r="F40" s="4106" t="n"/>
      <c r="I40" s="4212" t="n"/>
      <c r="J40" s="4213" t="n"/>
      <c r="M40" s="4107" t="n"/>
      <c r="N40" s="4106" t="n"/>
      <c r="O40" s="4107" t="n"/>
      <c r="P40" s="4106" t="n"/>
      <c r="R40" s="2378" t="inlineStr">
        <is>
          <t>府</t>
        </is>
      </c>
      <c r="S40" s="2378" t="inlineStr">
        <is>
          <t>県</t>
        </is>
      </c>
      <c r="W40" s="2378" t="inlineStr">
        <is>
          <t>市</t>
        </is>
      </c>
      <c r="AH40" s="4109" t="n"/>
    </row>
    <row r="41" ht="3" customHeight="1" s="4080">
      <c r="A41" s="4208" t="n"/>
      <c r="B41" s="4122" t="n"/>
      <c r="C41" s="4102" t="n"/>
      <c r="D41" s="4103" t="n"/>
      <c r="E41" s="4104" t="n"/>
      <c r="F41" s="4102" t="n"/>
      <c r="G41" s="4103" t="n"/>
      <c r="H41" s="4103" t="n"/>
      <c r="I41" s="4215" t="n"/>
      <c r="J41" s="4216" t="n"/>
      <c r="K41" s="4103" t="n"/>
      <c r="L41" s="4103" t="n"/>
      <c r="M41" s="4104" t="n"/>
      <c r="N41" s="4102" t="n"/>
      <c r="O41" s="4104" t="n"/>
      <c r="P41" s="4102" t="n"/>
      <c r="Q41" s="4103" t="n"/>
      <c r="R41" s="1810" t="n"/>
      <c r="S41" s="1810" t="n"/>
      <c r="T41" s="4103" t="n"/>
      <c r="U41" s="4103" t="n"/>
      <c r="V41" s="4103" t="n"/>
      <c r="W41" s="1810" t="n"/>
      <c r="AH41" s="4109" t="n"/>
    </row>
    <row r="42" ht="3.95" customHeight="1" s="4080">
      <c r="A42" s="4208" t="n"/>
      <c r="B42" s="4122" t="n"/>
      <c r="C42" s="1393" t="inlineStr">
        <is>
          <t>他の職務との兼務の有無及び職種</t>
        </is>
      </c>
      <c r="D42" s="4098" t="n"/>
      <c r="E42" s="4098" t="n"/>
      <c r="F42" s="4098" t="n"/>
      <c r="G42" s="4098" t="n"/>
      <c r="H42" s="4098" t="n"/>
      <c r="I42" s="4098" t="n"/>
      <c r="J42" s="4098" t="n"/>
      <c r="K42" s="4098" t="n"/>
      <c r="L42" s="4098" t="n"/>
      <c r="M42" s="4098" t="n"/>
      <c r="N42" s="4195" t="n"/>
      <c r="O42" s="4098" t="n"/>
      <c r="P42" s="4098" t="n"/>
      <c r="Q42" s="4098" t="n"/>
      <c r="R42" s="4099" t="n"/>
      <c r="S42" s="2163" t="inlineStr">
        <is>
          <t>職　　種</t>
        </is>
      </c>
      <c r="T42" s="4098" t="n"/>
      <c r="U42" s="4099" t="n"/>
      <c r="V42" s="1322" t="n"/>
      <c r="W42" s="1335" t="inlineStr">
        <is>
          <t xml:space="preserve">　</t>
        </is>
      </c>
      <c r="X42" s="4098" t="n"/>
      <c r="Y42" s="4098" t="n"/>
      <c r="Z42" s="4098" t="n"/>
      <c r="AA42" s="4098" t="n"/>
      <c r="AB42" s="4098" t="n"/>
      <c r="AC42" s="4098" t="n"/>
      <c r="AD42" s="4098" t="n"/>
      <c r="AE42" s="4098" t="n"/>
      <c r="AF42" s="4098" t="n"/>
      <c r="AG42" s="4098" t="n"/>
      <c r="AH42" s="4101" t="n"/>
    </row>
    <row r="43" ht="12" customHeight="1" s="4080">
      <c r="A43" s="4208" t="n"/>
      <c r="B43" s="4122" t="n"/>
      <c r="C43" s="4106" t="n"/>
      <c r="N43" s="1354" t="n"/>
      <c r="O43" s="1325" t="inlineStr">
        <is>
          <t>有</t>
        </is>
      </c>
      <c r="P43" s="1325" t="inlineStr">
        <is>
          <t>・</t>
        </is>
      </c>
      <c r="Q43" s="1325" t="inlineStr">
        <is>
          <t>無</t>
        </is>
      </c>
      <c r="R43" s="1332" t="n"/>
      <c r="S43" s="4106" t="n"/>
      <c r="U43" s="4107" t="n"/>
      <c r="V43" s="4312" t="n"/>
      <c r="AH43" s="4109" t="n"/>
    </row>
    <row r="44" ht="3.95" customHeight="1" s="4080">
      <c r="A44" s="4208" t="n"/>
      <c r="B44" s="4122" t="n"/>
      <c r="C44" s="4102" t="n"/>
      <c r="D44" s="4103" t="n"/>
      <c r="E44" s="4103" t="n"/>
      <c r="F44" s="4103" t="n"/>
      <c r="G44" s="4103" t="n"/>
      <c r="H44" s="4103" t="n"/>
      <c r="I44" s="4103" t="n"/>
      <c r="J44" s="4103" t="n"/>
      <c r="K44" s="4103" t="n"/>
      <c r="L44" s="4103" t="n"/>
      <c r="M44" s="4103" t="n"/>
      <c r="N44" s="4197" t="n"/>
      <c r="O44" s="4103" t="n"/>
      <c r="P44" s="4103" t="n"/>
      <c r="Q44" s="4103" t="n"/>
      <c r="R44" s="4104" t="n"/>
      <c r="S44" s="4102" t="n"/>
      <c r="T44" s="4103" t="n"/>
      <c r="U44" s="4104" t="n"/>
      <c r="V44" s="1326" t="n"/>
      <c r="W44" s="1299" t="n"/>
      <c r="X44" s="4103" t="n"/>
      <c r="Y44" s="4103" t="n"/>
      <c r="Z44" s="4103" t="n"/>
      <c r="AA44" s="4103" t="n"/>
      <c r="AB44" s="4103" t="n"/>
      <c r="AC44" s="4103" t="n"/>
      <c r="AD44" s="4103" t="n"/>
      <c r="AE44" s="4103" t="n"/>
      <c r="AF44" s="4103" t="n"/>
      <c r="AG44" s="4103" t="n"/>
      <c r="AH44" s="4105" t="n"/>
    </row>
    <row r="45" ht="3.95" customHeight="1" s="4080">
      <c r="A45" s="4208" t="n"/>
      <c r="B45" s="4122" t="n"/>
      <c r="C45" s="1826" t="inlineStr">
        <is>
          <t>資格要件</t>
        </is>
      </c>
      <c r="D45" s="4098" t="n"/>
      <c r="E45" s="4098" t="n"/>
      <c r="F45" s="1322" t="n"/>
      <c r="G45" s="1323" t="n"/>
      <c r="H45" s="1414" t="n"/>
      <c r="I45" s="2056" t="n"/>
      <c r="J45" s="2056" t="n"/>
      <c r="K45" s="2056" t="n"/>
      <c r="L45" s="2056" t="n"/>
      <c r="M45" s="2056" t="n"/>
      <c r="N45" s="2056" t="n"/>
      <c r="O45" s="2056" t="n"/>
      <c r="P45" s="1402" t="n"/>
      <c r="Q45" s="1402" t="n"/>
      <c r="R45" s="1402" t="n"/>
      <c r="S45" s="4313" t="inlineStr">
        <is>
          <t>研修の
受講状況</t>
        </is>
      </c>
      <c r="T45" s="4098" t="n"/>
      <c r="U45" s="4099" t="n"/>
      <c r="V45" s="1322" t="n"/>
      <c r="W45" s="1323" t="n"/>
      <c r="X45" s="1323" t="n"/>
      <c r="Y45" s="1323" t="n"/>
      <c r="Z45" s="1323" t="n"/>
      <c r="AA45" s="1331" t="n"/>
      <c r="AB45" s="1323" t="n"/>
      <c r="AC45" s="1323" t="n"/>
      <c r="AD45" s="1323" t="n"/>
      <c r="AE45" s="1323" t="n"/>
      <c r="AF45" s="1323" t="n"/>
      <c r="AG45" s="1323" t="n"/>
      <c r="AH45" s="2297" t="n"/>
    </row>
    <row r="46" ht="12" customHeight="1" s="4080">
      <c r="A46" s="4208" t="n"/>
      <c r="B46" s="4122" t="n"/>
      <c r="C46" s="4106" t="n"/>
      <c r="F46" s="4314" t="inlineStr">
        <is>
          <t>実務経験</t>
        </is>
      </c>
      <c r="H46" s="4107" t="n"/>
      <c r="I46" s="1790" t="n"/>
      <c r="S46" s="4106" t="n"/>
      <c r="U46" s="4107" t="n"/>
      <c r="V46" s="4315" t="inlineStr">
        <is>
          <t>相談支援従事者研修</t>
        </is>
      </c>
      <c r="AA46" s="4107" t="n"/>
      <c r="AB46" s="128" t="n"/>
      <c r="AC46" s="1783" t="inlineStr">
        <is>
          <t>受講済</t>
        </is>
      </c>
      <c r="AE46" s="2379" t="inlineStr">
        <is>
          <t>・</t>
        </is>
      </c>
      <c r="AF46" s="1770" t="inlineStr">
        <is>
          <t>未受講</t>
        </is>
      </c>
      <c r="AH46" s="130" t="n"/>
    </row>
    <row r="47" ht="3.95" customHeight="1" s="4080">
      <c r="A47" s="4208" t="n"/>
      <c r="B47" s="4122" t="n"/>
      <c r="C47" s="4106" t="n"/>
      <c r="F47" s="131" t="n"/>
      <c r="G47" s="132" t="n"/>
      <c r="H47" s="133" t="n"/>
      <c r="I47" s="134" t="n"/>
      <c r="J47" s="134" t="n"/>
      <c r="K47" s="134" t="n"/>
      <c r="L47" s="134" t="n"/>
      <c r="M47" s="134" t="n"/>
      <c r="N47" s="134" t="n"/>
      <c r="O47" s="135" t="n"/>
      <c r="P47" s="136" t="n"/>
      <c r="Q47" s="136" t="n"/>
      <c r="R47" s="137" t="n"/>
      <c r="S47" s="4106" t="n"/>
      <c r="U47" s="4107" t="n"/>
      <c r="V47" s="4316" t="n"/>
      <c r="W47" s="4317" t="n"/>
      <c r="X47" s="4317" t="n"/>
      <c r="Y47" s="4317" t="n"/>
      <c r="Z47" s="4317" t="n"/>
      <c r="AA47" s="4318" t="n"/>
      <c r="AB47" s="138" t="n"/>
      <c r="AC47" s="138" t="n"/>
      <c r="AD47" s="138" t="n"/>
      <c r="AE47" s="138" t="n"/>
      <c r="AF47" s="138" t="n"/>
      <c r="AG47" s="138" t="n"/>
      <c r="AH47" s="139" t="n"/>
    </row>
    <row r="48" ht="3.95" customHeight="1" s="4080">
      <c r="A48" s="4208" t="n"/>
      <c r="B48" s="4122" t="n"/>
      <c r="C48" s="4106" t="n"/>
      <c r="F48" s="140" t="n"/>
      <c r="G48" s="141" t="n"/>
      <c r="H48" s="142" t="n"/>
      <c r="I48" s="143" t="n"/>
      <c r="J48" s="143" t="n"/>
      <c r="K48" s="144" t="n"/>
      <c r="L48" s="141" t="n"/>
      <c r="M48" s="141" t="n"/>
      <c r="N48" s="141" t="n"/>
      <c r="O48" s="141" t="n"/>
      <c r="P48" s="145" t="n"/>
      <c r="Q48" s="145" t="n"/>
      <c r="R48" s="146" t="n"/>
      <c r="S48" s="4106" t="n"/>
      <c r="U48" s="4107" t="n"/>
      <c r="V48" s="4319" t="n"/>
      <c r="W48" s="4320" t="n"/>
      <c r="X48" s="4320" t="n"/>
      <c r="Y48" s="4320" t="n"/>
      <c r="Z48" s="4320" t="n"/>
      <c r="AA48" s="4321" t="n"/>
      <c r="AB48" s="141" t="n"/>
      <c r="AC48" s="141" t="n"/>
      <c r="AD48" s="141" t="n"/>
      <c r="AE48" s="141" t="n"/>
      <c r="AF48" s="141" t="n"/>
      <c r="AG48" s="141" t="n"/>
      <c r="AH48" s="147" t="n"/>
    </row>
    <row r="49" ht="12" customHeight="1" s="4080">
      <c r="A49" s="4208" t="n"/>
      <c r="B49" s="4122" t="n"/>
      <c r="C49" s="4106" t="n"/>
      <c r="F49" s="4314" t="inlineStr">
        <is>
          <t>資格種類</t>
        </is>
      </c>
      <c r="H49" s="4107" t="n"/>
      <c r="I49" s="4732" t="n"/>
      <c r="R49" s="4107" t="n"/>
      <c r="S49" s="4106" t="n"/>
      <c r="U49" s="4107" t="n"/>
      <c r="V49" s="4322" t="inlineStr">
        <is>
          <t>サービス管理責任者研修</t>
        </is>
      </c>
      <c r="AA49" s="4107" t="n"/>
      <c r="AB49" s="1355" t="n"/>
      <c r="AC49" s="1783" t="inlineStr">
        <is>
          <t>受講済</t>
        </is>
      </c>
      <c r="AE49" s="2379" t="inlineStr">
        <is>
          <t>・</t>
        </is>
      </c>
      <c r="AF49" s="1770" t="inlineStr">
        <is>
          <t>未受講</t>
        </is>
      </c>
      <c r="AH49" s="148" t="n"/>
    </row>
    <row r="50" ht="3.95" customHeight="1" s="4080">
      <c r="A50" s="4208" t="n"/>
      <c r="B50" s="4124" t="n"/>
      <c r="C50" s="4102" t="n"/>
      <c r="D50" s="4103" t="n"/>
      <c r="E50" s="4103" t="n"/>
      <c r="F50" s="1326" t="n"/>
      <c r="G50" s="1327" t="n"/>
      <c r="H50" s="1333" t="n"/>
      <c r="I50" s="134" t="n"/>
      <c r="J50" s="134" t="n"/>
      <c r="K50" s="134" t="n"/>
      <c r="L50" s="134" t="n"/>
      <c r="M50" s="134" t="n"/>
      <c r="N50" s="134" t="n"/>
      <c r="O50" s="2059" t="n"/>
      <c r="P50" s="1413" t="n"/>
      <c r="Q50" s="1413" t="n"/>
      <c r="R50" s="1413" t="n"/>
      <c r="S50" s="4102" t="n"/>
      <c r="T50" s="4103" t="n"/>
      <c r="U50" s="4104" t="n"/>
      <c r="V50" s="1412" t="n"/>
      <c r="W50" s="154" t="n"/>
      <c r="X50" s="154" t="n"/>
      <c r="Y50" s="138" t="n"/>
      <c r="Z50" s="138" t="n"/>
      <c r="AA50" s="155" t="n"/>
      <c r="AB50" s="138" t="n"/>
      <c r="AC50" s="138" t="n"/>
      <c r="AD50" s="138" t="n"/>
      <c r="AE50" s="138" t="n"/>
      <c r="AF50" s="138" t="n"/>
      <c r="AG50" s="138" t="n"/>
      <c r="AH50" s="139" t="n"/>
    </row>
    <row r="51" ht="12" customHeight="1" s="4080">
      <c r="A51" s="4208" t="n"/>
      <c r="B51" s="4231" t="inlineStr">
        <is>
          <t>主な掲示事項</t>
        </is>
      </c>
      <c r="C51" s="1393" t="n"/>
      <c r="D51" s="1264" t="inlineStr">
        <is>
          <t>サービス提供日</t>
        </is>
      </c>
      <c r="E51" s="4098" t="n"/>
      <c r="F51" s="4098" t="n"/>
      <c r="G51" s="4098" t="n"/>
      <c r="H51" s="4098" t="n"/>
      <c r="I51" s="4098" t="n"/>
      <c r="J51" s="4423" t="n"/>
      <c r="K51" s="2244" t="inlineStr">
        <is>
          <t>月</t>
        </is>
      </c>
      <c r="L51" s="2245" t="inlineStr">
        <is>
          <t>火</t>
        </is>
      </c>
      <c r="M51" s="2245" t="inlineStr">
        <is>
          <t>水</t>
        </is>
      </c>
      <c r="N51" s="2245" t="inlineStr">
        <is>
          <t>木</t>
        </is>
      </c>
      <c r="O51" s="2245" t="inlineStr">
        <is>
          <t>金</t>
        </is>
      </c>
      <c r="P51" s="2245" t="inlineStr">
        <is>
          <t>土</t>
        </is>
      </c>
      <c r="Q51" s="2245" t="inlineStr">
        <is>
          <t>日</t>
        </is>
      </c>
      <c r="R51" s="2249" t="inlineStr">
        <is>
          <t>祝</t>
        </is>
      </c>
      <c r="S51" s="4279" t="inlineStr">
        <is>
          <t>休業日</t>
        </is>
      </c>
      <c r="T51" s="1611" t="inlineStr">
        <is>
          <t>年末年始</t>
        </is>
      </c>
      <c r="U51" s="4098" t="n"/>
      <c r="V51" s="934" t="n"/>
      <c r="W51" s="4098" t="n"/>
      <c r="X51" s="4098" t="n"/>
      <c r="Y51" s="4098" t="n"/>
      <c r="Z51" s="4098" t="n"/>
      <c r="AA51" s="4098" t="n"/>
      <c r="AB51" s="4099" t="n"/>
      <c r="AC51" s="4733" t="inlineStr">
        <is>
          <t>備考</t>
        </is>
      </c>
      <c r="AD51" s="4281" t="n"/>
      <c r="AE51" s="4098" t="n"/>
      <c r="AF51" s="4098" t="n"/>
      <c r="AG51" s="4098" t="n"/>
      <c r="AH51" s="4101" t="n"/>
    </row>
    <row r="52" ht="12" customHeight="1" s="4080">
      <c r="A52" s="4208" t="n"/>
      <c r="B52" s="4122" t="n"/>
      <c r="C52" s="4106" t="n"/>
      <c r="J52" s="4107" t="n"/>
      <c r="K52" s="2244" t="n"/>
      <c r="L52" s="2245" t="n"/>
      <c r="M52" s="2245" t="n"/>
      <c r="N52" s="2245" t="n"/>
      <c r="O52" s="2245" t="n"/>
      <c r="P52" s="2245" t="n"/>
      <c r="Q52" s="2245" t="n"/>
      <c r="R52" s="2249" t="n"/>
      <c r="S52" s="4282" t="n"/>
      <c r="T52" s="1609" t="inlineStr">
        <is>
          <t>夏季</t>
        </is>
      </c>
      <c r="V52" s="937" t="n"/>
      <c r="AB52" s="4107" t="n"/>
      <c r="AC52" s="4282" t="n"/>
      <c r="AD52" s="4192" t="n"/>
      <c r="AH52" s="4109" t="n"/>
    </row>
    <row r="53" ht="12" customHeight="1" s="4080">
      <c r="A53" s="4208" t="n"/>
      <c r="B53" s="4122" t="n"/>
      <c r="C53" s="4102" t="n"/>
      <c r="D53" s="4103" t="n"/>
      <c r="E53" s="4103" t="n"/>
      <c r="F53" s="4103" t="n"/>
      <c r="G53" s="4103" t="n"/>
      <c r="H53" s="4103" t="n"/>
      <c r="I53" s="4103" t="n"/>
      <c r="J53" s="4104" t="n"/>
      <c r="K53" s="4283" t="n"/>
      <c r="L53" s="4284" t="n"/>
      <c r="M53" s="4284" t="n"/>
      <c r="N53" s="4284" t="n"/>
      <c r="O53" s="4284" t="n"/>
      <c r="P53" s="4284" t="n"/>
      <c r="Q53" s="4284" t="n"/>
      <c r="R53" s="4285" t="n"/>
      <c r="S53" s="4286" t="n"/>
      <c r="T53" s="1610" t="inlineStr">
        <is>
          <t>その他</t>
        </is>
      </c>
      <c r="U53" s="4103" t="n"/>
      <c r="V53" s="940" t="n"/>
      <c r="W53" s="4103" t="n"/>
      <c r="X53" s="4103" t="n"/>
      <c r="Y53" s="4103" t="n"/>
      <c r="Z53" s="4103" t="n"/>
      <c r="AA53" s="4103" t="n"/>
      <c r="AB53" s="4104" t="n"/>
      <c r="AC53" s="4286" t="n"/>
      <c r="AD53" s="4194" t="n"/>
      <c r="AE53" s="4103" t="n"/>
      <c r="AF53" s="4103" t="n"/>
      <c r="AG53" s="4103" t="n"/>
      <c r="AH53" s="4105" t="n"/>
    </row>
    <row r="54" ht="3.95" customHeight="1" s="4080">
      <c r="A54" s="4208" t="n"/>
      <c r="B54" s="4122" t="n"/>
      <c r="C54" s="1393" t="n"/>
      <c r="D54" s="1264" t="inlineStr">
        <is>
          <t>サービス提供時間</t>
        </is>
      </c>
      <c r="E54" s="4098" t="n"/>
      <c r="F54" s="4098" t="n"/>
      <c r="G54" s="4098" t="n"/>
      <c r="H54" s="4098" t="n"/>
      <c r="I54" s="4098" t="n"/>
      <c r="J54" s="4223" t="n"/>
      <c r="K54" s="1660" t="n"/>
      <c r="L54" s="1661" t="n"/>
      <c r="M54" s="1661" t="n"/>
      <c r="N54" s="1661" t="n"/>
      <c r="O54" s="1661" t="n"/>
      <c r="P54" s="1661" t="n"/>
      <c r="Q54" s="1661" t="n"/>
      <c r="R54" s="1661" t="n"/>
      <c r="S54" s="1661" t="n"/>
      <c r="T54" s="1661" t="n"/>
      <c r="U54" s="1661" t="n"/>
      <c r="V54" s="1661" t="n"/>
      <c r="W54" s="1661" t="n"/>
      <c r="X54" s="1661" t="n"/>
      <c r="Y54" s="1661" t="n"/>
      <c r="Z54" s="1661" t="n"/>
      <c r="AA54" s="1661" t="n"/>
      <c r="AB54" s="1661" t="n"/>
      <c r="AC54" s="4734" t="inlineStr">
        <is>
          <t>備考</t>
        </is>
      </c>
      <c r="AD54" s="4735" t="n"/>
      <c r="AE54" s="4098" t="n"/>
      <c r="AF54" s="4098" t="n"/>
      <c r="AG54" s="4098" t="n"/>
      <c r="AH54" s="4101" t="n"/>
    </row>
    <row r="55" ht="12" customHeight="1" s="4080">
      <c r="A55" s="4208" t="n"/>
      <c r="B55" s="4122" t="n"/>
      <c r="C55" s="4106" t="n"/>
      <c r="J55" s="4107" t="n"/>
      <c r="K55" s="224" t="n"/>
      <c r="L55" s="1388" t="n"/>
      <c r="O55" s="1325" t="inlineStr">
        <is>
          <t>時</t>
        </is>
      </c>
      <c r="P55" s="1626" t="n"/>
      <c r="R55" s="1325" t="inlineStr">
        <is>
          <t>分～</t>
        </is>
      </c>
      <c r="T55" s="1388" t="n"/>
      <c r="W55" s="1325" t="inlineStr">
        <is>
          <t>時</t>
        </is>
      </c>
      <c r="X55" s="1626" t="n"/>
      <c r="Z55" s="1325" t="inlineStr">
        <is>
          <t>分</t>
        </is>
      </c>
      <c r="AA55" s="1325" t="n"/>
      <c r="AB55" s="1325" t="n"/>
      <c r="AC55" s="4282" t="n"/>
      <c r="AD55" s="4192" t="n"/>
      <c r="AH55" s="4109" t="n"/>
    </row>
    <row r="56" ht="3.95" customHeight="1" s="4080">
      <c r="A56" s="4208" t="n"/>
      <c r="B56" s="4122" t="n"/>
      <c r="C56" s="4102" t="n"/>
      <c r="D56" s="4103" t="n"/>
      <c r="E56" s="4103" t="n"/>
      <c r="F56" s="4103" t="n"/>
      <c r="G56" s="4103" t="n"/>
      <c r="H56" s="4103" t="n"/>
      <c r="I56" s="4103" t="n"/>
      <c r="J56" s="4104" t="n"/>
      <c r="K56" s="1657" t="n"/>
      <c r="L56" s="1658" t="n"/>
      <c r="M56" s="1658" t="n"/>
      <c r="N56" s="1658" t="n"/>
      <c r="O56" s="1658" t="n"/>
      <c r="P56" s="1658" t="n"/>
      <c r="Q56" s="1658" t="n"/>
      <c r="R56" s="1658" t="n"/>
      <c r="S56" s="1658" t="n"/>
      <c r="T56" s="1658" t="n"/>
      <c r="U56" s="1658" t="n"/>
      <c r="V56" s="1658" t="n"/>
      <c r="W56" s="1658" t="n"/>
      <c r="X56" s="1658" t="n"/>
      <c r="Y56" s="1658" t="n"/>
      <c r="Z56" s="1658" t="n"/>
      <c r="AA56" s="1658" t="n"/>
      <c r="AB56" s="1658" t="n"/>
      <c r="AC56" s="4286" t="n"/>
      <c r="AD56" s="4194" t="n"/>
      <c r="AE56" s="4103" t="n"/>
      <c r="AF56" s="4103" t="n"/>
      <c r="AG56" s="4103" t="n"/>
      <c r="AH56" s="4105" t="n"/>
    </row>
    <row r="57" ht="11.1" customHeight="1" s="4080">
      <c r="A57" s="4208" t="n"/>
      <c r="B57" s="4122" t="n"/>
      <c r="C57" s="1393" t="n"/>
      <c r="D57" s="4222" t="inlineStr">
        <is>
          <t>サービスを提供
する主たる対象者</t>
        </is>
      </c>
      <c r="E57" s="4098" t="n"/>
      <c r="F57" s="4098" t="n"/>
      <c r="G57" s="4098" t="n"/>
      <c r="H57" s="4098" t="n"/>
      <c r="I57" s="4098" t="n"/>
      <c r="J57" s="4223" t="n"/>
      <c r="K57" s="4743" t="inlineStr">
        <is>
          <t>身体障害者</t>
        </is>
      </c>
      <c r="L57" s="4138" t="n"/>
      <c r="M57" s="4138" t="n"/>
      <c r="N57" s="4138" t="n"/>
      <c r="O57" s="4138" t="n"/>
      <c r="P57" s="4138" t="n"/>
      <c r="Q57" s="4138" t="n"/>
      <c r="R57" s="4138" t="n"/>
      <c r="S57" s="4138" t="n"/>
      <c r="T57" s="4138" t="n"/>
      <c r="U57" s="4138" t="n"/>
      <c r="V57" s="4138" t="n"/>
      <c r="W57" s="4138" t="n"/>
      <c r="X57" s="4138" t="n"/>
      <c r="Y57" s="4138" t="n"/>
      <c r="Z57" s="4139" t="n"/>
      <c r="AA57" s="2542" t="inlineStr">
        <is>
          <t>知的障害者</t>
        </is>
      </c>
      <c r="AB57" s="4098" t="n"/>
      <c r="AC57" s="4098" t="n"/>
      <c r="AD57" s="4099" t="n"/>
      <c r="AE57" s="2542" t="inlineStr">
        <is>
          <t>精神障害者</t>
        </is>
      </c>
      <c r="AF57" s="4098" t="n"/>
      <c r="AG57" s="4098" t="n"/>
      <c r="AH57" s="4099" t="n"/>
    </row>
    <row r="58" ht="11.1" customHeight="1" s="4080">
      <c r="A58" s="4208" t="n"/>
      <c r="B58" s="4122" t="n"/>
      <c r="C58" s="4106" t="n"/>
      <c r="J58" s="4107" t="n"/>
      <c r="K58" s="3092" t="inlineStr">
        <is>
          <t>肢体不自由</t>
        </is>
      </c>
      <c r="L58" s="4103" t="n"/>
      <c r="M58" s="4103" t="n"/>
      <c r="N58" s="4193" t="n"/>
      <c r="O58" s="3094" t="inlineStr">
        <is>
          <t>視　　覚</t>
        </is>
      </c>
      <c r="P58" s="4103" t="n"/>
      <c r="Q58" s="4103" t="n"/>
      <c r="R58" s="4193" t="n"/>
      <c r="S58" s="3093" t="inlineStr">
        <is>
          <t>聴覚・言語</t>
        </is>
      </c>
      <c r="T58" s="4103" t="n"/>
      <c r="U58" s="4103" t="n"/>
      <c r="V58" s="4193" t="n"/>
      <c r="W58" s="3094" t="inlineStr">
        <is>
          <t>内　　部</t>
        </is>
      </c>
      <c r="X58" s="4103" t="n"/>
      <c r="Y58" s="4103" t="n"/>
      <c r="Z58" s="4193" t="n"/>
      <c r="AA58" s="4102" t="n"/>
      <c r="AB58" s="4103" t="n"/>
      <c r="AC58" s="4103" t="n"/>
      <c r="AD58" s="4104" t="n"/>
      <c r="AE58" s="4102" t="n"/>
      <c r="AF58" s="4103" t="n"/>
      <c r="AG58" s="4103" t="n"/>
      <c r="AH58" s="4104" t="n"/>
    </row>
    <row r="59" ht="12" customHeight="1" s="4080">
      <c r="A59" s="4208" t="n"/>
      <c r="B59" s="4122" t="n"/>
      <c r="C59" s="4102" t="n"/>
      <c r="D59" s="4103" t="n"/>
      <c r="E59" s="4103" t="n"/>
      <c r="F59" s="4103" t="n"/>
      <c r="G59" s="4103" t="n"/>
      <c r="H59" s="4103" t="n"/>
      <c r="I59" s="4103" t="n"/>
      <c r="J59" s="4104" t="n"/>
      <c r="K59" s="3096" t="n"/>
      <c r="L59" s="4140" t="n"/>
      <c r="M59" s="4140" t="n"/>
      <c r="N59" s="4249" t="n"/>
      <c r="O59" s="3097" t="n"/>
      <c r="P59" s="4140" t="n"/>
      <c r="Q59" s="4140" t="n"/>
      <c r="R59" s="4249" t="n"/>
      <c r="S59" s="3097" t="n"/>
      <c r="T59" s="4140" t="n"/>
      <c r="U59" s="4140" t="n"/>
      <c r="V59" s="4249" t="n"/>
      <c r="W59" s="3097" t="n"/>
      <c r="X59" s="4140" t="n"/>
      <c r="Y59" s="4140" t="n"/>
      <c r="Z59" s="4249" t="n"/>
      <c r="AA59" s="1663" t="n"/>
      <c r="AB59" s="4140" t="n"/>
      <c r="AC59" s="4140" t="n"/>
      <c r="AD59" s="4141" t="n"/>
      <c r="AE59" s="1663" t="n"/>
      <c r="AF59" s="4140" t="n"/>
      <c r="AG59" s="4140" t="n"/>
      <c r="AH59" s="4141" t="n"/>
    </row>
    <row r="60" ht="12.95" customHeight="1" s="4080">
      <c r="A60" s="4208" t="n"/>
      <c r="B60" s="4122" t="n"/>
      <c r="C60" s="1393" t="n"/>
      <c r="D60" s="1264" t="inlineStr">
        <is>
          <t>利用料</t>
        </is>
      </c>
      <c r="E60" s="4110" t="n"/>
      <c r="F60" s="4110" t="n"/>
      <c r="G60" s="4110" t="n"/>
      <c r="H60" s="4110" t="n"/>
      <c r="I60" s="4110" t="n"/>
      <c r="J60" s="1394" t="n"/>
      <c r="K60" s="4227" t="n"/>
      <c r="L60" s="4110" t="n"/>
      <c r="M60" s="4110" t="n"/>
      <c r="N60" s="4110" t="n"/>
      <c r="O60" s="4110" t="n"/>
      <c r="P60" s="4110" t="n"/>
      <c r="Q60" s="4110" t="n"/>
      <c r="R60" s="4110" t="n"/>
      <c r="S60" s="4110" t="n"/>
      <c r="T60" s="4110" t="n"/>
      <c r="U60" s="4110" t="n"/>
      <c r="V60" s="4110" t="n"/>
      <c r="W60" s="4110" t="n"/>
      <c r="X60" s="4110" t="n"/>
      <c r="Y60" s="4110" t="n"/>
      <c r="Z60" s="4110" t="n"/>
      <c r="AA60" s="4110" t="n"/>
      <c r="AB60" s="4110" t="n"/>
      <c r="AC60" s="4110" t="n"/>
      <c r="AD60" s="4110" t="n"/>
      <c r="AE60" s="4110" t="n"/>
      <c r="AF60" s="4110" t="n"/>
      <c r="AG60" s="4110" t="n"/>
      <c r="AH60" s="4113" t="n"/>
    </row>
    <row r="61" ht="12.95" customHeight="1" s="4080">
      <c r="A61" s="4208" t="n"/>
      <c r="B61" s="4122" t="n"/>
      <c r="C61" s="1322" t="n"/>
      <c r="D61" s="1264" t="inlineStr">
        <is>
          <t>その他の費用</t>
        </is>
      </c>
      <c r="E61" s="4110" t="n"/>
      <c r="F61" s="4110" t="n"/>
      <c r="G61" s="4110" t="n"/>
      <c r="H61" s="4110" t="n"/>
      <c r="I61" s="4110" t="n"/>
      <c r="J61" s="1331" t="n"/>
      <c r="K61" s="4228" t="n"/>
      <c r="L61" s="4098" t="n"/>
      <c r="M61" s="4098" t="n"/>
      <c r="N61" s="4098" t="n"/>
      <c r="O61" s="4098" t="n"/>
      <c r="P61" s="4098" t="n"/>
      <c r="Q61" s="4098" t="n"/>
      <c r="R61" s="4098" t="n"/>
      <c r="S61" s="4098" t="n"/>
      <c r="T61" s="4098" t="n"/>
      <c r="U61" s="4098" t="n"/>
      <c r="V61" s="4098" t="n"/>
      <c r="W61" s="4098" t="n"/>
      <c r="X61" s="4098" t="n"/>
      <c r="Y61" s="4098" t="n"/>
      <c r="Z61" s="4098" t="n"/>
      <c r="AA61" s="4098" t="n"/>
      <c r="AB61" s="4098" t="n"/>
      <c r="AC61" s="4098" t="n"/>
      <c r="AD61" s="4098" t="n"/>
      <c r="AE61" s="4098" t="n"/>
      <c r="AF61" s="4098" t="n"/>
      <c r="AG61" s="4098" t="n"/>
      <c r="AH61" s="4101" t="n"/>
    </row>
    <row r="62" ht="20.1" customHeight="1" s="4080">
      <c r="A62" s="4208" t="n"/>
      <c r="B62" s="4122" t="n"/>
      <c r="C62" s="1300" t="n"/>
      <c r="D62" s="4222" t="inlineStr">
        <is>
          <t>通常の事業の
実施地域</t>
        </is>
      </c>
      <c r="E62" s="4098" t="n"/>
      <c r="F62" s="4098" t="n"/>
      <c r="G62" s="4098" t="n"/>
      <c r="H62" s="4098" t="n"/>
      <c r="I62" s="4098" t="n"/>
      <c r="J62" s="1963" t="n"/>
      <c r="K62" s="3272" t="inlineStr">
        <is>
          <t>1)</t>
        </is>
      </c>
      <c r="L62" s="1406" t="n"/>
      <c r="M62" s="4110" t="n"/>
      <c r="N62" s="4110" t="n"/>
      <c r="O62" s="2325" t="inlineStr">
        <is>
          <t>2)</t>
        </is>
      </c>
      <c r="P62" s="1406" t="n"/>
      <c r="Q62" s="4110" t="n"/>
      <c r="R62" s="4110" t="n"/>
      <c r="S62" s="2325" t="inlineStr">
        <is>
          <t>3)</t>
        </is>
      </c>
      <c r="T62" s="1406" t="n"/>
      <c r="U62" s="4110" t="n"/>
      <c r="V62" s="4110" t="n"/>
      <c r="W62" s="2325" t="inlineStr">
        <is>
          <t>4)</t>
        </is>
      </c>
      <c r="X62" s="1406" t="n"/>
      <c r="Y62" s="4110" t="n"/>
      <c r="Z62" s="4110" t="n"/>
      <c r="AA62" s="2325" t="inlineStr">
        <is>
          <t>5)</t>
        </is>
      </c>
      <c r="AB62" s="1406" t="n"/>
      <c r="AC62" s="4110" t="n"/>
      <c r="AD62" s="4110" t="n"/>
      <c r="AE62" s="4736" t="inlineStr">
        <is>
          <t>備考</t>
        </is>
      </c>
      <c r="AF62" s="4230" t="n"/>
      <c r="AG62" s="4098" t="n"/>
      <c r="AH62" s="4101" t="n"/>
    </row>
    <row r="63" ht="20.1" customHeight="1" s="4080">
      <c r="A63" s="4208" t="n"/>
      <c r="B63" s="4124" t="n"/>
      <c r="C63" s="4102" t="n"/>
      <c r="D63" s="4103" t="n"/>
      <c r="E63" s="4103" t="n"/>
      <c r="F63" s="4103" t="n"/>
      <c r="G63" s="4103" t="n"/>
      <c r="H63" s="4103" t="n"/>
      <c r="I63" s="4103" t="n"/>
      <c r="J63" s="4104" t="n"/>
      <c r="K63" s="3272" t="inlineStr">
        <is>
          <t>6)</t>
        </is>
      </c>
      <c r="L63" s="1406" t="n"/>
      <c r="M63" s="4110" t="n"/>
      <c r="N63" s="4110" t="n"/>
      <c r="O63" s="2325" t="inlineStr">
        <is>
          <t>7)</t>
        </is>
      </c>
      <c r="P63" s="1406" t="n"/>
      <c r="Q63" s="4110" t="n"/>
      <c r="R63" s="4110" t="n"/>
      <c r="S63" s="2325" t="inlineStr">
        <is>
          <t>8)</t>
        </is>
      </c>
      <c r="T63" s="1406" t="n"/>
      <c r="U63" s="4110" t="n"/>
      <c r="V63" s="4110" t="n"/>
      <c r="W63" s="2325" t="inlineStr">
        <is>
          <t>9)</t>
        </is>
      </c>
      <c r="X63" s="1406" t="n"/>
      <c r="Y63" s="4110" t="n"/>
      <c r="Z63" s="4110" t="n"/>
      <c r="AA63" s="71" t="inlineStr">
        <is>
          <t>10)</t>
        </is>
      </c>
      <c r="AB63" s="1406" t="n"/>
      <c r="AC63" s="4110" t="n"/>
      <c r="AD63" s="4110" t="n"/>
      <c r="AE63" s="4124" t="n"/>
      <c r="AF63" s="4102" t="n"/>
      <c r="AG63" s="4103" t="n"/>
      <c r="AH63" s="4105" t="n"/>
    </row>
    <row r="64" ht="20.1" customHeight="1" s="4080">
      <c r="A64" s="4208" t="n"/>
      <c r="B64" s="4425" t="inlineStr">
        <is>
          <t>前年度利用者数
(又は推定数)</t>
        </is>
      </c>
      <c r="C64" s="4098" t="n"/>
      <c r="D64" s="4098" t="n"/>
      <c r="E64" s="4098" t="n"/>
      <c r="F64" s="4098" t="n"/>
      <c r="G64" s="4099" t="n"/>
      <c r="H64" s="4624" t="inlineStr">
        <is>
          <t>区分１</t>
        </is>
      </c>
      <c r="I64" s="4103" t="n"/>
      <c r="J64" s="4104" t="n"/>
      <c r="K64" s="4624" t="inlineStr">
        <is>
          <t>区分２</t>
        </is>
      </c>
      <c r="L64" s="4103" t="n"/>
      <c r="M64" s="4104" t="n"/>
      <c r="N64" s="4624" t="inlineStr">
        <is>
          <t>区分３</t>
        </is>
      </c>
      <c r="O64" s="4103" t="n"/>
      <c r="P64" s="4104" t="n"/>
      <c r="Q64" s="4624" t="inlineStr">
        <is>
          <t>区分４</t>
        </is>
      </c>
      <c r="R64" s="4103" t="n"/>
      <c r="S64" s="4104" t="n"/>
      <c r="T64" s="4624" t="inlineStr">
        <is>
          <t>区分５</t>
        </is>
      </c>
      <c r="U64" s="4103" t="n"/>
      <c r="V64" s="4104" t="n"/>
      <c r="W64" s="4624" t="inlineStr">
        <is>
          <t>区分６</t>
        </is>
      </c>
      <c r="X64" s="4103" t="n"/>
      <c r="Y64" s="4104" t="n"/>
      <c r="Z64" s="4625" t="inlineStr">
        <is>
          <t>前年度
開所日数</t>
        </is>
      </c>
      <c r="AA64" s="4103" t="n"/>
      <c r="AB64" s="4104" t="n"/>
      <c r="AC64" s="4688" t="inlineStr">
        <is>
          <t>平均障がい
支援区分</t>
        </is>
      </c>
      <c r="AD64" s="4103" t="n"/>
      <c r="AE64" s="4104" t="n"/>
      <c r="AF64" s="4627" t="inlineStr">
        <is>
          <t>平均
利用者数</t>
        </is>
      </c>
      <c r="AG64" s="4103" t="n"/>
      <c r="AH64" s="4105" t="n"/>
    </row>
    <row r="65" ht="15" customHeight="1" s="4080">
      <c r="A65" s="4737" t="n"/>
      <c r="B65" s="4102" t="n"/>
      <c r="C65" s="4103" t="n"/>
      <c r="D65" s="4103" t="n"/>
      <c r="E65" s="4103" t="n"/>
      <c r="F65" s="4103" t="n"/>
      <c r="G65" s="4104" t="n"/>
      <c r="H65" s="4738" t="n"/>
      <c r="I65" s="4110" t="n"/>
      <c r="J65" s="4350" t="inlineStr">
        <is>
          <t>人</t>
        </is>
      </c>
      <c r="K65" s="4738" t="n"/>
      <c r="L65" s="4110" t="n"/>
      <c r="M65" s="4350" t="inlineStr">
        <is>
          <t>人</t>
        </is>
      </c>
      <c r="N65" s="4738" t="n"/>
      <c r="O65" s="4110" t="n"/>
      <c r="P65" s="4350" t="inlineStr">
        <is>
          <t>人</t>
        </is>
      </c>
      <c r="Q65" s="4738" t="n"/>
      <c r="R65" s="4110" t="n"/>
      <c r="S65" s="4350" t="inlineStr">
        <is>
          <t>人</t>
        </is>
      </c>
      <c r="T65" s="4738" t="n"/>
      <c r="U65" s="4110" t="n"/>
      <c r="V65" s="4350" t="inlineStr">
        <is>
          <t>人</t>
        </is>
      </c>
      <c r="W65" s="4738" t="n"/>
      <c r="X65" s="4110" t="n"/>
      <c r="Y65" s="4350" t="inlineStr">
        <is>
          <t>人</t>
        </is>
      </c>
      <c r="Z65" s="4738" t="n"/>
      <c r="AA65" s="4110" t="n"/>
      <c r="AB65" s="3914" t="inlineStr">
        <is>
          <t>日</t>
        </is>
      </c>
      <c r="AC65" s="4744">
        <f>IF(Z65=0," ",ROUND(((3*N65)+(4*Q65)+(5*T65)+(6*W65)+(1*H65)+(2*K65))/(H65+K65+N65+Q65+T65+W65),1))</f>
        <v/>
      </c>
      <c r="AD65" s="4110" t="n"/>
      <c r="AE65" s="4111" t="n"/>
      <c r="AF65" s="4631">
        <f>IF(Z65=0," ",ROUNDUP((H65+K65+N65+Q65+T65+W65)/Z65,1))</f>
        <v/>
      </c>
      <c r="AG65" s="4110" t="n"/>
      <c r="AH65" s="4632" t="inlineStr">
        <is>
          <t>人</t>
        </is>
      </c>
    </row>
    <row r="66" ht="11.1" customHeight="1" s="4080">
      <c r="A66" s="4745" t="inlineStr">
        <is>
          <t>施設入所支援</t>
        </is>
      </c>
      <c r="B66" s="4107" t="n"/>
      <c r="C66" s="1326" t="n"/>
      <c r="D66" s="1413" t="inlineStr">
        <is>
          <t>サービスを提供
する主たる対象者</t>
        </is>
      </c>
      <c r="J66" s="1404" t="n"/>
      <c r="K66" s="4746" t="inlineStr">
        <is>
          <t>身　　　体　　　障　　　害　　　者</t>
        </is>
      </c>
      <c r="L66" s="4146" t="n"/>
      <c r="M66" s="4146" t="n"/>
      <c r="N66" s="4146" t="n"/>
      <c r="O66" s="4146" t="n"/>
      <c r="P66" s="4146" t="n"/>
      <c r="Q66" s="4146" t="n"/>
      <c r="R66" s="4146" t="n"/>
      <c r="S66" s="4146" t="n"/>
      <c r="T66" s="4146" t="n"/>
      <c r="U66" s="4146" t="n"/>
      <c r="V66" s="4146" t="n"/>
      <c r="W66" s="4146" t="n"/>
      <c r="X66" s="4146" t="n"/>
      <c r="Y66" s="4146" t="n"/>
      <c r="Z66" s="4147" t="n"/>
      <c r="AA66" s="3089" t="inlineStr">
        <is>
          <t>知的障害者</t>
        </is>
      </c>
      <c r="AD66" s="4107" t="n"/>
      <c r="AE66" s="3089" t="inlineStr">
        <is>
          <t>精神障害者</t>
        </is>
      </c>
      <c r="AH66" s="4107" t="n"/>
    </row>
    <row r="67" ht="11.1" customHeight="1" s="4080">
      <c r="A67" s="4097" t="n"/>
      <c r="B67" s="4107" t="n"/>
      <c r="C67" s="4106" t="n"/>
      <c r="J67" s="4107" t="n"/>
      <c r="K67" s="3092" t="inlineStr">
        <is>
          <t>肢体不自由</t>
        </is>
      </c>
      <c r="L67" s="4103" t="n"/>
      <c r="M67" s="4103" t="n"/>
      <c r="N67" s="4193" t="n"/>
      <c r="O67" s="3094" t="inlineStr">
        <is>
          <t>視　　覚</t>
        </is>
      </c>
      <c r="P67" s="4103" t="n"/>
      <c r="Q67" s="4103" t="n"/>
      <c r="R67" s="4193" t="n"/>
      <c r="S67" s="3093" t="inlineStr">
        <is>
          <t>聴覚・言語</t>
        </is>
      </c>
      <c r="T67" s="4103" t="n"/>
      <c r="U67" s="4103" t="n"/>
      <c r="V67" s="4193" t="n"/>
      <c r="W67" s="3094" t="inlineStr">
        <is>
          <t>内　　部</t>
        </is>
      </c>
      <c r="X67" s="4103" t="n"/>
      <c r="Y67" s="4103" t="n"/>
      <c r="Z67" s="4193" t="n"/>
      <c r="AA67" s="4102" t="n"/>
      <c r="AB67" s="4103" t="n"/>
      <c r="AC67" s="4103" t="n"/>
      <c r="AD67" s="4104" t="n"/>
      <c r="AE67" s="4102" t="n"/>
      <c r="AF67" s="4103" t="n"/>
      <c r="AG67" s="4103" t="n"/>
      <c r="AH67" s="4104" t="n"/>
    </row>
    <row r="68" ht="12" customHeight="1" s="4080">
      <c r="A68" s="4097" t="n"/>
      <c r="B68" s="4107" t="n"/>
      <c r="C68" s="4102" t="n"/>
      <c r="D68" s="4103" t="n"/>
      <c r="E68" s="4103" t="n"/>
      <c r="F68" s="4103" t="n"/>
      <c r="G68" s="4103" t="n"/>
      <c r="H68" s="4103" t="n"/>
      <c r="I68" s="4103" t="n"/>
      <c r="J68" s="4104" t="n"/>
      <c r="K68" s="3096" t="n"/>
      <c r="L68" s="4140" t="n"/>
      <c r="M68" s="4140" t="n"/>
      <c r="N68" s="4249" t="n"/>
      <c r="O68" s="3097" t="n"/>
      <c r="P68" s="4140" t="n"/>
      <c r="Q68" s="4140" t="n"/>
      <c r="R68" s="4249" t="n"/>
      <c r="S68" s="3097" t="n"/>
      <c r="T68" s="4140" t="n"/>
      <c r="U68" s="4140" t="n"/>
      <c r="V68" s="4249" t="n"/>
      <c r="W68" s="3097" t="n"/>
      <c r="X68" s="4140" t="n"/>
      <c r="Y68" s="4140" t="n"/>
      <c r="Z68" s="4249" t="n"/>
      <c r="AA68" s="1663" t="n"/>
      <c r="AB68" s="4140" t="n"/>
      <c r="AC68" s="4140" t="n"/>
      <c r="AD68" s="4141" t="n"/>
      <c r="AE68" s="1663" t="n"/>
      <c r="AF68" s="4140" t="n"/>
      <c r="AG68" s="4140" t="n"/>
      <c r="AH68" s="4141" t="n"/>
    </row>
    <row r="69" ht="15" customHeight="1" s="4080">
      <c r="A69" s="4097" t="n"/>
      <c r="B69" s="4107" t="n"/>
      <c r="C69" s="1393" t="n"/>
      <c r="D69" s="1264" t="inlineStr">
        <is>
          <t>利用料</t>
        </is>
      </c>
      <c r="E69" s="4110" t="n"/>
      <c r="F69" s="4110" t="n"/>
      <c r="G69" s="4110" t="n"/>
      <c r="H69" s="4110" t="n"/>
      <c r="I69" s="4110" t="n"/>
      <c r="J69" s="1394" t="n"/>
      <c r="K69" s="4227" t="n"/>
      <c r="L69" s="4110" t="n"/>
      <c r="M69" s="4110" t="n"/>
      <c r="N69" s="4110" t="n"/>
      <c r="O69" s="4110" t="n"/>
      <c r="P69" s="4110" t="n"/>
      <c r="Q69" s="4110" t="n"/>
      <c r="R69" s="4110" t="n"/>
      <c r="S69" s="4110" t="n"/>
      <c r="T69" s="4110" t="n"/>
      <c r="U69" s="4110" t="n"/>
      <c r="V69" s="4110" t="n"/>
      <c r="W69" s="4110" t="n"/>
      <c r="X69" s="4110" t="n"/>
      <c r="Y69" s="4110" t="n"/>
      <c r="Z69" s="4110" t="n"/>
      <c r="AA69" s="4110" t="n"/>
      <c r="AB69" s="4110" t="n"/>
      <c r="AC69" s="4110" t="n"/>
      <c r="AD69" s="4110" t="n"/>
      <c r="AE69" s="4110" t="n"/>
      <c r="AF69" s="4110" t="n"/>
      <c r="AG69" s="4110" t="n"/>
      <c r="AH69" s="4113" t="n"/>
    </row>
    <row r="70" ht="15" customHeight="1" s="4080">
      <c r="A70" s="4097" t="n"/>
      <c r="B70" s="4107" t="n"/>
      <c r="C70" s="1322" t="n"/>
      <c r="D70" s="1245" t="inlineStr">
        <is>
          <t>その他の費用</t>
        </is>
      </c>
      <c r="E70" s="4098" t="n"/>
      <c r="F70" s="4098" t="n"/>
      <c r="G70" s="4098" t="n"/>
      <c r="H70" s="4098" t="n"/>
      <c r="I70" s="4098" t="n"/>
      <c r="J70" s="1331" t="n"/>
      <c r="K70" s="4228" t="n"/>
      <c r="L70" s="4098" t="n"/>
      <c r="M70" s="4098" t="n"/>
      <c r="N70" s="4098" t="n"/>
      <c r="O70" s="4098" t="n"/>
      <c r="P70" s="4098" t="n"/>
      <c r="Q70" s="4098" t="n"/>
      <c r="R70" s="4098" t="n"/>
      <c r="S70" s="4098" t="n"/>
      <c r="T70" s="4098" t="n"/>
      <c r="U70" s="4098" t="n"/>
      <c r="V70" s="4098" t="n"/>
      <c r="W70" s="4098" t="n"/>
      <c r="X70" s="4098" t="n"/>
      <c r="Y70" s="4098" t="n"/>
      <c r="Z70" s="4098" t="n"/>
      <c r="AA70" s="4098" t="n"/>
      <c r="AB70" s="4098" t="n"/>
      <c r="AC70" s="4098" t="n"/>
      <c r="AD70" s="4098" t="n"/>
      <c r="AE70" s="4098" t="n"/>
      <c r="AF70" s="4098" t="n"/>
      <c r="AG70" s="4098" t="n"/>
      <c r="AH70" s="4101" t="n"/>
    </row>
    <row r="71" ht="20.1" customHeight="1" s="4080">
      <c r="A71" s="4097" t="n"/>
      <c r="B71" s="4107" t="n"/>
      <c r="C71" s="2768" t="n"/>
      <c r="D71" s="4222" t="inlineStr">
        <is>
          <t>前年度利用者数
（又は推定数）</t>
        </is>
      </c>
      <c r="E71" s="4098" t="n"/>
      <c r="F71" s="4098" t="n"/>
      <c r="G71" s="4098" t="n"/>
      <c r="H71" s="4098" t="n"/>
      <c r="I71" s="4098" t="n"/>
      <c r="J71" s="2720" t="n"/>
      <c r="K71" s="2165" t="inlineStr">
        <is>
          <t>区分２</t>
        </is>
      </c>
      <c r="L71" s="4110" t="n"/>
      <c r="M71" s="4111" t="n"/>
      <c r="N71" s="2165" t="inlineStr">
        <is>
          <t>区分３</t>
        </is>
      </c>
      <c r="O71" s="4110" t="n"/>
      <c r="P71" s="4111" t="n"/>
      <c r="Q71" s="2165" t="inlineStr">
        <is>
          <t>区分４</t>
        </is>
      </c>
      <c r="R71" s="4110" t="n"/>
      <c r="S71" s="4111" t="n"/>
      <c r="T71" s="2165" t="inlineStr">
        <is>
          <t>区分５</t>
        </is>
      </c>
      <c r="U71" s="4110" t="n"/>
      <c r="V71" s="4111" t="n"/>
      <c r="W71" s="2165" t="inlineStr">
        <is>
          <t>区分６</t>
        </is>
      </c>
      <c r="X71" s="4110" t="n"/>
      <c r="Y71" s="4111" t="n"/>
      <c r="Z71" s="4628" t="inlineStr">
        <is>
          <t>前年度
開所日数</t>
        </is>
      </c>
      <c r="AA71" s="4110" t="n"/>
      <c r="AB71" s="4111" t="n"/>
      <c r="AC71" s="4626" t="inlineStr">
        <is>
          <t>平均障がい
支援区分</t>
        </is>
      </c>
      <c r="AD71" s="4110" t="n"/>
      <c r="AE71" s="4111" t="n"/>
      <c r="AF71" s="4643" t="inlineStr">
        <is>
          <t>平均
利用者数</t>
        </is>
      </c>
      <c r="AG71" s="4110" t="n"/>
      <c r="AH71" s="4113" t="n"/>
    </row>
    <row r="72" ht="14.1" customHeight="1" s="4080">
      <c r="A72" s="4097" t="n"/>
      <c r="B72" s="4107" t="n"/>
      <c r="C72" s="2730" t="n"/>
      <c r="D72" s="4103" t="n"/>
      <c r="E72" s="4103" t="n"/>
      <c r="F72" s="4103" t="n"/>
      <c r="G72" s="4103" t="n"/>
      <c r="H72" s="4103" t="n"/>
      <c r="I72" s="4103" t="n"/>
      <c r="J72" s="2726" t="n"/>
      <c r="K72" s="4738" t="n"/>
      <c r="L72" s="4110" t="n"/>
      <c r="M72" s="4350" t="inlineStr">
        <is>
          <t>人</t>
        </is>
      </c>
      <c r="N72" s="4738" t="n"/>
      <c r="O72" s="4110" t="n"/>
      <c r="P72" s="4350" t="inlineStr">
        <is>
          <t>人</t>
        </is>
      </c>
      <c r="Q72" s="4738" t="n"/>
      <c r="R72" s="4110" t="n"/>
      <c r="S72" s="4350" t="inlineStr">
        <is>
          <t>人</t>
        </is>
      </c>
      <c r="T72" s="4738" t="n"/>
      <c r="U72" s="4110" t="n"/>
      <c r="V72" s="4350" t="inlineStr">
        <is>
          <t>人</t>
        </is>
      </c>
      <c r="W72" s="4738" t="n"/>
      <c r="X72" s="4110" t="n"/>
      <c r="Y72" s="4350" t="inlineStr">
        <is>
          <t>人</t>
        </is>
      </c>
      <c r="Z72" s="4738" t="n"/>
      <c r="AA72" s="4110" t="n"/>
      <c r="AB72" s="3914" t="inlineStr">
        <is>
          <t>日</t>
        </is>
      </c>
      <c r="AC72" s="4744">
        <f>IF(Z72=0," ",ROUND(((3*N72)+(4*Q72)+(5*T72)+(6*W72)+(1*H72)+(2*K72))/(H72+K72+N72+Q72+T72+W72),1))</f>
        <v/>
      </c>
      <c r="AD72" s="4110" t="n"/>
      <c r="AE72" s="4111" t="n"/>
      <c r="AF72" s="4631">
        <f>IF(Z72=0," ",ROUNDUP((H72+K72+N72+Q72+T72+W72)/Z72,1))</f>
        <v/>
      </c>
      <c r="AG72" s="4110" t="n"/>
      <c r="AH72" s="4632" t="inlineStr">
        <is>
          <t>人</t>
        </is>
      </c>
    </row>
    <row r="73" ht="3.95" customHeight="1" s="4080">
      <c r="A73" s="4747" t="inlineStr">
        <is>
          <t>短期入所</t>
        </is>
      </c>
      <c r="B73" s="4099" t="n"/>
      <c r="C73" s="4748" t="inlineStr">
        <is>
          <t>実施の有無</t>
        </is>
      </c>
      <c r="D73" s="4098" t="n"/>
      <c r="E73" s="4098" t="n"/>
      <c r="F73" s="4099" t="n"/>
      <c r="G73" s="2258" t="n"/>
      <c r="H73" s="2258" t="n"/>
      <c r="I73" s="2258" t="n"/>
      <c r="J73" s="2258" t="n"/>
      <c r="K73" s="4749" t="n"/>
      <c r="L73" s="4749" t="n"/>
      <c r="M73" s="4749" t="n"/>
      <c r="N73" s="4749" t="n"/>
      <c r="O73" s="4749" t="n"/>
      <c r="P73" s="4749" t="n"/>
      <c r="Q73" s="4749" t="n"/>
      <c r="R73" s="4749" t="n"/>
      <c r="S73" s="4749" t="n"/>
      <c r="T73" s="4749" t="n"/>
      <c r="U73" s="4750" t="n"/>
      <c r="V73" s="4749" t="n"/>
      <c r="W73" s="4749" t="n"/>
      <c r="X73" s="4749" t="n"/>
      <c r="Y73" s="4749" t="n"/>
      <c r="Z73" s="4749" t="n"/>
      <c r="AA73" s="4751" t="n"/>
      <c r="AB73" s="4752" t="n"/>
      <c r="AC73" s="4098" t="n"/>
      <c r="AD73" s="4098" t="n"/>
      <c r="AE73" s="4098" t="n"/>
      <c r="AF73" s="4098" t="n"/>
      <c r="AG73" s="4753" t="inlineStr">
        <is>
          <t>人</t>
        </is>
      </c>
      <c r="AH73" s="4101" t="n"/>
    </row>
    <row r="74" ht="9.949999999999999" customHeight="1" s="4080">
      <c r="A74" s="4097" t="n"/>
      <c r="B74" s="4107" t="n"/>
      <c r="C74" s="4106" t="n"/>
      <c r="F74" s="4107" t="n"/>
      <c r="G74" s="1777" t="n"/>
      <c r="H74" s="2379" t="inlineStr">
        <is>
          <t>無</t>
        </is>
      </c>
      <c r="I74" s="2379" t="inlineStr">
        <is>
          <t>・</t>
        </is>
      </c>
      <c r="J74" s="1778" t="inlineStr">
        <is>
          <t>有</t>
        </is>
      </c>
      <c r="K74" s="1778" t="n"/>
      <c r="L74" s="1778" t="n"/>
      <c r="M74" s="1778" t="inlineStr">
        <is>
          <t>空床型</t>
        </is>
      </c>
      <c r="P74" s="4754" t="inlineStr">
        <is>
          <t>・</t>
        </is>
      </c>
      <c r="Q74" s="4755" t="inlineStr">
        <is>
          <t>併設型</t>
        </is>
      </c>
      <c r="T74" s="4754" t="n"/>
      <c r="U74" s="4106" t="n"/>
      <c r="V74" s="4756" t="inlineStr">
        <is>
          <t>利用定員
併設型のみ</t>
        </is>
      </c>
      <c r="AA74" s="4757" t="n"/>
      <c r="AB74" s="4106" t="n"/>
      <c r="AH74" s="4109" t="n"/>
    </row>
    <row r="75" ht="9.949999999999999" customHeight="1" s="4080">
      <c r="A75" s="4097" t="n"/>
      <c r="B75" s="4107" t="n"/>
      <c r="C75" s="4106" t="n"/>
      <c r="F75" s="4107" t="n"/>
      <c r="G75" s="459" t="inlineStr">
        <is>
          <t xml:space="preserve">　</t>
        </is>
      </c>
      <c r="K75" s="460" t="n"/>
      <c r="U75" s="4106" t="n"/>
      <c r="AA75" s="4757" t="n"/>
      <c r="AB75" s="4106" t="n"/>
      <c r="AH75" s="4109" t="n"/>
    </row>
    <row r="76" ht="3.95" customHeight="1" s="4080">
      <c r="A76" s="4097" t="n"/>
      <c r="B76" s="4107" t="n"/>
      <c r="C76" s="4102" t="n"/>
      <c r="D76" s="4103" t="n"/>
      <c r="E76" s="4103" t="n"/>
      <c r="F76" s="4104" t="n"/>
      <c r="G76" s="461" t="n"/>
      <c r="H76" s="462" t="n"/>
      <c r="I76" s="462" t="n"/>
      <c r="J76" s="462" t="n"/>
      <c r="K76" s="462" t="n"/>
      <c r="L76" s="462" t="n"/>
      <c r="M76" s="462" t="n"/>
      <c r="N76" s="462" t="n"/>
      <c r="O76" s="462" t="n"/>
      <c r="P76" s="462" t="n"/>
      <c r="Q76" s="462" t="n"/>
      <c r="R76" s="462" t="n"/>
      <c r="S76" s="462" t="n"/>
      <c r="T76" s="462" t="n"/>
      <c r="U76" s="4102" t="n"/>
      <c r="V76" s="4758" t="n"/>
      <c r="W76" s="4756" t="n"/>
      <c r="X76" s="4756" t="n"/>
      <c r="Y76" s="4756" t="n"/>
      <c r="Z76" s="4759" t="n"/>
      <c r="AA76" s="4760" t="n"/>
      <c r="AB76" s="4102" t="n"/>
      <c r="AC76" s="4103" t="n"/>
      <c r="AD76" s="4103" t="n"/>
      <c r="AE76" s="4103" t="n"/>
      <c r="AF76" s="4103" t="n"/>
      <c r="AG76" s="4103" t="n"/>
      <c r="AH76" s="4105" t="n"/>
    </row>
    <row r="77" ht="20.1" customHeight="1" s="4080">
      <c r="A77" s="4097" t="n"/>
      <c r="B77" s="4107" t="n"/>
      <c r="C77" s="4761" t="inlineStr">
        <is>
          <t>前年度
利用者数
（又は推定数）</t>
        </is>
      </c>
      <c r="D77" s="4098" t="n"/>
      <c r="E77" s="4099" t="n"/>
      <c r="F77" s="2258" t="n"/>
      <c r="G77" s="2258" t="n"/>
      <c r="H77" s="2165" t="inlineStr">
        <is>
          <t>区分１</t>
        </is>
      </c>
      <c r="I77" s="4110" t="n"/>
      <c r="J77" s="4111" t="n"/>
      <c r="K77" s="2165" t="inlineStr">
        <is>
          <t>区分２</t>
        </is>
      </c>
      <c r="L77" s="4110" t="n"/>
      <c r="M77" s="4111" t="n"/>
      <c r="N77" s="2165" t="inlineStr">
        <is>
          <t>区分３</t>
        </is>
      </c>
      <c r="O77" s="4110" t="n"/>
      <c r="P77" s="4111" t="n"/>
      <c r="Q77" s="2165" t="inlineStr">
        <is>
          <t>区分４</t>
        </is>
      </c>
      <c r="R77" s="4110" t="n"/>
      <c r="S77" s="4111" t="n"/>
      <c r="T77" s="2165" t="inlineStr">
        <is>
          <t>区分５</t>
        </is>
      </c>
      <c r="U77" s="4110" t="n"/>
      <c r="V77" s="4111" t="n"/>
      <c r="W77" s="2165" t="inlineStr">
        <is>
          <t>区分６</t>
        </is>
      </c>
      <c r="X77" s="4110" t="n"/>
      <c r="Y77" s="4111" t="n"/>
      <c r="Z77" s="4628" t="inlineStr">
        <is>
          <t>前年度
開所日数</t>
        </is>
      </c>
      <c r="AA77" s="4110" t="n"/>
      <c r="AB77" s="4111" t="n"/>
      <c r="AC77" s="4626" t="inlineStr">
        <is>
          <t>平均障がい
支援区分</t>
        </is>
      </c>
      <c r="AD77" s="4110" t="n"/>
      <c r="AE77" s="4111" t="n"/>
      <c r="AF77" s="4643" t="inlineStr">
        <is>
          <t>平均
利用者数</t>
        </is>
      </c>
      <c r="AG77" s="4110" t="n"/>
      <c r="AH77" s="4113" t="n"/>
    </row>
    <row r="78" ht="15" customHeight="1" s="4080">
      <c r="A78" s="4097" t="n"/>
      <c r="B78" s="4107" t="n"/>
      <c r="C78" s="4106" t="n"/>
      <c r="E78" s="4107" t="n"/>
      <c r="F78" s="4762" t="inlineStr">
        <is>
          <t>空床型</t>
        </is>
      </c>
      <c r="G78" s="4111" t="n"/>
      <c r="H78" s="4738" t="n"/>
      <c r="I78" s="4110" t="n"/>
      <c r="J78" s="4350" t="inlineStr">
        <is>
          <t>人</t>
        </is>
      </c>
      <c r="K78" s="4738" t="n"/>
      <c r="L78" s="4110" t="n"/>
      <c r="M78" s="4350" t="inlineStr">
        <is>
          <t>人</t>
        </is>
      </c>
      <c r="N78" s="4738" t="n"/>
      <c r="O78" s="4110" t="n"/>
      <c r="P78" s="4350" t="inlineStr">
        <is>
          <t>人</t>
        </is>
      </c>
      <c r="Q78" s="4738" t="n"/>
      <c r="R78" s="4110" t="n"/>
      <c r="S78" s="4350" t="inlineStr">
        <is>
          <t>人</t>
        </is>
      </c>
      <c r="T78" s="4738" t="n"/>
      <c r="U78" s="4110" t="n"/>
      <c r="V78" s="4350" t="inlineStr">
        <is>
          <t>人</t>
        </is>
      </c>
      <c r="W78" s="4738" t="n"/>
      <c r="X78" s="4110" t="n"/>
      <c r="Y78" s="4350" t="inlineStr">
        <is>
          <t>人</t>
        </is>
      </c>
      <c r="Z78" s="4738" t="n"/>
      <c r="AA78" s="4110" t="n"/>
      <c r="AB78" s="3914" t="inlineStr">
        <is>
          <t>日</t>
        </is>
      </c>
      <c r="AC78" s="4744">
        <f>IF(Z78=0," ",ROUND(((3*N78)+(4*Q78)+(5*T78)+(6*W78)+(1*H78)+(2*K78))/(H78+K78+N78+Q78+T78+W78),1))</f>
        <v/>
      </c>
      <c r="AD78" s="4110" t="n"/>
      <c r="AE78" s="4111" t="n"/>
      <c r="AF78" s="4631">
        <f>IF(Z78=0," ",ROUNDUP((H78+K78+N78+Q78+T78+W78)/Z78,1))</f>
        <v/>
      </c>
      <c r="AG78" s="4110" t="n"/>
      <c r="AH78" s="4632" t="inlineStr">
        <is>
          <t>人</t>
        </is>
      </c>
    </row>
    <row r="79" ht="15" customHeight="1" s="4080" thickBot="1">
      <c r="A79" s="4086" t="n"/>
      <c r="B79" s="4410" t="n"/>
      <c r="C79" s="4420" t="n"/>
      <c r="D79" s="4087" t="n"/>
      <c r="E79" s="4410" t="n"/>
      <c r="F79" s="3168" t="inlineStr">
        <is>
          <t>併設型</t>
        </is>
      </c>
      <c r="G79" s="4410" t="n"/>
      <c r="H79" s="4763" t="n"/>
      <c r="I79" s="4153" t="n"/>
      <c r="J79" s="4764" t="inlineStr">
        <is>
          <t>人</t>
        </is>
      </c>
      <c r="K79" s="4763" t="n"/>
      <c r="L79" s="4153" t="n"/>
      <c r="M79" s="4764" t="inlineStr">
        <is>
          <t>人</t>
        </is>
      </c>
      <c r="N79" s="4763" t="n"/>
      <c r="O79" s="4153" t="n"/>
      <c r="P79" s="4764" t="inlineStr">
        <is>
          <t>人</t>
        </is>
      </c>
      <c r="Q79" s="4763" t="n"/>
      <c r="R79" s="4153" t="n"/>
      <c r="S79" s="4764" t="inlineStr">
        <is>
          <t>人</t>
        </is>
      </c>
      <c r="T79" s="4763" t="n"/>
      <c r="U79" s="4153" t="n"/>
      <c r="V79" s="4764" t="inlineStr">
        <is>
          <t>人</t>
        </is>
      </c>
      <c r="W79" s="4763" t="n"/>
      <c r="X79" s="4153" t="n"/>
      <c r="Y79" s="4764" t="inlineStr">
        <is>
          <t>人</t>
        </is>
      </c>
      <c r="Z79" s="4763" t="n"/>
      <c r="AA79" s="4153" t="n"/>
      <c r="AB79" s="468" t="inlineStr">
        <is>
          <t>日</t>
        </is>
      </c>
      <c r="AC79" s="4765">
        <f>IF(Z79=0," ",ROUND(((3*N79)+(4*Q79)+(5*T79)+(6*W79)+(1*H79)+(2*K79))/(H79+K79+N79+Q79+T79+W79),1))</f>
        <v/>
      </c>
      <c r="AD79" s="4153" t="n"/>
      <c r="AE79" s="4154" t="n"/>
      <c r="AF79" s="4766">
        <f>IF(Z79=0," ",ROUNDUP((H79+K79+N79+Q79+T79+W79)/Z79,1))</f>
        <v/>
      </c>
      <c r="AG79" s="4153" t="n"/>
      <c r="AH79" s="4767" t="inlineStr">
        <is>
          <t>人</t>
        </is>
      </c>
    </row>
  </sheetData>
  <mergeCells count="356">
    <mergeCell ref="AC22:AC24"/>
    <mergeCell ref="D32:I32"/>
    <mergeCell ref="J25:J27"/>
    <mergeCell ref="F17:H17"/>
    <mergeCell ref="AC51:AC53"/>
    <mergeCell ref="W65:X65"/>
    <mergeCell ref="AD51:AH53"/>
    <mergeCell ref="W71:Y71"/>
    <mergeCell ref="T34:V34"/>
    <mergeCell ref="K52:K53"/>
    <mergeCell ref="AG73:AH76"/>
    <mergeCell ref="T51:U51"/>
    <mergeCell ref="C77:E79"/>
    <mergeCell ref="B51:B63"/>
    <mergeCell ref="D60:I60"/>
    <mergeCell ref="AF79:AG79"/>
    <mergeCell ref="T39:V41"/>
    <mergeCell ref="Q77:S77"/>
    <mergeCell ref="V20:AA20"/>
    <mergeCell ref="P26:Q26"/>
    <mergeCell ref="W78:X78"/>
    <mergeCell ref="X62:Z62"/>
    <mergeCell ref="D70:I70"/>
    <mergeCell ref="S30:V30"/>
    <mergeCell ref="T74:T75"/>
    <mergeCell ref="J74:J75"/>
    <mergeCell ref="T38:X38"/>
    <mergeCell ref="W67:Z67"/>
    <mergeCell ref="Z64:AB64"/>
    <mergeCell ref="L63:N63"/>
    <mergeCell ref="F10:I12"/>
    <mergeCell ref="K61:AH61"/>
    <mergeCell ref="AE59:AH59"/>
    <mergeCell ref="V23:AB23"/>
    <mergeCell ref="Z8:AD8"/>
    <mergeCell ref="C45:E50"/>
    <mergeCell ref="O29:R29"/>
    <mergeCell ref="AE1:AF1"/>
    <mergeCell ref="J28:J30"/>
    <mergeCell ref="AF77:AH77"/>
    <mergeCell ref="Z77:AB77"/>
    <mergeCell ref="V24:AB24"/>
    <mergeCell ref="R23:R24"/>
    <mergeCell ref="T72:U72"/>
    <mergeCell ref="AC71:AE71"/>
    <mergeCell ref="AC17:AD17"/>
    <mergeCell ref="Q52:Q53"/>
    <mergeCell ref="AC3:AC4"/>
    <mergeCell ref="Q35:S35"/>
    <mergeCell ref="AE3:AE4"/>
    <mergeCell ref="A3:T4"/>
    <mergeCell ref="L55:N55"/>
    <mergeCell ref="C66:C68"/>
    <mergeCell ref="L74:L75"/>
    <mergeCell ref="K57:Z57"/>
    <mergeCell ref="Q72:R72"/>
    <mergeCell ref="F5:AH5"/>
    <mergeCell ref="P33:R33"/>
    <mergeCell ref="N35:P35"/>
    <mergeCell ref="AE28:AH29"/>
    <mergeCell ref="AB3:AB4"/>
    <mergeCell ref="AD3:AD4"/>
    <mergeCell ref="K69:AH69"/>
    <mergeCell ref="AC54:AC56"/>
    <mergeCell ref="I74:I75"/>
    <mergeCell ref="D33:I34"/>
    <mergeCell ref="AC78:AE78"/>
    <mergeCell ref="W64:Y64"/>
    <mergeCell ref="Q64:S64"/>
    <mergeCell ref="AC79:AE79"/>
    <mergeCell ref="AE8:AG8"/>
    <mergeCell ref="C37:I37"/>
    <mergeCell ref="T65:U65"/>
    <mergeCell ref="AA57:AD58"/>
    <mergeCell ref="V49:AA49"/>
    <mergeCell ref="B35:G36"/>
    <mergeCell ref="F39:I41"/>
    <mergeCell ref="Z72:AA72"/>
    <mergeCell ref="D66:I68"/>
    <mergeCell ref="AE2:AF2"/>
    <mergeCell ref="AG2:AH2"/>
    <mergeCell ref="K68:N68"/>
    <mergeCell ref="W42:AH42"/>
    <mergeCell ref="W77:Y77"/>
    <mergeCell ref="T79:U79"/>
    <mergeCell ref="AA66:AD67"/>
    <mergeCell ref="AC20:AD20"/>
    <mergeCell ref="K23:K24"/>
    <mergeCell ref="AF71:AH71"/>
    <mergeCell ref="Q36:R36"/>
    <mergeCell ref="X26:Y26"/>
    <mergeCell ref="C16:E21"/>
    <mergeCell ref="R52:R53"/>
    <mergeCell ref="K59:N59"/>
    <mergeCell ref="P34:R34"/>
    <mergeCell ref="B22:B34"/>
    <mergeCell ref="T63:V63"/>
    <mergeCell ref="A37:A65"/>
    <mergeCell ref="K60:AH60"/>
    <mergeCell ref="T71:V71"/>
    <mergeCell ref="I17:R17"/>
    <mergeCell ref="AF49:AG49"/>
    <mergeCell ref="Q23:Q24"/>
    <mergeCell ref="K71:M71"/>
    <mergeCell ref="K70:AH70"/>
    <mergeCell ref="T9:X9"/>
    <mergeCell ref="P62:R62"/>
    <mergeCell ref="S58:V58"/>
    <mergeCell ref="AA37:AD37"/>
    <mergeCell ref="W44:AH44"/>
    <mergeCell ref="H65:I65"/>
    <mergeCell ref="K67:N67"/>
    <mergeCell ref="D31:I31"/>
    <mergeCell ref="AA68:AD68"/>
    <mergeCell ref="K78:L78"/>
    <mergeCell ref="C10:E12"/>
    <mergeCell ref="S42:U44"/>
    <mergeCell ref="C8:I8"/>
    <mergeCell ref="V53:AB53"/>
    <mergeCell ref="T26:V26"/>
    <mergeCell ref="L26:N26"/>
    <mergeCell ref="X33:Z33"/>
    <mergeCell ref="K79:L79"/>
    <mergeCell ref="K66:Z66"/>
    <mergeCell ref="S16:U21"/>
    <mergeCell ref="P10:Q12"/>
    <mergeCell ref="K28:Z28"/>
    <mergeCell ref="V43:AH43"/>
    <mergeCell ref="O68:R68"/>
    <mergeCell ref="S59:V59"/>
    <mergeCell ref="Z35:AB35"/>
    <mergeCell ref="H36:I36"/>
    <mergeCell ref="AE37:AG37"/>
    <mergeCell ref="AB34:AD34"/>
    <mergeCell ref="Q65:R65"/>
    <mergeCell ref="M74:O75"/>
    <mergeCell ref="D51:I53"/>
    <mergeCell ref="Q71:S71"/>
    <mergeCell ref="V48:AA48"/>
    <mergeCell ref="AC49:AD49"/>
    <mergeCell ref="W35:Y35"/>
    <mergeCell ref="AC25:AC27"/>
    <mergeCell ref="C9:E9"/>
    <mergeCell ref="I20:R20"/>
    <mergeCell ref="A1:Y2"/>
    <mergeCell ref="K77:M77"/>
    <mergeCell ref="AF64:AH64"/>
    <mergeCell ref="J38:M38"/>
    <mergeCell ref="U3:X4"/>
    <mergeCell ref="Q78:R78"/>
    <mergeCell ref="B9:B21"/>
    <mergeCell ref="V46:AA46"/>
    <mergeCell ref="O30:R30"/>
    <mergeCell ref="S67:V67"/>
    <mergeCell ref="X10:AH12"/>
    <mergeCell ref="AA59:AD59"/>
    <mergeCell ref="Z36:AA36"/>
    <mergeCell ref="AG1:AH1"/>
    <mergeCell ref="C33:C34"/>
    <mergeCell ref="K36:L36"/>
    <mergeCell ref="N72:O72"/>
    <mergeCell ref="I46:R46"/>
    <mergeCell ref="V14:AH14"/>
    <mergeCell ref="O52:O53"/>
    <mergeCell ref="AA3:AA4"/>
    <mergeCell ref="T23:U23"/>
    <mergeCell ref="T52:U52"/>
    <mergeCell ref="A5:B7"/>
    <mergeCell ref="AB63:AD63"/>
    <mergeCell ref="D22:I24"/>
    <mergeCell ref="D71:I72"/>
    <mergeCell ref="AE66:AH67"/>
    <mergeCell ref="L33:N33"/>
    <mergeCell ref="AE62:AE63"/>
    <mergeCell ref="T55:V55"/>
    <mergeCell ref="C51:C53"/>
    <mergeCell ref="AE30:AH30"/>
    <mergeCell ref="S45:U50"/>
    <mergeCell ref="AA28:AD29"/>
    <mergeCell ref="Z3:Z4"/>
    <mergeCell ref="K31:AH31"/>
    <mergeCell ref="T78:U78"/>
    <mergeCell ref="K37:Z37"/>
    <mergeCell ref="C39:E41"/>
    <mergeCell ref="N42:R42"/>
    <mergeCell ref="I49:R49"/>
    <mergeCell ref="R55:S55"/>
    <mergeCell ref="N44:R44"/>
    <mergeCell ref="J9:M9"/>
    <mergeCell ref="V18:AA18"/>
    <mergeCell ref="P39:Q41"/>
    <mergeCell ref="D69:I69"/>
    <mergeCell ref="V17:AA17"/>
    <mergeCell ref="Z1:AA1"/>
    <mergeCell ref="AC77:AE77"/>
    <mergeCell ref="N79:O79"/>
    <mergeCell ref="Z65:AA65"/>
    <mergeCell ref="T24:U24"/>
    <mergeCell ref="Z71:AB71"/>
    <mergeCell ref="T53:U53"/>
    <mergeCell ref="AC72:AE72"/>
    <mergeCell ref="AB2:AD2"/>
    <mergeCell ref="N52:N53"/>
    <mergeCell ref="P52:P53"/>
    <mergeCell ref="B38:B50"/>
    <mergeCell ref="L34:N34"/>
    <mergeCell ref="C38:E38"/>
    <mergeCell ref="C54:C56"/>
    <mergeCell ref="F49:H49"/>
    <mergeCell ref="AF20:AG20"/>
    <mergeCell ref="U73:U76"/>
    <mergeCell ref="M23:M24"/>
    <mergeCell ref="O23:O24"/>
    <mergeCell ref="F6:AH7"/>
    <mergeCell ref="Z78:AA78"/>
    <mergeCell ref="M52:M53"/>
    <mergeCell ref="K35:M35"/>
    <mergeCell ref="Y3:Y4"/>
    <mergeCell ref="T62:V62"/>
    <mergeCell ref="V19:AA19"/>
    <mergeCell ref="W58:Z58"/>
    <mergeCell ref="L62:N62"/>
    <mergeCell ref="O58:R58"/>
    <mergeCell ref="H74:H75"/>
    <mergeCell ref="C73:F76"/>
    <mergeCell ref="N38:O41"/>
    <mergeCell ref="T64:V64"/>
    <mergeCell ref="N64:P64"/>
    <mergeCell ref="V22:AB22"/>
    <mergeCell ref="AE57:AH58"/>
    <mergeCell ref="J39:M41"/>
    <mergeCell ref="AF35:AH35"/>
    <mergeCell ref="W68:Z68"/>
    <mergeCell ref="D25:I27"/>
    <mergeCell ref="Z2:AA2"/>
    <mergeCell ref="W72:X72"/>
    <mergeCell ref="K29:N29"/>
    <mergeCell ref="D54:I56"/>
    <mergeCell ref="V47:AA47"/>
    <mergeCell ref="T77:V77"/>
    <mergeCell ref="W13:AH13"/>
    <mergeCell ref="T33:V33"/>
    <mergeCell ref="AF17:AG17"/>
    <mergeCell ref="J33:J34"/>
    <mergeCell ref="W15:AH15"/>
    <mergeCell ref="AF3:AF4"/>
    <mergeCell ref="T35:V35"/>
    <mergeCell ref="AH3:AH4"/>
    <mergeCell ref="O59:R59"/>
    <mergeCell ref="V51:AB51"/>
    <mergeCell ref="AF46:AG46"/>
    <mergeCell ref="C13:M15"/>
    <mergeCell ref="X34:Z34"/>
    <mergeCell ref="T10:V12"/>
    <mergeCell ref="F78:G78"/>
    <mergeCell ref="C57:C59"/>
    <mergeCell ref="H78:I78"/>
    <mergeCell ref="AC64:AE64"/>
    <mergeCell ref="J22:J24"/>
    <mergeCell ref="A8:A36"/>
    <mergeCell ref="F46:H46"/>
    <mergeCell ref="J51:J53"/>
    <mergeCell ref="AE33:AE34"/>
    <mergeCell ref="AC65:AE65"/>
    <mergeCell ref="P38:S38"/>
    <mergeCell ref="L23:L24"/>
    <mergeCell ref="N23:N24"/>
    <mergeCell ref="R26:S26"/>
    <mergeCell ref="AB62:AD62"/>
    <mergeCell ref="W30:Z30"/>
    <mergeCell ref="P74:P75"/>
    <mergeCell ref="Z79:AA79"/>
    <mergeCell ref="P63:R63"/>
    <mergeCell ref="F38:I38"/>
    <mergeCell ref="K64:M64"/>
    <mergeCell ref="AF36:AG36"/>
    <mergeCell ref="S29:V29"/>
    <mergeCell ref="O67:R67"/>
    <mergeCell ref="J66:J68"/>
    <mergeCell ref="D57:I59"/>
    <mergeCell ref="W29:Z29"/>
    <mergeCell ref="S51:S53"/>
    <mergeCell ref="S13:U15"/>
    <mergeCell ref="K8:Y8"/>
    <mergeCell ref="A73:B79"/>
    <mergeCell ref="P23:P24"/>
    <mergeCell ref="AF33:AH34"/>
    <mergeCell ref="F79:G79"/>
    <mergeCell ref="H79:I79"/>
    <mergeCell ref="AG3:AG4"/>
    <mergeCell ref="AF62:AH63"/>
    <mergeCell ref="C25:C27"/>
    <mergeCell ref="K58:N58"/>
    <mergeCell ref="N65:O65"/>
    <mergeCell ref="AD22:AH24"/>
    <mergeCell ref="C22:C24"/>
    <mergeCell ref="H64:J64"/>
    <mergeCell ref="AB1:AD1"/>
    <mergeCell ref="N71:P71"/>
    <mergeCell ref="AE68:AH68"/>
    <mergeCell ref="C6:E7"/>
    <mergeCell ref="X63:Z63"/>
    <mergeCell ref="K72:L72"/>
    <mergeCell ref="W79:X79"/>
    <mergeCell ref="Q79:R79"/>
    <mergeCell ref="N9:O12"/>
    <mergeCell ref="H77:J77"/>
    <mergeCell ref="J57:J59"/>
    <mergeCell ref="P9:S9"/>
    <mergeCell ref="AA30:AD30"/>
    <mergeCell ref="H35:J35"/>
    <mergeCell ref="J10:M12"/>
    <mergeCell ref="T22:U22"/>
    <mergeCell ref="J62:J63"/>
    <mergeCell ref="N78:O78"/>
    <mergeCell ref="AF72:AG72"/>
    <mergeCell ref="Q74:S75"/>
    <mergeCell ref="J54:J56"/>
    <mergeCell ref="P55:Q55"/>
    <mergeCell ref="F9:I9"/>
    <mergeCell ref="D61:I61"/>
    <mergeCell ref="AC35:AE35"/>
    <mergeCell ref="C42:M44"/>
    <mergeCell ref="W36:X36"/>
    <mergeCell ref="D28:I30"/>
    <mergeCell ref="C28:C30"/>
    <mergeCell ref="K30:N30"/>
    <mergeCell ref="V52:AB52"/>
    <mergeCell ref="S22:S24"/>
    <mergeCell ref="A66:B72"/>
    <mergeCell ref="AB33:AD33"/>
    <mergeCell ref="AC46:AD46"/>
    <mergeCell ref="C62:C63"/>
    <mergeCell ref="AB73:AF76"/>
    <mergeCell ref="L52:L53"/>
    <mergeCell ref="K65:L65"/>
    <mergeCell ref="F20:H20"/>
    <mergeCell ref="V74:Z75"/>
    <mergeCell ref="N77:P77"/>
    <mergeCell ref="K32:AH32"/>
    <mergeCell ref="AF78:AG78"/>
    <mergeCell ref="X39:AH41"/>
    <mergeCell ref="AF65:AG65"/>
    <mergeCell ref="AD25:AH27"/>
    <mergeCell ref="X55:Y55"/>
    <mergeCell ref="AC36:AE36"/>
    <mergeCell ref="N13:R13"/>
    <mergeCell ref="AD54:AH56"/>
    <mergeCell ref="C5:E5"/>
    <mergeCell ref="N15:R15"/>
    <mergeCell ref="D62:I63"/>
    <mergeCell ref="S68:V68"/>
    <mergeCell ref="T36:U36"/>
    <mergeCell ref="W59:Z59"/>
    <mergeCell ref="N36:O36"/>
    <mergeCell ref="B64:G65"/>
  </mergeCells>
  <conditionalFormatting sqref="Z36:AA36 Z65:AA65 Z72:AA72 Z78:AA79">
    <cfRule type="cellIs" priority="1" operator="lessThanOrEqual" dxfId="0" stopIfTrue="1">
      <formula>0</formula>
    </cfRule>
  </conditionalFormatting>
  <dataValidations count="14">
    <dataValidation sqref="Z1:AA2 AE1:AF2" showDropDown="0" showInputMessage="1" showErrorMessage="1" allowBlank="1" type="list" errorStyle="warning">
      <formula1>"　,１,２,３,４"</formula1>
    </dataValidation>
    <dataValidation sqref="K32:AH32 K61:AH61 K70:AH70" showDropDown="0" showInputMessage="1" showErrorMessage="1" allowBlank="1" type="list">
      <formula1>"　,運営規程に定めるとおり"</formula1>
    </dataValidation>
    <dataValidation sqref="K31:AH31 K60:AH60 K69:AH69" showDropDown="0" showInputMessage="1" showErrorMessage="1" allowBlank="1" type="list" errorStyle="warning">
      <formula1>"　,法定代理受領分：厚生労働大臣が定める基準の10/100、法定代理受領分以外：厚生労働大臣が定める基準"</formula1>
    </dataValidation>
    <dataValidation sqref="F18:H18 F21:H21 F47:H47 F50:H50 O18 O21 O47 O50" showDropDown="0" showInputMessage="1" showErrorMessage="1" allowBlank="1" error="この行には入力できません。_x000a_下の行に入力してください。" prompt="この行には入力できません。_x000a_上の行に入力してください。" imeMode="on"/>
    <dataValidation sqref="E19:H19 E48:H48 F16:G16 F45:G45 I16:O16 I45:O45 R19 R48 V16:AH16 V45:AH45" showDropDown="0" showInputMessage="1" showErrorMessage="1" allowBlank="1" error="この行には入力できません。_x000a_下の行に入力してください。" prompt="この行には入力できません。_x000a_下の行に入力してください。" imeMode="on"/>
    <dataValidation sqref="I20 I49" showDropDown="0" showInputMessage="1" showErrorMessage="1" allowBlank="1" prompt="プルダウンメニューから選択してください。" type="list">
      <formula1>"　,社会福祉主事任用資格,訪問介護員1級,訪問介護員2級,居宅介護従業者1級,居宅介護従業者2級,児童指導員任用資格,保育士,医師,歯科医師,薬剤師,保健師,助産師,看護師,准看護師,理学療法士,作業療法士,社会福祉士,介護福祉士,視能訓練士,義肢装具士,歯科衛生士,言語聴覚士,あん摩マッサージ指圧師,はり師,きゅう師,柔道整復師,栄養士,管理栄養士,精神保健福祉士"</formula1>
    </dataValidation>
    <dataValidation sqref="I17:R17 I46:R46" showDropDown="0" showInputMessage="1" showErrorMessage="1" allowBlank="1" prompt="プルダウンメニューから選択してください。" type="list">
      <formula1>"　,相談支援業務5年以上,直接支援業務10年以上,直接支援業務5年以上＋有資格,国家資格業務5年以上＋相談支援業務3年以上,国家資格業務5年以上＋直接支援業務3年以上"</formula1>
    </dataValidation>
    <dataValidation sqref="V14:AH14 V43:AH43" showDropDown="0" showInputMessage="1" showErrorMessage="1" allowBlank="1" prompt="サービス管理責任者は、サービス提供職員との兼務はできません。" type="list" errorStyle="warning">
      <formula1>"　,管理者,事務職員,管理者、事務職員"</formula1>
    </dataValidation>
    <dataValidation sqref="F5:AH5 F9:M9 F38:M38" showDropDown="0" showInputMessage="1" showErrorMessage="1" allowBlank="1" imeMode="halfKatakana"/>
    <dataValidation sqref="K37" showDropDown="0" showInputMessage="1" showErrorMessage="1" allowBlank="1" error="プルダウンメニューから選択してください。" type="list">
      <formula1>"　,自立訓練（機能訓練）,自立訓練（生活訓練）,就労移行支援,就労継続支援（Ａ型）,就労継続支援（Ｂ型）"</formula1>
    </dataValidation>
    <dataValidation sqref="L26 L55 T26 T55" showDropDown="0" showInputMessage="1" showErrorMessage="1" allowBlank="1" type="list">
      <formula1>"　,１,２,３,４,５,６,７,８,９,１０,１１,１２,１３,１４,１５,１６,１７,１８,１９,２０,２１,２２,２３,２４"</formula1>
    </dataValidation>
    <dataValidation sqref="T9:X9 T38:X38 Y3:AH4 AB73:AF76 AE8 AE37" showDropDown="0" showInputMessage="1" showErrorMessage="1" allowBlank="1" imeMode="fullAlpha"/>
    <dataValidation sqref="K23:R24 K30 K52:R53 K59 K68 M76 O30 O59 O68 S30 S59 S68 S76 W30 W59 W68 AA30 AA59 AA68 AE30 AE59 AE68" showDropDown="0" showInputMessage="1" showErrorMessage="1" allowBlank="1" type="list">
      <formula1>"　,○"</formula1>
    </dataValidation>
    <dataValidation sqref="H36:AA36 H65:AA65 H78:AA79 K72:AA73" showDropDown="0" showInputMessage="1" showErrorMessage="1" allowBlank="1" imeMode="halfAlpha"/>
  </dataValidations>
  <printOptions horizontalCentered="1"/>
  <pageMargins left="0.7086614173228347" right="0.5905511811023623" top="0.3937007874015748" bottom="0.16" header="0.5118110236220472" footer="0.5118110236220472"/>
  <pageSetup orientation="portrait" paperSize="9"/>
  <legacyDrawing xmlns:r="http://schemas.openxmlformats.org/officeDocument/2006/relationships" r:id="anysvml"/>
</worksheet>
</file>

<file path=xl/worksheets/sheet30.xml><?xml version="1.0" encoding="utf-8"?>
<worksheet xmlns="http://schemas.openxmlformats.org/spreadsheetml/2006/main">
  <sheetPr codeName="Sheet29">
    <outlinePr summaryBelow="1" summaryRight="1"/>
    <pageSetUpPr/>
  </sheetPr>
  <dimension ref="A1:AR79"/>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4.1" customHeight="1" s="4080">
      <c r="A1" s="2914" t="inlineStr">
        <is>
          <t>付表１４の２　障害者支援施設において実施する昼間実施サービス及び施設入所支援に係る記載事項（その１）</t>
        </is>
      </c>
      <c r="Z1" s="3174" t="inlineStr">
        <is>
          <t>１</t>
        </is>
      </c>
      <c r="AB1" s="3046" t="inlineStr">
        <is>
          <t>枚／</t>
        </is>
      </c>
      <c r="AE1" s="3174" t="inlineStr">
        <is>
          <t>１</t>
        </is>
      </c>
      <c r="AG1" s="3047" t="inlineStr">
        <is>
          <t>枚</t>
        </is>
      </c>
      <c r="AR1" s="719">
        <f>HYPERLINK("#目次!A1","目次へ戻る")</f>
        <v/>
      </c>
    </row>
    <row r="2" ht="14.1" customHeight="1" s="4080" thickBot="1">
      <c r="Z2" s="3175" t="inlineStr">
        <is>
          <t>１</t>
        </is>
      </c>
      <c r="AA2" s="4087" t="n"/>
      <c r="AB2" s="3049" t="inlineStr">
        <is>
          <t>単位／</t>
        </is>
      </c>
      <c r="AC2" s="4087" t="n"/>
      <c r="AD2" s="4087" t="n"/>
      <c r="AE2" s="3175" t="inlineStr">
        <is>
          <t>１</t>
        </is>
      </c>
      <c r="AF2" s="4087" t="n"/>
      <c r="AG2" s="3050" t="inlineStr">
        <is>
          <t>単位</t>
        </is>
      </c>
      <c r="AH2" s="4087" t="n"/>
    </row>
    <row r="3" ht="12" customHeight="1" s="4080">
      <c r="A3" s="3054" t="n"/>
      <c r="T3" s="4109" t="n"/>
      <c r="U3" s="4178" t="inlineStr">
        <is>
          <t>事業所番号</t>
        </is>
      </c>
      <c r="V3" s="4082" t="n"/>
      <c r="W3" s="4082" t="n"/>
      <c r="X3" s="4083" t="n"/>
      <c r="Y3" s="4084" t="n"/>
      <c r="Z3" s="4084" t="n"/>
      <c r="AA3" s="4084" t="n"/>
      <c r="AB3" s="4084" t="n"/>
      <c r="AC3" s="4084" t="n"/>
      <c r="AD3" s="4084" t="n"/>
      <c r="AE3" s="4084" t="n"/>
      <c r="AF3" s="4084" t="n"/>
      <c r="AG3" s="4084" t="n"/>
      <c r="AH3" s="4085" t="n"/>
    </row>
    <row r="4" ht="3.95" customHeight="1" s="4080" thickBot="1">
      <c r="A4" s="4087" t="n"/>
      <c r="B4" s="4087" t="n"/>
      <c r="C4" s="4087" t="n"/>
      <c r="D4" s="4087" t="n"/>
      <c r="E4" s="4087" t="n"/>
      <c r="F4" s="4087" t="n"/>
      <c r="G4" s="4087" t="n"/>
      <c r="H4" s="4087" t="n"/>
      <c r="I4" s="4087" t="n"/>
      <c r="J4" s="4087" t="n"/>
      <c r="K4" s="4087" t="n"/>
      <c r="L4" s="4087" t="n"/>
      <c r="M4" s="4087" t="n"/>
      <c r="N4" s="4087" t="n"/>
      <c r="O4" s="4087" t="n"/>
      <c r="P4" s="4087" t="n"/>
      <c r="Q4" s="4087" t="n"/>
      <c r="R4" s="4087" t="n"/>
      <c r="S4" s="4087" t="n"/>
      <c r="T4" s="4088" t="n"/>
      <c r="U4" s="4086" t="n"/>
      <c r="V4" s="4087" t="n"/>
      <c r="W4" s="4087" t="n"/>
      <c r="X4" s="4088" t="n"/>
      <c r="Y4" s="4089" t="n"/>
      <c r="Z4" s="4089" t="n"/>
      <c r="AA4" s="4089" t="n"/>
      <c r="AB4" s="4089" t="n"/>
      <c r="AC4" s="4089" t="n"/>
      <c r="AD4" s="4089" t="n"/>
      <c r="AE4" s="4089" t="n"/>
      <c r="AF4" s="4089" t="n"/>
      <c r="AG4" s="4089" t="n"/>
      <c r="AH4" s="4090" t="n"/>
    </row>
    <row r="5" ht="12" customHeight="1" s="4080">
      <c r="A5" s="2506" t="inlineStr">
        <is>
          <t>施設</t>
        </is>
      </c>
      <c r="B5" s="4356" t="n"/>
      <c r="C5" s="4180" t="inlineStr">
        <is>
          <t>ﾌﾘｶﾞﾅ</t>
        </is>
      </c>
      <c r="D5" s="4093" t="n"/>
      <c r="E5" s="4094" t="n"/>
      <c r="F5" s="4236" t="inlineStr">
        <is>
          <t>ｼｮｳｶﾞｲｼｬｼｴﾝｼｾﾂ ﾅｶﾉｼﾏｴﾝ</t>
        </is>
      </c>
      <c r="G5" s="4093" t="n"/>
      <c r="H5" s="4093" t="n"/>
      <c r="I5" s="4093" t="n"/>
      <c r="J5" s="4093" t="n"/>
      <c r="K5" s="4093" t="n"/>
      <c r="L5" s="4093" t="n"/>
      <c r="M5" s="4093" t="n"/>
      <c r="N5" s="4093" t="n"/>
      <c r="O5" s="4093" t="n"/>
      <c r="P5" s="4093" t="n"/>
      <c r="Q5" s="4093" t="n"/>
      <c r="R5" s="4093" t="n"/>
      <c r="S5" s="4093" t="n"/>
      <c r="T5" s="4093" t="n"/>
      <c r="U5" s="4093" t="n"/>
      <c r="V5" s="4093" t="n"/>
      <c r="W5" s="4093" t="n"/>
      <c r="X5" s="4093" t="n"/>
      <c r="Y5" s="4093" t="n"/>
      <c r="Z5" s="4093" t="n"/>
      <c r="AA5" s="4093" t="n"/>
      <c r="AB5" s="4093" t="n"/>
      <c r="AC5" s="4093" t="n"/>
      <c r="AD5" s="4093" t="n"/>
      <c r="AE5" s="4093" t="n"/>
      <c r="AF5" s="4093" t="n"/>
      <c r="AG5" s="4093" t="n"/>
      <c r="AH5" s="4096" t="n"/>
    </row>
    <row r="6" ht="11.1" customHeight="1" s="4080">
      <c r="A6" s="4097" t="n"/>
      <c r="B6" s="4107" t="n"/>
      <c r="C6" s="4268" t="inlineStr">
        <is>
          <t>名　称</t>
        </is>
      </c>
      <c r="D6" s="4098" t="n"/>
      <c r="E6" s="4099" t="n"/>
      <c r="F6" s="4768" t="inlineStr">
        <is>
          <t>障がい者支援施設　中之島園</t>
        </is>
      </c>
      <c r="G6" s="4098" t="n"/>
      <c r="H6" s="4098" t="n"/>
      <c r="I6" s="4098" t="n"/>
      <c r="J6" s="4098" t="n"/>
      <c r="K6" s="4098" t="n"/>
      <c r="L6" s="4098" t="n"/>
      <c r="M6" s="4098" t="n"/>
      <c r="N6" s="4098" t="n"/>
      <c r="O6" s="4098" t="n"/>
      <c r="P6" s="4098" t="n"/>
      <c r="Q6" s="4098" t="n"/>
      <c r="R6" s="4098" t="n"/>
      <c r="S6" s="4098" t="n"/>
      <c r="T6" s="4098" t="n"/>
      <c r="U6" s="4098" t="n"/>
      <c r="V6" s="4098" t="n"/>
      <c r="W6" s="4098" t="n"/>
      <c r="X6" s="4098" t="n"/>
      <c r="Y6" s="4098" t="n"/>
      <c r="Z6" s="4098" t="n"/>
      <c r="AA6" s="4098" t="n"/>
      <c r="AB6" s="4098" t="n"/>
      <c r="AC6" s="4098" t="n"/>
      <c r="AD6" s="4098" t="n"/>
      <c r="AE6" s="4098" t="n"/>
      <c r="AF6" s="4098" t="n"/>
      <c r="AG6" s="4098" t="n"/>
      <c r="AH6" s="4101" t="n"/>
    </row>
    <row r="7" ht="11.1" customHeight="1" s="4080">
      <c r="A7" s="4097" t="n"/>
      <c r="B7" s="4107" t="n"/>
      <c r="C7" s="4106" t="n"/>
      <c r="E7" s="4107" t="n"/>
      <c r="F7" s="4102" t="n"/>
      <c r="G7" s="4103" t="n"/>
      <c r="H7" s="4103" t="n"/>
      <c r="I7" s="4103" t="n"/>
      <c r="J7" s="4103" t="n"/>
      <c r="K7" s="4103" t="n"/>
      <c r="L7" s="4103" t="n"/>
      <c r="M7" s="4103" t="n"/>
      <c r="N7" s="4103" t="n"/>
      <c r="O7" s="4103" t="n"/>
      <c r="P7" s="4103" t="n"/>
      <c r="Q7" s="4103" t="n"/>
      <c r="R7" s="4103" t="n"/>
      <c r="S7" s="4103" t="n"/>
      <c r="T7" s="4103" t="n"/>
      <c r="U7" s="4103" t="n"/>
      <c r="V7" s="4103" t="n"/>
      <c r="W7" s="4103" t="n"/>
      <c r="X7" s="4103" t="n"/>
      <c r="Y7" s="4103" t="n"/>
      <c r="Z7" s="4103" t="n"/>
      <c r="AA7" s="4103" t="n"/>
      <c r="AB7" s="4103" t="n"/>
      <c r="AC7" s="4103" t="n"/>
      <c r="AD7" s="4103" t="n"/>
      <c r="AE7" s="4103" t="n"/>
      <c r="AF7" s="4103" t="n"/>
      <c r="AG7" s="4103" t="n"/>
      <c r="AH7" s="4105" t="n"/>
    </row>
    <row r="8" ht="18" customHeight="1" s="4080">
      <c r="A8" s="4490" t="inlineStr">
        <is>
          <t>昼 間 実 施 サ ー ビ ス（１）</t>
        </is>
      </c>
      <c r="B8" s="1841" t="n"/>
      <c r="C8" s="1264" t="inlineStr">
        <is>
          <t>サービス種別</t>
        </is>
      </c>
      <c r="D8" s="4110" t="n"/>
      <c r="E8" s="4110" t="n"/>
      <c r="F8" s="4110" t="n"/>
      <c r="G8" s="4110" t="n"/>
      <c r="H8" s="4110" t="n"/>
      <c r="I8" s="4110" t="n"/>
      <c r="J8" s="1294" t="n"/>
      <c r="K8" s="4769" t="inlineStr">
        <is>
          <t>生活介護</t>
        </is>
      </c>
      <c r="L8" s="4110" t="n"/>
      <c r="M8" s="4110" t="n"/>
      <c r="N8" s="4110" t="n"/>
      <c r="O8" s="4110" t="n"/>
      <c r="P8" s="4110" t="n"/>
      <c r="Q8" s="4110" t="n"/>
      <c r="R8" s="4110" t="n"/>
      <c r="S8" s="4110" t="n"/>
      <c r="T8" s="4110" t="n"/>
      <c r="U8" s="4110" t="n"/>
      <c r="V8" s="4110" t="n"/>
      <c r="W8" s="4110" t="n"/>
      <c r="X8" s="4110" t="n"/>
      <c r="Y8" s="4111" t="n"/>
      <c r="Z8" s="4313" t="inlineStr">
        <is>
          <t>利用定員</t>
        </is>
      </c>
      <c r="AA8" s="4110" t="n"/>
      <c r="AB8" s="4110" t="n"/>
      <c r="AC8" s="4110" t="n"/>
      <c r="AD8" s="4111" t="n"/>
      <c r="AE8" s="2685" t="inlineStr">
        <is>
          <t>２０</t>
        </is>
      </c>
      <c r="AF8" s="4103" t="n"/>
      <c r="AG8" s="4103" t="n"/>
      <c r="AH8" s="2592" t="inlineStr">
        <is>
          <t>人</t>
        </is>
      </c>
    </row>
    <row r="9" ht="12" customHeight="1" s="4080">
      <c r="A9" s="4208" t="n"/>
      <c r="B9" s="4731" t="inlineStr">
        <is>
          <t>サービス管理責任者</t>
        </is>
      </c>
      <c r="C9" s="4184" t="inlineStr">
        <is>
          <t>ﾌﾘｶﾞﾅ</t>
        </is>
      </c>
      <c r="D9" s="4110" t="n"/>
      <c r="E9" s="4111" t="n"/>
      <c r="F9" s="4253" t="inlineStr">
        <is>
          <t>ﾖﾄﾞﾔﾊﾞｼ</t>
        </is>
      </c>
      <c r="G9" s="4110" t="n"/>
      <c r="H9" s="4110" t="n"/>
      <c r="I9" s="4204" t="n"/>
      <c r="J9" s="4254" t="inlineStr">
        <is>
          <t>ﾊﾅｺ</t>
        </is>
      </c>
      <c r="K9" s="4110" t="n"/>
      <c r="L9" s="4110" t="n"/>
      <c r="M9" s="4111" t="n"/>
      <c r="N9" s="2164" t="inlineStr">
        <is>
          <t>住所</t>
        </is>
      </c>
      <c r="O9" s="4099" t="n"/>
      <c r="P9" s="1244" t="inlineStr">
        <is>
          <t>郵便番号（</t>
        </is>
      </c>
      <c r="Q9" s="4098" t="n"/>
      <c r="R9" s="4098" t="n"/>
      <c r="S9" s="4098" t="n"/>
      <c r="T9" s="1742" t="inlineStr">
        <is>
          <t>５４０－０００８</t>
        </is>
      </c>
      <c r="U9" s="4098" t="n"/>
      <c r="V9" s="4098" t="n"/>
      <c r="W9" s="4098" t="n"/>
      <c r="X9" s="4098" t="n"/>
      <c r="Y9" s="1329" t="inlineStr">
        <is>
          <t>）</t>
        </is>
      </c>
      <c r="Z9" s="1017" t="n"/>
      <c r="AA9" s="1017" t="n"/>
      <c r="AB9" s="1017" t="n"/>
      <c r="AC9" s="1017" t="n"/>
      <c r="AD9" s="1017" t="n"/>
      <c r="AE9" s="120" t="n"/>
      <c r="AF9" s="119" t="n"/>
      <c r="AG9" s="119" t="n"/>
      <c r="AH9" s="118" t="n"/>
    </row>
    <row r="10" ht="12" customHeight="1" s="4080">
      <c r="A10" s="4208" t="n"/>
      <c r="B10" s="4122" t="n"/>
      <c r="C10" s="4209" t="inlineStr">
        <is>
          <t>氏　　名</t>
        </is>
      </c>
      <c r="D10" s="4098" t="n"/>
      <c r="E10" s="4099" t="n"/>
      <c r="F10" s="4253" t="inlineStr">
        <is>
          <t>淀屋橋</t>
        </is>
      </c>
      <c r="G10" s="4098" t="n"/>
      <c r="H10" s="4098" t="n"/>
      <c r="I10" s="4210" t="n"/>
      <c r="J10" s="4254" t="inlineStr">
        <is>
          <t>花子</t>
        </is>
      </c>
      <c r="K10" s="4098" t="n"/>
      <c r="L10" s="4098" t="n"/>
      <c r="M10" s="4099" t="n"/>
      <c r="N10" s="4106" t="n"/>
      <c r="O10" s="4107" t="n"/>
      <c r="P10" s="1509" t="inlineStr">
        <is>
          <t>大阪</t>
        </is>
      </c>
      <c r="R10" s="2378" t="inlineStr">
        <is>
          <t>都</t>
        </is>
      </c>
      <c r="S10" s="2378" t="inlineStr">
        <is>
          <t>道</t>
        </is>
      </c>
      <c r="T10" s="1510" t="inlineStr">
        <is>
          <t>大阪</t>
        </is>
      </c>
      <c r="W10" s="2378" t="inlineStr">
        <is>
          <t>郡</t>
        </is>
      </c>
      <c r="X10" s="1512" t="inlineStr">
        <is>
          <t>中央区大手前○丁目○番○号</t>
        </is>
      </c>
      <c r="AH10" s="4109" t="n"/>
    </row>
    <row r="11" ht="12" customHeight="1" s="4080">
      <c r="A11" s="4208" t="n"/>
      <c r="B11" s="4122" t="n"/>
      <c r="C11" s="4106" t="n"/>
      <c r="E11" s="4107" t="n"/>
      <c r="F11" s="4106" t="n"/>
      <c r="I11" s="4212" t="n"/>
      <c r="J11" s="4213" t="n"/>
      <c r="M11" s="4107" t="n"/>
      <c r="N11" s="4106" t="n"/>
      <c r="O11" s="4107" t="n"/>
      <c r="P11" s="4106" t="n"/>
      <c r="R11" s="79" t="inlineStr">
        <is>
          <t>府</t>
        </is>
      </c>
      <c r="S11" s="2378" t="inlineStr">
        <is>
          <t>県</t>
        </is>
      </c>
      <c r="W11" s="79" t="inlineStr">
        <is>
          <t>市</t>
        </is>
      </c>
      <c r="AH11" s="4109" t="n"/>
    </row>
    <row r="12" ht="3" customHeight="1" s="4080">
      <c r="A12" s="4208" t="n"/>
      <c r="B12" s="4122" t="n"/>
      <c r="C12" s="4102" t="n"/>
      <c r="D12" s="4103" t="n"/>
      <c r="E12" s="4104" t="n"/>
      <c r="F12" s="4102" t="n"/>
      <c r="G12" s="4103" t="n"/>
      <c r="H12" s="4103" t="n"/>
      <c r="I12" s="4215" t="n"/>
      <c r="J12" s="4216" t="n"/>
      <c r="K12" s="4103" t="n"/>
      <c r="L12" s="4103" t="n"/>
      <c r="M12" s="4104" t="n"/>
      <c r="N12" s="4102" t="n"/>
      <c r="O12" s="4104" t="n"/>
      <c r="P12" s="4102" t="n"/>
      <c r="Q12" s="4103" t="n"/>
      <c r="R12" s="1810" t="n"/>
      <c r="S12" s="1810" t="n"/>
      <c r="T12" s="4103" t="n"/>
      <c r="U12" s="4103" t="n"/>
      <c r="V12" s="4103" t="n"/>
      <c r="W12" s="1810" t="n"/>
      <c r="AH12" s="4109" t="n"/>
    </row>
    <row r="13" ht="3.95" customHeight="1" s="4080">
      <c r="A13" s="4208" t="n"/>
      <c r="B13" s="4122" t="n"/>
      <c r="C13" s="1393" t="inlineStr">
        <is>
          <t>他の職務との兼務の有無及び職種</t>
        </is>
      </c>
      <c r="D13" s="4098" t="n"/>
      <c r="E13" s="4098" t="n"/>
      <c r="F13" s="4098" t="n"/>
      <c r="G13" s="4098" t="n"/>
      <c r="H13" s="4098" t="n"/>
      <c r="I13" s="4098" t="n"/>
      <c r="J13" s="4098" t="n"/>
      <c r="K13" s="4098" t="n"/>
      <c r="L13" s="4098" t="n"/>
      <c r="M13" s="4098" t="n"/>
      <c r="N13" s="4195" t="n"/>
      <c r="O13" s="4098" t="n"/>
      <c r="P13" s="4098" t="n"/>
      <c r="Q13" s="4098" t="n"/>
      <c r="R13" s="4099" t="n"/>
      <c r="S13" s="2163" t="inlineStr">
        <is>
          <t>職　　種</t>
        </is>
      </c>
      <c r="T13" s="4098" t="n"/>
      <c r="U13" s="4099" t="n"/>
      <c r="V13" s="1322" t="n"/>
      <c r="W13" s="1335" t="inlineStr">
        <is>
          <t xml:space="preserve">　</t>
        </is>
      </c>
      <c r="X13" s="4098" t="n"/>
      <c r="Y13" s="4098" t="n"/>
      <c r="Z13" s="4098" t="n"/>
      <c r="AA13" s="4098" t="n"/>
      <c r="AB13" s="4098" t="n"/>
      <c r="AC13" s="4098" t="n"/>
      <c r="AD13" s="4098" t="n"/>
      <c r="AE13" s="4098" t="n"/>
      <c r="AF13" s="4098" t="n"/>
      <c r="AG13" s="4098" t="n"/>
      <c r="AH13" s="4101" t="n"/>
    </row>
    <row r="14" ht="12" customHeight="1" s="4080">
      <c r="A14" s="4208" t="n"/>
      <c r="B14" s="4122" t="n"/>
      <c r="C14" s="4106" t="n"/>
      <c r="N14" s="1354" t="n"/>
      <c r="O14" s="1325" t="inlineStr">
        <is>
          <t>有</t>
        </is>
      </c>
      <c r="P14" s="1325" t="inlineStr">
        <is>
          <t>・</t>
        </is>
      </c>
      <c r="Q14" s="80" t="inlineStr">
        <is>
          <t>無</t>
        </is>
      </c>
      <c r="R14" s="1332" t="n"/>
      <c r="S14" s="4106" t="n"/>
      <c r="U14" s="4107" t="n"/>
      <c r="V14" s="4312" t="n"/>
      <c r="AH14" s="4109" t="n"/>
    </row>
    <row r="15" ht="3.95" customHeight="1" s="4080">
      <c r="A15" s="4208" t="n"/>
      <c r="B15" s="4122" t="n"/>
      <c r="C15" s="4102" t="n"/>
      <c r="D15" s="4103" t="n"/>
      <c r="E15" s="4103" t="n"/>
      <c r="F15" s="4103" t="n"/>
      <c r="G15" s="4103" t="n"/>
      <c r="H15" s="4103" t="n"/>
      <c r="I15" s="4103" t="n"/>
      <c r="J15" s="4103" t="n"/>
      <c r="K15" s="4103" t="n"/>
      <c r="L15" s="4103" t="n"/>
      <c r="M15" s="4103" t="n"/>
      <c r="N15" s="4197" t="n"/>
      <c r="O15" s="4103" t="n"/>
      <c r="P15" s="4103" t="n"/>
      <c r="Q15" s="4103" t="n"/>
      <c r="R15" s="4104" t="n"/>
      <c r="S15" s="4102" t="n"/>
      <c r="T15" s="4103" t="n"/>
      <c r="U15" s="4104" t="n"/>
      <c r="V15" s="1326" t="n"/>
      <c r="W15" s="1299" t="n"/>
      <c r="X15" s="4103" t="n"/>
      <c r="Y15" s="4103" t="n"/>
      <c r="Z15" s="4103" t="n"/>
      <c r="AA15" s="4103" t="n"/>
      <c r="AB15" s="4103" t="n"/>
      <c r="AC15" s="4103" t="n"/>
      <c r="AD15" s="4103" t="n"/>
      <c r="AE15" s="4103" t="n"/>
      <c r="AF15" s="4103" t="n"/>
      <c r="AG15" s="4103" t="n"/>
      <c r="AH15" s="4105" t="n"/>
    </row>
    <row r="16" ht="3.95" customHeight="1" s="4080">
      <c r="A16" s="4208" t="n"/>
      <c r="B16" s="4122" t="n"/>
      <c r="C16" s="1826" t="inlineStr">
        <is>
          <t>資格要件</t>
        </is>
      </c>
      <c r="D16" s="4098" t="n"/>
      <c r="E16" s="4098" t="n"/>
      <c r="F16" s="1322" t="n"/>
      <c r="G16" s="1323" t="n"/>
      <c r="H16" s="1414" t="n"/>
      <c r="I16" s="2056" t="n"/>
      <c r="J16" s="2056" t="n"/>
      <c r="K16" s="2056" t="n"/>
      <c r="L16" s="2056" t="n"/>
      <c r="M16" s="2056" t="n"/>
      <c r="N16" s="2056" t="n"/>
      <c r="O16" s="2056" t="n"/>
      <c r="P16" s="1402" t="n"/>
      <c r="Q16" s="1402" t="n"/>
      <c r="R16" s="1402" t="n"/>
      <c r="S16" s="4313" t="inlineStr">
        <is>
          <t>研修の
受講状況</t>
        </is>
      </c>
      <c r="T16" s="4098" t="n"/>
      <c r="U16" s="4099" t="n"/>
      <c r="V16" s="1322" t="n"/>
      <c r="W16" s="1323" t="n"/>
      <c r="X16" s="1323" t="n"/>
      <c r="Y16" s="1323" t="n"/>
      <c r="Z16" s="1323" t="n"/>
      <c r="AA16" s="1331" t="n"/>
      <c r="AB16" s="1323" t="n"/>
      <c r="AC16" s="1323" t="n"/>
      <c r="AD16" s="1323" t="n"/>
      <c r="AE16" s="1323" t="n"/>
      <c r="AF16" s="1323" t="n"/>
      <c r="AG16" s="1323" t="n"/>
      <c r="AH16" s="2297" t="n"/>
    </row>
    <row r="17" ht="12" customHeight="1" s="4080">
      <c r="A17" s="4208" t="n"/>
      <c r="B17" s="4122" t="n"/>
      <c r="C17" s="4106" t="n"/>
      <c r="F17" s="4314" t="inlineStr">
        <is>
          <t>実務経験</t>
        </is>
      </c>
      <c r="H17" s="4107" t="n"/>
      <c r="I17" s="3186" t="inlineStr">
        <is>
          <t>直接支援業務5年以上＋有資格</t>
        </is>
      </c>
      <c r="S17" s="4106" t="n"/>
      <c r="U17" s="4107" t="n"/>
      <c r="V17" s="4315" t="inlineStr">
        <is>
          <t>相談支援従事者研修</t>
        </is>
      </c>
      <c r="AA17" s="4107" t="n"/>
      <c r="AB17" s="128" t="n"/>
      <c r="AC17" s="4770" t="inlineStr">
        <is>
          <t>受講済</t>
        </is>
      </c>
      <c r="AD17" s="4266" t="n"/>
      <c r="AE17" s="2379" t="inlineStr">
        <is>
          <t>・</t>
        </is>
      </c>
      <c r="AF17" s="1770" t="inlineStr">
        <is>
          <t>未受講</t>
        </is>
      </c>
      <c r="AH17" s="130" t="n"/>
    </row>
    <row r="18" ht="3.95" customHeight="1" s="4080">
      <c r="A18" s="4208" t="n"/>
      <c r="B18" s="4122" t="n"/>
      <c r="C18" s="4106" t="n"/>
      <c r="F18" s="131" t="n"/>
      <c r="G18" s="132" t="n"/>
      <c r="H18" s="133" t="n"/>
      <c r="I18" s="134" t="n"/>
      <c r="J18" s="134" t="n"/>
      <c r="K18" s="134" t="n"/>
      <c r="L18" s="134" t="n"/>
      <c r="M18" s="134" t="n"/>
      <c r="N18" s="134" t="n"/>
      <c r="O18" s="135" t="n"/>
      <c r="P18" s="136" t="n"/>
      <c r="Q18" s="136" t="n"/>
      <c r="R18" s="137" t="n"/>
      <c r="S18" s="4106" t="n"/>
      <c r="U18" s="4107" t="n"/>
      <c r="V18" s="4316" t="n"/>
      <c r="W18" s="4317" t="n"/>
      <c r="X18" s="4317" t="n"/>
      <c r="Y18" s="4317" t="n"/>
      <c r="Z18" s="4317" t="n"/>
      <c r="AA18" s="4318" t="n"/>
      <c r="AB18" s="138" t="n"/>
      <c r="AC18" s="138" t="n"/>
      <c r="AD18" s="138" t="n"/>
      <c r="AE18" s="138" t="n"/>
      <c r="AF18" s="138" t="n"/>
      <c r="AG18" s="138" t="n"/>
      <c r="AH18" s="139" t="n"/>
    </row>
    <row r="19" ht="3.95" customHeight="1" s="4080">
      <c r="A19" s="4208" t="n"/>
      <c r="B19" s="4122" t="n"/>
      <c r="C19" s="4106" t="n"/>
      <c r="F19" s="140" t="n"/>
      <c r="G19" s="141" t="n"/>
      <c r="H19" s="142" t="n"/>
      <c r="I19" s="143" t="n"/>
      <c r="J19" s="143" t="n"/>
      <c r="K19" s="144" t="n"/>
      <c r="L19" s="141" t="n"/>
      <c r="M19" s="141" t="n"/>
      <c r="N19" s="141" t="n"/>
      <c r="O19" s="141" t="n"/>
      <c r="P19" s="145" t="n"/>
      <c r="Q19" s="145" t="n"/>
      <c r="R19" s="146" t="n"/>
      <c r="S19" s="4106" t="n"/>
      <c r="U19" s="4107" t="n"/>
      <c r="V19" s="4319" t="n"/>
      <c r="W19" s="4320" t="n"/>
      <c r="X19" s="4320" t="n"/>
      <c r="Y19" s="4320" t="n"/>
      <c r="Z19" s="4320" t="n"/>
      <c r="AA19" s="4321" t="n"/>
      <c r="AB19" s="141" t="n"/>
      <c r="AC19" s="141" t="n"/>
      <c r="AD19" s="141" t="n"/>
      <c r="AE19" s="141" t="n"/>
      <c r="AF19" s="141" t="n"/>
      <c r="AG19" s="141" t="n"/>
      <c r="AH19" s="147" t="n"/>
    </row>
    <row r="20" ht="12" customHeight="1" s="4080">
      <c r="A20" s="4208" t="n"/>
      <c r="B20" s="4122" t="n"/>
      <c r="C20" s="4106" t="n"/>
      <c r="F20" s="4314" t="inlineStr">
        <is>
          <t>資格種類</t>
        </is>
      </c>
      <c r="H20" s="4107" t="n"/>
      <c r="I20" s="4771" t="inlineStr">
        <is>
          <t>介護福祉士</t>
        </is>
      </c>
      <c r="R20" s="4107" t="n"/>
      <c r="S20" s="4106" t="n"/>
      <c r="U20" s="4107" t="n"/>
      <c r="V20" s="4322" t="inlineStr">
        <is>
          <t>サービス管理責任者研修</t>
        </is>
      </c>
      <c r="AA20" s="4107" t="n"/>
      <c r="AB20" s="1355" t="n"/>
      <c r="AC20" s="4770" t="inlineStr">
        <is>
          <t>受講済</t>
        </is>
      </c>
      <c r="AD20" s="4266" t="n"/>
      <c r="AE20" s="2379" t="inlineStr">
        <is>
          <t>・</t>
        </is>
      </c>
      <c r="AF20" s="1770" t="inlineStr">
        <is>
          <t>未受講</t>
        </is>
      </c>
      <c r="AH20" s="148" t="n"/>
    </row>
    <row r="21" ht="3.95" customHeight="1" s="4080">
      <c r="A21" s="4208" t="n"/>
      <c r="B21" s="4124" t="n"/>
      <c r="C21" s="4102" t="n"/>
      <c r="D21" s="4103" t="n"/>
      <c r="E21" s="4103" t="n"/>
      <c r="F21" s="1326" t="n"/>
      <c r="G21" s="1327" t="n"/>
      <c r="H21" s="1333" t="n"/>
      <c r="I21" s="134" t="n"/>
      <c r="J21" s="134" t="n"/>
      <c r="K21" s="134" t="n"/>
      <c r="L21" s="134" t="n"/>
      <c r="M21" s="134" t="n"/>
      <c r="N21" s="134" t="n"/>
      <c r="O21" s="2059" t="n"/>
      <c r="P21" s="1413" t="n"/>
      <c r="Q21" s="1413" t="n"/>
      <c r="R21" s="1413" t="n"/>
      <c r="S21" s="4102" t="n"/>
      <c r="T21" s="4103" t="n"/>
      <c r="U21" s="4104" t="n"/>
      <c r="V21" s="1412" t="n"/>
      <c r="W21" s="154" t="n"/>
      <c r="X21" s="154" t="n"/>
      <c r="Y21" s="138" t="n"/>
      <c r="Z21" s="138" t="n"/>
      <c r="AA21" s="155" t="n"/>
      <c r="AB21" s="138" t="n"/>
      <c r="AC21" s="138" t="n"/>
      <c r="AD21" s="138" t="n"/>
      <c r="AE21" s="138" t="n"/>
      <c r="AF21" s="138" t="n"/>
      <c r="AG21" s="138" t="n"/>
      <c r="AH21" s="139" t="n"/>
    </row>
    <row r="22" ht="12" customHeight="1" s="4080">
      <c r="A22" s="4208" t="n"/>
      <c r="B22" s="4231" t="inlineStr">
        <is>
          <t>主な掲示事項</t>
        </is>
      </c>
      <c r="C22" s="1393" t="n"/>
      <c r="D22" s="1264" t="inlineStr">
        <is>
          <t>サービス提供日</t>
        </is>
      </c>
      <c r="E22" s="4098" t="n"/>
      <c r="F22" s="4098" t="n"/>
      <c r="G22" s="4098" t="n"/>
      <c r="H22" s="4098" t="n"/>
      <c r="I22" s="4098" t="n"/>
      <c r="J22" s="4423" t="n"/>
      <c r="K22" s="2244" t="inlineStr">
        <is>
          <t>月</t>
        </is>
      </c>
      <c r="L22" s="2245" t="inlineStr">
        <is>
          <t>火</t>
        </is>
      </c>
      <c r="M22" s="2245" t="inlineStr">
        <is>
          <t>水</t>
        </is>
      </c>
      <c r="N22" s="2245" t="inlineStr">
        <is>
          <t>木</t>
        </is>
      </c>
      <c r="O22" s="2245" t="inlineStr">
        <is>
          <t>金</t>
        </is>
      </c>
      <c r="P22" s="2245" t="inlineStr">
        <is>
          <t>土</t>
        </is>
      </c>
      <c r="Q22" s="2245" t="inlineStr">
        <is>
          <t>日</t>
        </is>
      </c>
      <c r="R22" s="2249" t="inlineStr">
        <is>
          <t>祝</t>
        </is>
      </c>
      <c r="S22" s="4279" t="inlineStr">
        <is>
          <t>休業日</t>
        </is>
      </c>
      <c r="T22" s="1611" t="inlineStr">
        <is>
          <t>年末年始</t>
        </is>
      </c>
      <c r="U22" s="4098" t="n"/>
      <c r="V22" s="1717" t="inlineStr">
        <is>
          <t>12/29～1/3</t>
        </is>
      </c>
      <c r="W22" s="4098" t="n"/>
      <c r="X22" s="4098" t="n"/>
      <c r="Y22" s="4098" t="n"/>
      <c r="Z22" s="4098" t="n"/>
      <c r="AA22" s="4098" t="n"/>
      <c r="AB22" s="4099" t="n"/>
      <c r="AC22" s="4733" t="inlineStr">
        <is>
          <t>備考</t>
        </is>
      </c>
      <c r="AD22" s="4281" t="n"/>
      <c r="AE22" s="4098" t="n"/>
      <c r="AF22" s="4098" t="n"/>
      <c r="AG22" s="4098" t="n"/>
      <c r="AH22" s="4101" t="n"/>
    </row>
    <row r="23" ht="12" customHeight="1" s="4080">
      <c r="A23" s="4208" t="n"/>
      <c r="B23" s="4122" t="n"/>
      <c r="C23" s="4106" t="n"/>
      <c r="J23" s="4107" t="n"/>
      <c r="K23" s="4302" t="inlineStr">
        <is>
          <t>○</t>
        </is>
      </c>
      <c r="L23" s="4303" t="inlineStr">
        <is>
          <t>○</t>
        </is>
      </c>
      <c r="M23" s="4303" t="inlineStr">
        <is>
          <t>○</t>
        </is>
      </c>
      <c r="N23" s="4303" t="inlineStr">
        <is>
          <t>○</t>
        </is>
      </c>
      <c r="O23" s="4303" t="inlineStr">
        <is>
          <t>○</t>
        </is>
      </c>
      <c r="P23" s="4303" t="n"/>
      <c r="Q23" s="4303" t="n"/>
      <c r="R23" s="4309" t="inlineStr">
        <is>
          <t>○</t>
        </is>
      </c>
      <c r="S23" s="4282" t="n"/>
      <c r="T23" s="1609" t="inlineStr">
        <is>
          <t>夏季</t>
        </is>
      </c>
      <c r="V23" s="1744" t="inlineStr">
        <is>
          <t>8/13～8/16</t>
        </is>
      </c>
      <c r="AB23" s="4107" t="n"/>
      <c r="AC23" s="4282" t="n"/>
      <c r="AD23" s="4192" t="n"/>
      <c r="AH23" s="4109" t="n"/>
    </row>
    <row r="24" ht="12" customHeight="1" s="4080">
      <c r="A24" s="4208" t="n"/>
      <c r="B24" s="4122" t="n"/>
      <c r="C24" s="4102" t="n"/>
      <c r="D24" s="4103" t="n"/>
      <c r="E24" s="4103" t="n"/>
      <c r="F24" s="4103" t="n"/>
      <c r="G24" s="4103" t="n"/>
      <c r="H24" s="4103" t="n"/>
      <c r="I24" s="4103" t="n"/>
      <c r="J24" s="4104" t="n"/>
      <c r="K24" s="4283" t="n"/>
      <c r="L24" s="4284" t="n"/>
      <c r="M24" s="4284" t="n"/>
      <c r="N24" s="4284" t="n"/>
      <c r="O24" s="4284" t="n"/>
      <c r="P24" s="4284" t="n"/>
      <c r="Q24" s="4284" t="n"/>
      <c r="R24" s="4285" t="n"/>
      <c r="S24" s="4286" t="n"/>
      <c r="T24" s="1610" t="inlineStr">
        <is>
          <t>その他</t>
        </is>
      </c>
      <c r="U24" s="4103" t="n"/>
      <c r="V24" s="940" t="n"/>
      <c r="W24" s="4103" t="n"/>
      <c r="X24" s="4103" t="n"/>
      <c r="Y24" s="4103" t="n"/>
      <c r="Z24" s="4103" t="n"/>
      <c r="AA24" s="4103" t="n"/>
      <c r="AB24" s="4104" t="n"/>
      <c r="AC24" s="4286" t="n"/>
      <c r="AD24" s="4194" t="n"/>
      <c r="AE24" s="4103" t="n"/>
      <c r="AF24" s="4103" t="n"/>
      <c r="AG24" s="4103" t="n"/>
      <c r="AH24" s="4105" t="n"/>
    </row>
    <row r="25" ht="3.95" customHeight="1" s="4080">
      <c r="A25" s="4208" t="n"/>
      <c r="B25" s="4122" t="n"/>
      <c r="C25" s="1393" t="n"/>
      <c r="D25" s="1264" t="inlineStr">
        <is>
          <t>サービス提供時間</t>
        </is>
      </c>
      <c r="E25" s="4098" t="n"/>
      <c r="F25" s="4098" t="n"/>
      <c r="G25" s="4098" t="n"/>
      <c r="H25" s="4098" t="n"/>
      <c r="I25" s="4098" t="n"/>
      <c r="J25" s="4223" t="n"/>
      <c r="K25" s="1660" t="n"/>
      <c r="L25" s="1661" t="n"/>
      <c r="M25" s="1661" t="n"/>
      <c r="N25" s="1661" t="n"/>
      <c r="O25" s="1661" t="n"/>
      <c r="P25" s="1661" t="n"/>
      <c r="Q25" s="1661" t="n"/>
      <c r="R25" s="1661" t="n"/>
      <c r="S25" s="1661" t="n"/>
      <c r="T25" s="1661" t="n"/>
      <c r="U25" s="1661" t="n"/>
      <c r="V25" s="1661" t="n"/>
      <c r="W25" s="1661" t="n"/>
      <c r="X25" s="1661" t="n"/>
      <c r="Y25" s="1661" t="n"/>
      <c r="Z25" s="1661" t="n"/>
      <c r="AA25" s="1661" t="n"/>
      <c r="AB25" s="1661" t="n"/>
      <c r="AC25" s="4734" t="inlineStr">
        <is>
          <t>備考</t>
        </is>
      </c>
      <c r="AD25" s="4735" t="n"/>
      <c r="AE25" s="4098" t="n"/>
      <c r="AF25" s="4098" t="n"/>
      <c r="AG25" s="4098" t="n"/>
      <c r="AH25" s="4101" t="n"/>
    </row>
    <row r="26" ht="12" customHeight="1" s="4080">
      <c r="A26" s="4208" t="n"/>
      <c r="B26" s="4122" t="n"/>
      <c r="C26" s="4106" t="n"/>
      <c r="J26" s="4107" t="n"/>
      <c r="K26" s="224" t="n"/>
      <c r="L26" s="1707" t="inlineStr">
        <is>
          <t>９</t>
        </is>
      </c>
      <c r="O26" s="1325" t="inlineStr">
        <is>
          <t>時</t>
        </is>
      </c>
      <c r="P26" s="1538" t="inlineStr">
        <is>
          <t>００</t>
        </is>
      </c>
      <c r="R26" s="1325" t="inlineStr">
        <is>
          <t>分～</t>
        </is>
      </c>
      <c r="T26" s="1707" t="inlineStr">
        <is>
          <t>１７</t>
        </is>
      </c>
      <c r="W26" s="1325" t="inlineStr">
        <is>
          <t>時</t>
        </is>
      </c>
      <c r="X26" s="1538" t="inlineStr">
        <is>
          <t>００</t>
        </is>
      </c>
      <c r="Z26" s="1325" t="inlineStr">
        <is>
          <t>分</t>
        </is>
      </c>
      <c r="AA26" s="1325" t="n"/>
      <c r="AB26" s="1325" t="n"/>
      <c r="AC26" s="4282" t="n"/>
      <c r="AD26" s="4192" t="n"/>
      <c r="AH26" s="4109" t="n"/>
    </row>
    <row r="27" ht="3.95" customHeight="1" s="4080">
      <c r="A27" s="4208" t="n"/>
      <c r="B27" s="4122" t="n"/>
      <c r="C27" s="4102" t="n"/>
      <c r="D27" s="4103" t="n"/>
      <c r="E27" s="4103" t="n"/>
      <c r="F27" s="4103" t="n"/>
      <c r="G27" s="4103" t="n"/>
      <c r="H27" s="4103" t="n"/>
      <c r="I27" s="4103" t="n"/>
      <c r="J27" s="4104" t="n"/>
      <c r="K27" s="1657" t="n"/>
      <c r="L27" s="1658" t="n"/>
      <c r="M27" s="1658" t="n"/>
      <c r="N27" s="1658" t="n"/>
      <c r="O27" s="1658" t="n"/>
      <c r="P27" s="1658" t="n"/>
      <c r="Q27" s="1658" t="n"/>
      <c r="R27" s="1658" t="n"/>
      <c r="S27" s="1658" t="n"/>
      <c r="T27" s="1658" t="n"/>
      <c r="U27" s="1658" t="n"/>
      <c r="V27" s="1658" t="n"/>
      <c r="W27" s="1658" t="n"/>
      <c r="X27" s="1658" t="n"/>
      <c r="Y27" s="1658" t="n"/>
      <c r="Z27" s="1658" t="n"/>
      <c r="AA27" s="1658" t="n"/>
      <c r="AB27" s="1658" t="n"/>
      <c r="AC27" s="4286" t="n"/>
      <c r="AD27" s="4194" t="n"/>
      <c r="AE27" s="4103" t="n"/>
      <c r="AF27" s="4103" t="n"/>
      <c r="AG27" s="4103" t="n"/>
      <c r="AH27" s="4105" t="n"/>
    </row>
    <row r="28" ht="11.1" customHeight="1" s="4080">
      <c r="A28" s="4208" t="n"/>
      <c r="B28" s="4122" t="n"/>
      <c r="C28" s="1393" t="n"/>
      <c r="D28" s="4222" t="inlineStr">
        <is>
          <t>サービスを提供
する主たる対象者</t>
        </is>
      </c>
      <c r="E28" s="4098" t="n"/>
      <c r="F28" s="4098" t="n"/>
      <c r="G28" s="4098" t="n"/>
      <c r="H28" s="4098" t="n"/>
      <c r="I28" s="4098" t="n"/>
      <c r="J28" s="4223" t="n"/>
      <c r="K28" s="4712" t="inlineStr">
        <is>
          <t>身　　　体　　　障　　　害　　　者</t>
        </is>
      </c>
      <c r="L28" s="4138" t="n"/>
      <c r="M28" s="4138" t="n"/>
      <c r="N28" s="4138" t="n"/>
      <c r="O28" s="4138" t="n"/>
      <c r="P28" s="4138" t="n"/>
      <c r="Q28" s="4138" t="n"/>
      <c r="R28" s="4138" t="n"/>
      <c r="S28" s="4138" t="n"/>
      <c r="T28" s="4138" t="n"/>
      <c r="U28" s="4138" t="n"/>
      <c r="V28" s="4138" t="n"/>
      <c r="W28" s="4138" t="n"/>
      <c r="X28" s="4138" t="n"/>
      <c r="Y28" s="4138" t="n"/>
      <c r="Z28" s="4139" t="n"/>
      <c r="AA28" s="2542" t="inlineStr">
        <is>
          <t>知的障害者</t>
        </is>
      </c>
      <c r="AB28" s="4098" t="n"/>
      <c r="AC28" s="4098" t="n"/>
      <c r="AD28" s="4099" t="n"/>
      <c r="AE28" s="2542" t="inlineStr">
        <is>
          <t>精神障害者</t>
        </is>
      </c>
      <c r="AF28" s="4098" t="n"/>
      <c r="AG28" s="4098" t="n"/>
      <c r="AH28" s="4099" t="n"/>
    </row>
    <row r="29" ht="11.1" customHeight="1" s="4080">
      <c r="A29" s="4208" t="n"/>
      <c r="B29" s="4122" t="n"/>
      <c r="C29" s="4106" t="n"/>
      <c r="J29" s="4107" t="n"/>
      <c r="K29" s="3092" t="inlineStr">
        <is>
          <t>肢体不自由</t>
        </is>
      </c>
      <c r="L29" s="4103" t="n"/>
      <c r="M29" s="4103" t="n"/>
      <c r="N29" s="4193" t="n"/>
      <c r="O29" s="3094" t="inlineStr">
        <is>
          <t>視　　覚</t>
        </is>
      </c>
      <c r="P29" s="4103" t="n"/>
      <c r="Q29" s="4103" t="n"/>
      <c r="R29" s="4193" t="n"/>
      <c r="S29" s="3093" t="inlineStr">
        <is>
          <t>聴覚・言語</t>
        </is>
      </c>
      <c r="T29" s="4103" t="n"/>
      <c r="U29" s="4103" t="n"/>
      <c r="V29" s="4193" t="n"/>
      <c r="W29" s="3094" t="inlineStr">
        <is>
          <t>内　　部</t>
        </is>
      </c>
      <c r="X29" s="4103" t="n"/>
      <c r="Y29" s="4103" t="n"/>
      <c r="Z29" s="4193" t="n"/>
      <c r="AA29" s="4102" t="n"/>
      <c r="AB29" s="4103" t="n"/>
      <c r="AC29" s="4103" t="n"/>
      <c r="AD29" s="4104" t="n"/>
      <c r="AE29" s="4102" t="n"/>
      <c r="AF29" s="4103" t="n"/>
      <c r="AG29" s="4103" t="n"/>
      <c r="AH29" s="4104" t="n"/>
    </row>
    <row r="30" ht="12" customHeight="1" s="4080">
      <c r="A30" s="4208" t="n"/>
      <c r="B30" s="4122" t="n"/>
      <c r="C30" s="4102" t="n"/>
      <c r="D30" s="4103" t="n"/>
      <c r="E30" s="4103" t="n"/>
      <c r="F30" s="4103" t="n"/>
      <c r="G30" s="4103" t="n"/>
      <c r="H30" s="4103" t="n"/>
      <c r="I30" s="4103" t="n"/>
      <c r="J30" s="4104" t="n"/>
      <c r="K30" s="3188" t="inlineStr">
        <is>
          <t>○</t>
        </is>
      </c>
      <c r="L30" s="4140" t="n"/>
      <c r="M30" s="4140" t="n"/>
      <c r="N30" s="4249" t="n"/>
      <c r="O30" s="3189" t="inlineStr">
        <is>
          <t>○</t>
        </is>
      </c>
      <c r="P30" s="4140" t="n"/>
      <c r="Q30" s="4140" t="n"/>
      <c r="R30" s="4249" t="n"/>
      <c r="S30" s="3189" t="inlineStr">
        <is>
          <t>○</t>
        </is>
      </c>
      <c r="T30" s="4140" t="n"/>
      <c r="U30" s="4140" t="n"/>
      <c r="V30" s="4249" t="n"/>
      <c r="W30" s="3189" t="inlineStr">
        <is>
          <t>○</t>
        </is>
      </c>
      <c r="X30" s="4140" t="n"/>
      <c r="Y30" s="4140" t="n"/>
      <c r="Z30" s="4249" t="n"/>
      <c r="AA30" s="3191" t="inlineStr">
        <is>
          <t>○</t>
        </is>
      </c>
      <c r="AB30" s="4140" t="n"/>
      <c r="AC30" s="4140" t="n"/>
      <c r="AD30" s="4141" t="n"/>
      <c r="AE30" s="3191" t="inlineStr">
        <is>
          <t>○</t>
        </is>
      </c>
      <c r="AF30" s="4140" t="n"/>
      <c r="AG30" s="4140" t="n"/>
      <c r="AH30" s="4141" t="n"/>
    </row>
    <row r="31" ht="12.95" customHeight="1" s="4080">
      <c r="A31" s="4208" t="n"/>
      <c r="B31" s="4122" t="n"/>
      <c r="C31" s="1393" t="n"/>
      <c r="D31" s="1264" t="inlineStr">
        <is>
          <t>利用料</t>
        </is>
      </c>
      <c r="E31" s="4110" t="n"/>
      <c r="F31" s="4110" t="n"/>
      <c r="G31" s="4110" t="n"/>
      <c r="H31" s="4110" t="n"/>
      <c r="I31" s="4110" t="n"/>
      <c r="J31" s="1394" t="n"/>
      <c r="K31" s="4262" t="inlineStr">
        <is>
          <t>法定代理受領分：厚生労働大臣が定める基準の10/100、法定代理受領分以外：厚生労働大臣が定める基準</t>
        </is>
      </c>
      <c r="L31" s="4110" t="n"/>
      <c r="M31" s="4110" t="n"/>
      <c r="N31" s="4110" t="n"/>
      <c r="O31" s="4110" t="n"/>
      <c r="P31" s="4110" t="n"/>
      <c r="Q31" s="4110" t="n"/>
      <c r="R31" s="4110" t="n"/>
      <c r="S31" s="4110" t="n"/>
      <c r="T31" s="4110" t="n"/>
      <c r="U31" s="4110" t="n"/>
      <c r="V31" s="4110" t="n"/>
      <c r="W31" s="4110" t="n"/>
      <c r="X31" s="4110" t="n"/>
      <c r="Y31" s="4110" t="n"/>
      <c r="Z31" s="4110" t="n"/>
      <c r="AA31" s="4110" t="n"/>
      <c r="AB31" s="4110" t="n"/>
      <c r="AC31" s="4110" t="n"/>
      <c r="AD31" s="4110" t="n"/>
      <c r="AE31" s="4110" t="n"/>
      <c r="AF31" s="4110" t="n"/>
      <c r="AG31" s="4110" t="n"/>
      <c r="AH31" s="4113" t="n"/>
    </row>
    <row r="32" ht="12.95" customHeight="1" s="4080">
      <c r="A32" s="4208" t="n"/>
      <c r="B32" s="4122" t="n"/>
      <c r="C32" s="1322" t="n"/>
      <c r="D32" s="1264" t="inlineStr">
        <is>
          <t>その他の費用</t>
        </is>
      </c>
      <c r="E32" s="4110" t="n"/>
      <c r="F32" s="4110" t="n"/>
      <c r="G32" s="4110" t="n"/>
      <c r="H32" s="4110" t="n"/>
      <c r="I32" s="4110" t="n"/>
      <c r="J32" s="1331" t="n"/>
      <c r="K32" s="4263" t="inlineStr">
        <is>
          <t>運営規程に定めるとおり</t>
        </is>
      </c>
      <c r="L32" s="4098" t="n"/>
      <c r="M32" s="4098" t="n"/>
      <c r="N32" s="4098" t="n"/>
      <c r="O32" s="4098" t="n"/>
      <c r="P32" s="4098" t="n"/>
      <c r="Q32" s="4098" t="n"/>
      <c r="R32" s="4098" t="n"/>
      <c r="S32" s="4098" t="n"/>
      <c r="T32" s="4098" t="n"/>
      <c r="U32" s="4098" t="n"/>
      <c r="V32" s="4098" t="n"/>
      <c r="W32" s="4098" t="n"/>
      <c r="X32" s="4098" t="n"/>
      <c r="Y32" s="4098" t="n"/>
      <c r="Z32" s="4098" t="n"/>
      <c r="AA32" s="4098" t="n"/>
      <c r="AB32" s="4098" t="n"/>
      <c r="AC32" s="4098" t="n"/>
      <c r="AD32" s="4098" t="n"/>
      <c r="AE32" s="4098" t="n"/>
      <c r="AF32" s="4098" t="n"/>
      <c r="AG32" s="4098" t="n"/>
      <c r="AH32" s="4101" t="n"/>
    </row>
    <row r="33" ht="20.1" customHeight="1" s="4080">
      <c r="A33" s="4208" t="n"/>
      <c r="B33" s="4122" t="n"/>
      <c r="C33" s="1300" t="n"/>
      <c r="D33" s="4222" t="inlineStr">
        <is>
          <t>通常の事業の
実施地域</t>
        </is>
      </c>
      <c r="E33" s="4098" t="n"/>
      <c r="F33" s="4098" t="n"/>
      <c r="G33" s="4098" t="n"/>
      <c r="H33" s="4098" t="n"/>
      <c r="I33" s="4098" t="n"/>
      <c r="J33" s="1963" t="n"/>
      <c r="K33" s="3272" t="inlineStr">
        <is>
          <t>1)</t>
        </is>
      </c>
      <c r="L33" s="1562" t="inlineStr">
        <is>
          <t>大阪市中央区</t>
        </is>
      </c>
      <c r="M33" s="4110" t="n"/>
      <c r="N33" s="4110" t="n"/>
      <c r="O33" s="2325" t="inlineStr">
        <is>
          <t>2)</t>
        </is>
      </c>
      <c r="P33" s="1562" t="inlineStr">
        <is>
          <t>大阪市北区</t>
        </is>
      </c>
      <c r="Q33" s="4110" t="n"/>
      <c r="R33" s="4110" t="n"/>
      <c r="S33" s="2325" t="inlineStr">
        <is>
          <t>3)</t>
        </is>
      </c>
      <c r="T33" s="1562" t="inlineStr">
        <is>
          <t>大阪市天王寺区</t>
        </is>
      </c>
      <c r="U33" s="4110" t="n"/>
      <c r="V33" s="4110" t="n"/>
      <c r="W33" s="2325" t="inlineStr">
        <is>
          <t>4)</t>
        </is>
      </c>
      <c r="X33" s="1562" t="inlineStr">
        <is>
          <t>大阪市東成区</t>
        </is>
      </c>
      <c r="Y33" s="4110" t="n"/>
      <c r="Z33" s="4110" t="n"/>
      <c r="AA33" s="2325" t="inlineStr">
        <is>
          <t>5)</t>
        </is>
      </c>
      <c r="AB33" s="1562" t="n"/>
      <c r="AC33" s="4110" t="n"/>
      <c r="AD33" s="4110" t="n"/>
      <c r="AE33" s="4736" t="inlineStr">
        <is>
          <t>備考</t>
        </is>
      </c>
      <c r="AF33" s="4230" t="n"/>
      <c r="AG33" s="4098" t="n"/>
      <c r="AH33" s="4101" t="n"/>
    </row>
    <row r="34" ht="20.1" customHeight="1" s="4080">
      <c r="A34" s="4208" t="n"/>
      <c r="B34" s="4124" t="n"/>
      <c r="C34" s="4102" t="n"/>
      <c r="D34" s="4103" t="n"/>
      <c r="E34" s="4103" t="n"/>
      <c r="F34" s="4103" t="n"/>
      <c r="G34" s="4103" t="n"/>
      <c r="H34" s="4103" t="n"/>
      <c r="I34" s="4103" t="n"/>
      <c r="J34" s="4104" t="n"/>
      <c r="K34" s="3272" t="inlineStr">
        <is>
          <t>6)</t>
        </is>
      </c>
      <c r="L34" s="1562" t="n"/>
      <c r="M34" s="4110" t="n"/>
      <c r="N34" s="4110" t="n"/>
      <c r="O34" s="2325" t="inlineStr">
        <is>
          <t>7)</t>
        </is>
      </c>
      <c r="P34" s="1406" t="n"/>
      <c r="Q34" s="4110" t="n"/>
      <c r="R34" s="4110" t="n"/>
      <c r="S34" s="2325" t="inlineStr">
        <is>
          <t>8)</t>
        </is>
      </c>
      <c r="T34" s="1406" t="n"/>
      <c r="U34" s="4110" t="n"/>
      <c r="V34" s="4110" t="n"/>
      <c r="W34" s="2325" t="inlineStr">
        <is>
          <t>9)</t>
        </is>
      </c>
      <c r="X34" s="1406" t="n"/>
      <c r="Y34" s="4110" t="n"/>
      <c r="Z34" s="4110" t="n"/>
      <c r="AA34" s="71" t="inlineStr">
        <is>
          <t>10)</t>
        </is>
      </c>
      <c r="AB34" s="1406" t="n"/>
      <c r="AC34" s="4110" t="n"/>
      <c r="AD34" s="4110" t="n"/>
      <c r="AE34" s="4124" t="n"/>
      <c r="AF34" s="4102" t="n"/>
      <c r="AG34" s="4103" t="n"/>
      <c r="AH34" s="4105" t="n"/>
    </row>
    <row r="35" ht="20.1" customHeight="1" s="4080">
      <c r="A35" s="4208" t="n"/>
      <c r="B35" s="4425" t="inlineStr">
        <is>
          <t>前年度利用者数
(又は推定数)</t>
        </is>
      </c>
      <c r="C35" s="4098" t="n"/>
      <c r="D35" s="4098" t="n"/>
      <c r="E35" s="4098" t="n"/>
      <c r="F35" s="4098" t="n"/>
      <c r="G35" s="4099" t="n"/>
      <c r="H35" s="4624" t="inlineStr">
        <is>
          <t>区分１</t>
        </is>
      </c>
      <c r="I35" s="4103" t="n"/>
      <c r="J35" s="4104" t="n"/>
      <c r="K35" s="4624" t="inlineStr">
        <is>
          <t>区分２</t>
        </is>
      </c>
      <c r="L35" s="4103" t="n"/>
      <c r="M35" s="4104" t="n"/>
      <c r="N35" s="4624" t="inlineStr">
        <is>
          <t>区分３</t>
        </is>
      </c>
      <c r="O35" s="4103" t="n"/>
      <c r="P35" s="4104" t="n"/>
      <c r="Q35" s="4624" t="inlineStr">
        <is>
          <t>区分４</t>
        </is>
      </c>
      <c r="R35" s="4103" t="n"/>
      <c r="S35" s="4104" t="n"/>
      <c r="T35" s="4624" t="inlineStr">
        <is>
          <t>区分５</t>
        </is>
      </c>
      <c r="U35" s="4103" t="n"/>
      <c r="V35" s="4104" t="n"/>
      <c r="W35" s="4624" t="inlineStr">
        <is>
          <t>区分６</t>
        </is>
      </c>
      <c r="X35" s="4103" t="n"/>
      <c r="Y35" s="4104" t="n"/>
      <c r="Z35" s="4625" t="inlineStr">
        <is>
          <t>前年度
開所日数</t>
        </is>
      </c>
      <c r="AA35" s="4103" t="n"/>
      <c r="AB35" s="4104" t="n"/>
      <c r="AC35" s="4688" t="inlineStr">
        <is>
          <t>平均障がい
支援区分</t>
        </is>
      </c>
      <c r="AD35" s="4103" t="n"/>
      <c r="AE35" s="4104" t="n"/>
      <c r="AF35" s="4627" t="inlineStr">
        <is>
          <t>平均
利用者数</t>
        </is>
      </c>
      <c r="AG35" s="4103" t="n"/>
      <c r="AH35" s="4105" t="n"/>
    </row>
    <row r="36" ht="15" customHeight="1" s="4080">
      <c r="A36" s="4737" t="n"/>
      <c r="B36" s="4102" t="n"/>
      <c r="C36" s="4103" t="n"/>
      <c r="D36" s="4103" t="n"/>
      <c r="E36" s="4103" t="n"/>
      <c r="F36" s="4103" t="n"/>
      <c r="G36" s="4104" t="n"/>
      <c r="H36" s="4772" t="n">
        <v>0</v>
      </c>
      <c r="I36" s="4110" t="n"/>
      <c r="J36" s="4350" t="inlineStr">
        <is>
          <t>人</t>
        </is>
      </c>
      <c r="K36" s="4773" t="n">
        <v>104</v>
      </c>
      <c r="L36" s="4098" t="n"/>
      <c r="M36" s="4740" t="inlineStr">
        <is>
          <t>人</t>
        </is>
      </c>
      <c r="N36" s="4773" t="n">
        <v>312</v>
      </c>
      <c r="O36" s="4098" t="n"/>
      <c r="P36" s="4740" t="inlineStr">
        <is>
          <t>人</t>
        </is>
      </c>
      <c r="Q36" s="4773" t="n">
        <v>1560</v>
      </c>
      <c r="R36" s="4098" t="n"/>
      <c r="S36" s="4740" t="inlineStr">
        <is>
          <t>人</t>
        </is>
      </c>
      <c r="T36" s="4773" t="n">
        <v>1040</v>
      </c>
      <c r="U36" s="4098" t="n"/>
      <c r="V36" s="4740" t="inlineStr">
        <is>
          <t>人</t>
        </is>
      </c>
      <c r="W36" s="4773" t="n">
        <v>624</v>
      </c>
      <c r="X36" s="4098" t="n"/>
      <c r="Y36" s="4740" t="inlineStr">
        <is>
          <t>人</t>
        </is>
      </c>
      <c r="Z36" s="4773" t="n">
        <v>260</v>
      </c>
      <c r="AA36" s="4098" t="n"/>
      <c r="AB36" s="447" t="inlineStr">
        <is>
          <t>日</t>
        </is>
      </c>
      <c r="AC36" s="4774">
        <f>IF(Z36=0," ",ROUND(((3*N36)+(4*Q36)+(5*T36)+(6*W36)+(1*H36)+(2*K36))/(H36+K36+N36+Q36+T36+W36),1))</f>
        <v/>
      </c>
      <c r="AD36" s="4098" t="n"/>
      <c r="AE36" s="4099" t="n"/>
      <c r="AF36" s="4775">
        <f>IF(Z36=0," ",ROUNDUP((H36+K36+N36+Q36+T36+W36)/Z36,1))</f>
        <v/>
      </c>
      <c r="AG36" s="4098" t="n"/>
      <c r="AH36" s="4632" t="inlineStr">
        <is>
          <t>人</t>
        </is>
      </c>
    </row>
    <row r="37" ht="18" customHeight="1" s="4080">
      <c r="A37" s="3063" t="inlineStr">
        <is>
          <t>昼 間 実 施 サ ー ビ ス（２）</t>
        </is>
      </c>
      <c r="B37" s="3011" t="n"/>
      <c r="C37" s="1293" t="inlineStr">
        <is>
          <t>サービス種別</t>
        </is>
      </c>
      <c r="D37" s="4103" t="n"/>
      <c r="E37" s="4103" t="n"/>
      <c r="F37" s="4103" t="n"/>
      <c r="G37" s="4103" t="n"/>
      <c r="H37" s="4103" t="n"/>
      <c r="I37" s="4103" t="n"/>
      <c r="J37" s="1294" t="n"/>
      <c r="K37" s="3200" t="inlineStr">
        <is>
          <t>就労移行支援</t>
        </is>
      </c>
      <c r="L37" s="4110" t="n"/>
      <c r="M37" s="4110" t="n"/>
      <c r="N37" s="4110" t="n"/>
      <c r="O37" s="4110" t="n"/>
      <c r="P37" s="4110" t="n"/>
      <c r="Q37" s="4110" t="n"/>
      <c r="R37" s="4110" t="n"/>
      <c r="S37" s="4110" t="n"/>
      <c r="T37" s="4110" t="n"/>
      <c r="U37" s="4110" t="n"/>
      <c r="V37" s="4110" t="n"/>
      <c r="W37" s="4110" t="n"/>
      <c r="X37" s="4110" t="n"/>
      <c r="Y37" s="4110" t="n"/>
      <c r="Z37" s="4110" t="n"/>
      <c r="AA37" s="1826" t="inlineStr">
        <is>
          <t>利用定員</t>
        </is>
      </c>
      <c r="AB37" s="4110" t="n"/>
      <c r="AC37" s="4110" t="n"/>
      <c r="AD37" s="4110" t="n"/>
      <c r="AE37" s="3033" t="inlineStr">
        <is>
          <t>１０</t>
        </is>
      </c>
      <c r="AF37" s="4110" t="n"/>
      <c r="AG37" s="4110" t="n"/>
      <c r="AH37" s="2592" t="inlineStr">
        <is>
          <t>人</t>
        </is>
      </c>
    </row>
    <row r="38" ht="12" customHeight="1" s="4080">
      <c r="A38" s="4208" t="n"/>
      <c r="B38" s="4731" t="inlineStr">
        <is>
          <t>サービス管理責任者</t>
        </is>
      </c>
      <c r="C38" s="4184" t="inlineStr">
        <is>
          <t>ﾌﾘｶﾞﾅ</t>
        </is>
      </c>
      <c r="D38" s="4110" t="n"/>
      <c r="E38" s="4111" t="n"/>
      <c r="F38" s="4253" t="inlineStr">
        <is>
          <t>ﾖﾄﾞﾔﾊﾞｼ</t>
        </is>
      </c>
      <c r="G38" s="4110" t="n"/>
      <c r="H38" s="4110" t="n"/>
      <c r="I38" s="4204" t="n"/>
      <c r="J38" s="4254" t="inlineStr">
        <is>
          <t>ﾊﾅｺ</t>
        </is>
      </c>
      <c r="K38" s="4110" t="n"/>
      <c r="L38" s="4110" t="n"/>
      <c r="M38" s="4111" t="n"/>
      <c r="N38" s="2164" t="inlineStr">
        <is>
          <t>住所</t>
        </is>
      </c>
      <c r="O38" s="4099" t="n"/>
      <c r="P38" s="1244" t="inlineStr">
        <is>
          <t>郵便番号（</t>
        </is>
      </c>
      <c r="Q38" s="4098" t="n"/>
      <c r="R38" s="4098" t="n"/>
      <c r="S38" s="4098" t="n"/>
      <c r="T38" s="1742" t="inlineStr">
        <is>
          <t>５４０－０００８</t>
        </is>
      </c>
      <c r="U38" s="4098" t="n"/>
      <c r="V38" s="4098" t="n"/>
      <c r="W38" s="4098" t="n"/>
      <c r="X38" s="4098" t="n"/>
      <c r="Y38" s="1329" t="inlineStr">
        <is>
          <t>）</t>
        </is>
      </c>
      <c r="Z38" s="1017" t="n"/>
      <c r="AA38" s="1017" t="n"/>
      <c r="AB38" s="1017" t="n"/>
      <c r="AC38" s="1017" t="n"/>
      <c r="AD38" s="1017" t="n"/>
      <c r="AE38" s="120" t="n"/>
      <c r="AF38" s="119" t="n"/>
      <c r="AG38" s="119" t="n"/>
      <c r="AH38" s="118" t="n"/>
    </row>
    <row r="39" ht="12" customHeight="1" s="4080">
      <c r="A39" s="4208" t="n"/>
      <c r="B39" s="4122" t="n"/>
      <c r="C39" s="4209" t="inlineStr">
        <is>
          <t>氏　　名</t>
        </is>
      </c>
      <c r="D39" s="4098" t="n"/>
      <c r="E39" s="4099" t="n"/>
      <c r="F39" s="4253" t="inlineStr">
        <is>
          <t>淀屋橋</t>
        </is>
      </c>
      <c r="G39" s="4098" t="n"/>
      <c r="H39" s="4098" t="n"/>
      <c r="I39" s="4210" t="n"/>
      <c r="J39" s="4254" t="inlineStr">
        <is>
          <t>花子</t>
        </is>
      </c>
      <c r="K39" s="4098" t="n"/>
      <c r="L39" s="4098" t="n"/>
      <c r="M39" s="4099" t="n"/>
      <c r="N39" s="4106" t="n"/>
      <c r="O39" s="4107" t="n"/>
      <c r="P39" s="1509" t="inlineStr">
        <is>
          <t>大阪</t>
        </is>
      </c>
      <c r="R39" s="2378" t="inlineStr">
        <is>
          <t>都</t>
        </is>
      </c>
      <c r="S39" s="2378" t="inlineStr">
        <is>
          <t>道</t>
        </is>
      </c>
      <c r="T39" s="1510" t="inlineStr">
        <is>
          <t>大阪</t>
        </is>
      </c>
      <c r="W39" s="2378" t="inlineStr">
        <is>
          <t>郡</t>
        </is>
      </c>
      <c r="X39" s="1512" t="inlineStr">
        <is>
          <t>中央区大手前○丁目○番○号</t>
        </is>
      </c>
      <c r="AH39" s="4109" t="n"/>
    </row>
    <row r="40" ht="12" customHeight="1" s="4080">
      <c r="A40" s="4208" t="n"/>
      <c r="B40" s="4122" t="n"/>
      <c r="C40" s="4106" t="n"/>
      <c r="E40" s="4107" t="n"/>
      <c r="F40" s="4106" t="n"/>
      <c r="I40" s="4212" t="n"/>
      <c r="J40" s="4213" t="n"/>
      <c r="M40" s="4107" t="n"/>
      <c r="N40" s="4106" t="n"/>
      <c r="O40" s="4107" t="n"/>
      <c r="P40" s="4106" t="n"/>
      <c r="R40" s="79" t="inlineStr">
        <is>
          <t>府</t>
        </is>
      </c>
      <c r="S40" s="2378" t="inlineStr">
        <is>
          <t>県</t>
        </is>
      </c>
      <c r="W40" s="79" t="inlineStr">
        <is>
          <t>市</t>
        </is>
      </c>
      <c r="AH40" s="4109" t="n"/>
    </row>
    <row r="41" ht="3" customHeight="1" s="4080">
      <c r="A41" s="4208" t="n"/>
      <c r="B41" s="4122" t="n"/>
      <c r="C41" s="4102" t="n"/>
      <c r="D41" s="4103" t="n"/>
      <c r="E41" s="4104" t="n"/>
      <c r="F41" s="4102" t="n"/>
      <c r="G41" s="4103" t="n"/>
      <c r="H41" s="4103" t="n"/>
      <c r="I41" s="4215" t="n"/>
      <c r="J41" s="4216" t="n"/>
      <c r="K41" s="4103" t="n"/>
      <c r="L41" s="4103" t="n"/>
      <c r="M41" s="4104" t="n"/>
      <c r="N41" s="4102" t="n"/>
      <c r="O41" s="4104" t="n"/>
      <c r="P41" s="4102" t="n"/>
      <c r="Q41" s="4103" t="n"/>
      <c r="R41" s="1810" t="n"/>
      <c r="S41" s="1810" t="n"/>
      <c r="T41" s="4103" t="n"/>
      <c r="U41" s="4103" t="n"/>
      <c r="V41" s="4103" t="n"/>
      <c r="W41" s="1810" t="n"/>
      <c r="AH41" s="4109" t="n"/>
    </row>
    <row r="42" ht="3.95" customHeight="1" s="4080">
      <c r="A42" s="4208" t="n"/>
      <c r="B42" s="4122" t="n"/>
      <c r="C42" s="1393" t="inlineStr">
        <is>
          <t>他の職務との兼務の有無及び職種</t>
        </is>
      </c>
      <c r="D42" s="4098" t="n"/>
      <c r="E42" s="4098" t="n"/>
      <c r="F42" s="4098" t="n"/>
      <c r="G42" s="4098" t="n"/>
      <c r="H42" s="4098" t="n"/>
      <c r="I42" s="4098" t="n"/>
      <c r="J42" s="4098" t="n"/>
      <c r="K42" s="4098" t="n"/>
      <c r="L42" s="4098" t="n"/>
      <c r="M42" s="4098" t="n"/>
      <c r="N42" s="4195" t="n"/>
      <c r="O42" s="4098" t="n"/>
      <c r="P42" s="4098" t="n"/>
      <c r="Q42" s="4098" t="n"/>
      <c r="R42" s="4099" t="n"/>
      <c r="S42" s="2163" t="inlineStr">
        <is>
          <t>職　　種</t>
        </is>
      </c>
      <c r="T42" s="4098" t="n"/>
      <c r="U42" s="4099" t="n"/>
      <c r="V42" s="1322" t="n"/>
      <c r="W42" s="1335" t="inlineStr">
        <is>
          <t xml:space="preserve">　</t>
        </is>
      </c>
      <c r="X42" s="4098" t="n"/>
      <c r="Y42" s="4098" t="n"/>
      <c r="Z42" s="4098" t="n"/>
      <c r="AA42" s="4098" t="n"/>
      <c r="AB42" s="4098" t="n"/>
      <c r="AC42" s="4098" t="n"/>
      <c r="AD42" s="4098" t="n"/>
      <c r="AE42" s="4098" t="n"/>
      <c r="AF42" s="4098" t="n"/>
      <c r="AG42" s="4098" t="n"/>
      <c r="AH42" s="4101" t="n"/>
    </row>
    <row r="43" ht="12" customHeight="1" s="4080">
      <c r="A43" s="4208" t="n"/>
      <c r="B43" s="4122" t="n"/>
      <c r="C43" s="4106" t="n"/>
      <c r="N43" s="1354" t="n"/>
      <c r="O43" s="1325" t="inlineStr">
        <is>
          <t>有</t>
        </is>
      </c>
      <c r="P43" s="1325" t="inlineStr">
        <is>
          <t>・</t>
        </is>
      </c>
      <c r="Q43" s="80" t="inlineStr">
        <is>
          <t>無</t>
        </is>
      </c>
      <c r="R43" s="1332" t="n"/>
      <c r="S43" s="4106" t="n"/>
      <c r="U43" s="4107" t="n"/>
      <c r="V43" s="4312" t="n"/>
      <c r="AH43" s="4109" t="n"/>
    </row>
    <row r="44" ht="3.95" customHeight="1" s="4080">
      <c r="A44" s="4208" t="n"/>
      <c r="B44" s="4122" t="n"/>
      <c r="C44" s="4102" t="n"/>
      <c r="D44" s="4103" t="n"/>
      <c r="E44" s="4103" t="n"/>
      <c r="F44" s="4103" t="n"/>
      <c r="G44" s="4103" t="n"/>
      <c r="H44" s="4103" t="n"/>
      <c r="I44" s="4103" t="n"/>
      <c r="J44" s="4103" t="n"/>
      <c r="K44" s="4103" t="n"/>
      <c r="L44" s="4103" t="n"/>
      <c r="M44" s="4103" t="n"/>
      <c r="N44" s="4197" t="n"/>
      <c r="O44" s="4103" t="n"/>
      <c r="P44" s="4103" t="n"/>
      <c r="Q44" s="4103" t="n"/>
      <c r="R44" s="4104" t="n"/>
      <c r="S44" s="4102" t="n"/>
      <c r="T44" s="4103" t="n"/>
      <c r="U44" s="4104" t="n"/>
      <c r="V44" s="1326" t="n"/>
      <c r="W44" s="1299" t="n"/>
      <c r="X44" s="4103" t="n"/>
      <c r="Y44" s="4103" t="n"/>
      <c r="Z44" s="4103" t="n"/>
      <c r="AA44" s="4103" t="n"/>
      <c r="AB44" s="4103" t="n"/>
      <c r="AC44" s="4103" t="n"/>
      <c r="AD44" s="4103" t="n"/>
      <c r="AE44" s="4103" t="n"/>
      <c r="AF44" s="4103" t="n"/>
      <c r="AG44" s="4103" t="n"/>
      <c r="AH44" s="4105" t="n"/>
    </row>
    <row r="45" ht="3.95" customHeight="1" s="4080">
      <c r="A45" s="4208" t="n"/>
      <c r="B45" s="4122" t="n"/>
      <c r="C45" s="1826" t="inlineStr">
        <is>
          <t>資格要件</t>
        </is>
      </c>
      <c r="D45" s="4098" t="n"/>
      <c r="E45" s="4098" t="n"/>
      <c r="F45" s="1322" t="n"/>
      <c r="G45" s="1323" t="n"/>
      <c r="H45" s="1414" t="n"/>
      <c r="I45" s="2056" t="n"/>
      <c r="J45" s="2056" t="n"/>
      <c r="K45" s="2056" t="n"/>
      <c r="L45" s="2056" t="n"/>
      <c r="M45" s="2056" t="n"/>
      <c r="N45" s="2056" t="n"/>
      <c r="O45" s="2056" t="n"/>
      <c r="P45" s="1402" t="n"/>
      <c r="Q45" s="1402" t="n"/>
      <c r="R45" s="1402" t="n"/>
      <c r="S45" s="4313" t="inlineStr">
        <is>
          <t>研修の
受講状況</t>
        </is>
      </c>
      <c r="T45" s="4098" t="n"/>
      <c r="U45" s="4099" t="n"/>
      <c r="V45" s="1322" t="n"/>
      <c r="W45" s="1323" t="n"/>
      <c r="X45" s="1323" t="n"/>
      <c r="Y45" s="1323" t="n"/>
      <c r="Z45" s="1323" t="n"/>
      <c r="AA45" s="1331" t="n"/>
      <c r="AB45" s="1323" t="n"/>
      <c r="AC45" s="1323" t="n"/>
      <c r="AD45" s="1323" t="n"/>
      <c r="AE45" s="1323" t="n"/>
      <c r="AF45" s="1323" t="n"/>
      <c r="AG45" s="1323" t="n"/>
      <c r="AH45" s="2297" t="n"/>
    </row>
    <row r="46" ht="12" customHeight="1" s="4080">
      <c r="A46" s="4208" t="n"/>
      <c r="B46" s="4122" t="n"/>
      <c r="C46" s="4106" t="n"/>
      <c r="F46" s="4314" t="inlineStr">
        <is>
          <t>実務経験</t>
        </is>
      </c>
      <c r="H46" s="4107" t="n"/>
      <c r="I46" s="3186" t="inlineStr">
        <is>
          <t>直接支援業務5年以上＋有資格</t>
        </is>
      </c>
      <c r="S46" s="4106" t="n"/>
      <c r="U46" s="4107" t="n"/>
      <c r="V46" s="4315" t="inlineStr">
        <is>
          <t>相談支援従事者研修</t>
        </is>
      </c>
      <c r="AA46" s="4107" t="n"/>
      <c r="AB46" s="128" t="n"/>
      <c r="AC46" s="4770" t="inlineStr">
        <is>
          <t>受講済</t>
        </is>
      </c>
      <c r="AD46" s="4266" t="n"/>
      <c r="AE46" s="2379" t="inlineStr">
        <is>
          <t>・</t>
        </is>
      </c>
      <c r="AF46" s="1770" t="inlineStr">
        <is>
          <t>未受講</t>
        </is>
      </c>
      <c r="AH46" s="130" t="n"/>
    </row>
    <row r="47" ht="3.95" customHeight="1" s="4080">
      <c r="A47" s="4208" t="n"/>
      <c r="B47" s="4122" t="n"/>
      <c r="C47" s="4106" t="n"/>
      <c r="F47" s="131" t="n"/>
      <c r="G47" s="132" t="n"/>
      <c r="H47" s="133" t="n"/>
      <c r="I47" s="134" t="n"/>
      <c r="J47" s="134" t="n"/>
      <c r="K47" s="134" t="n"/>
      <c r="L47" s="134" t="n"/>
      <c r="M47" s="134" t="n"/>
      <c r="N47" s="134" t="n"/>
      <c r="O47" s="135" t="n"/>
      <c r="P47" s="136" t="n"/>
      <c r="Q47" s="136" t="n"/>
      <c r="R47" s="137" t="n"/>
      <c r="S47" s="4106" t="n"/>
      <c r="U47" s="4107" t="n"/>
      <c r="V47" s="4316" t="n"/>
      <c r="W47" s="4317" t="n"/>
      <c r="X47" s="4317" t="n"/>
      <c r="Y47" s="4317" t="n"/>
      <c r="Z47" s="4317" t="n"/>
      <c r="AA47" s="4318" t="n"/>
      <c r="AB47" s="138" t="n"/>
      <c r="AC47" s="138" t="n"/>
      <c r="AD47" s="138" t="n"/>
      <c r="AE47" s="138" t="n"/>
      <c r="AF47" s="138" t="n"/>
      <c r="AG47" s="138" t="n"/>
      <c r="AH47" s="139" t="n"/>
    </row>
    <row r="48" ht="3.95" customHeight="1" s="4080">
      <c r="A48" s="4208" t="n"/>
      <c r="B48" s="4122" t="n"/>
      <c r="C48" s="4106" t="n"/>
      <c r="F48" s="140" t="n"/>
      <c r="G48" s="141" t="n"/>
      <c r="H48" s="142" t="n"/>
      <c r="I48" s="143" t="n"/>
      <c r="J48" s="143" t="n"/>
      <c r="K48" s="144" t="n"/>
      <c r="L48" s="141" t="n"/>
      <c r="M48" s="141" t="n"/>
      <c r="N48" s="141" t="n"/>
      <c r="O48" s="141" t="n"/>
      <c r="P48" s="145" t="n"/>
      <c r="Q48" s="145" t="n"/>
      <c r="R48" s="146" t="n"/>
      <c r="S48" s="4106" t="n"/>
      <c r="U48" s="4107" t="n"/>
      <c r="V48" s="4319" t="n"/>
      <c r="W48" s="4320" t="n"/>
      <c r="X48" s="4320" t="n"/>
      <c r="Y48" s="4320" t="n"/>
      <c r="Z48" s="4320" t="n"/>
      <c r="AA48" s="4321" t="n"/>
      <c r="AB48" s="141" t="n"/>
      <c r="AC48" s="141" t="n"/>
      <c r="AD48" s="141" t="n"/>
      <c r="AE48" s="141" t="n"/>
      <c r="AF48" s="141" t="n"/>
      <c r="AG48" s="141" t="n"/>
      <c r="AH48" s="147" t="n"/>
    </row>
    <row r="49" ht="12" customHeight="1" s="4080">
      <c r="A49" s="4208" t="n"/>
      <c r="B49" s="4122" t="n"/>
      <c r="C49" s="4106" t="n"/>
      <c r="F49" s="4314" t="inlineStr">
        <is>
          <t>資格種類</t>
        </is>
      </c>
      <c r="H49" s="4107" t="n"/>
      <c r="I49" s="4771" t="inlineStr">
        <is>
          <t>介護福祉士</t>
        </is>
      </c>
      <c r="R49" s="4107" t="n"/>
      <c r="S49" s="4106" t="n"/>
      <c r="U49" s="4107" t="n"/>
      <c r="V49" s="4322" t="inlineStr">
        <is>
          <t>サービス管理責任者研修</t>
        </is>
      </c>
      <c r="AA49" s="4107" t="n"/>
      <c r="AB49" s="1355" t="n"/>
      <c r="AC49" s="4770" t="inlineStr">
        <is>
          <t>受講済</t>
        </is>
      </c>
      <c r="AD49" s="4266" t="n"/>
      <c r="AE49" s="2379" t="inlineStr">
        <is>
          <t>・</t>
        </is>
      </c>
      <c r="AF49" s="1770" t="inlineStr">
        <is>
          <t>未受講</t>
        </is>
      </c>
      <c r="AH49" s="148" t="n"/>
    </row>
    <row r="50" ht="3.95" customHeight="1" s="4080">
      <c r="A50" s="4208" t="n"/>
      <c r="B50" s="4124" t="n"/>
      <c r="C50" s="4102" t="n"/>
      <c r="D50" s="4103" t="n"/>
      <c r="E50" s="4103" t="n"/>
      <c r="F50" s="1326" t="n"/>
      <c r="G50" s="1327" t="n"/>
      <c r="H50" s="1333" t="n"/>
      <c r="I50" s="134" t="n"/>
      <c r="J50" s="134" t="n"/>
      <c r="K50" s="134" t="n"/>
      <c r="L50" s="134" t="n"/>
      <c r="M50" s="134" t="n"/>
      <c r="N50" s="134" t="n"/>
      <c r="O50" s="2059" t="n"/>
      <c r="P50" s="1413" t="n"/>
      <c r="Q50" s="1413" t="n"/>
      <c r="R50" s="1413" t="n"/>
      <c r="S50" s="4102" t="n"/>
      <c r="T50" s="4103" t="n"/>
      <c r="U50" s="4104" t="n"/>
      <c r="V50" s="1412" t="n"/>
      <c r="W50" s="154" t="n"/>
      <c r="X50" s="154" t="n"/>
      <c r="Y50" s="138" t="n"/>
      <c r="Z50" s="138" t="n"/>
      <c r="AA50" s="155" t="n"/>
      <c r="AB50" s="138" t="n"/>
      <c r="AC50" s="138" t="n"/>
      <c r="AD50" s="138" t="n"/>
      <c r="AE50" s="138" t="n"/>
      <c r="AF50" s="138" t="n"/>
      <c r="AG50" s="138" t="n"/>
      <c r="AH50" s="139" t="n"/>
    </row>
    <row r="51" ht="12" customHeight="1" s="4080">
      <c r="A51" s="4208" t="n"/>
      <c r="B51" s="4231" t="inlineStr">
        <is>
          <t>主な掲示事項</t>
        </is>
      </c>
      <c r="C51" s="1393" t="n"/>
      <c r="D51" s="1264" t="inlineStr">
        <is>
          <t>サービス提供日</t>
        </is>
      </c>
      <c r="E51" s="4098" t="n"/>
      <c r="F51" s="4098" t="n"/>
      <c r="G51" s="4098" t="n"/>
      <c r="H51" s="4098" t="n"/>
      <c r="I51" s="4098" t="n"/>
      <c r="J51" s="4423" t="n"/>
      <c r="K51" s="2244" t="inlineStr">
        <is>
          <t>月</t>
        </is>
      </c>
      <c r="L51" s="2245" t="inlineStr">
        <is>
          <t>火</t>
        </is>
      </c>
      <c r="M51" s="2245" t="inlineStr">
        <is>
          <t>水</t>
        </is>
      </c>
      <c r="N51" s="2245" t="inlineStr">
        <is>
          <t>木</t>
        </is>
      </c>
      <c r="O51" s="2245" t="inlineStr">
        <is>
          <t>金</t>
        </is>
      </c>
      <c r="P51" s="2245" t="inlineStr">
        <is>
          <t>土</t>
        </is>
      </c>
      <c r="Q51" s="2245" t="inlineStr">
        <is>
          <t>日</t>
        </is>
      </c>
      <c r="R51" s="2249" t="inlineStr">
        <is>
          <t>祝</t>
        </is>
      </c>
      <c r="S51" s="4279" t="inlineStr">
        <is>
          <t>休業日</t>
        </is>
      </c>
      <c r="T51" s="1611" t="inlineStr">
        <is>
          <t>年末年始</t>
        </is>
      </c>
      <c r="U51" s="4098" t="n"/>
      <c r="V51" s="1717" t="inlineStr">
        <is>
          <t>12/29～1/3</t>
        </is>
      </c>
      <c r="W51" s="4098" t="n"/>
      <c r="X51" s="4098" t="n"/>
      <c r="Y51" s="4098" t="n"/>
      <c r="Z51" s="4098" t="n"/>
      <c r="AA51" s="4098" t="n"/>
      <c r="AB51" s="4099" t="n"/>
      <c r="AC51" s="4733" t="inlineStr">
        <is>
          <t>備考</t>
        </is>
      </c>
      <c r="AD51" s="4281" t="n"/>
      <c r="AE51" s="4098" t="n"/>
      <c r="AF51" s="4098" t="n"/>
      <c r="AG51" s="4098" t="n"/>
      <c r="AH51" s="4101" t="n"/>
    </row>
    <row r="52" ht="12" customHeight="1" s="4080">
      <c r="A52" s="4208" t="n"/>
      <c r="B52" s="4122" t="n"/>
      <c r="C52" s="4106" t="n"/>
      <c r="J52" s="4107" t="n"/>
      <c r="K52" s="4302" t="inlineStr">
        <is>
          <t>○</t>
        </is>
      </c>
      <c r="L52" s="4303" t="inlineStr">
        <is>
          <t>○</t>
        </is>
      </c>
      <c r="M52" s="4303" t="inlineStr">
        <is>
          <t>○</t>
        </is>
      </c>
      <c r="N52" s="4303" t="inlineStr">
        <is>
          <t>○</t>
        </is>
      </c>
      <c r="O52" s="4303" t="inlineStr">
        <is>
          <t>○</t>
        </is>
      </c>
      <c r="P52" s="4303" t="n"/>
      <c r="Q52" s="4303" t="n"/>
      <c r="R52" s="4309" t="inlineStr">
        <is>
          <t>○</t>
        </is>
      </c>
      <c r="S52" s="4282" t="n"/>
      <c r="T52" s="1609" t="inlineStr">
        <is>
          <t>夏季</t>
        </is>
      </c>
      <c r="V52" s="1744" t="inlineStr">
        <is>
          <t>8/13～8/16</t>
        </is>
      </c>
      <c r="AB52" s="4107" t="n"/>
      <c r="AC52" s="4282" t="n"/>
      <c r="AD52" s="4192" t="n"/>
      <c r="AH52" s="4109" t="n"/>
    </row>
    <row r="53" ht="12" customHeight="1" s="4080">
      <c r="A53" s="4208" t="n"/>
      <c r="B53" s="4122" t="n"/>
      <c r="C53" s="4102" t="n"/>
      <c r="D53" s="4103" t="n"/>
      <c r="E53" s="4103" t="n"/>
      <c r="F53" s="4103" t="n"/>
      <c r="G53" s="4103" t="n"/>
      <c r="H53" s="4103" t="n"/>
      <c r="I53" s="4103" t="n"/>
      <c r="J53" s="4104" t="n"/>
      <c r="K53" s="4283" t="n"/>
      <c r="L53" s="4284" t="n"/>
      <c r="M53" s="4284" t="n"/>
      <c r="N53" s="4284" t="n"/>
      <c r="O53" s="4284" t="n"/>
      <c r="P53" s="4284" t="n"/>
      <c r="Q53" s="4284" t="n"/>
      <c r="R53" s="4285" t="n"/>
      <c r="S53" s="4286" t="n"/>
      <c r="T53" s="1610" t="inlineStr">
        <is>
          <t>その他</t>
        </is>
      </c>
      <c r="U53" s="4103" t="n"/>
      <c r="V53" s="940" t="n"/>
      <c r="W53" s="4103" t="n"/>
      <c r="X53" s="4103" t="n"/>
      <c r="Y53" s="4103" t="n"/>
      <c r="Z53" s="4103" t="n"/>
      <c r="AA53" s="4103" t="n"/>
      <c r="AB53" s="4104" t="n"/>
      <c r="AC53" s="4286" t="n"/>
      <c r="AD53" s="4194" t="n"/>
      <c r="AE53" s="4103" t="n"/>
      <c r="AF53" s="4103" t="n"/>
      <c r="AG53" s="4103" t="n"/>
      <c r="AH53" s="4105" t="n"/>
    </row>
    <row r="54" ht="3.95" customHeight="1" s="4080">
      <c r="A54" s="4208" t="n"/>
      <c r="B54" s="4122" t="n"/>
      <c r="C54" s="1393" t="n"/>
      <c r="D54" s="1264" t="inlineStr">
        <is>
          <t>サービス提供時間</t>
        </is>
      </c>
      <c r="E54" s="4098" t="n"/>
      <c r="F54" s="4098" t="n"/>
      <c r="G54" s="4098" t="n"/>
      <c r="H54" s="4098" t="n"/>
      <c r="I54" s="4098" t="n"/>
      <c r="J54" s="4223" t="n"/>
      <c r="K54" s="1660" t="n"/>
      <c r="L54" s="1661" t="n"/>
      <c r="M54" s="1661" t="n"/>
      <c r="N54" s="1661" t="n"/>
      <c r="O54" s="1661" t="n"/>
      <c r="P54" s="1661" t="n"/>
      <c r="Q54" s="1661" t="n"/>
      <c r="R54" s="1661" t="n"/>
      <c r="S54" s="1661" t="n"/>
      <c r="T54" s="1661" t="n"/>
      <c r="U54" s="1661" t="n"/>
      <c r="V54" s="1661" t="n"/>
      <c r="W54" s="1661" t="n"/>
      <c r="X54" s="1661" t="n"/>
      <c r="Y54" s="1661" t="n"/>
      <c r="Z54" s="1661" t="n"/>
      <c r="AA54" s="1661" t="n"/>
      <c r="AB54" s="1661" t="n"/>
      <c r="AC54" s="4734" t="inlineStr">
        <is>
          <t>備考</t>
        </is>
      </c>
      <c r="AD54" s="4735" t="n"/>
      <c r="AE54" s="4098" t="n"/>
      <c r="AF54" s="4098" t="n"/>
      <c r="AG54" s="4098" t="n"/>
      <c r="AH54" s="4101" t="n"/>
    </row>
    <row r="55" ht="12" customHeight="1" s="4080">
      <c r="A55" s="4208" t="n"/>
      <c r="B55" s="4122" t="n"/>
      <c r="C55" s="4106" t="n"/>
      <c r="J55" s="4107" t="n"/>
      <c r="K55" s="224" t="n"/>
      <c r="L55" s="1707" t="inlineStr">
        <is>
          <t>９</t>
        </is>
      </c>
      <c r="O55" s="1325" t="inlineStr">
        <is>
          <t>時</t>
        </is>
      </c>
      <c r="P55" s="1538" t="inlineStr">
        <is>
          <t>００</t>
        </is>
      </c>
      <c r="R55" s="1325" t="inlineStr">
        <is>
          <t>分～</t>
        </is>
      </c>
      <c r="T55" s="1707" t="inlineStr">
        <is>
          <t>１７</t>
        </is>
      </c>
      <c r="W55" s="1325" t="inlineStr">
        <is>
          <t>時</t>
        </is>
      </c>
      <c r="X55" s="1538" t="inlineStr">
        <is>
          <t>００</t>
        </is>
      </c>
      <c r="Z55" s="1325" t="inlineStr">
        <is>
          <t>分</t>
        </is>
      </c>
      <c r="AA55" s="1325" t="n"/>
      <c r="AB55" s="1325" t="n"/>
      <c r="AC55" s="4282" t="n"/>
      <c r="AD55" s="4192" t="n"/>
      <c r="AH55" s="4109" t="n"/>
    </row>
    <row r="56" ht="3.95" customHeight="1" s="4080">
      <c r="A56" s="4208" t="n"/>
      <c r="B56" s="4122" t="n"/>
      <c r="C56" s="4102" t="n"/>
      <c r="D56" s="4103" t="n"/>
      <c r="E56" s="4103" t="n"/>
      <c r="F56" s="4103" t="n"/>
      <c r="G56" s="4103" t="n"/>
      <c r="H56" s="4103" t="n"/>
      <c r="I56" s="4103" t="n"/>
      <c r="J56" s="4104" t="n"/>
      <c r="K56" s="1657" t="n"/>
      <c r="L56" s="1658" t="n"/>
      <c r="M56" s="1658" t="n"/>
      <c r="N56" s="1658" t="n"/>
      <c r="O56" s="1658" t="n"/>
      <c r="P56" s="1658" t="n"/>
      <c r="Q56" s="1658" t="n"/>
      <c r="R56" s="1658" t="n"/>
      <c r="S56" s="1658" t="n"/>
      <c r="T56" s="1658" t="n"/>
      <c r="U56" s="1658" t="n"/>
      <c r="V56" s="1658" t="n"/>
      <c r="W56" s="1658" t="n"/>
      <c r="X56" s="1658" t="n"/>
      <c r="Y56" s="1658" t="n"/>
      <c r="Z56" s="1658" t="n"/>
      <c r="AA56" s="1658" t="n"/>
      <c r="AB56" s="1658" t="n"/>
      <c r="AC56" s="4286" t="n"/>
      <c r="AD56" s="4194" t="n"/>
      <c r="AE56" s="4103" t="n"/>
      <c r="AF56" s="4103" t="n"/>
      <c r="AG56" s="4103" t="n"/>
      <c r="AH56" s="4105" t="n"/>
    </row>
    <row r="57" ht="11.1" customHeight="1" s="4080">
      <c r="A57" s="4208" t="n"/>
      <c r="B57" s="4122" t="n"/>
      <c r="C57" s="1393" t="n"/>
      <c r="D57" s="4222" t="inlineStr">
        <is>
          <t>サービスを提供
する主たる対象者</t>
        </is>
      </c>
      <c r="E57" s="4098" t="n"/>
      <c r="F57" s="4098" t="n"/>
      <c r="G57" s="4098" t="n"/>
      <c r="H57" s="4098" t="n"/>
      <c r="I57" s="4098" t="n"/>
      <c r="J57" s="4223" t="n"/>
      <c r="K57" s="4743" t="inlineStr">
        <is>
          <t>身体障害者</t>
        </is>
      </c>
      <c r="L57" s="4138" t="n"/>
      <c r="M57" s="4138" t="n"/>
      <c r="N57" s="4138" t="n"/>
      <c r="O57" s="4138" t="n"/>
      <c r="P57" s="4138" t="n"/>
      <c r="Q57" s="4138" t="n"/>
      <c r="R57" s="4138" t="n"/>
      <c r="S57" s="4138" t="n"/>
      <c r="T57" s="4138" t="n"/>
      <c r="U57" s="4138" t="n"/>
      <c r="V57" s="4138" t="n"/>
      <c r="W57" s="4138" t="n"/>
      <c r="X57" s="4138" t="n"/>
      <c r="Y57" s="4138" t="n"/>
      <c r="Z57" s="4139" t="n"/>
      <c r="AA57" s="2542" t="inlineStr">
        <is>
          <t>知的障害者</t>
        </is>
      </c>
      <c r="AB57" s="4098" t="n"/>
      <c r="AC57" s="4098" t="n"/>
      <c r="AD57" s="4099" t="n"/>
      <c r="AE57" s="2542" t="inlineStr">
        <is>
          <t>精神障害者</t>
        </is>
      </c>
      <c r="AF57" s="4098" t="n"/>
      <c r="AG57" s="4098" t="n"/>
      <c r="AH57" s="4099" t="n"/>
    </row>
    <row r="58" ht="11.1" customHeight="1" s="4080">
      <c r="A58" s="4208" t="n"/>
      <c r="B58" s="4122" t="n"/>
      <c r="C58" s="4106" t="n"/>
      <c r="J58" s="4107" t="n"/>
      <c r="K58" s="3092" t="inlineStr">
        <is>
          <t>肢体不自由</t>
        </is>
      </c>
      <c r="L58" s="4103" t="n"/>
      <c r="M58" s="4103" t="n"/>
      <c r="N58" s="4193" t="n"/>
      <c r="O58" s="3094" t="inlineStr">
        <is>
          <t>視　　覚</t>
        </is>
      </c>
      <c r="P58" s="4103" t="n"/>
      <c r="Q58" s="4103" t="n"/>
      <c r="R58" s="4193" t="n"/>
      <c r="S58" s="3093" t="inlineStr">
        <is>
          <t>聴覚・言語</t>
        </is>
      </c>
      <c r="T58" s="4103" t="n"/>
      <c r="U58" s="4103" t="n"/>
      <c r="V58" s="4193" t="n"/>
      <c r="W58" s="3094" t="inlineStr">
        <is>
          <t>内　　部</t>
        </is>
      </c>
      <c r="X58" s="4103" t="n"/>
      <c r="Y58" s="4103" t="n"/>
      <c r="Z58" s="4193" t="n"/>
      <c r="AA58" s="4102" t="n"/>
      <c r="AB58" s="4103" t="n"/>
      <c r="AC58" s="4103" t="n"/>
      <c r="AD58" s="4104" t="n"/>
      <c r="AE58" s="4102" t="n"/>
      <c r="AF58" s="4103" t="n"/>
      <c r="AG58" s="4103" t="n"/>
      <c r="AH58" s="4104" t="n"/>
    </row>
    <row r="59" ht="12" customHeight="1" s="4080">
      <c r="A59" s="4208" t="n"/>
      <c r="B59" s="4122" t="n"/>
      <c r="C59" s="4102" t="n"/>
      <c r="D59" s="4103" t="n"/>
      <c r="E59" s="4103" t="n"/>
      <c r="F59" s="4103" t="n"/>
      <c r="G59" s="4103" t="n"/>
      <c r="H59" s="4103" t="n"/>
      <c r="I59" s="4103" t="n"/>
      <c r="J59" s="4104" t="n"/>
      <c r="K59" s="3096" t="n"/>
      <c r="L59" s="4140" t="n"/>
      <c r="M59" s="4140" t="n"/>
      <c r="N59" s="4249" t="n"/>
      <c r="O59" s="3097" t="n"/>
      <c r="P59" s="4140" t="n"/>
      <c r="Q59" s="4140" t="n"/>
      <c r="R59" s="4249" t="n"/>
      <c r="S59" s="3097" t="n"/>
      <c r="T59" s="4140" t="n"/>
      <c r="U59" s="4140" t="n"/>
      <c r="V59" s="4249" t="n"/>
      <c r="W59" s="3097" t="n"/>
      <c r="X59" s="4140" t="n"/>
      <c r="Y59" s="4140" t="n"/>
      <c r="Z59" s="4249" t="n"/>
      <c r="AA59" s="3191" t="inlineStr">
        <is>
          <t>○</t>
        </is>
      </c>
      <c r="AB59" s="4140" t="n"/>
      <c r="AC59" s="4140" t="n"/>
      <c r="AD59" s="4141" t="n"/>
      <c r="AE59" s="3191" t="inlineStr">
        <is>
          <t>○</t>
        </is>
      </c>
      <c r="AF59" s="4140" t="n"/>
      <c r="AG59" s="4140" t="n"/>
      <c r="AH59" s="4141" t="n"/>
    </row>
    <row r="60" ht="12.95" customHeight="1" s="4080">
      <c r="A60" s="4208" t="n"/>
      <c r="B60" s="4122" t="n"/>
      <c r="C60" s="1393" t="n"/>
      <c r="D60" s="1264" t="inlineStr">
        <is>
          <t>利用料</t>
        </is>
      </c>
      <c r="E60" s="4110" t="n"/>
      <c r="F60" s="4110" t="n"/>
      <c r="G60" s="4110" t="n"/>
      <c r="H60" s="4110" t="n"/>
      <c r="I60" s="4110" t="n"/>
      <c r="J60" s="1394" t="n"/>
      <c r="K60" s="4262" t="inlineStr">
        <is>
          <t>法定代理受領分：厚生労働大臣が定める基準の10/100、法定代理受領分以外：厚生労働大臣が定める基準</t>
        </is>
      </c>
      <c r="L60" s="4110" t="n"/>
      <c r="M60" s="4110" t="n"/>
      <c r="N60" s="4110" t="n"/>
      <c r="O60" s="4110" t="n"/>
      <c r="P60" s="4110" t="n"/>
      <c r="Q60" s="4110" t="n"/>
      <c r="R60" s="4110" t="n"/>
      <c r="S60" s="4110" t="n"/>
      <c r="T60" s="4110" t="n"/>
      <c r="U60" s="4110" t="n"/>
      <c r="V60" s="4110" t="n"/>
      <c r="W60" s="4110" t="n"/>
      <c r="X60" s="4110" t="n"/>
      <c r="Y60" s="4110" t="n"/>
      <c r="Z60" s="4110" t="n"/>
      <c r="AA60" s="4110" t="n"/>
      <c r="AB60" s="4110" t="n"/>
      <c r="AC60" s="4110" t="n"/>
      <c r="AD60" s="4110" t="n"/>
      <c r="AE60" s="4110" t="n"/>
      <c r="AF60" s="4110" t="n"/>
      <c r="AG60" s="4110" t="n"/>
      <c r="AH60" s="4113" t="n"/>
    </row>
    <row r="61" ht="12.95" customHeight="1" s="4080">
      <c r="A61" s="4208" t="n"/>
      <c r="B61" s="4122" t="n"/>
      <c r="C61" s="1322" t="n"/>
      <c r="D61" s="1264" t="inlineStr">
        <is>
          <t>その他の費用</t>
        </is>
      </c>
      <c r="E61" s="4110" t="n"/>
      <c r="F61" s="4110" t="n"/>
      <c r="G61" s="4110" t="n"/>
      <c r="H61" s="4110" t="n"/>
      <c r="I61" s="4110" t="n"/>
      <c r="J61" s="1331" t="n"/>
      <c r="K61" s="4263" t="inlineStr">
        <is>
          <t>運営規程に定めるとおり</t>
        </is>
      </c>
      <c r="L61" s="4098" t="n"/>
      <c r="M61" s="4098" t="n"/>
      <c r="N61" s="4098" t="n"/>
      <c r="O61" s="4098" t="n"/>
      <c r="P61" s="4098" t="n"/>
      <c r="Q61" s="4098" t="n"/>
      <c r="R61" s="4098" t="n"/>
      <c r="S61" s="4098" t="n"/>
      <c r="T61" s="4098" t="n"/>
      <c r="U61" s="4098" t="n"/>
      <c r="V61" s="4098" t="n"/>
      <c r="W61" s="4098" t="n"/>
      <c r="X61" s="4098" t="n"/>
      <c r="Y61" s="4098" t="n"/>
      <c r="Z61" s="4098" t="n"/>
      <c r="AA61" s="4098" t="n"/>
      <c r="AB61" s="4098" t="n"/>
      <c r="AC61" s="4098" t="n"/>
      <c r="AD61" s="4098" t="n"/>
      <c r="AE61" s="4098" t="n"/>
      <c r="AF61" s="4098" t="n"/>
      <c r="AG61" s="4098" t="n"/>
      <c r="AH61" s="4101" t="n"/>
    </row>
    <row r="62" ht="20.1" customHeight="1" s="4080">
      <c r="A62" s="4208" t="n"/>
      <c r="B62" s="4122" t="n"/>
      <c r="C62" s="1300" t="n"/>
      <c r="D62" s="4222" t="inlineStr">
        <is>
          <t>通常の事業の
実施地域</t>
        </is>
      </c>
      <c r="E62" s="4098" t="n"/>
      <c r="F62" s="4098" t="n"/>
      <c r="G62" s="4098" t="n"/>
      <c r="H62" s="4098" t="n"/>
      <c r="I62" s="4098" t="n"/>
      <c r="J62" s="1963" t="n"/>
      <c r="K62" s="3272" t="inlineStr">
        <is>
          <t>1)</t>
        </is>
      </c>
      <c r="L62" s="1562" t="inlineStr">
        <is>
          <t>大阪市中央区</t>
        </is>
      </c>
      <c r="M62" s="4110" t="n"/>
      <c r="N62" s="4110" t="n"/>
      <c r="O62" s="2325" t="inlineStr">
        <is>
          <t>2)</t>
        </is>
      </c>
      <c r="P62" s="1562" t="inlineStr">
        <is>
          <t>大阪市北区</t>
        </is>
      </c>
      <c r="Q62" s="4110" t="n"/>
      <c r="R62" s="4110" t="n"/>
      <c r="S62" s="2325" t="inlineStr">
        <is>
          <t>3)</t>
        </is>
      </c>
      <c r="T62" s="1562" t="inlineStr">
        <is>
          <t>大阪市天王寺区</t>
        </is>
      </c>
      <c r="U62" s="4110" t="n"/>
      <c r="V62" s="4110" t="n"/>
      <c r="W62" s="2325" t="inlineStr">
        <is>
          <t>4)</t>
        </is>
      </c>
      <c r="X62" s="1562" t="inlineStr">
        <is>
          <t>大阪市東成区</t>
        </is>
      </c>
      <c r="Y62" s="4110" t="n"/>
      <c r="Z62" s="4110" t="n"/>
      <c r="AA62" s="2325" t="inlineStr">
        <is>
          <t>5)</t>
        </is>
      </c>
      <c r="AB62" s="1562" t="n"/>
      <c r="AC62" s="4110" t="n"/>
      <c r="AD62" s="4110" t="n"/>
      <c r="AE62" s="4736" t="inlineStr">
        <is>
          <t>備考</t>
        </is>
      </c>
      <c r="AF62" s="4230" t="n"/>
      <c r="AG62" s="4098" t="n"/>
      <c r="AH62" s="4101" t="n"/>
    </row>
    <row r="63" ht="20.1" customHeight="1" s="4080">
      <c r="A63" s="4208" t="n"/>
      <c r="B63" s="4124" t="n"/>
      <c r="C63" s="4102" t="n"/>
      <c r="D63" s="4103" t="n"/>
      <c r="E63" s="4103" t="n"/>
      <c r="F63" s="4103" t="n"/>
      <c r="G63" s="4103" t="n"/>
      <c r="H63" s="4103" t="n"/>
      <c r="I63" s="4103" t="n"/>
      <c r="J63" s="4104" t="n"/>
      <c r="K63" s="3272" t="inlineStr">
        <is>
          <t>6)</t>
        </is>
      </c>
      <c r="L63" s="1562" t="n"/>
      <c r="M63" s="4110" t="n"/>
      <c r="N63" s="4110" t="n"/>
      <c r="O63" s="2325" t="inlineStr">
        <is>
          <t>7)</t>
        </is>
      </c>
      <c r="P63" s="1406" t="n"/>
      <c r="Q63" s="4110" t="n"/>
      <c r="R63" s="4110" t="n"/>
      <c r="S63" s="2325" t="inlineStr">
        <is>
          <t>8)</t>
        </is>
      </c>
      <c r="T63" s="1406" t="n"/>
      <c r="U63" s="4110" t="n"/>
      <c r="V63" s="4110" t="n"/>
      <c r="W63" s="2325" t="inlineStr">
        <is>
          <t>9)</t>
        </is>
      </c>
      <c r="X63" s="1406" t="n"/>
      <c r="Y63" s="4110" t="n"/>
      <c r="Z63" s="4110" t="n"/>
      <c r="AA63" s="71" t="inlineStr">
        <is>
          <t>10)</t>
        </is>
      </c>
      <c r="AB63" s="1406" t="n"/>
      <c r="AC63" s="4110" t="n"/>
      <c r="AD63" s="4110" t="n"/>
      <c r="AE63" s="4124" t="n"/>
      <c r="AF63" s="4102" t="n"/>
      <c r="AG63" s="4103" t="n"/>
      <c r="AH63" s="4105" t="n"/>
    </row>
    <row r="64" ht="20.1" customHeight="1" s="4080">
      <c r="A64" s="4208" t="n"/>
      <c r="B64" s="4425" t="inlineStr">
        <is>
          <t>前年度利用者数
(又は推定数)</t>
        </is>
      </c>
      <c r="C64" s="4098" t="n"/>
      <c r="D64" s="4098" t="n"/>
      <c r="E64" s="4098" t="n"/>
      <c r="F64" s="4098" t="n"/>
      <c r="G64" s="4099" t="n"/>
      <c r="H64" s="4624" t="inlineStr">
        <is>
          <t>区分１</t>
        </is>
      </c>
      <c r="I64" s="4103" t="n"/>
      <c r="J64" s="4104" t="n"/>
      <c r="K64" s="4624" t="inlineStr">
        <is>
          <t>区分２</t>
        </is>
      </c>
      <c r="L64" s="4103" t="n"/>
      <c r="M64" s="4104" t="n"/>
      <c r="N64" s="4624" t="inlineStr">
        <is>
          <t>区分３</t>
        </is>
      </c>
      <c r="O64" s="4103" t="n"/>
      <c r="P64" s="4104" t="n"/>
      <c r="Q64" s="4624" t="inlineStr">
        <is>
          <t>区分４</t>
        </is>
      </c>
      <c r="R64" s="4103" t="n"/>
      <c r="S64" s="4104" t="n"/>
      <c r="T64" s="4624" t="inlineStr">
        <is>
          <t>区分５</t>
        </is>
      </c>
      <c r="U64" s="4103" t="n"/>
      <c r="V64" s="4104" t="n"/>
      <c r="W64" s="4624" t="inlineStr">
        <is>
          <t>区分６</t>
        </is>
      </c>
      <c r="X64" s="4103" t="n"/>
      <c r="Y64" s="4104" t="n"/>
      <c r="Z64" s="4625" t="inlineStr">
        <is>
          <t>前年度
開所日数</t>
        </is>
      </c>
      <c r="AA64" s="4103" t="n"/>
      <c r="AB64" s="4104" t="n"/>
      <c r="AC64" s="4688" t="inlineStr">
        <is>
          <t>平均障がい
支援区分</t>
        </is>
      </c>
      <c r="AD64" s="4103" t="n"/>
      <c r="AE64" s="4104" t="n"/>
      <c r="AF64" s="4627" t="inlineStr">
        <is>
          <t>平均
利用者数</t>
        </is>
      </c>
      <c r="AG64" s="4103" t="n"/>
      <c r="AH64" s="4105" t="n"/>
    </row>
    <row r="65" ht="15" customHeight="1" s="4080">
      <c r="A65" s="4737" t="n"/>
      <c r="B65" s="4102" t="n"/>
      <c r="C65" s="4103" t="n"/>
      <c r="D65" s="4103" t="n"/>
      <c r="E65" s="4103" t="n"/>
      <c r="F65" s="4103" t="n"/>
      <c r="G65" s="4104" t="n"/>
      <c r="H65" s="4772" t="n">
        <v>0</v>
      </c>
      <c r="I65" s="4110" t="n"/>
      <c r="J65" s="4350" t="inlineStr">
        <is>
          <t>人</t>
        </is>
      </c>
      <c r="K65" s="4772" t="n">
        <v>1560</v>
      </c>
      <c r="L65" s="4110" t="n"/>
      <c r="M65" s="4350" t="inlineStr">
        <is>
          <t>人</t>
        </is>
      </c>
      <c r="N65" s="4772" t="n">
        <v>1040</v>
      </c>
      <c r="O65" s="4110" t="n"/>
      <c r="P65" s="4350" t="inlineStr">
        <is>
          <t>人</t>
        </is>
      </c>
      <c r="Q65" s="4772" t="n">
        <v>624</v>
      </c>
      <c r="R65" s="4110" t="n"/>
      <c r="S65" s="4350" t="inlineStr">
        <is>
          <t>人</t>
        </is>
      </c>
      <c r="T65" s="4772" t="n">
        <v>312</v>
      </c>
      <c r="U65" s="4110" t="n"/>
      <c r="V65" s="4350" t="inlineStr">
        <is>
          <t>人</t>
        </is>
      </c>
      <c r="W65" s="4772" t="n">
        <v>104</v>
      </c>
      <c r="X65" s="4110" t="n"/>
      <c r="Y65" s="4350" t="inlineStr">
        <is>
          <t>人</t>
        </is>
      </c>
      <c r="Z65" s="4772" t="n">
        <v>260</v>
      </c>
      <c r="AA65" s="4110" t="n"/>
      <c r="AB65" s="3914" t="inlineStr">
        <is>
          <t>日</t>
        </is>
      </c>
      <c r="AC65" s="4776">
        <f>IF(Z65=0," ",ROUND(((3*N65)+(4*Q65)+(5*T65)+(6*W65)+(1*H65)+(2*K65))/(H65+K65+N65+Q65+T65+W65),1))</f>
        <v/>
      </c>
      <c r="AD65" s="4110" t="n"/>
      <c r="AE65" s="4111" t="n"/>
      <c r="AF65" s="4646">
        <f>IF(Z65=0," ",ROUNDUP((H65+K65+N65+Q65+T65+W65)/Z65,1))</f>
        <v/>
      </c>
      <c r="AG65" s="4110" t="n"/>
      <c r="AH65" s="4632" t="inlineStr">
        <is>
          <t>人</t>
        </is>
      </c>
    </row>
    <row r="66" ht="11.1" customHeight="1" s="4080">
      <c r="A66" s="4745" t="inlineStr">
        <is>
          <t>施設入所支援</t>
        </is>
      </c>
      <c r="B66" s="4107" t="n"/>
      <c r="C66" s="1326" t="n"/>
      <c r="D66" s="1413" t="inlineStr">
        <is>
          <t>サービスを提供
する主たる対象者</t>
        </is>
      </c>
      <c r="J66" s="1404" t="n"/>
      <c r="K66" s="4746" t="inlineStr">
        <is>
          <t>身　　　体　　　障　　　害　　　者</t>
        </is>
      </c>
      <c r="L66" s="4146" t="n"/>
      <c r="M66" s="4146" t="n"/>
      <c r="N66" s="4146" t="n"/>
      <c r="O66" s="4146" t="n"/>
      <c r="P66" s="4146" t="n"/>
      <c r="Q66" s="4146" t="n"/>
      <c r="R66" s="4146" t="n"/>
      <c r="S66" s="4146" t="n"/>
      <c r="T66" s="4146" t="n"/>
      <c r="U66" s="4146" t="n"/>
      <c r="V66" s="4146" t="n"/>
      <c r="W66" s="4146" t="n"/>
      <c r="X66" s="4146" t="n"/>
      <c r="Y66" s="4146" t="n"/>
      <c r="Z66" s="4147" t="n"/>
      <c r="AA66" s="3089" t="inlineStr">
        <is>
          <t>知的障害者</t>
        </is>
      </c>
      <c r="AD66" s="4107" t="n"/>
      <c r="AE66" s="3089" t="inlineStr">
        <is>
          <t>精神障害者</t>
        </is>
      </c>
      <c r="AH66" s="4107" t="n"/>
    </row>
    <row r="67" ht="11.1" customHeight="1" s="4080">
      <c r="A67" s="4097" t="n"/>
      <c r="B67" s="4107" t="n"/>
      <c r="C67" s="4106" t="n"/>
      <c r="J67" s="4107" t="n"/>
      <c r="K67" s="3092" t="inlineStr">
        <is>
          <t>肢体不自由</t>
        </is>
      </c>
      <c r="L67" s="4103" t="n"/>
      <c r="M67" s="4103" t="n"/>
      <c r="N67" s="4193" t="n"/>
      <c r="O67" s="3094" t="inlineStr">
        <is>
          <t>視　　覚</t>
        </is>
      </c>
      <c r="P67" s="4103" t="n"/>
      <c r="Q67" s="4103" t="n"/>
      <c r="R67" s="4193" t="n"/>
      <c r="S67" s="3093" t="inlineStr">
        <is>
          <t>聴覚・言語</t>
        </is>
      </c>
      <c r="T67" s="4103" t="n"/>
      <c r="U67" s="4103" t="n"/>
      <c r="V67" s="4193" t="n"/>
      <c r="W67" s="3094" t="inlineStr">
        <is>
          <t>内　　部</t>
        </is>
      </c>
      <c r="X67" s="4103" t="n"/>
      <c r="Y67" s="4103" t="n"/>
      <c r="Z67" s="4193" t="n"/>
      <c r="AA67" s="4102" t="n"/>
      <c r="AB67" s="4103" t="n"/>
      <c r="AC67" s="4103" t="n"/>
      <c r="AD67" s="4104" t="n"/>
      <c r="AE67" s="4102" t="n"/>
      <c r="AF67" s="4103" t="n"/>
      <c r="AG67" s="4103" t="n"/>
      <c r="AH67" s="4104" t="n"/>
    </row>
    <row r="68" ht="12" customHeight="1" s="4080">
      <c r="A68" s="4097" t="n"/>
      <c r="B68" s="4107" t="n"/>
      <c r="C68" s="4102" t="n"/>
      <c r="D68" s="4103" t="n"/>
      <c r="E68" s="4103" t="n"/>
      <c r="F68" s="4103" t="n"/>
      <c r="G68" s="4103" t="n"/>
      <c r="H68" s="4103" t="n"/>
      <c r="I68" s="4103" t="n"/>
      <c r="J68" s="4104" t="n"/>
      <c r="K68" s="3188" t="inlineStr">
        <is>
          <t>○</t>
        </is>
      </c>
      <c r="L68" s="4140" t="n"/>
      <c r="M68" s="4140" t="n"/>
      <c r="N68" s="4249" t="n"/>
      <c r="O68" s="3189" t="inlineStr">
        <is>
          <t>○</t>
        </is>
      </c>
      <c r="P68" s="4140" t="n"/>
      <c r="Q68" s="4140" t="n"/>
      <c r="R68" s="4249" t="n"/>
      <c r="S68" s="3189" t="inlineStr">
        <is>
          <t>○</t>
        </is>
      </c>
      <c r="T68" s="4140" t="n"/>
      <c r="U68" s="4140" t="n"/>
      <c r="V68" s="4249" t="n"/>
      <c r="W68" s="3189" t="inlineStr">
        <is>
          <t>○</t>
        </is>
      </c>
      <c r="X68" s="4140" t="n"/>
      <c r="Y68" s="4140" t="n"/>
      <c r="Z68" s="4249" t="n"/>
      <c r="AA68" s="3191" t="inlineStr">
        <is>
          <t>○</t>
        </is>
      </c>
      <c r="AB68" s="4140" t="n"/>
      <c r="AC68" s="4140" t="n"/>
      <c r="AD68" s="4141" t="n"/>
      <c r="AE68" s="3191" t="inlineStr">
        <is>
          <t>○</t>
        </is>
      </c>
      <c r="AF68" s="4140" t="n"/>
      <c r="AG68" s="4140" t="n"/>
      <c r="AH68" s="4141" t="n"/>
    </row>
    <row r="69" ht="15" customHeight="1" s="4080">
      <c r="A69" s="4097" t="n"/>
      <c r="B69" s="4107" t="n"/>
      <c r="C69" s="1393" t="n"/>
      <c r="D69" s="1264" t="inlineStr">
        <is>
          <t>利用料</t>
        </is>
      </c>
      <c r="E69" s="4110" t="n"/>
      <c r="F69" s="4110" t="n"/>
      <c r="G69" s="4110" t="n"/>
      <c r="H69" s="4110" t="n"/>
      <c r="I69" s="4110" t="n"/>
      <c r="J69" s="1394" t="n"/>
      <c r="K69" s="4262" t="inlineStr">
        <is>
          <t>法定代理受領分：厚生労働大臣が定める基準の10/100、法定代理受領分以外：厚生労働大臣が定める基準</t>
        </is>
      </c>
      <c r="L69" s="4110" t="n"/>
      <c r="M69" s="4110" t="n"/>
      <c r="N69" s="4110" t="n"/>
      <c r="O69" s="4110" t="n"/>
      <c r="P69" s="4110" t="n"/>
      <c r="Q69" s="4110" t="n"/>
      <c r="R69" s="4110" t="n"/>
      <c r="S69" s="4110" t="n"/>
      <c r="T69" s="4110" t="n"/>
      <c r="U69" s="4110" t="n"/>
      <c r="V69" s="4110" t="n"/>
      <c r="W69" s="4110" t="n"/>
      <c r="X69" s="4110" t="n"/>
      <c r="Y69" s="4110" t="n"/>
      <c r="Z69" s="4110" t="n"/>
      <c r="AA69" s="4110" t="n"/>
      <c r="AB69" s="4110" t="n"/>
      <c r="AC69" s="4110" t="n"/>
      <c r="AD69" s="4110" t="n"/>
      <c r="AE69" s="4110" t="n"/>
      <c r="AF69" s="4110" t="n"/>
      <c r="AG69" s="4110" t="n"/>
      <c r="AH69" s="4113" t="n"/>
    </row>
    <row r="70" ht="15" customHeight="1" s="4080">
      <c r="A70" s="4097" t="n"/>
      <c r="B70" s="4107" t="n"/>
      <c r="C70" s="1322" t="n"/>
      <c r="D70" s="1245" t="inlineStr">
        <is>
          <t>その他の費用</t>
        </is>
      </c>
      <c r="E70" s="4098" t="n"/>
      <c r="F70" s="4098" t="n"/>
      <c r="G70" s="4098" t="n"/>
      <c r="H70" s="4098" t="n"/>
      <c r="I70" s="4098" t="n"/>
      <c r="J70" s="1331" t="n"/>
      <c r="K70" s="4263" t="inlineStr">
        <is>
          <t>運営規程に定めるとおり</t>
        </is>
      </c>
      <c r="L70" s="4098" t="n"/>
      <c r="M70" s="4098" t="n"/>
      <c r="N70" s="4098" t="n"/>
      <c r="O70" s="4098" t="n"/>
      <c r="P70" s="4098" t="n"/>
      <c r="Q70" s="4098" t="n"/>
      <c r="R70" s="4098" t="n"/>
      <c r="S70" s="4098" t="n"/>
      <c r="T70" s="4098" t="n"/>
      <c r="U70" s="4098" t="n"/>
      <c r="V70" s="4098" t="n"/>
      <c r="W70" s="4098" t="n"/>
      <c r="X70" s="4098" t="n"/>
      <c r="Y70" s="4098" t="n"/>
      <c r="Z70" s="4098" t="n"/>
      <c r="AA70" s="4098" t="n"/>
      <c r="AB70" s="4098" t="n"/>
      <c r="AC70" s="4098" t="n"/>
      <c r="AD70" s="4098" t="n"/>
      <c r="AE70" s="4098" t="n"/>
      <c r="AF70" s="4098" t="n"/>
      <c r="AG70" s="4098" t="n"/>
      <c r="AH70" s="4101" t="n"/>
    </row>
    <row r="71" ht="20.1" customHeight="1" s="4080">
      <c r="A71" s="4097" t="n"/>
      <c r="B71" s="4107" t="n"/>
      <c r="C71" s="2768" t="n"/>
      <c r="D71" s="4222" t="inlineStr">
        <is>
          <t>前年度利用者数
（又は推定数）</t>
        </is>
      </c>
      <c r="E71" s="4098" t="n"/>
      <c r="F71" s="4098" t="n"/>
      <c r="G71" s="4098" t="n"/>
      <c r="H71" s="4098" t="n"/>
      <c r="I71" s="4098" t="n"/>
      <c r="J71" s="2720" t="n"/>
      <c r="K71" s="2165" t="inlineStr">
        <is>
          <t>区分２</t>
        </is>
      </c>
      <c r="L71" s="4110" t="n"/>
      <c r="M71" s="4111" t="n"/>
      <c r="N71" s="2165" t="inlineStr">
        <is>
          <t>区分３</t>
        </is>
      </c>
      <c r="O71" s="4110" t="n"/>
      <c r="P71" s="4111" t="n"/>
      <c r="Q71" s="2165" t="inlineStr">
        <is>
          <t>区分４</t>
        </is>
      </c>
      <c r="R71" s="4110" t="n"/>
      <c r="S71" s="4111" t="n"/>
      <c r="T71" s="2165" t="inlineStr">
        <is>
          <t>区分５</t>
        </is>
      </c>
      <c r="U71" s="4110" t="n"/>
      <c r="V71" s="4111" t="n"/>
      <c r="W71" s="2165" t="inlineStr">
        <is>
          <t>区分６</t>
        </is>
      </c>
      <c r="X71" s="4110" t="n"/>
      <c r="Y71" s="4111" t="n"/>
      <c r="Z71" s="4628" t="inlineStr">
        <is>
          <t>前年度
開所日数</t>
        </is>
      </c>
      <c r="AA71" s="4110" t="n"/>
      <c r="AB71" s="4111" t="n"/>
      <c r="AC71" s="4626" t="inlineStr">
        <is>
          <t>平均障がい
支援区分</t>
        </is>
      </c>
      <c r="AD71" s="4110" t="n"/>
      <c r="AE71" s="4111" t="n"/>
      <c r="AF71" s="4643" t="inlineStr">
        <is>
          <t>平均
利用者数</t>
        </is>
      </c>
      <c r="AG71" s="4110" t="n"/>
      <c r="AH71" s="4113" t="n"/>
    </row>
    <row r="72" ht="14.1" customHeight="1" s="4080">
      <c r="A72" s="4097" t="n"/>
      <c r="B72" s="4107" t="n"/>
      <c r="C72" s="2730" t="n"/>
      <c r="D72" s="4103" t="n"/>
      <c r="E72" s="4103" t="n"/>
      <c r="F72" s="4103" t="n"/>
      <c r="G72" s="4103" t="n"/>
      <c r="H72" s="4103" t="n"/>
      <c r="I72" s="4103" t="n"/>
      <c r="J72" s="2726" t="n"/>
      <c r="K72" s="4772" t="n"/>
      <c r="L72" s="4110" t="n"/>
      <c r="M72" s="4350" t="inlineStr">
        <is>
          <t>人</t>
        </is>
      </c>
      <c r="N72" s="4772" t="n">
        <v>1095</v>
      </c>
      <c r="O72" s="4110" t="n"/>
      <c r="P72" s="4350" t="inlineStr">
        <is>
          <t>人</t>
        </is>
      </c>
      <c r="Q72" s="4772" t="n">
        <v>3285</v>
      </c>
      <c r="R72" s="4110" t="n"/>
      <c r="S72" s="4350" t="inlineStr">
        <is>
          <t>人</t>
        </is>
      </c>
      <c r="T72" s="4772" t="n">
        <v>4380</v>
      </c>
      <c r="U72" s="4110" t="n"/>
      <c r="V72" s="4350" t="inlineStr">
        <is>
          <t>人</t>
        </is>
      </c>
      <c r="W72" s="4772" t="n">
        <v>1460</v>
      </c>
      <c r="X72" s="4110" t="n"/>
      <c r="Y72" s="4350" t="inlineStr">
        <is>
          <t>人</t>
        </is>
      </c>
      <c r="Z72" s="4772" t="n">
        <v>365</v>
      </c>
      <c r="AA72" s="4110" t="n"/>
      <c r="AB72" s="3914" t="inlineStr">
        <is>
          <t>日</t>
        </is>
      </c>
      <c r="AC72" s="4776">
        <f>IF(Z72=0," ",ROUND(((3*N72)+(4*Q72)+(5*T72)+(6*W72)+(1*H72)+(2*K72))/(H72+K72+N72+Q72+T72+W72),1))</f>
        <v/>
      </c>
      <c r="AD72" s="4110" t="n"/>
      <c r="AE72" s="4111" t="n"/>
      <c r="AF72" s="4646">
        <f>IF(Z72=0," ",ROUNDUP((H72+K72+N72+Q72+T72+W72)/Z72,1))</f>
        <v/>
      </c>
      <c r="AG72" s="4110" t="n"/>
      <c r="AH72" s="4632" t="inlineStr">
        <is>
          <t>人</t>
        </is>
      </c>
    </row>
    <row r="73" ht="3.95" customHeight="1" s="4080">
      <c r="A73" s="4747" t="inlineStr">
        <is>
          <t>短期入所</t>
        </is>
      </c>
      <c r="B73" s="4099" t="n"/>
      <c r="C73" s="4748" t="inlineStr">
        <is>
          <t>実施の有無</t>
        </is>
      </c>
      <c r="D73" s="4098" t="n"/>
      <c r="E73" s="4098" t="n"/>
      <c r="F73" s="4099" t="n"/>
      <c r="G73" s="2258" t="n"/>
      <c r="H73" s="2258" t="n"/>
      <c r="I73" s="2258" t="n"/>
      <c r="J73" s="2258" t="n"/>
      <c r="K73" s="4749" t="n"/>
      <c r="L73" s="4749" t="n"/>
      <c r="M73" s="4749" t="n"/>
      <c r="N73" s="4749" t="n"/>
      <c r="O73" s="4749" t="n"/>
      <c r="P73" s="4749" t="n"/>
      <c r="Q73" s="4749" t="n"/>
      <c r="R73" s="4749" t="n"/>
      <c r="S73" s="4749" t="n"/>
      <c r="T73" s="4749" t="n"/>
      <c r="U73" s="4750" t="n"/>
      <c r="V73" s="4749" t="n"/>
      <c r="W73" s="4749" t="n"/>
      <c r="X73" s="4749" t="n"/>
      <c r="Y73" s="4749" t="n"/>
      <c r="Z73" s="4749" t="n"/>
      <c r="AA73" s="4751" t="n"/>
      <c r="AB73" s="4777" t="inlineStr">
        <is>
          <t>５</t>
        </is>
      </c>
      <c r="AC73" s="4098" t="n"/>
      <c r="AD73" s="4098" t="n"/>
      <c r="AE73" s="4098" t="n"/>
      <c r="AF73" s="4098" t="n"/>
      <c r="AG73" s="4753" t="inlineStr">
        <is>
          <t>人</t>
        </is>
      </c>
      <c r="AH73" s="4101" t="n"/>
    </row>
    <row r="74" ht="9.949999999999999" customHeight="1" s="4080">
      <c r="A74" s="4097" t="n"/>
      <c r="B74" s="4107" t="n"/>
      <c r="C74" s="4106" t="n"/>
      <c r="F74" s="4107" t="n"/>
      <c r="G74" s="1777" t="n"/>
      <c r="H74" s="2379" t="inlineStr">
        <is>
          <t>無</t>
        </is>
      </c>
      <c r="I74" s="2379" t="inlineStr">
        <is>
          <t>・</t>
        </is>
      </c>
      <c r="J74" s="4778" t="inlineStr">
        <is>
          <t>有</t>
        </is>
      </c>
      <c r="K74" s="1778" t="n"/>
      <c r="L74" s="1778" t="n"/>
      <c r="M74" s="4778" t="inlineStr">
        <is>
          <t>空床型</t>
        </is>
      </c>
      <c r="N74" s="4779" t="n"/>
      <c r="O74" s="4780" t="n"/>
      <c r="P74" s="4754" t="inlineStr">
        <is>
          <t>・</t>
        </is>
      </c>
      <c r="Q74" s="4781" t="inlineStr">
        <is>
          <t>併設型</t>
        </is>
      </c>
      <c r="R74" s="4779" t="n"/>
      <c r="S74" s="4780" t="n"/>
      <c r="T74" s="4754" t="n"/>
      <c r="U74" s="4106" t="n"/>
      <c r="V74" s="4756" t="inlineStr">
        <is>
          <t>利用定員
併設型のみ</t>
        </is>
      </c>
      <c r="AA74" s="4757" t="n"/>
      <c r="AB74" s="4106" t="n"/>
      <c r="AH74" s="4109" t="n"/>
    </row>
    <row r="75" ht="9.949999999999999" customHeight="1" s="4080">
      <c r="A75" s="4097" t="n"/>
      <c r="B75" s="4107" t="n"/>
      <c r="C75" s="4106" t="n"/>
      <c r="F75" s="4107" t="n"/>
      <c r="G75" s="459" t="inlineStr">
        <is>
          <t xml:space="preserve">　</t>
        </is>
      </c>
      <c r="J75" s="4455" t="n"/>
      <c r="K75" s="460" t="n"/>
      <c r="M75" s="4782" t="n"/>
      <c r="N75" s="4783" t="n"/>
      <c r="O75" s="4784" t="n"/>
      <c r="Q75" s="4782" t="n"/>
      <c r="R75" s="4783" t="n"/>
      <c r="S75" s="4784" t="n"/>
      <c r="U75" s="4106" t="n"/>
      <c r="AA75" s="4757" t="n"/>
      <c r="AB75" s="4106" t="n"/>
      <c r="AH75" s="4109" t="n"/>
    </row>
    <row r="76" ht="3.95" customHeight="1" s="4080">
      <c r="A76" s="4097" t="n"/>
      <c r="B76" s="4107" t="n"/>
      <c r="C76" s="4102" t="n"/>
      <c r="D76" s="4103" t="n"/>
      <c r="E76" s="4103" t="n"/>
      <c r="F76" s="4104" t="n"/>
      <c r="G76" s="461" t="n"/>
      <c r="H76" s="462" t="n"/>
      <c r="I76" s="462" t="n"/>
      <c r="J76" s="462" t="n"/>
      <c r="K76" s="462" t="n"/>
      <c r="L76" s="462" t="n"/>
      <c r="M76" s="462" t="n"/>
      <c r="N76" s="462" t="n"/>
      <c r="O76" s="462" t="n"/>
      <c r="P76" s="462" t="n"/>
      <c r="Q76" s="462" t="n"/>
      <c r="R76" s="462" t="n"/>
      <c r="S76" s="462" t="n"/>
      <c r="T76" s="462" t="n"/>
      <c r="U76" s="4102" t="n"/>
      <c r="V76" s="4758" t="n"/>
      <c r="W76" s="4756" t="n"/>
      <c r="X76" s="4756" t="n"/>
      <c r="Y76" s="4756" t="n"/>
      <c r="Z76" s="4759" t="n"/>
      <c r="AA76" s="4760" t="n"/>
      <c r="AB76" s="4102" t="n"/>
      <c r="AC76" s="4103" t="n"/>
      <c r="AD76" s="4103" t="n"/>
      <c r="AE76" s="4103" t="n"/>
      <c r="AF76" s="4103" t="n"/>
      <c r="AG76" s="4103" t="n"/>
      <c r="AH76" s="4105" t="n"/>
    </row>
    <row r="77" ht="20.1" customHeight="1" s="4080">
      <c r="A77" s="4097" t="n"/>
      <c r="B77" s="4107" t="n"/>
      <c r="C77" s="4761" t="inlineStr">
        <is>
          <t>前年度
利用者数
（又は推定数）</t>
        </is>
      </c>
      <c r="D77" s="4098" t="n"/>
      <c r="E77" s="4099" t="n"/>
      <c r="F77" s="2258" t="n"/>
      <c r="G77" s="2258" t="n"/>
      <c r="H77" s="2165" t="inlineStr">
        <is>
          <t>区分１</t>
        </is>
      </c>
      <c r="I77" s="4110" t="n"/>
      <c r="J77" s="4111" t="n"/>
      <c r="K77" s="2165" t="inlineStr">
        <is>
          <t>区分２</t>
        </is>
      </c>
      <c r="L77" s="4110" t="n"/>
      <c r="M77" s="4111" t="n"/>
      <c r="N77" s="2165" t="inlineStr">
        <is>
          <t>区分３</t>
        </is>
      </c>
      <c r="O77" s="4110" t="n"/>
      <c r="P77" s="4111" t="n"/>
      <c r="Q77" s="2165" t="inlineStr">
        <is>
          <t>区分４</t>
        </is>
      </c>
      <c r="R77" s="4110" t="n"/>
      <c r="S77" s="4111" t="n"/>
      <c r="T77" s="2165" t="inlineStr">
        <is>
          <t>区分５</t>
        </is>
      </c>
      <c r="U77" s="4110" t="n"/>
      <c r="V77" s="4111" t="n"/>
      <c r="W77" s="2165" t="inlineStr">
        <is>
          <t>区分６</t>
        </is>
      </c>
      <c r="X77" s="4110" t="n"/>
      <c r="Y77" s="4111" t="n"/>
      <c r="Z77" s="4628" t="inlineStr">
        <is>
          <t>前年度
開所日数</t>
        </is>
      </c>
      <c r="AA77" s="4110" t="n"/>
      <c r="AB77" s="4111" t="n"/>
      <c r="AC77" s="4626" t="inlineStr">
        <is>
          <t>平均障がい
支援区分</t>
        </is>
      </c>
      <c r="AD77" s="4110" t="n"/>
      <c r="AE77" s="4111" t="n"/>
      <c r="AF77" s="4643" t="inlineStr">
        <is>
          <t>平均
利用者数</t>
        </is>
      </c>
      <c r="AG77" s="4110" t="n"/>
      <c r="AH77" s="4113" t="n"/>
    </row>
    <row r="78" ht="15" customHeight="1" s="4080">
      <c r="A78" s="4097" t="n"/>
      <c r="B78" s="4107" t="n"/>
      <c r="C78" s="4106" t="n"/>
      <c r="E78" s="4107" t="n"/>
      <c r="F78" s="4762" t="inlineStr">
        <is>
          <t>空床型</t>
        </is>
      </c>
      <c r="G78" s="4111" t="n"/>
      <c r="H78" s="4772" t="n">
        <v>95</v>
      </c>
      <c r="I78" s="4110" t="n"/>
      <c r="J78" s="4350" t="inlineStr">
        <is>
          <t>人</t>
        </is>
      </c>
      <c r="K78" s="4772" t="n">
        <v>150</v>
      </c>
      <c r="L78" s="4110" t="n"/>
      <c r="M78" s="4350" t="inlineStr">
        <is>
          <t>人</t>
        </is>
      </c>
      <c r="N78" s="4772" t="n">
        <v>60</v>
      </c>
      <c r="O78" s="4110" t="n"/>
      <c r="P78" s="4350" t="inlineStr">
        <is>
          <t>人</t>
        </is>
      </c>
      <c r="Q78" s="4772" t="n">
        <v>62</v>
      </c>
      <c r="R78" s="4110" t="n"/>
      <c r="S78" s="4350" t="inlineStr">
        <is>
          <t>人</t>
        </is>
      </c>
      <c r="T78" s="4772" t="n">
        <v>180</v>
      </c>
      <c r="U78" s="4110" t="n"/>
      <c r="V78" s="4350" t="inlineStr">
        <is>
          <t>人</t>
        </is>
      </c>
      <c r="W78" s="4772" t="n">
        <v>135</v>
      </c>
      <c r="X78" s="4110" t="n"/>
      <c r="Y78" s="4350" t="inlineStr">
        <is>
          <t>人</t>
        </is>
      </c>
      <c r="Z78" s="4772" t="n">
        <v>365</v>
      </c>
      <c r="AA78" s="4110" t="n"/>
      <c r="AB78" s="3914" t="inlineStr">
        <is>
          <t>日</t>
        </is>
      </c>
      <c r="AC78" s="4776">
        <f>IF(Z78=0," ",ROUND(((3*N78)+(4*Q78)+(5*T78)+(6*W78)+(1*H78)+(2*K78))/(H78+K78+N78+Q78+T78+W78),1))</f>
        <v/>
      </c>
      <c r="AD78" s="4110" t="n"/>
      <c r="AE78" s="4111" t="n"/>
      <c r="AF78" s="4646">
        <f>IF(Z78=0," ",ROUNDUP((H78+K78+N78+Q78+T78+W78)/Z78,1))</f>
        <v/>
      </c>
      <c r="AG78" s="4110" t="n"/>
      <c r="AH78" s="4632" t="inlineStr">
        <is>
          <t>人</t>
        </is>
      </c>
    </row>
    <row r="79" ht="15" customHeight="1" s="4080" thickBot="1">
      <c r="A79" s="4086" t="n"/>
      <c r="B79" s="4410" t="n"/>
      <c r="C79" s="4420" t="n"/>
      <c r="D79" s="4087" t="n"/>
      <c r="E79" s="4410" t="n"/>
      <c r="F79" s="3168" t="inlineStr">
        <is>
          <t>併設型</t>
        </is>
      </c>
      <c r="G79" s="4410" t="n"/>
      <c r="H79" s="4785" t="n">
        <v>202</v>
      </c>
      <c r="I79" s="4153" t="n"/>
      <c r="J79" s="4764" t="inlineStr">
        <is>
          <t>人</t>
        </is>
      </c>
      <c r="K79" s="4785" t="n">
        <v>305</v>
      </c>
      <c r="L79" s="4153" t="n"/>
      <c r="M79" s="4764" t="inlineStr">
        <is>
          <t>人</t>
        </is>
      </c>
      <c r="N79" s="4785" t="n">
        <v>109</v>
      </c>
      <c r="O79" s="4153" t="n"/>
      <c r="P79" s="4764" t="inlineStr">
        <is>
          <t>人</t>
        </is>
      </c>
      <c r="Q79" s="4785" t="n">
        <v>112</v>
      </c>
      <c r="R79" s="4153" t="n"/>
      <c r="S79" s="4764" t="inlineStr">
        <is>
          <t>人</t>
        </is>
      </c>
      <c r="T79" s="4785" t="n">
        <v>345</v>
      </c>
      <c r="U79" s="4153" t="n"/>
      <c r="V79" s="4764" t="inlineStr">
        <is>
          <t>人</t>
        </is>
      </c>
      <c r="W79" s="4785" t="n">
        <v>270</v>
      </c>
      <c r="X79" s="4153" t="n"/>
      <c r="Y79" s="4764" t="inlineStr">
        <is>
          <t>人</t>
        </is>
      </c>
      <c r="Z79" s="4785" t="n">
        <v>365</v>
      </c>
      <c r="AA79" s="4153" t="n"/>
      <c r="AB79" s="468" t="inlineStr">
        <is>
          <t>日</t>
        </is>
      </c>
      <c r="AC79" s="4786">
        <f>IF(Z79=0," ",ROUND(((3*N79)+(4*Q79)+(5*T79)+(6*W79)+(1*H79)+(2*K79))/(H79+K79+N79+Q79+T79+W79),1))</f>
        <v/>
      </c>
      <c r="AD79" s="4153" t="n"/>
      <c r="AE79" s="4154" t="n"/>
      <c r="AF79" s="4787">
        <f>IF(Z79=0," ",ROUNDUP((H79+K79+N79+Q79+T79+W79)/Z79,1))</f>
        <v/>
      </c>
      <c r="AG79" s="4153" t="n"/>
      <c r="AH79" s="4767" t="inlineStr">
        <is>
          <t>人</t>
        </is>
      </c>
    </row>
  </sheetData>
  <mergeCells count="356">
    <mergeCell ref="AC22:AC24"/>
    <mergeCell ref="D32:I32"/>
    <mergeCell ref="J25:J27"/>
    <mergeCell ref="F17:H17"/>
    <mergeCell ref="AC51:AC53"/>
    <mergeCell ref="W65:X65"/>
    <mergeCell ref="AD51:AH53"/>
    <mergeCell ref="W71:Y71"/>
    <mergeCell ref="T34:V34"/>
    <mergeCell ref="K52:K53"/>
    <mergeCell ref="AG73:AH76"/>
    <mergeCell ref="T51:U51"/>
    <mergeCell ref="C77:E79"/>
    <mergeCell ref="B51:B63"/>
    <mergeCell ref="D60:I60"/>
    <mergeCell ref="AF79:AG79"/>
    <mergeCell ref="T39:V41"/>
    <mergeCell ref="Q77:S77"/>
    <mergeCell ref="V20:AA20"/>
    <mergeCell ref="P26:Q26"/>
    <mergeCell ref="W78:X78"/>
    <mergeCell ref="X62:Z62"/>
    <mergeCell ref="D70:I70"/>
    <mergeCell ref="S30:V30"/>
    <mergeCell ref="T74:T75"/>
    <mergeCell ref="J74:J75"/>
    <mergeCell ref="T38:X38"/>
    <mergeCell ref="W67:Z67"/>
    <mergeCell ref="Z64:AB64"/>
    <mergeCell ref="L63:N63"/>
    <mergeCell ref="F10:I12"/>
    <mergeCell ref="K61:AH61"/>
    <mergeCell ref="AE59:AH59"/>
    <mergeCell ref="V23:AB23"/>
    <mergeCell ref="Z8:AD8"/>
    <mergeCell ref="C45:E50"/>
    <mergeCell ref="O29:R29"/>
    <mergeCell ref="AE1:AF1"/>
    <mergeCell ref="J28:J30"/>
    <mergeCell ref="AF77:AH77"/>
    <mergeCell ref="Z77:AB77"/>
    <mergeCell ref="V24:AB24"/>
    <mergeCell ref="R23:R24"/>
    <mergeCell ref="T72:U72"/>
    <mergeCell ref="AC71:AE71"/>
    <mergeCell ref="AC17:AD17"/>
    <mergeCell ref="Q52:Q53"/>
    <mergeCell ref="AC3:AC4"/>
    <mergeCell ref="Q35:S35"/>
    <mergeCell ref="AE3:AE4"/>
    <mergeCell ref="A3:T4"/>
    <mergeCell ref="L55:N55"/>
    <mergeCell ref="C66:C68"/>
    <mergeCell ref="L74:L75"/>
    <mergeCell ref="K57:Z57"/>
    <mergeCell ref="Q72:R72"/>
    <mergeCell ref="F5:AH5"/>
    <mergeCell ref="P33:R33"/>
    <mergeCell ref="N35:P35"/>
    <mergeCell ref="AE28:AH29"/>
    <mergeCell ref="AB3:AB4"/>
    <mergeCell ref="AD3:AD4"/>
    <mergeCell ref="K69:AH69"/>
    <mergeCell ref="AC54:AC56"/>
    <mergeCell ref="I74:I75"/>
    <mergeCell ref="D33:I34"/>
    <mergeCell ref="AC78:AE78"/>
    <mergeCell ref="W64:Y64"/>
    <mergeCell ref="Q64:S64"/>
    <mergeCell ref="AC79:AE79"/>
    <mergeCell ref="AE8:AG8"/>
    <mergeCell ref="C37:I37"/>
    <mergeCell ref="T65:U65"/>
    <mergeCell ref="AA57:AD58"/>
    <mergeCell ref="V49:AA49"/>
    <mergeCell ref="B35:G36"/>
    <mergeCell ref="F39:I41"/>
    <mergeCell ref="Z72:AA72"/>
    <mergeCell ref="D66:I68"/>
    <mergeCell ref="AE2:AF2"/>
    <mergeCell ref="AG2:AH2"/>
    <mergeCell ref="K68:N68"/>
    <mergeCell ref="W42:AH42"/>
    <mergeCell ref="W77:Y77"/>
    <mergeCell ref="T79:U79"/>
    <mergeCell ref="AA66:AD67"/>
    <mergeCell ref="AC20:AD20"/>
    <mergeCell ref="K23:K24"/>
    <mergeCell ref="AF71:AH71"/>
    <mergeCell ref="Q36:R36"/>
    <mergeCell ref="X26:Y26"/>
    <mergeCell ref="C16:E21"/>
    <mergeCell ref="R52:R53"/>
    <mergeCell ref="K59:N59"/>
    <mergeCell ref="P34:R34"/>
    <mergeCell ref="B22:B34"/>
    <mergeCell ref="T63:V63"/>
    <mergeCell ref="A37:A65"/>
    <mergeCell ref="K60:AH60"/>
    <mergeCell ref="T71:V71"/>
    <mergeCell ref="I17:R17"/>
    <mergeCell ref="AF49:AG49"/>
    <mergeCell ref="Q23:Q24"/>
    <mergeCell ref="K71:M71"/>
    <mergeCell ref="K70:AH70"/>
    <mergeCell ref="T9:X9"/>
    <mergeCell ref="P62:R62"/>
    <mergeCell ref="S58:V58"/>
    <mergeCell ref="AA37:AD37"/>
    <mergeCell ref="W44:AH44"/>
    <mergeCell ref="H65:I65"/>
    <mergeCell ref="K67:N67"/>
    <mergeCell ref="D31:I31"/>
    <mergeCell ref="AA68:AD68"/>
    <mergeCell ref="K78:L78"/>
    <mergeCell ref="C10:E12"/>
    <mergeCell ref="S42:U44"/>
    <mergeCell ref="C8:I8"/>
    <mergeCell ref="V53:AB53"/>
    <mergeCell ref="T26:V26"/>
    <mergeCell ref="L26:N26"/>
    <mergeCell ref="X33:Z33"/>
    <mergeCell ref="K79:L79"/>
    <mergeCell ref="K66:Z66"/>
    <mergeCell ref="S16:U21"/>
    <mergeCell ref="P10:Q12"/>
    <mergeCell ref="K28:Z28"/>
    <mergeCell ref="V43:AH43"/>
    <mergeCell ref="O68:R68"/>
    <mergeCell ref="S59:V59"/>
    <mergeCell ref="Z35:AB35"/>
    <mergeCell ref="H36:I36"/>
    <mergeCell ref="AE37:AG37"/>
    <mergeCell ref="AB34:AD34"/>
    <mergeCell ref="Q65:R65"/>
    <mergeCell ref="M74:O75"/>
    <mergeCell ref="D51:I53"/>
    <mergeCell ref="Q71:S71"/>
    <mergeCell ref="V48:AA48"/>
    <mergeCell ref="AC49:AD49"/>
    <mergeCell ref="W35:Y35"/>
    <mergeCell ref="AC25:AC27"/>
    <mergeCell ref="C9:E9"/>
    <mergeCell ref="I20:R20"/>
    <mergeCell ref="A1:Y2"/>
    <mergeCell ref="K77:M77"/>
    <mergeCell ref="AF64:AH64"/>
    <mergeCell ref="J38:M38"/>
    <mergeCell ref="U3:X4"/>
    <mergeCell ref="Q78:R78"/>
    <mergeCell ref="B9:B21"/>
    <mergeCell ref="V46:AA46"/>
    <mergeCell ref="O30:R30"/>
    <mergeCell ref="S67:V67"/>
    <mergeCell ref="X10:AH12"/>
    <mergeCell ref="AA59:AD59"/>
    <mergeCell ref="Z36:AA36"/>
    <mergeCell ref="AG1:AH1"/>
    <mergeCell ref="C33:C34"/>
    <mergeCell ref="K36:L36"/>
    <mergeCell ref="N72:O72"/>
    <mergeCell ref="I46:R46"/>
    <mergeCell ref="V14:AH14"/>
    <mergeCell ref="O52:O53"/>
    <mergeCell ref="AA3:AA4"/>
    <mergeCell ref="T23:U23"/>
    <mergeCell ref="T52:U52"/>
    <mergeCell ref="A5:B7"/>
    <mergeCell ref="AB63:AD63"/>
    <mergeCell ref="D22:I24"/>
    <mergeCell ref="D71:I72"/>
    <mergeCell ref="AE66:AH67"/>
    <mergeCell ref="L33:N33"/>
    <mergeCell ref="AE62:AE63"/>
    <mergeCell ref="T55:V55"/>
    <mergeCell ref="C51:C53"/>
    <mergeCell ref="AE30:AH30"/>
    <mergeCell ref="S45:U50"/>
    <mergeCell ref="AA28:AD29"/>
    <mergeCell ref="Z3:Z4"/>
    <mergeCell ref="K31:AH31"/>
    <mergeCell ref="T78:U78"/>
    <mergeCell ref="K37:Z37"/>
    <mergeCell ref="C39:E41"/>
    <mergeCell ref="N42:R42"/>
    <mergeCell ref="I49:R49"/>
    <mergeCell ref="R55:S55"/>
    <mergeCell ref="N44:R44"/>
    <mergeCell ref="J9:M9"/>
    <mergeCell ref="V18:AA18"/>
    <mergeCell ref="P39:Q41"/>
    <mergeCell ref="D69:I69"/>
    <mergeCell ref="V17:AA17"/>
    <mergeCell ref="Z1:AA1"/>
    <mergeCell ref="AC77:AE77"/>
    <mergeCell ref="N79:O79"/>
    <mergeCell ref="Z65:AA65"/>
    <mergeCell ref="T24:U24"/>
    <mergeCell ref="Z71:AB71"/>
    <mergeCell ref="T53:U53"/>
    <mergeCell ref="AC72:AE72"/>
    <mergeCell ref="AB2:AD2"/>
    <mergeCell ref="N52:N53"/>
    <mergeCell ref="P52:P53"/>
    <mergeCell ref="B38:B50"/>
    <mergeCell ref="L34:N34"/>
    <mergeCell ref="C38:E38"/>
    <mergeCell ref="C54:C56"/>
    <mergeCell ref="F49:H49"/>
    <mergeCell ref="AF20:AG20"/>
    <mergeCell ref="U73:U76"/>
    <mergeCell ref="M23:M24"/>
    <mergeCell ref="O23:O24"/>
    <mergeCell ref="F6:AH7"/>
    <mergeCell ref="Z78:AA78"/>
    <mergeCell ref="M52:M53"/>
    <mergeCell ref="K35:M35"/>
    <mergeCell ref="Y3:Y4"/>
    <mergeCell ref="T62:V62"/>
    <mergeCell ref="V19:AA19"/>
    <mergeCell ref="W58:Z58"/>
    <mergeCell ref="L62:N62"/>
    <mergeCell ref="O58:R58"/>
    <mergeCell ref="H74:H75"/>
    <mergeCell ref="C73:F76"/>
    <mergeCell ref="N38:O41"/>
    <mergeCell ref="T64:V64"/>
    <mergeCell ref="N64:P64"/>
    <mergeCell ref="V22:AB22"/>
    <mergeCell ref="AE57:AH58"/>
    <mergeCell ref="J39:M41"/>
    <mergeCell ref="AF35:AH35"/>
    <mergeCell ref="W68:Z68"/>
    <mergeCell ref="D25:I27"/>
    <mergeCell ref="Z2:AA2"/>
    <mergeCell ref="W72:X72"/>
    <mergeCell ref="K29:N29"/>
    <mergeCell ref="D54:I56"/>
    <mergeCell ref="V47:AA47"/>
    <mergeCell ref="T77:V77"/>
    <mergeCell ref="W13:AH13"/>
    <mergeCell ref="T33:V33"/>
    <mergeCell ref="AF17:AG17"/>
    <mergeCell ref="J33:J34"/>
    <mergeCell ref="W15:AH15"/>
    <mergeCell ref="AF3:AF4"/>
    <mergeCell ref="T35:V35"/>
    <mergeCell ref="AH3:AH4"/>
    <mergeCell ref="O59:R59"/>
    <mergeCell ref="V51:AB51"/>
    <mergeCell ref="AF46:AG46"/>
    <mergeCell ref="C13:M15"/>
    <mergeCell ref="X34:Z34"/>
    <mergeCell ref="T10:V12"/>
    <mergeCell ref="F78:G78"/>
    <mergeCell ref="C57:C59"/>
    <mergeCell ref="H78:I78"/>
    <mergeCell ref="AC64:AE64"/>
    <mergeCell ref="J22:J24"/>
    <mergeCell ref="A8:A36"/>
    <mergeCell ref="F46:H46"/>
    <mergeCell ref="J51:J53"/>
    <mergeCell ref="AE33:AE34"/>
    <mergeCell ref="AC65:AE65"/>
    <mergeCell ref="P38:S38"/>
    <mergeCell ref="L23:L24"/>
    <mergeCell ref="N23:N24"/>
    <mergeCell ref="R26:S26"/>
    <mergeCell ref="AB62:AD62"/>
    <mergeCell ref="W30:Z30"/>
    <mergeCell ref="P74:P75"/>
    <mergeCell ref="Z79:AA79"/>
    <mergeCell ref="P63:R63"/>
    <mergeCell ref="F38:I38"/>
    <mergeCell ref="K64:M64"/>
    <mergeCell ref="AF36:AG36"/>
    <mergeCell ref="S29:V29"/>
    <mergeCell ref="O67:R67"/>
    <mergeCell ref="J66:J68"/>
    <mergeCell ref="D57:I59"/>
    <mergeCell ref="W29:Z29"/>
    <mergeCell ref="S51:S53"/>
    <mergeCell ref="S13:U15"/>
    <mergeCell ref="K8:Y8"/>
    <mergeCell ref="A73:B79"/>
    <mergeCell ref="P23:P24"/>
    <mergeCell ref="AF33:AH34"/>
    <mergeCell ref="F79:G79"/>
    <mergeCell ref="H79:I79"/>
    <mergeCell ref="AG3:AG4"/>
    <mergeCell ref="AF62:AH63"/>
    <mergeCell ref="C25:C27"/>
    <mergeCell ref="K58:N58"/>
    <mergeCell ref="N65:O65"/>
    <mergeCell ref="AD22:AH24"/>
    <mergeCell ref="C22:C24"/>
    <mergeCell ref="H64:J64"/>
    <mergeCell ref="AB1:AD1"/>
    <mergeCell ref="N71:P71"/>
    <mergeCell ref="AE68:AH68"/>
    <mergeCell ref="C6:E7"/>
    <mergeCell ref="X63:Z63"/>
    <mergeCell ref="K72:L72"/>
    <mergeCell ref="W79:X79"/>
    <mergeCell ref="Q79:R79"/>
    <mergeCell ref="N9:O12"/>
    <mergeCell ref="H77:J77"/>
    <mergeCell ref="J57:J59"/>
    <mergeCell ref="P9:S9"/>
    <mergeCell ref="AA30:AD30"/>
    <mergeCell ref="H35:J35"/>
    <mergeCell ref="J10:M12"/>
    <mergeCell ref="T22:U22"/>
    <mergeCell ref="J62:J63"/>
    <mergeCell ref="N78:O78"/>
    <mergeCell ref="AF72:AG72"/>
    <mergeCell ref="Q74:S75"/>
    <mergeCell ref="J54:J56"/>
    <mergeCell ref="P55:Q55"/>
    <mergeCell ref="F9:I9"/>
    <mergeCell ref="D61:I61"/>
    <mergeCell ref="AC35:AE35"/>
    <mergeCell ref="C42:M44"/>
    <mergeCell ref="W36:X36"/>
    <mergeCell ref="D28:I30"/>
    <mergeCell ref="C28:C30"/>
    <mergeCell ref="K30:N30"/>
    <mergeCell ref="V52:AB52"/>
    <mergeCell ref="S22:S24"/>
    <mergeCell ref="A66:B72"/>
    <mergeCell ref="AB33:AD33"/>
    <mergeCell ref="AC46:AD46"/>
    <mergeCell ref="C62:C63"/>
    <mergeCell ref="AB73:AF76"/>
    <mergeCell ref="L52:L53"/>
    <mergeCell ref="K65:L65"/>
    <mergeCell ref="F20:H20"/>
    <mergeCell ref="V74:Z75"/>
    <mergeCell ref="N77:P77"/>
    <mergeCell ref="K32:AH32"/>
    <mergeCell ref="AF78:AG78"/>
    <mergeCell ref="X39:AH41"/>
    <mergeCell ref="AF65:AG65"/>
    <mergeCell ref="AD25:AH27"/>
    <mergeCell ref="X55:Y55"/>
    <mergeCell ref="AC36:AE36"/>
    <mergeCell ref="N13:R13"/>
    <mergeCell ref="AD54:AH56"/>
    <mergeCell ref="C5:E5"/>
    <mergeCell ref="N15:R15"/>
    <mergeCell ref="D62:I63"/>
    <mergeCell ref="S68:V68"/>
    <mergeCell ref="T36:U36"/>
    <mergeCell ref="W59:Z59"/>
    <mergeCell ref="N36:O36"/>
    <mergeCell ref="B64:G65"/>
  </mergeCells>
  <conditionalFormatting sqref="Z36:AA36 Z65:AA65 Z72:AA72 Z78:AA79">
    <cfRule type="cellIs" priority="1" operator="lessThanOrEqual" dxfId="0" stopIfTrue="1">
      <formula>0</formula>
    </cfRule>
  </conditionalFormatting>
  <dataValidations count="14">
    <dataValidation sqref="Z1:AA2 AE1:AF2" showDropDown="0" showInputMessage="1" showErrorMessage="1" allowBlank="1" type="list" errorStyle="warning">
      <formula1>"　,１,２,３,４"</formula1>
    </dataValidation>
    <dataValidation sqref="K32:AH32 K61:AH61 K70:AH70" showDropDown="0" showInputMessage="1" showErrorMessage="1" allowBlank="1" type="list">
      <formula1>"　,運営規程に定めるとおり"</formula1>
    </dataValidation>
    <dataValidation sqref="K31:AH31 K60:AH60 K69:AH69" showDropDown="0" showInputMessage="1" showErrorMessage="1" allowBlank="1" type="list" errorStyle="warning">
      <formula1>"　,法定代理受領分：厚生労働大臣が定める基準の10/100、法定代理受領分以外：厚生労働大臣が定める基準"</formula1>
    </dataValidation>
    <dataValidation sqref="F18:H18 F21:H21 F47:H47 F50:H50 O18 O21 O47 O50" showDropDown="0" showInputMessage="1" showErrorMessage="1" allowBlank="1" error="この行には入力できません。_x000a_下の行に入力してください。" prompt="この行には入力できません。_x000a_上の行に入力してください。" imeMode="on"/>
    <dataValidation sqref="E19:H19 E48:H48 F16:G16 F45:G45 I16:O16 I45:O45 R19 R48 V16:AH16 V45:AH45" showDropDown="0" showInputMessage="1" showErrorMessage="1" allowBlank="1" error="この行には入力できません。_x000a_下の行に入力してください。" prompt="この行には入力できません。_x000a_下の行に入力してください。" imeMode="on"/>
    <dataValidation sqref="I20 I49" showDropDown="0" showInputMessage="1" showErrorMessage="1" allowBlank="1" prompt="プルダウンメニューから選択してください。" type="list">
      <formula1>"　,社会福祉主事任用資格,訪問介護員1級,訪問介護員2級,居宅介護従業者1級,居宅介護従業者2級,児童指導員任用資格,保育士,医師,歯科医師,薬剤師,保健師,助産師,看護師,准看護師,理学療法士,作業療法士,社会福祉士,介護福祉士,視能訓練士,義肢装具士,歯科衛生士,言語聴覚士,あん摩マッサージ指圧師,はり師,きゅう師,柔道整復師,栄養士,管理栄養士,精神保健福祉士"</formula1>
    </dataValidation>
    <dataValidation sqref="I17:R17 I46:R46" showDropDown="0" showInputMessage="1" showErrorMessage="1" allowBlank="1" prompt="プルダウンメニューから選択してください。" type="list">
      <formula1>"　,相談支援業務5年以上,直接支援業務10年以上,直接支援業務5年以上＋有資格,国家資格業務5年以上＋相談支援業務3年以上,国家資格業務5年以上＋直接支援業務3年以上"</formula1>
    </dataValidation>
    <dataValidation sqref="V14:AH14 V43:AH43" showDropDown="0" showInputMessage="1" showErrorMessage="1" allowBlank="1" prompt="サービス管理責任者は、サービス提供職員との兼務はできません。" type="list" errorStyle="warning">
      <formula1>"　,管理者,事務職員,管理者、事務職員"</formula1>
    </dataValidation>
    <dataValidation sqref="F5:AH5 F9:M9 F38:M38" showDropDown="0" showInputMessage="1" showErrorMessage="1" allowBlank="1" imeMode="halfKatakana"/>
    <dataValidation sqref="K37" showDropDown="0" showInputMessage="1" showErrorMessage="1" allowBlank="1" error="プルダウンメニューから選択してください。" type="list">
      <formula1>"　,自立訓練（機能訓練）,自立訓練（生活訓練）,就労移行支援,就労継続支援（Ａ型）,就労継続支援（Ｂ型）"</formula1>
    </dataValidation>
    <dataValidation sqref="L26 L55 T26 T55" showDropDown="0" showInputMessage="1" showErrorMessage="1" allowBlank="1" type="list">
      <formula1>"　,１,２,３,４,５,６,７,８,９,１０,１１,１２,１３,１４,１５,１６,１７,１８,１９,２０,２１,２２,２３,２４"</formula1>
    </dataValidation>
    <dataValidation sqref="T9:X9 T38:X38 Y3:AH4 AB73:AF76 AE8 AE37" showDropDown="0" showInputMessage="1" showErrorMessage="1" allowBlank="1" imeMode="fullAlpha"/>
    <dataValidation sqref="K23:R24 K30 K52:R53 K59 K68 M76 O30 O59 O68 S30 S59 S68 S76 W30 W59 W68 AA30 AA59 AA68 AE30 AE59 AE68" showDropDown="0" showInputMessage="1" showErrorMessage="1" allowBlank="1" type="list">
      <formula1>"　,○"</formula1>
    </dataValidation>
    <dataValidation sqref="H36:AA36 H65:AA65 H78:AA79 K72:AA73" showDropDown="0" showInputMessage="1" showErrorMessage="1" allowBlank="1" imeMode="halfAlpha"/>
  </dataValidations>
  <printOptions horizontalCentered="1"/>
  <pageMargins left="0.7086614173228347" right="0.5905511811023623" top="0.3937007874015748" bottom="0.3937007874015748" header="0.5118110236220472" footer="0.5118110236220472"/>
  <pageSetup orientation="portrait" paperSize="9"/>
  <legacyDrawing xmlns:r="http://schemas.openxmlformats.org/officeDocument/2006/relationships" r:id="anysvml"/>
</worksheet>
</file>

<file path=xl/worksheets/sheet31.xml><?xml version="1.0" encoding="utf-8"?>
<worksheet xmlns="http://schemas.openxmlformats.org/spreadsheetml/2006/main">
  <sheetPr codeName="Sheet30">
    <outlinePr summaryBelow="1" summaryRight="1"/>
    <pageSetUpPr/>
  </sheetPr>
  <dimension ref="A1:AO56"/>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4.1" customHeight="1" s="4080">
      <c r="A1" s="2914" t="inlineStr">
        <is>
          <t>付表１４－３　障害者支援施設において実施する昼間実施サービス及び施設入所支援に係る記載事項（その２）</t>
        </is>
      </c>
      <c r="Z1" s="3174" t="n"/>
      <c r="AB1" s="3046" t="inlineStr">
        <is>
          <t>枚／</t>
        </is>
      </c>
      <c r="AE1" s="3174" t="n"/>
      <c r="AG1" s="3047" t="inlineStr">
        <is>
          <t>枚</t>
        </is>
      </c>
      <c r="AO1" s="721">
        <f>HYPERLINK("#目次!A1","目次へ戻る")</f>
        <v/>
      </c>
    </row>
    <row r="2" ht="14.1" customHeight="1" s="4080" thickBot="1">
      <c r="Z2" s="3175" t="n"/>
      <c r="AA2" s="4087" t="n"/>
      <c r="AB2" s="3049" t="inlineStr">
        <is>
          <t>単位／</t>
        </is>
      </c>
      <c r="AC2" s="4087" t="n"/>
      <c r="AD2" s="4087" t="n"/>
      <c r="AE2" s="3175" t="n"/>
      <c r="AF2" s="4087" t="n"/>
      <c r="AG2" s="3050" t="inlineStr">
        <is>
          <t>単位</t>
        </is>
      </c>
      <c r="AH2" s="4087" t="n"/>
    </row>
    <row r="3" ht="15" customHeight="1" s="4080">
      <c r="B3" s="1355" t="inlineStr">
        <is>
          <t>（</t>
        </is>
      </c>
      <c r="C3" s="1458" t="inlineStr">
        <is>
          <t>生活介護</t>
        </is>
      </c>
      <c r="F3" s="1325" t="inlineStr">
        <is>
          <t>・</t>
        </is>
      </c>
      <c r="G3" s="1458" t="inlineStr">
        <is>
          <t>自立訓練</t>
        </is>
      </c>
      <c r="J3" s="2069" t="inlineStr">
        <is>
          <t>・</t>
        </is>
      </c>
      <c r="K3" s="1458" t="inlineStr">
        <is>
          <t>就労移行支援</t>
        </is>
      </c>
      <c r="O3" s="470" t="inlineStr">
        <is>
          <t>・</t>
        </is>
      </c>
      <c r="P3" s="1458" t="inlineStr">
        <is>
          <t>就労継続支援</t>
        </is>
      </c>
      <c r="T3" s="470" t="inlineStr">
        <is>
          <t>）</t>
        </is>
      </c>
      <c r="U3" s="4178" t="inlineStr">
        <is>
          <t>事業所番号</t>
        </is>
      </c>
      <c r="V3" s="4082" t="n"/>
      <c r="W3" s="4082" t="n"/>
      <c r="X3" s="4083" t="n"/>
      <c r="Y3" s="4084" t="n"/>
      <c r="Z3" s="4084" t="n"/>
      <c r="AA3" s="4084" t="n"/>
      <c r="AB3" s="4084" t="n"/>
      <c r="AC3" s="4084" t="n"/>
      <c r="AD3" s="4084" t="n"/>
      <c r="AE3" s="4084" t="n"/>
      <c r="AF3" s="4084" t="n"/>
      <c r="AG3" s="4084" t="n"/>
      <c r="AH3" s="4085" t="n"/>
    </row>
    <row r="4" ht="3.95" customHeight="1" s="4080" thickBot="1">
      <c r="B4" s="45" t="n"/>
      <c r="C4" s="48" t="n"/>
      <c r="D4" s="48" t="n"/>
      <c r="E4" s="48" t="n"/>
      <c r="F4" s="49" t="n"/>
      <c r="G4" s="48" t="n"/>
      <c r="H4" s="48" t="n"/>
      <c r="I4" s="48" t="n"/>
      <c r="J4" s="49" t="n"/>
      <c r="K4" s="48" t="n"/>
      <c r="L4" s="48" t="n"/>
      <c r="M4" s="48" t="n"/>
      <c r="N4" s="197" t="n"/>
      <c r="O4" s="197" t="n"/>
      <c r="P4" s="197" t="n"/>
      <c r="Q4" s="2345" t="n"/>
      <c r="R4" s="2345" t="n"/>
      <c r="S4" s="2345" t="n"/>
      <c r="T4" s="4015" t="n"/>
      <c r="U4" s="4086" t="n"/>
      <c r="V4" s="4087" t="n"/>
      <c r="W4" s="4087" t="n"/>
      <c r="X4" s="4088" t="n"/>
      <c r="Y4" s="4089" t="n"/>
      <c r="Z4" s="4089" t="n"/>
      <c r="AA4" s="4089" t="n"/>
      <c r="AB4" s="4089" t="n"/>
      <c r="AC4" s="4089" t="n"/>
      <c r="AD4" s="4089" t="n"/>
      <c r="AE4" s="4089" t="n"/>
      <c r="AF4" s="4089" t="n"/>
      <c r="AG4" s="4089" t="n"/>
      <c r="AH4" s="4090" t="n"/>
    </row>
    <row r="5" ht="14.1" customHeight="1" s="4080">
      <c r="A5" s="2506" t="inlineStr">
        <is>
          <t>施設</t>
        </is>
      </c>
      <c r="B5" s="4356" t="n"/>
      <c r="C5" s="4180" t="inlineStr">
        <is>
          <t>ﾌﾘｶﾞﾅ</t>
        </is>
      </c>
      <c r="D5" s="4093" t="n"/>
      <c r="E5" s="4094" t="n"/>
      <c r="F5" s="4236" t="n"/>
      <c r="G5" s="4093" t="n"/>
      <c r="H5" s="4093" t="n"/>
      <c r="I5" s="4093" t="n"/>
      <c r="J5" s="4093" t="n"/>
      <c r="K5" s="4093" t="n"/>
      <c r="L5" s="4093" t="n"/>
      <c r="M5" s="4093" t="n"/>
      <c r="N5" s="4093" t="n"/>
      <c r="O5" s="4093" t="n"/>
      <c r="P5" s="4093" t="n"/>
      <c r="Q5" s="4093" t="n"/>
      <c r="R5" s="4093" t="n"/>
      <c r="S5" s="4093" t="n"/>
      <c r="T5" s="4093" t="n"/>
      <c r="U5" s="4093" t="n"/>
      <c r="V5" s="4093" t="n"/>
      <c r="W5" s="4093" t="n"/>
      <c r="X5" s="4093" t="n"/>
      <c r="Y5" s="4093" t="n"/>
      <c r="Z5" s="4093" t="n"/>
      <c r="AA5" s="4093" t="n"/>
      <c r="AB5" s="4093" t="n"/>
      <c r="AC5" s="4093" t="n"/>
      <c r="AD5" s="4093" t="n"/>
      <c r="AE5" s="4093" t="n"/>
      <c r="AF5" s="4093" t="n"/>
      <c r="AG5" s="4093" t="n"/>
      <c r="AH5" s="4096" t="n"/>
    </row>
    <row r="6" ht="14.1" customHeight="1" s="4080">
      <c r="A6" s="4097" t="n"/>
      <c r="B6" s="4107" t="n"/>
      <c r="C6" s="4181" t="inlineStr">
        <is>
          <t>名　称</t>
        </is>
      </c>
      <c r="D6" s="4098" t="n"/>
      <c r="E6" s="4099" t="n"/>
      <c r="F6" s="4768" t="n"/>
      <c r="G6" s="4098" t="n"/>
      <c r="H6" s="4098" t="n"/>
      <c r="I6" s="4098" t="n"/>
      <c r="J6" s="4098" t="n"/>
      <c r="K6" s="4098" t="n"/>
      <c r="L6" s="4098" t="n"/>
      <c r="M6" s="4098" t="n"/>
      <c r="N6" s="4098" t="n"/>
      <c r="O6" s="4098" t="n"/>
      <c r="P6" s="4098" t="n"/>
      <c r="Q6" s="4098" t="n"/>
      <c r="R6" s="4098" t="n"/>
      <c r="S6" s="4098" t="n"/>
      <c r="T6" s="4098" t="n"/>
      <c r="U6" s="4098" t="n"/>
      <c r="V6" s="4098" t="n"/>
      <c r="W6" s="4098" t="n"/>
      <c r="X6" s="4098" t="n"/>
      <c r="Y6" s="4098" t="n"/>
      <c r="Z6" s="4098" t="n"/>
      <c r="AA6" s="4098" t="n"/>
      <c r="AB6" s="4098" t="n"/>
      <c r="AC6" s="4098" t="n"/>
      <c r="AD6" s="4098" t="n"/>
      <c r="AE6" s="4098" t="n"/>
      <c r="AF6" s="4098" t="n"/>
      <c r="AG6" s="4098" t="n"/>
      <c r="AH6" s="4101" t="n"/>
    </row>
    <row r="7" ht="14.1" customHeight="1" s="4080">
      <c r="A7" s="4097" t="n"/>
      <c r="B7" s="4107" t="n"/>
      <c r="C7" s="4102" t="n"/>
      <c r="D7" s="4103" t="n"/>
      <c r="E7" s="4104" t="n"/>
      <c r="F7" s="4102" t="n"/>
      <c r="G7" s="4103" t="n"/>
      <c r="H7" s="4103" t="n"/>
      <c r="I7" s="4103" t="n"/>
      <c r="J7" s="4103" t="n"/>
      <c r="K7" s="4103" t="n"/>
      <c r="L7" s="4103" t="n"/>
      <c r="M7" s="4103" t="n"/>
      <c r="N7" s="4103" t="n"/>
      <c r="O7" s="4103" t="n"/>
      <c r="P7" s="4103" t="n"/>
      <c r="Q7" s="4103" t="n"/>
      <c r="R7" s="4103" t="n"/>
      <c r="S7" s="4103" t="n"/>
      <c r="T7" s="4103" t="n"/>
      <c r="U7" s="4103" t="n"/>
      <c r="V7" s="4103" t="n"/>
      <c r="W7" s="4103" t="n"/>
      <c r="X7" s="4103" t="n"/>
      <c r="Y7" s="4103" t="n"/>
      <c r="Z7" s="4103" t="n"/>
      <c r="AA7" s="4103" t="n"/>
      <c r="AB7" s="4103" t="n"/>
      <c r="AC7" s="4103" t="n"/>
      <c r="AD7" s="4103" t="n"/>
      <c r="AE7" s="4103" t="n"/>
      <c r="AF7" s="4103" t="n"/>
      <c r="AG7" s="4103" t="n"/>
      <c r="AH7" s="4105" t="n"/>
    </row>
    <row r="8" ht="15.95" customHeight="1" s="4080">
      <c r="A8" s="4788" t="inlineStr">
        <is>
          <t>職　員　の　職　種　・　員　数</t>
        </is>
      </c>
      <c r="B8" s="4789" t="n"/>
      <c r="C8" s="2414" t="n"/>
      <c r="D8" s="4790" t="n"/>
      <c r="E8" s="4791" t="inlineStr">
        <is>
          <t xml:space="preserve">　　　職種・勤務形態
常勤・非常勤の別</t>
        </is>
      </c>
      <c r="F8" s="4098" t="n"/>
      <c r="G8" s="4098" t="n"/>
      <c r="H8" s="4098" t="n"/>
      <c r="I8" s="4098" t="n"/>
      <c r="J8" s="4099" t="n"/>
      <c r="K8" s="4185" t="inlineStr">
        <is>
          <t>サービス管理責任者</t>
        </is>
      </c>
      <c r="L8" s="4110" t="n"/>
      <c r="M8" s="4110" t="n"/>
      <c r="N8" s="4110" t="n"/>
      <c r="O8" s="4110" t="n"/>
      <c r="P8" s="4111" t="n"/>
      <c r="Q8" s="4325" t="inlineStr">
        <is>
          <t>医　　　師</t>
        </is>
      </c>
      <c r="R8" s="4098" t="n"/>
      <c r="S8" s="4098" t="n"/>
      <c r="T8" s="4098" t="n"/>
      <c r="U8" s="4098" t="n"/>
      <c r="V8" s="4099" t="n"/>
      <c r="W8" s="4325" t="inlineStr">
        <is>
          <t>生活支援員</t>
        </is>
      </c>
      <c r="X8" s="4098" t="n"/>
      <c r="Y8" s="4098" t="n"/>
      <c r="Z8" s="4098" t="n"/>
      <c r="AA8" s="4098" t="n"/>
      <c r="AB8" s="4099" t="n"/>
      <c r="AC8" s="4326" t="inlineStr">
        <is>
          <t>精神保健福祉士</t>
        </is>
      </c>
      <c r="AD8" s="4098" t="n"/>
      <c r="AE8" s="4098" t="n"/>
      <c r="AF8" s="4098" t="n"/>
      <c r="AG8" s="4098" t="n"/>
      <c r="AH8" s="4101" t="n"/>
    </row>
    <row r="9" ht="15.95" customHeight="1" s="4080">
      <c r="A9" s="4097" t="n"/>
      <c r="B9" s="4106" t="n"/>
      <c r="C9" s="3250" t="inlineStr">
        <is>
          <t>生活介護</t>
        </is>
      </c>
      <c r="D9" s="4107" t="n"/>
      <c r="E9" s="4102" t="n"/>
      <c r="F9" s="4103" t="n"/>
      <c r="G9" s="4103" t="n"/>
      <c r="H9" s="4103" t="n"/>
      <c r="I9" s="4103" t="n"/>
      <c r="J9" s="4104" t="n"/>
      <c r="K9" s="1617" t="inlineStr">
        <is>
          <t>専従</t>
        </is>
      </c>
      <c r="L9" s="4110" t="n"/>
      <c r="M9" s="4189" t="n"/>
      <c r="N9" s="1603" t="inlineStr">
        <is>
          <t>兼務</t>
        </is>
      </c>
      <c r="O9" s="4110" t="n"/>
      <c r="P9" s="4189" t="n"/>
      <c r="Q9" s="1617" t="inlineStr">
        <is>
          <t>専従</t>
        </is>
      </c>
      <c r="R9" s="4110" t="n"/>
      <c r="S9" s="4189" t="n"/>
      <c r="T9" s="1603" t="inlineStr">
        <is>
          <t>兼務</t>
        </is>
      </c>
      <c r="U9" s="4110" t="n"/>
      <c r="V9" s="4189" t="n"/>
      <c r="W9" s="1617" t="inlineStr">
        <is>
          <t>専従</t>
        </is>
      </c>
      <c r="X9" s="4110" t="n"/>
      <c r="Y9" s="4189" t="n"/>
      <c r="Z9" s="1603" t="inlineStr">
        <is>
          <t>兼務</t>
        </is>
      </c>
      <c r="AA9" s="4110" t="n"/>
      <c r="AB9" s="4189" t="n"/>
      <c r="AC9" s="1617" t="inlineStr">
        <is>
          <t>専従</t>
        </is>
      </c>
      <c r="AD9" s="4110" t="n"/>
      <c r="AE9" s="4189" t="n"/>
      <c r="AF9" s="1603" t="inlineStr">
        <is>
          <t>兼務</t>
        </is>
      </c>
      <c r="AG9" s="4110" t="n"/>
      <c r="AH9" s="4189" t="n"/>
    </row>
    <row r="10" ht="15.95" customHeight="1" s="4080">
      <c r="A10" s="4097" t="n"/>
      <c r="B10" s="4106" t="n"/>
      <c r="D10" s="4107" t="n"/>
      <c r="E10" s="4185" t="inlineStr">
        <is>
          <t>常　　　勤（人）</t>
        </is>
      </c>
      <c r="F10" s="4110" t="n"/>
      <c r="G10" s="4110" t="n"/>
      <c r="H10" s="4110" t="n"/>
      <c r="I10" s="4110" t="n"/>
      <c r="J10" s="4111" t="n"/>
      <c r="K10" s="4638" t="n"/>
      <c r="L10" s="4110" t="n"/>
      <c r="M10" s="4189" t="n"/>
      <c r="N10" s="4723" t="n"/>
      <c r="O10" s="4110" t="n"/>
      <c r="P10" s="4189" t="n"/>
      <c r="Q10" s="4638" t="n"/>
      <c r="R10" s="4110" t="n"/>
      <c r="S10" s="4189" t="n"/>
      <c r="T10" s="4723" t="n"/>
      <c r="U10" s="4110" t="n"/>
      <c r="V10" s="4189" t="n"/>
      <c r="W10" s="4638" t="n"/>
      <c r="X10" s="4110" t="n"/>
      <c r="Y10" s="4189" t="n"/>
      <c r="Z10" s="4723" t="n"/>
      <c r="AA10" s="4110" t="n"/>
      <c r="AB10" s="4189" t="n"/>
      <c r="AC10" s="4638" t="n"/>
      <c r="AD10" s="4110" t="n"/>
      <c r="AE10" s="4189" t="n"/>
      <c r="AF10" s="4723" t="n"/>
      <c r="AG10" s="4110" t="n"/>
      <c r="AH10" s="4189" t="n"/>
    </row>
    <row r="11" ht="15.95" customHeight="1" s="4080">
      <c r="A11" s="4097" t="n"/>
      <c r="B11" s="4106" t="n"/>
      <c r="D11" s="4107" t="n"/>
      <c r="E11" s="4185" t="inlineStr">
        <is>
          <t>非　常　勤（人）</t>
        </is>
      </c>
      <c r="F11" s="4110" t="n"/>
      <c r="G11" s="4110" t="n"/>
      <c r="H11" s="4110" t="n"/>
      <c r="I11" s="4110" t="n"/>
      <c r="J11" s="4111" t="n"/>
      <c r="K11" s="4638" t="n"/>
      <c r="L11" s="4110" t="n"/>
      <c r="M11" s="4189" t="n"/>
      <c r="N11" s="4723" t="n"/>
      <c r="O11" s="4110" t="n"/>
      <c r="P11" s="4189" t="n"/>
      <c r="Q11" s="4638" t="n"/>
      <c r="R11" s="4110" t="n"/>
      <c r="S11" s="4189" t="n"/>
      <c r="T11" s="4723" t="n"/>
      <c r="U11" s="4110" t="n"/>
      <c r="V11" s="4189" t="n"/>
      <c r="W11" s="4638" t="n"/>
      <c r="X11" s="4110" t="n"/>
      <c r="Y11" s="4189" t="n"/>
      <c r="Z11" s="4723" t="n"/>
      <c r="AA11" s="4110" t="n"/>
      <c r="AB11" s="4189" t="n"/>
      <c r="AC11" s="4638" t="n"/>
      <c r="AD11" s="4110" t="n"/>
      <c r="AE11" s="4189" t="n"/>
      <c r="AF11" s="4723" t="n"/>
      <c r="AG11" s="4110" t="n"/>
      <c r="AH11" s="4189" t="n"/>
    </row>
    <row r="12" ht="15.95" customHeight="1" s="4080">
      <c r="A12" s="4097" t="n"/>
      <c r="B12" s="4106" t="n"/>
      <c r="D12" s="4107" t="n"/>
      <c r="E12" s="4792" t="inlineStr">
        <is>
          <t>常勤換算後の人数（人）</t>
        </is>
      </c>
      <c r="F12" s="4110" t="n"/>
      <c r="G12" s="4110" t="n"/>
      <c r="H12" s="4110" t="n"/>
      <c r="I12" s="4110" t="n"/>
      <c r="J12" s="4111" t="n"/>
      <c r="K12" s="4793" t="n"/>
      <c r="L12" s="4110" t="n"/>
      <c r="M12" s="4110" t="n"/>
      <c r="N12" s="4110" t="n"/>
      <c r="O12" s="4110" t="n"/>
      <c r="P12" s="4111" t="n"/>
      <c r="Q12" s="4793" t="n"/>
      <c r="R12" s="4110" t="n"/>
      <c r="S12" s="4110" t="n"/>
      <c r="T12" s="4110" t="n"/>
      <c r="U12" s="4110" t="n"/>
      <c r="V12" s="4111" t="n"/>
      <c r="W12" s="4793" t="n"/>
      <c r="X12" s="4110" t="n"/>
      <c r="Y12" s="4110" t="n"/>
      <c r="Z12" s="4110" t="n"/>
      <c r="AA12" s="4110" t="n"/>
      <c r="AB12" s="4111" t="n"/>
      <c r="AC12" s="4794" t="n"/>
      <c r="AD12" s="4110" t="n"/>
      <c r="AE12" s="4110" t="n"/>
      <c r="AF12" s="4110" t="n"/>
      <c r="AG12" s="4110" t="n"/>
      <c r="AH12" s="4113" t="n"/>
    </row>
    <row r="13" ht="15.95" customHeight="1" s="4080">
      <c r="A13" s="4097" t="n"/>
      <c r="B13" s="4106" t="n"/>
      <c r="C13" s="472" t="inlineStr">
        <is>
          <t>・</t>
        </is>
      </c>
      <c r="D13" s="4107" t="n"/>
      <c r="E13" s="4795" t="inlineStr">
        <is>
          <t xml:space="preserve">　　　　　職種・勤務形態
常勤・非常勤の別</t>
        </is>
      </c>
      <c r="F13" s="4098" t="n"/>
      <c r="G13" s="4098" t="n"/>
      <c r="H13" s="4098" t="n"/>
      <c r="I13" s="4098" t="n"/>
      <c r="J13" s="4099" t="n"/>
      <c r="K13" s="4441" t="inlineStr">
        <is>
          <t>看　　　　　護　　　　　職　　　　　員</t>
        </is>
      </c>
      <c r="L13" s="4110" t="n"/>
      <c r="M13" s="4110" t="n"/>
      <c r="N13" s="4110" t="n"/>
      <c r="O13" s="4110" t="n"/>
      <c r="P13" s="4110" t="n"/>
      <c r="Q13" s="4110" t="n"/>
      <c r="R13" s="4110" t="n"/>
      <c r="S13" s="4110" t="n"/>
      <c r="T13" s="4110" t="n"/>
      <c r="U13" s="4110" t="n"/>
      <c r="V13" s="4110" t="n"/>
      <c r="W13" s="4110" t="n"/>
      <c r="X13" s="4110" t="n"/>
      <c r="Y13" s="4110" t="n"/>
      <c r="Z13" s="4110" t="n"/>
      <c r="AA13" s="4110" t="n"/>
      <c r="AB13" s="4110" t="n"/>
      <c r="AC13" s="4110" t="n"/>
      <c r="AD13" s="4110" t="n"/>
      <c r="AE13" s="4110" t="n"/>
      <c r="AF13" s="4110" t="n"/>
      <c r="AG13" s="4110" t="n"/>
      <c r="AH13" s="4113" t="n"/>
    </row>
    <row r="14" ht="15.95" customHeight="1" s="4080">
      <c r="A14" s="4097" t="n"/>
      <c r="B14" s="4106" t="n"/>
      <c r="C14" s="3249" t="inlineStr">
        <is>
          <t>自立訓練(機能訓練)</t>
        </is>
      </c>
      <c r="D14" s="4107" t="n"/>
      <c r="E14" s="4106" t="n"/>
      <c r="J14" s="4107" t="n"/>
      <c r="K14" s="4440" t="inlineStr">
        <is>
          <t>保　健　師</t>
        </is>
      </c>
      <c r="L14" s="4110" t="n"/>
      <c r="M14" s="4110" t="n"/>
      <c r="N14" s="4110" t="n"/>
      <c r="O14" s="4110" t="n"/>
      <c r="P14" s="4111" t="n"/>
      <c r="Q14" s="4440" t="inlineStr">
        <is>
          <t>看　護　師</t>
        </is>
      </c>
      <c r="R14" s="4110" t="n"/>
      <c r="S14" s="4110" t="n"/>
      <c r="T14" s="4110" t="n"/>
      <c r="U14" s="4110" t="n"/>
      <c r="V14" s="4111" t="n"/>
      <c r="W14" s="4440" t="inlineStr">
        <is>
          <t>准看護師</t>
        </is>
      </c>
      <c r="X14" s="4110" t="n"/>
      <c r="Y14" s="4110" t="n"/>
      <c r="Z14" s="4110" t="n"/>
      <c r="AA14" s="4110" t="n"/>
      <c r="AB14" s="4111" t="n"/>
      <c r="AC14" s="4441" t="inlineStr">
        <is>
          <t>看護職員計</t>
        </is>
      </c>
      <c r="AD14" s="4110" t="n"/>
      <c r="AE14" s="4110" t="n"/>
      <c r="AF14" s="4110" t="n"/>
      <c r="AG14" s="4110" t="n"/>
      <c r="AH14" s="4113" t="n"/>
    </row>
    <row r="15" ht="15.95" customHeight="1" s="4080">
      <c r="A15" s="4097" t="n"/>
      <c r="B15" s="4106" t="n"/>
      <c r="D15" s="4107" t="n"/>
      <c r="E15" s="4102" t="n"/>
      <c r="F15" s="4103" t="n"/>
      <c r="G15" s="4103" t="n"/>
      <c r="H15" s="4103" t="n"/>
      <c r="I15" s="4103" t="n"/>
      <c r="J15" s="4104" t="n"/>
      <c r="K15" s="1617" t="inlineStr">
        <is>
          <t>専従</t>
        </is>
      </c>
      <c r="L15" s="4110" t="n"/>
      <c r="M15" s="4189" t="n"/>
      <c r="N15" s="1603" t="inlineStr">
        <is>
          <t>兼務</t>
        </is>
      </c>
      <c r="O15" s="4110" t="n"/>
      <c r="P15" s="4189" t="n"/>
      <c r="Q15" s="1617" t="inlineStr">
        <is>
          <t>専従</t>
        </is>
      </c>
      <c r="R15" s="4110" t="n"/>
      <c r="S15" s="4189" t="n"/>
      <c r="T15" s="1603" t="inlineStr">
        <is>
          <t>兼務</t>
        </is>
      </c>
      <c r="U15" s="4110" t="n"/>
      <c r="V15" s="4189" t="n"/>
      <c r="W15" s="1617" t="inlineStr">
        <is>
          <t>専従</t>
        </is>
      </c>
      <c r="X15" s="4110" t="n"/>
      <c r="Y15" s="4189" t="n"/>
      <c r="Z15" s="1603" t="inlineStr">
        <is>
          <t>兼務</t>
        </is>
      </c>
      <c r="AA15" s="4110" t="n"/>
      <c r="AB15" s="4189" t="n"/>
      <c r="AC15" s="1617" t="inlineStr">
        <is>
          <t>専従</t>
        </is>
      </c>
      <c r="AD15" s="4110" t="n"/>
      <c r="AE15" s="4189" t="n"/>
      <c r="AF15" s="1603" t="inlineStr">
        <is>
          <t>兼務</t>
        </is>
      </c>
      <c r="AG15" s="4110" t="n"/>
      <c r="AH15" s="4189" t="n"/>
    </row>
    <row r="16" ht="15.95" customHeight="1" s="4080">
      <c r="A16" s="4097" t="n"/>
      <c r="B16" s="4106" t="n"/>
      <c r="D16" s="4107" t="n"/>
      <c r="E16" s="4185" t="inlineStr">
        <is>
          <t>常　　　勤（人）</t>
        </is>
      </c>
      <c r="F16" s="4110" t="n"/>
      <c r="G16" s="4110" t="n"/>
      <c r="H16" s="4110" t="n"/>
      <c r="I16" s="4110" t="n"/>
      <c r="J16" s="4111" t="n"/>
      <c r="K16" s="4638" t="n"/>
      <c r="L16" s="4110" t="n"/>
      <c r="M16" s="4189" t="n"/>
      <c r="N16" s="4639" t="n"/>
      <c r="O16" s="4110" t="n"/>
      <c r="P16" s="4111" t="n"/>
      <c r="Q16" s="4638" t="n"/>
      <c r="R16" s="4110" t="n"/>
      <c r="S16" s="4189" t="n"/>
      <c r="T16" s="4639" t="n"/>
      <c r="U16" s="4110" t="n"/>
      <c r="V16" s="4111" t="n"/>
      <c r="W16" s="4638" t="n"/>
      <c r="X16" s="4110" t="n"/>
      <c r="Y16" s="4189" t="n"/>
      <c r="Z16" s="4639" t="n"/>
      <c r="AA16" s="4110" t="n"/>
      <c r="AB16" s="4111" t="n"/>
      <c r="AC16" s="4638">
        <f>+W16+Q16+K16</f>
        <v/>
      </c>
      <c r="AD16" s="4110" t="n"/>
      <c r="AE16" s="4189" t="n"/>
      <c r="AF16" s="4640">
        <f>+Z16+T16+N16</f>
        <v/>
      </c>
      <c r="AG16" s="4110" t="n"/>
      <c r="AH16" s="4113" t="n"/>
    </row>
    <row r="17" ht="15.95" customHeight="1" s="4080">
      <c r="A17" s="4097" t="n"/>
      <c r="B17" s="4106" t="n"/>
      <c r="D17" s="4107" t="n"/>
      <c r="E17" s="4185" t="inlineStr">
        <is>
          <t>非　常　勤（人）</t>
        </is>
      </c>
      <c r="F17" s="4110" t="n"/>
      <c r="G17" s="4110" t="n"/>
      <c r="H17" s="4110" t="n"/>
      <c r="I17" s="4110" t="n"/>
      <c r="J17" s="4111" t="n"/>
      <c r="K17" s="4638" t="n"/>
      <c r="L17" s="4110" t="n"/>
      <c r="M17" s="4189" t="n"/>
      <c r="N17" s="4639" t="n"/>
      <c r="O17" s="4110" t="n"/>
      <c r="P17" s="4111" t="n"/>
      <c r="Q17" s="4638" t="n"/>
      <c r="R17" s="4110" t="n"/>
      <c r="S17" s="4189" t="n"/>
      <c r="T17" s="4639" t="n"/>
      <c r="U17" s="4110" t="n"/>
      <c r="V17" s="4111" t="n"/>
      <c r="W17" s="4638" t="n"/>
      <c r="X17" s="4110" t="n"/>
      <c r="Y17" s="4189" t="n"/>
      <c r="Z17" s="4639" t="n"/>
      <c r="AA17" s="4110" t="n"/>
      <c r="AB17" s="4111" t="n"/>
      <c r="AC17" s="4638">
        <f>+W17+Q17+K17</f>
        <v/>
      </c>
      <c r="AD17" s="4110" t="n"/>
      <c r="AE17" s="4189" t="n"/>
      <c r="AF17" s="4640">
        <f>+Z17+T17+N17</f>
        <v/>
      </c>
      <c r="AG17" s="4110" t="n"/>
      <c r="AH17" s="4113" t="n"/>
    </row>
    <row r="18" ht="15.95" customHeight="1" s="4080">
      <c r="A18" s="4097" t="n"/>
      <c r="B18" s="4106" t="n"/>
      <c r="D18" s="4107" t="n"/>
      <c r="E18" s="4792" t="inlineStr">
        <is>
          <t>常勤換算後の人数（人）</t>
        </is>
      </c>
      <c r="F18" s="4110" t="n"/>
      <c r="G18" s="4110" t="n"/>
      <c r="H18" s="4110" t="n"/>
      <c r="I18" s="4110" t="n"/>
      <c r="J18" s="4111" t="n"/>
      <c r="K18" s="4793" t="n"/>
      <c r="L18" s="4110" t="n"/>
      <c r="M18" s="4110" t="n"/>
      <c r="N18" s="4110" t="n"/>
      <c r="O18" s="4110" t="n"/>
      <c r="P18" s="4111" t="n"/>
      <c r="Q18" s="4793" t="n"/>
      <c r="R18" s="4110" t="n"/>
      <c r="S18" s="4110" t="n"/>
      <c r="T18" s="4110" t="n"/>
      <c r="U18" s="4110" t="n"/>
      <c r="V18" s="4111" t="n"/>
      <c r="W18" s="4793" t="n"/>
      <c r="X18" s="4110" t="n"/>
      <c r="Y18" s="4110" t="n"/>
      <c r="Z18" s="4110" t="n"/>
      <c r="AA18" s="4110" t="n"/>
      <c r="AB18" s="4111" t="n"/>
      <c r="AC18" s="4794">
        <f>+W18+Q18+K18</f>
        <v/>
      </c>
      <c r="AD18" s="4110" t="n"/>
      <c r="AE18" s="4110" t="n"/>
      <c r="AF18" s="4110" t="n"/>
      <c r="AG18" s="4110" t="n"/>
      <c r="AH18" s="4113" t="n"/>
    </row>
    <row r="19" ht="15.95" customHeight="1" s="4080">
      <c r="A19" s="4097" t="n"/>
      <c r="B19" s="4106" t="n"/>
      <c r="D19" s="4107" t="n"/>
      <c r="E19" s="4795" t="inlineStr">
        <is>
          <t xml:space="preserve">　　　　　職種・勤務形態
常勤・非常勤の別</t>
        </is>
      </c>
      <c r="F19" s="4098" t="n"/>
      <c r="G19" s="4098" t="n"/>
      <c r="H19" s="4098" t="n"/>
      <c r="I19" s="4098" t="n"/>
      <c r="J19" s="4099" t="n"/>
      <c r="K19" s="4441" t="inlineStr">
        <is>
          <t>理　　　　学　　　　療　　　　法　　　　士　　　　等</t>
        </is>
      </c>
      <c r="L19" s="4110" t="n"/>
      <c r="M19" s="4110" t="n"/>
      <c r="N19" s="4110" t="n"/>
      <c r="O19" s="4110" t="n"/>
      <c r="P19" s="4110" t="n"/>
      <c r="Q19" s="4110" t="n"/>
      <c r="R19" s="4110" t="n"/>
      <c r="S19" s="4110" t="n"/>
      <c r="T19" s="4110" t="n"/>
      <c r="U19" s="4110" t="n"/>
      <c r="V19" s="4110" t="n"/>
      <c r="W19" s="4110" t="n"/>
      <c r="X19" s="4110" t="n"/>
      <c r="Y19" s="4110" t="n"/>
      <c r="Z19" s="4110" t="n"/>
      <c r="AA19" s="4110" t="n"/>
      <c r="AB19" s="4110" t="n"/>
      <c r="AC19" s="4110" t="n"/>
      <c r="AD19" s="4110" t="n"/>
      <c r="AE19" s="4110" t="n"/>
      <c r="AF19" s="4110" t="n"/>
      <c r="AG19" s="4110" t="n"/>
      <c r="AH19" s="4113" t="n"/>
    </row>
    <row r="20" ht="15.95" customHeight="1" s="4080">
      <c r="A20" s="4097" t="n"/>
      <c r="B20" s="4106" t="n"/>
      <c r="D20" s="4107" t="n"/>
      <c r="E20" s="4106" t="n"/>
      <c r="J20" s="4107" t="n"/>
      <c r="K20" s="4449" t="inlineStr">
        <is>
          <t>理学療法士</t>
        </is>
      </c>
      <c r="L20" s="4110" t="n"/>
      <c r="M20" s="4110" t="n"/>
      <c r="N20" s="4110" t="n"/>
      <c r="O20" s="4110" t="n"/>
      <c r="P20" s="4111" t="n"/>
      <c r="Q20" s="4449" t="inlineStr">
        <is>
          <t>作業療法士</t>
        </is>
      </c>
      <c r="R20" s="4110" t="n"/>
      <c r="S20" s="4110" t="n"/>
      <c r="T20" s="4110" t="n"/>
      <c r="U20" s="4110" t="n"/>
      <c r="V20" s="4111" t="n"/>
      <c r="W20" s="4449" t="inlineStr">
        <is>
          <t>機能訓練指導員</t>
        </is>
      </c>
      <c r="X20" s="4110" t="n"/>
      <c r="Y20" s="4110" t="n"/>
      <c r="Z20" s="4110" t="n"/>
      <c r="AA20" s="4110" t="n"/>
      <c r="AB20" s="4111" t="n"/>
      <c r="AC20" s="4450" t="inlineStr">
        <is>
          <t>理学療法士等計</t>
        </is>
      </c>
      <c r="AD20" s="4110" t="n"/>
      <c r="AE20" s="4110" t="n"/>
      <c r="AF20" s="4110" t="n"/>
      <c r="AG20" s="4110" t="n"/>
      <c r="AH20" s="4113" t="n"/>
    </row>
    <row r="21" ht="15.95" customHeight="1" s="4080">
      <c r="A21" s="4097" t="n"/>
      <c r="B21" s="4106" t="n"/>
      <c r="C21" s="472" t="inlineStr">
        <is>
          <t>・</t>
        </is>
      </c>
      <c r="D21" s="4107" t="n"/>
      <c r="E21" s="4102" t="n"/>
      <c r="F21" s="4103" t="n"/>
      <c r="G21" s="4103" t="n"/>
      <c r="H21" s="4103" t="n"/>
      <c r="I21" s="4103" t="n"/>
      <c r="J21" s="4104" t="n"/>
      <c r="K21" s="1617" t="inlineStr">
        <is>
          <t>専従</t>
        </is>
      </c>
      <c r="L21" s="4110" t="n"/>
      <c r="M21" s="4189" t="n"/>
      <c r="N21" s="1603" t="inlineStr">
        <is>
          <t>兼務</t>
        </is>
      </c>
      <c r="O21" s="4110" t="n"/>
      <c r="P21" s="4189" t="n"/>
      <c r="Q21" s="1617" t="inlineStr">
        <is>
          <t>専従</t>
        </is>
      </c>
      <c r="R21" s="4110" t="n"/>
      <c r="S21" s="4189" t="n"/>
      <c r="T21" s="1603" t="inlineStr">
        <is>
          <t>兼務</t>
        </is>
      </c>
      <c r="U21" s="4110" t="n"/>
      <c r="V21" s="4189" t="n"/>
      <c r="W21" s="1617" t="inlineStr">
        <is>
          <t>専従</t>
        </is>
      </c>
      <c r="X21" s="4110" t="n"/>
      <c r="Y21" s="4189" t="n"/>
      <c r="Z21" s="1603" t="inlineStr">
        <is>
          <t>兼務</t>
        </is>
      </c>
      <c r="AA21" s="4110" t="n"/>
      <c r="AB21" s="4189" t="n"/>
      <c r="AC21" s="1617" t="inlineStr">
        <is>
          <t>専従</t>
        </is>
      </c>
      <c r="AD21" s="4110" t="n"/>
      <c r="AE21" s="4189" t="n"/>
      <c r="AF21" s="1603" t="inlineStr">
        <is>
          <t>兼務</t>
        </is>
      </c>
      <c r="AG21" s="4110" t="n"/>
      <c r="AH21" s="4189" t="n"/>
    </row>
    <row r="22" ht="15.95" customHeight="1" s="4080">
      <c r="A22" s="4097" t="n"/>
      <c r="B22" s="4106" t="n"/>
      <c r="C22" s="3249" t="inlineStr">
        <is>
          <t>自立訓練(生活訓練)</t>
        </is>
      </c>
      <c r="D22" s="4107" t="n"/>
      <c r="E22" s="4185" t="inlineStr">
        <is>
          <t>常　　　勤（人）</t>
        </is>
      </c>
      <c r="F22" s="4110" t="n"/>
      <c r="G22" s="4110" t="n"/>
      <c r="H22" s="4110" t="n"/>
      <c r="I22" s="4110" t="n"/>
      <c r="J22" s="4111" t="n"/>
      <c r="K22" s="4638" t="n"/>
      <c r="L22" s="4110" t="n"/>
      <c r="M22" s="4189" t="n"/>
      <c r="N22" s="4639" t="n"/>
      <c r="O22" s="4110" t="n"/>
      <c r="P22" s="4111" t="n"/>
      <c r="Q22" s="4638" t="n"/>
      <c r="R22" s="4110" t="n"/>
      <c r="S22" s="4189" t="n"/>
      <c r="T22" s="4639" t="n"/>
      <c r="U22" s="4110" t="n"/>
      <c r="V22" s="4111" t="n"/>
      <c r="W22" s="4638" t="n"/>
      <c r="X22" s="4110" t="n"/>
      <c r="Y22" s="4189" t="n"/>
      <c r="Z22" s="4639" t="n"/>
      <c r="AA22" s="4110" t="n"/>
      <c r="AB22" s="4111" t="n"/>
      <c r="AC22" s="4638">
        <f>+W22+Q22+K22</f>
        <v/>
      </c>
      <c r="AD22" s="4110" t="n"/>
      <c r="AE22" s="4189" t="n"/>
      <c r="AF22" s="4640">
        <f>+Z22+T22+N22</f>
        <v/>
      </c>
      <c r="AG22" s="4110" t="n"/>
      <c r="AH22" s="4113" t="n"/>
    </row>
    <row r="23" ht="15.95" customHeight="1" s="4080">
      <c r="A23" s="4097" t="n"/>
      <c r="B23" s="4106" t="n"/>
      <c r="D23" s="4107" t="n"/>
      <c r="E23" s="4185" t="inlineStr">
        <is>
          <t>非　常　勤（人）</t>
        </is>
      </c>
      <c r="F23" s="4110" t="n"/>
      <c r="G23" s="4110" t="n"/>
      <c r="H23" s="4110" t="n"/>
      <c r="I23" s="4110" t="n"/>
      <c r="J23" s="4111" t="n"/>
      <c r="K23" s="4638" t="n"/>
      <c r="L23" s="4110" t="n"/>
      <c r="M23" s="4189" t="n"/>
      <c r="N23" s="4639" t="n"/>
      <c r="O23" s="4110" t="n"/>
      <c r="P23" s="4111" t="n"/>
      <c r="Q23" s="4638" t="n"/>
      <c r="R23" s="4110" t="n"/>
      <c r="S23" s="4189" t="n"/>
      <c r="T23" s="4639" t="n"/>
      <c r="U23" s="4110" t="n"/>
      <c r="V23" s="4111" t="n"/>
      <c r="W23" s="4638" t="n"/>
      <c r="X23" s="4110" t="n"/>
      <c r="Y23" s="4189" t="n"/>
      <c r="Z23" s="4639" t="n"/>
      <c r="AA23" s="4110" t="n"/>
      <c r="AB23" s="4111" t="n"/>
      <c r="AC23" s="4638">
        <f>+W23+Q23+K23</f>
        <v/>
      </c>
      <c r="AD23" s="4110" t="n"/>
      <c r="AE23" s="4189" t="n"/>
      <c r="AF23" s="4640">
        <f>+Z23+T23+N23</f>
        <v/>
      </c>
      <c r="AG23" s="4110" t="n"/>
      <c r="AH23" s="4113" t="n"/>
    </row>
    <row r="24" ht="15.95" customHeight="1" s="4080">
      <c r="A24" s="4097" t="n"/>
      <c r="B24" s="4106" t="n"/>
      <c r="D24" s="4107" t="n"/>
      <c r="E24" s="4792" t="inlineStr">
        <is>
          <t>常勤換算後の人数（人）</t>
        </is>
      </c>
      <c r="F24" s="4110" t="n"/>
      <c r="G24" s="4110" t="n"/>
      <c r="H24" s="4110" t="n"/>
      <c r="I24" s="4110" t="n"/>
      <c r="J24" s="4111" t="n"/>
      <c r="K24" s="4793" t="n"/>
      <c r="L24" s="4110" t="n"/>
      <c r="M24" s="4110" t="n"/>
      <c r="N24" s="4110" t="n"/>
      <c r="O24" s="4110" t="n"/>
      <c r="P24" s="4111" t="n"/>
      <c r="Q24" s="4793" t="n"/>
      <c r="R24" s="4110" t="n"/>
      <c r="S24" s="4110" t="n"/>
      <c r="T24" s="4110" t="n"/>
      <c r="U24" s="4110" t="n"/>
      <c r="V24" s="4111" t="n"/>
      <c r="W24" s="4793" t="n"/>
      <c r="X24" s="4110" t="n"/>
      <c r="Y24" s="4110" t="n"/>
      <c r="Z24" s="4110" t="n"/>
      <c r="AA24" s="4110" t="n"/>
      <c r="AB24" s="4111" t="n"/>
      <c r="AC24" s="4794">
        <f>+W24+Q24+K24</f>
        <v/>
      </c>
      <c r="AD24" s="4110" t="n"/>
      <c r="AE24" s="4110" t="n"/>
      <c r="AF24" s="4110" t="n"/>
      <c r="AG24" s="4110" t="n"/>
      <c r="AH24" s="4113" t="n"/>
    </row>
    <row r="25" ht="15.95" customHeight="1" s="4080">
      <c r="A25" s="4097" t="n"/>
      <c r="B25" s="4106" t="n"/>
      <c r="D25" s="4107" t="n"/>
      <c r="E25" s="4791" t="inlineStr">
        <is>
          <t xml:space="preserve">　　　職種・勤務形態
常勤・非常勤の別</t>
        </is>
      </c>
      <c r="F25" s="4098" t="n"/>
      <c r="G25" s="4098" t="n"/>
      <c r="H25" s="4098" t="n"/>
      <c r="I25" s="4098" t="n"/>
      <c r="J25" s="4099" t="n"/>
      <c r="K25" s="4599" t="n"/>
      <c r="L25" s="4110" t="n"/>
      <c r="M25" s="4110" t="n"/>
      <c r="N25" s="4110" t="n"/>
      <c r="O25" s="4110" t="n"/>
      <c r="P25" s="4111" t="n"/>
      <c r="Q25" s="4599" t="n"/>
      <c r="R25" s="4110" t="n"/>
      <c r="S25" s="4110" t="n"/>
      <c r="T25" s="4110" t="n"/>
      <c r="U25" s="4110" t="n"/>
      <c r="V25" s="4111" t="n"/>
      <c r="W25" s="4599" t="n"/>
      <c r="X25" s="4110" t="n"/>
      <c r="Y25" s="4110" t="n"/>
      <c r="Z25" s="4110" t="n"/>
      <c r="AA25" s="4110" t="n"/>
      <c r="AB25" s="4111" t="n"/>
      <c r="AC25" s="4796" t="n"/>
      <c r="AD25" s="4110" t="n"/>
      <c r="AE25" s="4110" t="n"/>
      <c r="AF25" s="4110" t="n"/>
      <c r="AG25" s="4110" t="n"/>
      <c r="AH25" s="4113" t="n"/>
    </row>
    <row r="26" ht="15.95" customHeight="1" s="4080">
      <c r="A26" s="4097" t="n"/>
      <c r="B26" s="4106" t="n"/>
      <c r="D26" s="4107" t="n"/>
      <c r="E26" s="4102" t="n"/>
      <c r="F26" s="4103" t="n"/>
      <c r="G26" s="4103" t="n"/>
      <c r="H26" s="4103" t="n"/>
      <c r="I26" s="4103" t="n"/>
      <c r="J26" s="4104" t="n"/>
      <c r="K26" s="1617" t="inlineStr">
        <is>
          <t>専従</t>
        </is>
      </c>
      <c r="L26" s="4110" t="n"/>
      <c r="M26" s="4189" t="n"/>
      <c r="N26" s="1603" t="inlineStr">
        <is>
          <t>兼務</t>
        </is>
      </c>
      <c r="O26" s="4110" t="n"/>
      <c r="P26" s="4189" t="n"/>
      <c r="Q26" s="1617" t="inlineStr">
        <is>
          <t>専従</t>
        </is>
      </c>
      <c r="R26" s="4110" t="n"/>
      <c r="S26" s="4189" t="n"/>
      <c r="T26" s="1603" t="inlineStr">
        <is>
          <t>兼務</t>
        </is>
      </c>
      <c r="U26" s="4110" t="n"/>
      <c r="V26" s="4189" t="n"/>
      <c r="W26" s="1617" t="inlineStr">
        <is>
          <t>専従</t>
        </is>
      </c>
      <c r="X26" s="4110" t="n"/>
      <c r="Y26" s="4189" t="n"/>
      <c r="Z26" s="1603" t="inlineStr">
        <is>
          <t>兼務</t>
        </is>
      </c>
      <c r="AA26" s="4110" t="n"/>
      <c r="AB26" s="4189" t="n"/>
      <c r="AC26" s="1617" t="inlineStr">
        <is>
          <t>専従</t>
        </is>
      </c>
      <c r="AD26" s="4110" t="n"/>
      <c r="AE26" s="4189" t="n"/>
      <c r="AF26" s="1603" t="inlineStr">
        <is>
          <t>兼務</t>
        </is>
      </c>
      <c r="AG26" s="4110" t="n"/>
      <c r="AH26" s="4189" t="n"/>
    </row>
    <row r="27" ht="15.95" customHeight="1" s="4080">
      <c r="A27" s="4097" t="n"/>
      <c r="B27" s="4106" t="n"/>
      <c r="D27" s="4107" t="n"/>
      <c r="E27" s="4185" t="inlineStr">
        <is>
          <t>常　　　勤（人）</t>
        </is>
      </c>
      <c r="F27" s="4110" t="n"/>
      <c r="G27" s="4110" t="n"/>
      <c r="H27" s="4110" t="n"/>
      <c r="I27" s="4110" t="n"/>
      <c r="J27" s="4111" t="n"/>
      <c r="K27" s="4638" t="n"/>
      <c r="L27" s="4110" t="n"/>
      <c r="M27" s="4189" t="n"/>
      <c r="N27" s="4639" t="n"/>
      <c r="O27" s="4110" t="n"/>
      <c r="P27" s="4111" t="n"/>
      <c r="Q27" s="4638" t="n"/>
      <c r="R27" s="4110" t="n"/>
      <c r="S27" s="4189" t="n"/>
      <c r="T27" s="4639" t="n"/>
      <c r="U27" s="4110" t="n"/>
      <c r="V27" s="4111" t="n"/>
      <c r="W27" s="4638" t="n"/>
      <c r="X27" s="4110" t="n"/>
      <c r="Y27" s="4189" t="n"/>
      <c r="Z27" s="4639" t="n"/>
      <c r="AA27" s="4110" t="n"/>
      <c r="AB27" s="4111" t="n"/>
      <c r="AC27" s="4638" t="n"/>
      <c r="AD27" s="4110" t="n"/>
      <c r="AE27" s="4189" t="n"/>
      <c r="AF27" s="4640" t="n"/>
      <c r="AG27" s="4110" t="n"/>
      <c r="AH27" s="4113" t="n"/>
    </row>
    <row r="28" ht="15.95" customHeight="1" s="4080">
      <c r="A28" s="4097" t="n"/>
      <c r="B28" s="4106" t="n"/>
      <c r="D28" s="4107" t="n"/>
      <c r="E28" s="4185" t="inlineStr">
        <is>
          <t>非　常　勤（人）</t>
        </is>
      </c>
      <c r="F28" s="4110" t="n"/>
      <c r="G28" s="4110" t="n"/>
      <c r="H28" s="4110" t="n"/>
      <c r="I28" s="4110" t="n"/>
      <c r="J28" s="4111" t="n"/>
      <c r="K28" s="4638" t="n"/>
      <c r="L28" s="4110" t="n"/>
      <c r="M28" s="4189" t="n"/>
      <c r="N28" s="4639" t="n"/>
      <c r="O28" s="4110" t="n"/>
      <c r="P28" s="4111" t="n"/>
      <c r="Q28" s="4638" t="n"/>
      <c r="R28" s="4110" t="n"/>
      <c r="S28" s="4189" t="n"/>
      <c r="T28" s="4639" t="n"/>
      <c r="U28" s="4110" t="n"/>
      <c r="V28" s="4111" t="n"/>
      <c r="W28" s="4638" t="n"/>
      <c r="X28" s="4110" t="n"/>
      <c r="Y28" s="4189" t="n"/>
      <c r="Z28" s="4639" t="n"/>
      <c r="AA28" s="4110" t="n"/>
      <c r="AB28" s="4111" t="n"/>
      <c r="AC28" s="4638" t="n"/>
      <c r="AD28" s="4110" t="n"/>
      <c r="AE28" s="4189" t="n"/>
      <c r="AF28" s="4640" t="n"/>
      <c r="AG28" s="4110" t="n"/>
      <c r="AH28" s="4113" t="n"/>
    </row>
    <row r="29" ht="15.95" customHeight="1" s="4080">
      <c r="A29" s="4097" t="n"/>
      <c r="B29" s="4102" t="n"/>
      <c r="C29" s="1810" t="n"/>
      <c r="D29" s="4104" t="n"/>
      <c r="E29" s="4792" t="inlineStr">
        <is>
          <t>常勤換算後の人数（人）</t>
        </is>
      </c>
      <c r="F29" s="4110" t="n"/>
      <c r="G29" s="4110" t="n"/>
      <c r="H29" s="4110" t="n"/>
      <c r="I29" s="4110" t="n"/>
      <c r="J29" s="4111" t="n"/>
      <c r="K29" s="4793" t="n"/>
      <c r="L29" s="4110" t="n"/>
      <c r="M29" s="4110" t="n"/>
      <c r="N29" s="4110" t="n"/>
      <c r="O29" s="4110" t="n"/>
      <c r="P29" s="4111" t="n"/>
      <c r="Q29" s="4793" t="n"/>
      <c r="R29" s="4110" t="n"/>
      <c r="S29" s="4110" t="n"/>
      <c r="T29" s="4110" t="n"/>
      <c r="U29" s="4110" t="n"/>
      <c r="V29" s="4111" t="n"/>
      <c r="W29" s="4793" t="n"/>
      <c r="X29" s="4110" t="n"/>
      <c r="Y29" s="4110" t="n"/>
      <c r="Z29" s="4110" t="n"/>
      <c r="AA29" s="4110" t="n"/>
      <c r="AB29" s="4111" t="n"/>
      <c r="AC29" s="4794" t="n"/>
      <c r="AD29" s="4110" t="n"/>
      <c r="AE29" s="4110" t="n"/>
      <c r="AF29" s="4110" t="n"/>
      <c r="AG29" s="4110" t="n"/>
      <c r="AH29" s="4113" t="n"/>
    </row>
    <row r="30" ht="15.95" customHeight="1" s="4080">
      <c r="A30" s="4097" t="n"/>
      <c r="B30" s="3228" t="n"/>
      <c r="C30" s="2414" t="n"/>
      <c r="D30" s="3231" t="n"/>
      <c r="E30" s="4791" t="inlineStr">
        <is>
          <t xml:space="preserve">　　　職種・勤務形態
常勤・非常勤の別</t>
        </is>
      </c>
      <c r="F30" s="4098" t="n"/>
      <c r="G30" s="4098" t="n"/>
      <c r="H30" s="4098" t="n"/>
      <c r="I30" s="4098" t="n"/>
      <c r="J30" s="4099" t="n"/>
      <c r="K30" s="4185" t="inlineStr">
        <is>
          <t>サービス管理責任者</t>
        </is>
      </c>
      <c r="L30" s="4098" t="n"/>
      <c r="M30" s="4098" t="n"/>
      <c r="N30" s="4098" t="n"/>
      <c r="O30" s="4098" t="n"/>
      <c r="P30" s="4099" t="n"/>
      <c r="Q30" s="4363" t="inlineStr">
        <is>
          <t>職　　　　業　　　　指　　　　導　　　　員</t>
        </is>
      </c>
      <c r="R30" s="4110" t="n"/>
      <c r="S30" s="4110" t="n"/>
      <c r="T30" s="4110" t="n"/>
      <c r="U30" s="4110" t="n"/>
      <c r="V30" s="4110" t="n"/>
      <c r="W30" s="4110" t="n"/>
      <c r="X30" s="4110" t="n"/>
      <c r="Y30" s="4110" t="n"/>
      <c r="Z30" s="4110" t="n"/>
      <c r="AA30" s="4110" t="n"/>
      <c r="AB30" s="4110" t="n"/>
      <c r="AC30" s="4110" t="n"/>
      <c r="AD30" s="4110" t="n"/>
      <c r="AE30" s="4110" t="n"/>
      <c r="AF30" s="4110" t="n"/>
      <c r="AG30" s="4110" t="n"/>
      <c r="AH30" s="4113" t="n"/>
    </row>
    <row r="31" ht="15.95" customHeight="1" s="4080">
      <c r="A31" s="4097" t="n"/>
      <c r="B31" s="4106" t="n"/>
      <c r="C31" s="3249" t="inlineStr">
        <is>
          <t>就労移行
(一般)</t>
        </is>
      </c>
      <c r="D31" s="4107" t="n"/>
      <c r="E31" s="4106" t="n"/>
      <c r="J31" s="4107" t="n"/>
      <c r="K31" s="4102" t="n"/>
      <c r="L31" s="4103" t="n"/>
      <c r="M31" s="4103" t="n"/>
      <c r="N31" s="4103" t="n"/>
      <c r="O31" s="4103" t="n"/>
      <c r="P31" s="4104" t="n"/>
      <c r="Q31" s="4325" t="inlineStr">
        <is>
          <t>兼　教　官</t>
        </is>
      </c>
      <c r="R31" s="4098" t="n"/>
      <c r="S31" s="4098" t="n"/>
      <c r="T31" s="4098" t="n"/>
      <c r="U31" s="4098" t="n"/>
      <c r="V31" s="4099" t="n"/>
      <c r="W31" s="4325" t="inlineStr">
        <is>
          <t>左記以外</t>
        </is>
      </c>
      <c r="X31" s="4098" t="n"/>
      <c r="Y31" s="4098" t="n"/>
      <c r="Z31" s="4098" t="n"/>
      <c r="AA31" s="4098" t="n"/>
      <c r="AB31" s="4099" t="n"/>
      <c r="AC31" s="4363" t="inlineStr">
        <is>
          <t>職業指導員計</t>
        </is>
      </c>
      <c r="AD31" s="4110" t="n"/>
      <c r="AE31" s="4110" t="n"/>
      <c r="AF31" s="4110" t="n"/>
      <c r="AG31" s="4110" t="n"/>
      <c r="AH31" s="4113" t="n"/>
    </row>
    <row r="32" ht="15.95" customHeight="1" s="4080">
      <c r="A32" s="4097" t="n"/>
      <c r="B32" s="4106" t="n"/>
      <c r="D32" s="4107" t="n"/>
      <c r="E32" s="4102" t="n"/>
      <c r="F32" s="4103" t="n"/>
      <c r="G32" s="4103" t="n"/>
      <c r="H32" s="4103" t="n"/>
      <c r="I32" s="4103" t="n"/>
      <c r="J32" s="4104" t="n"/>
      <c r="K32" s="1617" t="inlineStr">
        <is>
          <t>専従</t>
        </is>
      </c>
      <c r="L32" s="4110" t="n"/>
      <c r="M32" s="4189" t="n"/>
      <c r="N32" s="1603" t="inlineStr">
        <is>
          <t>兼務</t>
        </is>
      </c>
      <c r="O32" s="4110" t="n"/>
      <c r="P32" s="4189" t="n"/>
      <c r="Q32" s="1617" t="inlineStr">
        <is>
          <t>専従</t>
        </is>
      </c>
      <c r="R32" s="4110" t="n"/>
      <c r="S32" s="4189" t="n"/>
      <c r="T32" s="1603" t="inlineStr">
        <is>
          <t>兼務</t>
        </is>
      </c>
      <c r="U32" s="4110" t="n"/>
      <c r="V32" s="4189" t="n"/>
      <c r="W32" s="1617" t="inlineStr">
        <is>
          <t>専従</t>
        </is>
      </c>
      <c r="X32" s="4110" t="n"/>
      <c r="Y32" s="4189" t="n"/>
      <c r="Z32" s="1603" t="inlineStr">
        <is>
          <t>兼務</t>
        </is>
      </c>
      <c r="AA32" s="4110" t="n"/>
      <c r="AB32" s="4189" t="n"/>
      <c r="AC32" s="1617" t="inlineStr">
        <is>
          <t>専従</t>
        </is>
      </c>
      <c r="AD32" s="4110" t="n"/>
      <c r="AE32" s="4189" t="n"/>
      <c r="AF32" s="1603" t="inlineStr">
        <is>
          <t>兼務</t>
        </is>
      </c>
      <c r="AG32" s="4110" t="n"/>
      <c r="AH32" s="4189" t="n"/>
    </row>
    <row r="33" ht="15.95" customHeight="1" s="4080">
      <c r="A33" s="4097" t="n"/>
      <c r="B33" s="4106" t="n"/>
      <c r="D33" s="4107" t="n"/>
      <c r="E33" s="4185" t="inlineStr">
        <is>
          <t>常　　　勤（人）</t>
        </is>
      </c>
      <c r="F33" s="4110" t="n"/>
      <c r="G33" s="4110" t="n"/>
      <c r="H33" s="4110" t="n"/>
      <c r="I33" s="4110" t="n"/>
      <c r="J33" s="4111" t="n"/>
      <c r="K33" s="4638" t="n"/>
      <c r="L33" s="4110" t="n"/>
      <c r="M33" s="4189" t="n"/>
      <c r="N33" s="4723" t="n"/>
      <c r="O33" s="4110" t="n"/>
      <c r="P33" s="4189" t="n"/>
      <c r="Q33" s="4638" t="n"/>
      <c r="R33" s="4110" t="n"/>
      <c r="S33" s="4189" t="n"/>
      <c r="T33" s="4723" t="n"/>
      <c r="U33" s="4110" t="n"/>
      <c r="V33" s="4189" t="n"/>
      <c r="W33" s="4638" t="n"/>
      <c r="X33" s="4110" t="n"/>
      <c r="Y33" s="4189" t="n"/>
      <c r="Z33" s="4723" t="n"/>
      <c r="AA33" s="4110" t="n"/>
      <c r="AB33" s="4189" t="n"/>
      <c r="AC33" s="4638">
        <f>+W33+Q33</f>
        <v/>
      </c>
      <c r="AD33" s="4110" t="n"/>
      <c r="AE33" s="4189" t="n"/>
      <c r="AF33" s="4640">
        <f>+Z33+T33</f>
        <v/>
      </c>
      <c r="AG33" s="4110" t="n"/>
      <c r="AH33" s="4113" t="n"/>
    </row>
    <row r="34" ht="15.95" customHeight="1" s="4080">
      <c r="A34" s="4097" t="n"/>
      <c r="B34" s="4106" t="n"/>
      <c r="C34" s="3249" t="inlineStr">
        <is>
          <t>・</t>
        </is>
      </c>
      <c r="D34" s="4107" t="n"/>
      <c r="E34" s="4185" t="inlineStr">
        <is>
          <t>非　常　勤（人）</t>
        </is>
      </c>
      <c r="F34" s="4110" t="n"/>
      <c r="G34" s="4110" t="n"/>
      <c r="H34" s="4110" t="n"/>
      <c r="I34" s="4110" t="n"/>
      <c r="J34" s="4111" t="n"/>
      <c r="K34" s="4638" t="n"/>
      <c r="L34" s="4110" t="n"/>
      <c r="M34" s="4189" t="n"/>
      <c r="N34" s="4723" t="n"/>
      <c r="O34" s="4110" t="n"/>
      <c r="P34" s="4189" t="n"/>
      <c r="Q34" s="4638" t="n"/>
      <c r="R34" s="4110" t="n"/>
      <c r="S34" s="4189" t="n"/>
      <c r="T34" s="4723" t="n"/>
      <c r="U34" s="4110" t="n"/>
      <c r="V34" s="4189" t="n"/>
      <c r="W34" s="4638" t="n"/>
      <c r="X34" s="4110" t="n"/>
      <c r="Y34" s="4189" t="n"/>
      <c r="Z34" s="4723" t="n"/>
      <c r="AA34" s="4110" t="n"/>
      <c r="AB34" s="4189" t="n"/>
      <c r="AC34" s="4638">
        <f>+W34+Q34</f>
        <v/>
      </c>
      <c r="AD34" s="4110" t="n"/>
      <c r="AE34" s="4189" t="n"/>
      <c r="AF34" s="4640">
        <f>+Z34+T34</f>
        <v/>
      </c>
      <c r="AG34" s="4110" t="n"/>
      <c r="AH34" s="4113" t="n"/>
    </row>
    <row r="35" ht="15.95" customHeight="1" s="4080">
      <c r="A35" s="4097" t="n"/>
      <c r="B35" s="4106" t="n"/>
      <c r="C35" s="3249" t="inlineStr">
        <is>
          <t>就労移行
(資格)</t>
        </is>
      </c>
      <c r="D35" s="4107" t="n"/>
      <c r="E35" s="4792" t="inlineStr">
        <is>
          <t>常勤換算後の人数（人）</t>
        </is>
      </c>
      <c r="F35" s="4110" t="n"/>
      <c r="G35" s="4110" t="n"/>
      <c r="H35" s="4110" t="n"/>
      <c r="I35" s="4110" t="n"/>
      <c r="J35" s="4111" t="n"/>
      <c r="K35" s="4793" t="n"/>
      <c r="L35" s="4110" t="n"/>
      <c r="M35" s="4110" t="n"/>
      <c r="N35" s="4110" t="n"/>
      <c r="O35" s="4110" t="n"/>
      <c r="P35" s="4111" t="n"/>
      <c r="Q35" s="4793" t="n"/>
      <c r="R35" s="4110" t="n"/>
      <c r="S35" s="4110" t="n"/>
      <c r="T35" s="4110" t="n"/>
      <c r="U35" s="4110" t="n"/>
      <c r="V35" s="4111" t="n"/>
      <c r="W35" s="4793" t="n"/>
      <c r="X35" s="4110" t="n"/>
      <c r="Y35" s="4110" t="n"/>
      <c r="Z35" s="4110" t="n"/>
      <c r="AA35" s="4110" t="n"/>
      <c r="AB35" s="4111" t="n"/>
      <c r="AC35" s="4794">
        <f>+W35+Q35+K35</f>
        <v/>
      </c>
      <c r="AD35" s="4110" t="n"/>
      <c r="AE35" s="4110" t="n"/>
      <c r="AF35" s="4110" t="n"/>
      <c r="AG35" s="4110" t="n"/>
      <c r="AH35" s="4113" t="n"/>
    </row>
    <row r="36" ht="15.95" customHeight="1" s="4080">
      <c r="A36" s="4097" t="n"/>
      <c r="B36" s="4106" t="n"/>
      <c r="D36" s="4107" t="n"/>
      <c r="E36" s="4795" t="inlineStr">
        <is>
          <t xml:space="preserve">　　　　　職種・勤務形態
常勤・非常勤の別</t>
        </is>
      </c>
      <c r="F36" s="4098" t="n"/>
      <c r="G36" s="4098" t="n"/>
      <c r="H36" s="4098" t="n"/>
      <c r="I36" s="4098" t="n"/>
      <c r="J36" s="4099" t="n"/>
      <c r="K36" s="4185" t="inlineStr">
        <is>
          <t>生活支援員</t>
        </is>
      </c>
      <c r="L36" s="4110" t="n"/>
      <c r="M36" s="4110" t="n"/>
      <c r="N36" s="4110" t="n"/>
      <c r="O36" s="4110" t="n"/>
      <c r="P36" s="4110" t="n"/>
      <c r="Q36" s="4110" t="n"/>
      <c r="R36" s="4110" t="n"/>
      <c r="S36" s="4110" t="n"/>
      <c r="T36" s="4110" t="n"/>
      <c r="U36" s="4110" t="n"/>
      <c r="V36" s="4110" t="n"/>
      <c r="W36" s="4110" t="n"/>
      <c r="X36" s="4110" t="n"/>
      <c r="Y36" s="4110" t="n"/>
      <c r="Z36" s="4110" t="n"/>
      <c r="AA36" s="4110" t="n"/>
      <c r="AB36" s="4111" t="n"/>
      <c r="AC36" s="4441" t="inlineStr">
        <is>
          <t>就労支援員</t>
        </is>
      </c>
      <c r="AD36" s="4098" t="n"/>
      <c r="AE36" s="4098" t="n"/>
      <c r="AF36" s="4098" t="n"/>
      <c r="AG36" s="4098" t="n"/>
      <c r="AH36" s="4101" t="n"/>
    </row>
    <row r="37" ht="15.95" customHeight="1" s="4080">
      <c r="A37" s="4097" t="n"/>
      <c r="B37" s="4106" t="n"/>
      <c r="D37" s="4107" t="n"/>
      <c r="E37" s="4106" t="n"/>
      <c r="J37" s="4107" t="n"/>
      <c r="K37" s="4440" t="inlineStr">
        <is>
          <t>通　　　所</t>
        </is>
      </c>
      <c r="L37" s="4110" t="n"/>
      <c r="M37" s="4110" t="n"/>
      <c r="N37" s="4110" t="n"/>
      <c r="O37" s="4110" t="n"/>
      <c r="P37" s="4111" t="n"/>
      <c r="Q37" s="4440" t="inlineStr">
        <is>
          <t>訪　　　問</t>
        </is>
      </c>
      <c r="R37" s="4110" t="n"/>
      <c r="S37" s="4110" t="n"/>
      <c r="T37" s="4110" t="n"/>
      <c r="U37" s="4110" t="n"/>
      <c r="V37" s="4111" t="n"/>
      <c r="W37" s="4440" t="inlineStr">
        <is>
          <t>生活支援員計</t>
        </is>
      </c>
      <c r="X37" s="4110" t="n"/>
      <c r="Y37" s="4110" t="n"/>
      <c r="Z37" s="4110" t="n"/>
      <c r="AA37" s="4110" t="n"/>
      <c r="AB37" s="4111" t="n"/>
      <c r="AC37" s="4102" t="n"/>
      <c r="AD37" s="4103" t="n"/>
      <c r="AE37" s="4103" t="n"/>
      <c r="AF37" s="4103" t="n"/>
      <c r="AG37" s="4103" t="n"/>
      <c r="AH37" s="4105" t="n"/>
    </row>
    <row r="38" ht="15.95" customHeight="1" s="4080">
      <c r="A38" s="4097" t="n"/>
      <c r="B38" s="4106" t="n"/>
      <c r="C38" s="3249" t="inlineStr">
        <is>
          <t>・</t>
        </is>
      </c>
      <c r="D38" s="4107" t="n"/>
      <c r="E38" s="4102" t="n"/>
      <c r="F38" s="4103" t="n"/>
      <c r="G38" s="4103" t="n"/>
      <c r="H38" s="4103" t="n"/>
      <c r="I38" s="4103" t="n"/>
      <c r="J38" s="4104" t="n"/>
      <c r="K38" s="1617" t="inlineStr">
        <is>
          <t>専従</t>
        </is>
      </c>
      <c r="L38" s="4110" t="n"/>
      <c r="M38" s="4189" t="n"/>
      <c r="N38" s="1603" t="inlineStr">
        <is>
          <t>兼務</t>
        </is>
      </c>
      <c r="O38" s="4110" t="n"/>
      <c r="P38" s="4189" t="n"/>
      <c r="Q38" s="1617" t="inlineStr">
        <is>
          <t>専従</t>
        </is>
      </c>
      <c r="R38" s="4110" t="n"/>
      <c r="S38" s="4189" t="n"/>
      <c r="T38" s="1603" t="inlineStr">
        <is>
          <t>兼務</t>
        </is>
      </c>
      <c r="U38" s="4110" t="n"/>
      <c r="V38" s="4189" t="n"/>
      <c r="W38" s="1617" t="inlineStr">
        <is>
          <t>専従</t>
        </is>
      </c>
      <c r="X38" s="4110" t="n"/>
      <c r="Y38" s="4189" t="n"/>
      <c r="Z38" s="1603" t="inlineStr">
        <is>
          <t>兼務</t>
        </is>
      </c>
      <c r="AA38" s="4110" t="n"/>
      <c r="AB38" s="4189" t="n"/>
      <c r="AC38" s="1617" t="inlineStr">
        <is>
          <t>専従</t>
        </is>
      </c>
      <c r="AD38" s="4110" t="n"/>
      <c r="AE38" s="4189" t="n"/>
      <c r="AF38" s="1603" t="inlineStr">
        <is>
          <t>兼務</t>
        </is>
      </c>
      <c r="AG38" s="4110" t="n"/>
      <c r="AH38" s="4189" t="n"/>
    </row>
    <row r="39" ht="15.95" customHeight="1" s="4080">
      <c r="A39" s="4097" t="n"/>
      <c r="B39" s="4106" t="n"/>
      <c r="C39" s="3249" t="inlineStr">
        <is>
          <t>就労継続
(Ａ型)</t>
        </is>
      </c>
      <c r="D39" s="4107" t="n"/>
      <c r="E39" s="4185" t="inlineStr">
        <is>
          <t>常　　　勤（人）</t>
        </is>
      </c>
      <c r="F39" s="4110" t="n"/>
      <c r="G39" s="4110" t="n"/>
      <c r="H39" s="4110" t="n"/>
      <c r="I39" s="4110" t="n"/>
      <c r="J39" s="4111" t="n"/>
      <c r="K39" s="4638" t="n"/>
      <c r="L39" s="4110" t="n"/>
      <c r="M39" s="4189" t="n"/>
      <c r="N39" s="4723" t="n"/>
      <c r="O39" s="4110" t="n"/>
      <c r="P39" s="4189" t="n"/>
      <c r="Q39" s="4638" t="n"/>
      <c r="R39" s="4110" t="n"/>
      <c r="S39" s="4189" t="n"/>
      <c r="T39" s="4723" t="n"/>
      <c r="U39" s="4110" t="n"/>
      <c r="V39" s="4189" t="n"/>
      <c r="W39" s="4638">
        <f>+Q39+K39</f>
        <v/>
      </c>
      <c r="X39" s="4110" t="n"/>
      <c r="Y39" s="4189" t="n"/>
      <c r="Z39" s="4723">
        <f>+T39+N39</f>
        <v/>
      </c>
      <c r="AA39" s="4110" t="n"/>
      <c r="AB39" s="4189" t="n"/>
      <c r="AC39" s="4638" t="n"/>
      <c r="AD39" s="4110" t="n"/>
      <c r="AE39" s="4189" t="n"/>
      <c r="AF39" s="4723" t="n"/>
      <c r="AG39" s="4110" t="n"/>
      <c r="AH39" s="4189" t="n"/>
    </row>
    <row r="40" ht="15.95" customHeight="1" s="4080">
      <c r="A40" s="4097" t="n"/>
      <c r="B40" s="4106" t="n"/>
      <c r="D40" s="4107" t="n"/>
      <c r="E40" s="4185" t="inlineStr">
        <is>
          <t>非　常　勤（人）</t>
        </is>
      </c>
      <c r="F40" s="4110" t="n"/>
      <c r="G40" s="4110" t="n"/>
      <c r="H40" s="4110" t="n"/>
      <c r="I40" s="4110" t="n"/>
      <c r="J40" s="4111" t="n"/>
      <c r="K40" s="4638" t="n"/>
      <c r="L40" s="4110" t="n"/>
      <c r="M40" s="4189" t="n"/>
      <c r="N40" s="4723" t="n"/>
      <c r="O40" s="4110" t="n"/>
      <c r="P40" s="4189" t="n"/>
      <c r="Q40" s="4638" t="n"/>
      <c r="R40" s="4110" t="n"/>
      <c r="S40" s="4189" t="n"/>
      <c r="T40" s="4723" t="n"/>
      <c r="U40" s="4110" t="n"/>
      <c r="V40" s="4189" t="n"/>
      <c r="W40" s="4638">
        <f>+Q40+K40</f>
        <v/>
      </c>
      <c r="X40" s="4110" t="n"/>
      <c r="Y40" s="4189" t="n"/>
      <c r="Z40" s="4723">
        <f>+T40+N40</f>
        <v/>
      </c>
      <c r="AA40" s="4110" t="n"/>
      <c r="AB40" s="4189" t="n"/>
      <c r="AC40" s="4638" t="n"/>
      <c r="AD40" s="4110" t="n"/>
      <c r="AE40" s="4189" t="n"/>
      <c r="AF40" s="4723" t="n"/>
      <c r="AG40" s="4110" t="n"/>
      <c r="AH40" s="4189" t="n"/>
    </row>
    <row r="41" ht="15.95" customHeight="1" s="4080">
      <c r="A41" s="4097" t="n"/>
      <c r="B41" s="4106" t="n"/>
      <c r="D41" s="4107" t="n"/>
      <c r="E41" s="4792" t="inlineStr">
        <is>
          <t>常勤換算後の人数（人）</t>
        </is>
      </c>
      <c r="F41" s="4110" t="n"/>
      <c r="G41" s="4110" t="n"/>
      <c r="H41" s="4110" t="n"/>
      <c r="I41" s="4110" t="n"/>
      <c r="J41" s="4111" t="n"/>
      <c r="K41" s="4793" t="n"/>
      <c r="L41" s="4110" t="n"/>
      <c r="M41" s="4110" t="n"/>
      <c r="N41" s="4110" t="n"/>
      <c r="O41" s="4110" t="n"/>
      <c r="P41" s="4111" t="n"/>
      <c r="Q41" s="4793" t="n"/>
      <c r="R41" s="4110" t="n"/>
      <c r="S41" s="4110" t="n"/>
      <c r="T41" s="4110" t="n"/>
      <c r="U41" s="4110" t="n"/>
      <c r="V41" s="4111" t="n"/>
      <c r="W41" s="4793">
        <f>+Q41+K41</f>
        <v/>
      </c>
      <c r="X41" s="4110" t="n"/>
      <c r="Y41" s="4110" t="n"/>
      <c r="Z41" s="4110" t="n"/>
      <c r="AA41" s="4110" t="n"/>
      <c r="AB41" s="4111" t="n"/>
      <c r="AC41" s="4794" t="n"/>
      <c r="AD41" s="4110" t="n"/>
      <c r="AE41" s="4110" t="n"/>
      <c r="AF41" s="4110" t="n"/>
      <c r="AG41" s="4110" t="n"/>
      <c r="AH41" s="4113" t="n"/>
    </row>
    <row r="42" ht="15.95" customHeight="1" s="4080">
      <c r="A42" s="4097" t="n"/>
      <c r="B42" s="4106" t="n"/>
      <c r="C42" s="3249" t="inlineStr">
        <is>
          <t>・</t>
        </is>
      </c>
      <c r="D42" s="4107" t="n"/>
      <c r="E42" s="4795" t="inlineStr">
        <is>
          <t xml:space="preserve">　　　　　職種・勤務形態
常勤・非常勤の別</t>
        </is>
      </c>
      <c r="F42" s="4098" t="n"/>
      <c r="G42" s="4098" t="n"/>
      <c r="H42" s="4098" t="n"/>
      <c r="I42" s="4098" t="n"/>
      <c r="J42" s="4099" t="n"/>
      <c r="K42" s="4599" t="n"/>
      <c r="L42" s="4110" t="n"/>
      <c r="M42" s="4110" t="n"/>
      <c r="N42" s="4110" t="n"/>
      <c r="O42" s="4110" t="n"/>
      <c r="P42" s="4111" t="n"/>
      <c r="Q42" s="4599" t="n"/>
      <c r="R42" s="4110" t="n"/>
      <c r="S42" s="4110" t="n"/>
      <c r="T42" s="4110" t="n"/>
      <c r="U42" s="4110" t="n"/>
      <c r="V42" s="4111" t="n"/>
      <c r="W42" s="4599" t="n"/>
      <c r="X42" s="4110" t="n"/>
      <c r="Y42" s="4110" t="n"/>
      <c r="Z42" s="4110" t="n"/>
      <c r="AA42" s="4110" t="n"/>
      <c r="AB42" s="4111" t="n"/>
      <c r="AC42" s="4796" t="n"/>
      <c r="AD42" s="4110" t="n"/>
      <c r="AE42" s="4110" t="n"/>
      <c r="AF42" s="4110" t="n"/>
      <c r="AG42" s="4110" t="n"/>
      <c r="AH42" s="4113" t="n"/>
    </row>
    <row r="43" ht="15.95" customHeight="1" s="4080">
      <c r="A43" s="4097" t="n"/>
      <c r="B43" s="4106" t="n"/>
      <c r="C43" s="3249" t="inlineStr">
        <is>
          <t>就労継続
(Ｂ型)</t>
        </is>
      </c>
      <c r="D43" s="4107" t="n"/>
      <c r="E43" s="4102" t="n"/>
      <c r="F43" s="4103" t="n"/>
      <c r="G43" s="4103" t="n"/>
      <c r="H43" s="4103" t="n"/>
      <c r="I43" s="4103" t="n"/>
      <c r="J43" s="4104" t="n"/>
      <c r="K43" s="1617" t="inlineStr">
        <is>
          <t>専従</t>
        </is>
      </c>
      <c r="L43" s="4110" t="n"/>
      <c r="M43" s="4189" t="n"/>
      <c r="N43" s="1603" t="inlineStr">
        <is>
          <t>兼務</t>
        </is>
      </c>
      <c r="O43" s="4110" t="n"/>
      <c r="P43" s="4189" t="n"/>
      <c r="Q43" s="1617" t="inlineStr">
        <is>
          <t>専従</t>
        </is>
      </c>
      <c r="R43" s="4110" t="n"/>
      <c r="S43" s="4189" t="n"/>
      <c r="T43" s="1603" t="inlineStr">
        <is>
          <t>兼務</t>
        </is>
      </c>
      <c r="U43" s="4110" t="n"/>
      <c r="V43" s="4189" t="n"/>
      <c r="W43" s="1617" t="inlineStr">
        <is>
          <t>専従</t>
        </is>
      </c>
      <c r="X43" s="4110" t="n"/>
      <c r="Y43" s="4189" t="n"/>
      <c r="Z43" s="1603" t="inlineStr">
        <is>
          <t>兼務</t>
        </is>
      </c>
      <c r="AA43" s="4110" t="n"/>
      <c r="AB43" s="4189" t="n"/>
      <c r="AC43" s="1617" t="inlineStr">
        <is>
          <t>専従</t>
        </is>
      </c>
      <c r="AD43" s="4110" t="n"/>
      <c r="AE43" s="4189" t="n"/>
      <c r="AF43" s="1603" t="inlineStr">
        <is>
          <t>兼務</t>
        </is>
      </c>
      <c r="AG43" s="4110" t="n"/>
      <c r="AH43" s="4189" t="n"/>
    </row>
    <row r="44" ht="15.95" customHeight="1" s="4080">
      <c r="A44" s="4097" t="n"/>
      <c r="B44" s="4106" t="n"/>
      <c r="D44" s="4107" t="n"/>
      <c r="E44" s="4185" t="inlineStr">
        <is>
          <t>常　　　勤（人）</t>
        </is>
      </c>
      <c r="F44" s="4110" t="n"/>
      <c r="G44" s="4110" t="n"/>
      <c r="H44" s="4110" t="n"/>
      <c r="I44" s="4110" t="n"/>
      <c r="J44" s="4111" t="n"/>
      <c r="K44" s="4638" t="n"/>
      <c r="L44" s="4110" t="n"/>
      <c r="M44" s="4189" t="n"/>
      <c r="N44" s="4723" t="n"/>
      <c r="O44" s="4110" t="n"/>
      <c r="P44" s="4189" t="n"/>
      <c r="Q44" s="4638" t="n"/>
      <c r="R44" s="4110" t="n"/>
      <c r="S44" s="4189" t="n"/>
      <c r="T44" s="4723" t="n"/>
      <c r="U44" s="4110" t="n"/>
      <c r="V44" s="4189" t="n"/>
      <c r="W44" s="4638" t="n"/>
      <c r="X44" s="4110" t="n"/>
      <c r="Y44" s="4189" t="n"/>
      <c r="Z44" s="4723" t="n"/>
      <c r="AA44" s="4110" t="n"/>
      <c r="AB44" s="4189" t="n"/>
      <c r="AC44" s="4638" t="n"/>
      <c r="AD44" s="4110" t="n"/>
      <c r="AE44" s="4189" t="n"/>
      <c r="AF44" s="4723" t="n"/>
      <c r="AG44" s="4110" t="n"/>
      <c r="AH44" s="4189" t="n"/>
    </row>
    <row r="45" ht="15.95" customHeight="1" s="4080">
      <c r="A45" s="4097" t="n"/>
      <c r="B45" s="4106" t="n"/>
      <c r="D45" s="4107" t="n"/>
      <c r="E45" s="4185" t="inlineStr">
        <is>
          <t>非　常　勤（人）</t>
        </is>
      </c>
      <c r="F45" s="4110" t="n"/>
      <c r="G45" s="4110" t="n"/>
      <c r="H45" s="4110" t="n"/>
      <c r="I45" s="4110" t="n"/>
      <c r="J45" s="4111" t="n"/>
      <c r="K45" s="4638" t="n"/>
      <c r="L45" s="4110" t="n"/>
      <c r="M45" s="4189" t="n"/>
      <c r="N45" s="4723" t="n"/>
      <c r="O45" s="4110" t="n"/>
      <c r="P45" s="4189" t="n"/>
      <c r="Q45" s="4638" t="n"/>
      <c r="R45" s="4110" t="n"/>
      <c r="S45" s="4189" t="n"/>
      <c r="T45" s="4723" t="n"/>
      <c r="U45" s="4110" t="n"/>
      <c r="V45" s="4189" t="n"/>
      <c r="W45" s="4638" t="n"/>
      <c r="X45" s="4110" t="n"/>
      <c r="Y45" s="4189" t="n"/>
      <c r="Z45" s="4723" t="n"/>
      <c r="AA45" s="4110" t="n"/>
      <c r="AB45" s="4189" t="n"/>
      <c r="AC45" s="4638" t="n"/>
      <c r="AD45" s="4110" t="n"/>
      <c r="AE45" s="4189" t="n"/>
      <c r="AF45" s="4723" t="n"/>
      <c r="AG45" s="4110" t="n"/>
      <c r="AH45" s="4189" t="n"/>
    </row>
    <row r="46" ht="15.95" customHeight="1" s="4080">
      <c r="A46" s="4097" t="n"/>
      <c r="B46" s="4106" t="n"/>
      <c r="C46" s="3249" t="n"/>
      <c r="D46" s="4107" t="n"/>
      <c r="E46" s="4792" t="inlineStr">
        <is>
          <t>常勤換算後の人数（人）</t>
        </is>
      </c>
      <c r="F46" s="4110" t="n"/>
      <c r="G46" s="4110" t="n"/>
      <c r="H46" s="4110" t="n"/>
      <c r="I46" s="4110" t="n"/>
      <c r="J46" s="4111" t="n"/>
      <c r="K46" s="4793" t="n"/>
      <c r="L46" s="4110" t="n"/>
      <c r="M46" s="4110" t="n"/>
      <c r="N46" s="4110" t="n"/>
      <c r="O46" s="4110" t="n"/>
      <c r="P46" s="4111" t="n"/>
      <c r="Q46" s="4793" t="n"/>
      <c r="R46" s="4110" t="n"/>
      <c r="S46" s="4110" t="n"/>
      <c r="T46" s="4110" t="n"/>
      <c r="U46" s="4110" t="n"/>
      <c r="V46" s="4111" t="n"/>
      <c r="W46" s="4793" t="n"/>
      <c r="X46" s="4110" t="n"/>
      <c r="Y46" s="4110" t="n"/>
      <c r="Z46" s="4110" t="n"/>
      <c r="AA46" s="4110" t="n"/>
      <c r="AB46" s="4111" t="n"/>
      <c r="AC46" s="4794" t="n"/>
      <c r="AD46" s="4110" t="n"/>
      <c r="AE46" s="4110" t="n"/>
      <c r="AF46" s="4110" t="n"/>
      <c r="AG46" s="4110" t="n"/>
      <c r="AH46" s="4113" t="n"/>
    </row>
    <row r="47" ht="15.95" customHeight="1" s="4080">
      <c r="A47" s="4097" t="n"/>
      <c r="B47" s="3228" t="n"/>
      <c r="C47" s="475" t="n"/>
      <c r="D47" s="3231" t="n"/>
      <c r="E47" s="4795" t="inlineStr">
        <is>
          <t xml:space="preserve">　　　　　職種・勤務形態
常勤・非常勤の別</t>
        </is>
      </c>
      <c r="F47" s="4098" t="n"/>
      <c r="G47" s="4098" t="n"/>
      <c r="H47" s="4098" t="n"/>
      <c r="I47" s="4098" t="n"/>
      <c r="J47" s="4099" t="n"/>
      <c r="K47" s="4440" t="inlineStr">
        <is>
          <t>サービス管理責任者</t>
        </is>
      </c>
      <c r="L47" s="4110" t="n"/>
      <c r="M47" s="4110" t="n"/>
      <c r="N47" s="4110" t="n"/>
      <c r="O47" s="4110" t="n"/>
      <c r="P47" s="4111" t="n"/>
      <c r="Q47" s="4440" t="inlineStr">
        <is>
          <t>生活支援員</t>
        </is>
      </c>
      <c r="R47" s="4110" t="n"/>
      <c r="S47" s="4110" t="n"/>
      <c r="T47" s="4110" t="n"/>
      <c r="U47" s="4110" t="n"/>
      <c r="V47" s="4111" t="n"/>
      <c r="W47" s="4440" t="inlineStr">
        <is>
          <t>栄　養　士</t>
        </is>
      </c>
      <c r="X47" s="4110" t="n"/>
      <c r="Y47" s="4110" t="n"/>
      <c r="Z47" s="4110" t="n"/>
      <c r="AA47" s="4110" t="n"/>
      <c r="AB47" s="4111" t="n"/>
      <c r="AC47" s="4796" t="n"/>
      <c r="AD47" s="4110" t="n"/>
      <c r="AE47" s="4110" t="n"/>
      <c r="AF47" s="4110" t="n"/>
      <c r="AG47" s="4110" t="n"/>
      <c r="AH47" s="4113" t="n"/>
    </row>
    <row r="48" ht="15.95" customHeight="1" s="4080">
      <c r="A48" s="4097" t="n"/>
      <c r="B48" s="3229" t="n"/>
      <c r="C48" s="3262" t="inlineStr">
        <is>
          <t>施設入所支援</t>
        </is>
      </c>
      <c r="D48" s="3232" t="n"/>
      <c r="E48" s="4102" t="n"/>
      <c r="F48" s="4103" t="n"/>
      <c r="G48" s="4103" t="n"/>
      <c r="H48" s="4103" t="n"/>
      <c r="I48" s="4103" t="n"/>
      <c r="J48" s="4104" t="n"/>
      <c r="K48" s="1617" t="inlineStr">
        <is>
          <t>専従</t>
        </is>
      </c>
      <c r="L48" s="4110" t="n"/>
      <c r="M48" s="4189" t="n"/>
      <c r="N48" s="1603" t="inlineStr">
        <is>
          <t>兼務</t>
        </is>
      </c>
      <c r="O48" s="4110" t="n"/>
      <c r="P48" s="4189" t="n"/>
      <c r="Q48" s="1617" t="inlineStr">
        <is>
          <t>専従</t>
        </is>
      </c>
      <c r="R48" s="4110" t="n"/>
      <c r="S48" s="4189" t="n"/>
      <c r="T48" s="1603" t="inlineStr">
        <is>
          <t>兼務</t>
        </is>
      </c>
      <c r="U48" s="4110" t="n"/>
      <c r="V48" s="4189" t="n"/>
      <c r="W48" s="1617" t="inlineStr">
        <is>
          <t>専従</t>
        </is>
      </c>
      <c r="X48" s="4110" t="n"/>
      <c r="Y48" s="4189" t="n"/>
      <c r="Z48" s="1603" t="inlineStr">
        <is>
          <t>兼務</t>
        </is>
      </c>
      <c r="AA48" s="4110" t="n"/>
      <c r="AB48" s="4189" t="n"/>
      <c r="AC48" s="1617" t="inlineStr">
        <is>
          <t>専従</t>
        </is>
      </c>
      <c r="AD48" s="4110" t="n"/>
      <c r="AE48" s="4189" t="n"/>
      <c r="AF48" s="1603" t="inlineStr">
        <is>
          <t>兼務</t>
        </is>
      </c>
      <c r="AG48" s="4110" t="n"/>
      <c r="AH48" s="4189" t="n"/>
    </row>
    <row r="49" ht="15.95" customHeight="1" s="4080">
      <c r="A49" s="4097" t="n"/>
      <c r="B49" s="3229" t="n"/>
      <c r="D49" s="3232" t="n"/>
      <c r="E49" s="4185" t="inlineStr">
        <is>
          <t>常　　　勤（人）</t>
        </is>
      </c>
      <c r="F49" s="4110" t="n"/>
      <c r="G49" s="4110" t="n"/>
      <c r="H49" s="4110" t="n"/>
      <c r="I49" s="4110" t="n"/>
      <c r="J49" s="4111" t="n"/>
      <c r="K49" s="4638" t="n"/>
      <c r="L49" s="4110" t="n"/>
      <c r="M49" s="4189" t="n"/>
      <c r="N49" s="4723" t="n"/>
      <c r="O49" s="4110" t="n"/>
      <c r="P49" s="4189" t="n"/>
      <c r="Q49" s="4638" t="n"/>
      <c r="R49" s="4110" t="n"/>
      <c r="S49" s="4189" t="n"/>
      <c r="T49" s="4723" t="n"/>
      <c r="U49" s="4110" t="n"/>
      <c r="V49" s="4189" t="n"/>
      <c r="W49" s="4638" t="n"/>
      <c r="X49" s="4110" t="n"/>
      <c r="Y49" s="4189" t="n"/>
      <c r="Z49" s="4723" t="n"/>
      <c r="AA49" s="4110" t="n"/>
      <c r="AB49" s="4189" t="n"/>
      <c r="AC49" s="4638" t="n"/>
      <c r="AD49" s="4110" t="n"/>
      <c r="AE49" s="4189" t="n"/>
      <c r="AF49" s="4723" t="n"/>
      <c r="AG49" s="4110" t="n"/>
      <c r="AH49" s="4189" t="n"/>
    </row>
    <row r="50" ht="15.95" customHeight="1" s="4080">
      <c r="A50" s="4097" t="n"/>
      <c r="B50" s="3229" t="n"/>
      <c r="D50" s="3232" t="n"/>
      <c r="E50" s="4185" t="inlineStr">
        <is>
          <t>非　常　勤（人）</t>
        </is>
      </c>
      <c r="F50" s="4110" t="n"/>
      <c r="G50" s="4110" t="n"/>
      <c r="H50" s="4110" t="n"/>
      <c r="I50" s="4110" t="n"/>
      <c r="J50" s="4111" t="n"/>
      <c r="K50" s="4638" t="n"/>
      <c r="L50" s="4110" t="n"/>
      <c r="M50" s="4189" t="n"/>
      <c r="N50" s="4723" t="n"/>
      <c r="O50" s="4110" t="n"/>
      <c r="P50" s="4189" t="n"/>
      <c r="Q50" s="4638" t="n"/>
      <c r="R50" s="4110" t="n"/>
      <c r="S50" s="4189" t="n"/>
      <c r="T50" s="4723" t="n"/>
      <c r="U50" s="4110" t="n"/>
      <c r="V50" s="4189" t="n"/>
      <c r="W50" s="4638" t="n"/>
      <c r="X50" s="4110" t="n"/>
      <c r="Y50" s="4189" t="n"/>
      <c r="Z50" s="4723" t="n"/>
      <c r="AA50" s="4110" t="n"/>
      <c r="AB50" s="4189" t="n"/>
      <c r="AC50" s="4638" t="n"/>
      <c r="AD50" s="4110" t="n"/>
      <c r="AE50" s="4189" t="n"/>
      <c r="AF50" s="4723" t="n"/>
      <c r="AG50" s="4110" t="n"/>
      <c r="AH50" s="4189" t="n"/>
    </row>
    <row r="51" ht="15.95" customHeight="1" s="4080">
      <c r="A51" s="4097" t="n"/>
      <c r="B51" s="3229" t="n"/>
      <c r="D51" s="3232" t="n"/>
      <c r="E51" s="4792" t="inlineStr">
        <is>
          <t>常勤換算後の人数（人）</t>
        </is>
      </c>
      <c r="F51" s="4110" t="n"/>
      <c r="G51" s="4110" t="n"/>
      <c r="H51" s="4110" t="n"/>
      <c r="I51" s="4110" t="n"/>
      <c r="J51" s="4111" t="n"/>
      <c r="K51" s="4793" t="n"/>
      <c r="L51" s="4110" t="n"/>
      <c r="M51" s="4110" t="n"/>
      <c r="N51" s="4110" t="n"/>
      <c r="O51" s="4110" t="n"/>
      <c r="P51" s="4111" t="n"/>
      <c r="Q51" s="4793" t="n"/>
      <c r="R51" s="4110" t="n"/>
      <c r="S51" s="4110" t="n"/>
      <c r="T51" s="4110" t="n"/>
      <c r="U51" s="4110" t="n"/>
      <c r="V51" s="4111" t="n"/>
      <c r="W51" s="4793" t="n"/>
      <c r="X51" s="4110" t="n"/>
      <c r="Y51" s="4110" t="n"/>
      <c r="Z51" s="4110" t="n"/>
      <c r="AA51" s="4110" t="n"/>
      <c r="AB51" s="4111" t="n"/>
      <c r="AC51" s="4794" t="n"/>
      <c r="AD51" s="4110" t="n"/>
      <c r="AE51" s="4110" t="n"/>
      <c r="AF51" s="4110" t="n"/>
      <c r="AG51" s="4110" t="n"/>
      <c r="AH51" s="4113" t="n"/>
    </row>
    <row r="52" ht="15.95" customHeight="1" s="4080">
      <c r="A52" s="4097" t="n"/>
      <c r="B52" s="3229" t="n"/>
      <c r="D52" s="3232" t="n"/>
      <c r="E52" s="4795" t="inlineStr">
        <is>
          <t xml:space="preserve">　　　　　職種・勤務形態
常勤・非常勤の別</t>
        </is>
      </c>
      <c r="F52" s="4098" t="n"/>
      <c r="G52" s="4098" t="n"/>
      <c r="H52" s="4098" t="n"/>
      <c r="I52" s="4098" t="n"/>
      <c r="J52" s="4099" t="n"/>
      <c r="K52" s="4599" t="n"/>
      <c r="L52" s="4110" t="n"/>
      <c r="M52" s="4110" t="n"/>
      <c r="N52" s="4110" t="n"/>
      <c r="O52" s="4110" t="n"/>
      <c r="P52" s="4111" t="n"/>
      <c r="Q52" s="4599" t="n"/>
      <c r="R52" s="4110" t="n"/>
      <c r="S52" s="4110" t="n"/>
      <c r="T52" s="4110" t="n"/>
      <c r="U52" s="4110" t="n"/>
      <c r="V52" s="4111" t="n"/>
      <c r="W52" s="4599" t="n"/>
      <c r="X52" s="4110" t="n"/>
      <c r="Y52" s="4110" t="n"/>
      <c r="Z52" s="4110" t="n"/>
      <c r="AA52" s="4110" t="n"/>
      <c r="AB52" s="4111" t="n"/>
      <c r="AC52" s="4796" t="n"/>
      <c r="AD52" s="4110" t="n"/>
      <c r="AE52" s="4110" t="n"/>
      <c r="AF52" s="4110" t="n"/>
      <c r="AG52" s="4110" t="n"/>
      <c r="AH52" s="4113" t="n"/>
    </row>
    <row r="53" ht="15.95" customHeight="1" s="4080">
      <c r="A53" s="4097" t="n"/>
      <c r="B53" s="3229" t="n"/>
      <c r="D53" s="3232" t="n"/>
      <c r="E53" s="4102" t="n"/>
      <c r="F53" s="4103" t="n"/>
      <c r="G53" s="4103" t="n"/>
      <c r="H53" s="4103" t="n"/>
      <c r="I53" s="4103" t="n"/>
      <c r="J53" s="4104" t="n"/>
      <c r="K53" s="1617" t="inlineStr">
        <is>
          <t>専従</t>
        </is>
      </c>
      <c r="L53" s="4110" t="n"/>
      <c r="M53" s="4189" t="n"/>
      <c r="N53" s="1603" t="inlineStr">
        <is>
          <t>兼務</t>
        </is>
      </c>
      <c r="O53" s="4110" t="n"/>
      <c r="P53" s="4189" t="n"/>
      <c r="Q53" s="1617" t="inlineStr">
        <is>
          <t>専従</t>
        </is>
      </c>
      <c r="R53" s="4110" t="n"/>
      <c r="S53" s="4189" t="n"/>
      <c r="T53" s="1603" t="inlineStr">
        <is>
          <t>兼務</t>
        </is>
      </c>
      <c r="U53" s="4110" t="n"/>
      <c r="V53" s="4189" t="n"/>
      <c r="W53" s="1617" t="inlineStr">
        <is>
          <t>専従</t>
        </is>
      </c>
      <c r="X53" s="4110" t="n"/>
      <c r="Y53" s="4189" t="n"/>
      <c r="Z53" s="1603" t="inlineStr">
        <is>
          <t>兼務</t>
        </is>
      </c>
      <c r="AA53" s="4110" t="n"/>
      <c r="AB53" s="4189" t="n"/>
      <c r="AC53" s="1617" t="inlineStr">
        <is>
          <t>専従</t>
        </is>
      </c>
      <c r="AD53" s="4110" t="n"/>
      <c r="AE53" s="4189" t="n"/>
      <c r="AF53" s="1603" t="inlineStr">
        <is>
          <t>兼務</t>
        </is>
      </c>
      <c r="AG53" s="4110" t="n"/>
      <c r="AH53" s="4189" t="n"/>
    </row>
    <row r="54" ht="15.95" customHeight="1" s="4080">
      <c r="A54" s="4097" t="n"/>
      <c r="B54" s="3229" t="n"/>
      <c r="D54" s="3232" t="n"/>
      <c r="E54" s="4185" t="inlineStr">
        <is>
          <t>常　　　勤（人）</t>
        </is>
      </c>
      <c r="F54" s="4110" t="n"/>
      <c r="G54" s="4110" t="n"/>
      <c r="H54" s="4110" t="n"/>
      <c r="I54" s="4110" t="n"/>
      <c r="J54" s="4111" t="n"/>
      <c r="K54" s="4638" t="n"/>
      <c r="L54" s="4110" t="n"/>
      <c r="M54" s="4189" t="n"/>
      <c r="N54" s="4723" t="n"/>
      <c r="O54" s="4110" t="n"/>
      <c r="P54" s="4189" t="n"/>
      <c r="Q54" s="4638" t="n"/>
      <c r="R54" s="4110" t="n"/>
      <c r="S54" s="4189" t="n"/>
      <c r="T54" s="4723" t="n"/>
      <c r="U54" s="4110" t="n"/>
      <c r="V54" s="4189" t="n"/>
      <c r="W54" s="4638" t="n"/>
      <c r="X54" s="4110" t="n"/>
      <c r="Y54" s="4189" t="n"/>
      <c r="Z54" s="4723" t="n"/>
      <c r="AA54" s="4110" t="n"/>
      <c r="AB54" s="4189" t="n"/>
      <c r="AC54" s="4638" t="n"/>
      <c r="AD54" s="4110" t="n"/>
      <c r="AE54" s="4189" t="n"/>
      <c r="AF54" s="4723" t="n"/>
      <c r="AG54" s="4110" t="n"/>
      <c r="AH54" s="4189" t="n"/>
    </row>
    <row r="55" ht="15.95" customHeight="1" s="4080">
      <c r="A55" s="4097" t="n"/>
      <c r="B55" s="3229" t="n"/>
      <c r="D55" s="3232" t="n"/>
      <c r="E55" s="4185" t="inlineStr">
        <is>
          <t>非　常　勤（人）</t>
        </is>
      </c>
      <c r="F55" s="4110" t="n"/>
      <c r="G55" s="4110" t="n"/>
      <c r="H55" s="4110" t="n"/>
      <c r="I55" s="4110" t="n"/>
      <c r="J55" s="4111" t="n"/>
      <c r="K55" s="4638" t="n"/>
      <c r="L55" s="4110" t="n"/>
      <c r="M55" s="4189" t="n"/>
      <c r="N55" s="4723" t="n"/>
      <c r="O55" s="4110" t="n"/>
      <c r="P55" s="4189" t="n"/>
      <c r="Q55" s="4638" t="n"/>
      <c r="R55" s="4110" t="n"/>
      <c r="S55" s="4189" t="n"/>
      <c r="T55" s="4723" t="n"/>
      <c r="U55" s="4110" t="n"/>
      <c r="V55" s="4189" t="n"/>
      <c r="W55" s="4638" t="n"/>
      <c r="X55" s="4110" t="n"/>
      <c r="Y55" s="4189" t="n"/>
      <c r="Z55" s="4723" t="n"/>
      <c r="AA55" s="4110" t="n"/>
      <c r="AB55" s="4189" t="n"/>
      <c r="AC55" s="4638" t="n"/>
      <c r="AD55" s="4110" t="n"/>
      <c r="AE55" s="4189" t="n"/>
      <c r="AF55" s="4723" t="n"/>
      <c r="AG55" s="4110" t="n"/>
      <c r="AH55" s="4189" t="n"/>
    </row>
    <row r="56" ht="15.95" customHeight="1" s="4080" thickBot="1">
      <c r="A56" s="4086" t="n"/>
      <c r="B56" s="479" t="n"/>
      <c r="C56" s="480" t="n"/>
      <c r="D56" s="481" t="n"/>
      <c r="E56" s="4797" t="inlineStr">
        <is>
          <t>常勤換算後の人数（人）</t>
        </is>
      </c>
      <c r="F56" s="4153" t="n"/>
      <c r="G56" s="4153" t="n"/>
      <c r="H56" s="4153" t="n"/>
      <c r="I56" s="4153" t="n"/>
      <c r="J56" s="4154" t="n"/>
      <c r="K56" s="4798" t="n"/>
      <c r="L56" s="4153" t="n"/>
      <c r="M56" s="4153" t="n"/>
      <c r="N56" s="4153" t="n"/>
      <c r="O56" s="4153" t="n"/>
      <c r="P56" s="4154" t="n"/>
      <c r="Q56" s="4798" t="n"/>
      <c r="R56" s="4153" t="n"/>
      <c r="S56" s="4153" t="n"/>
      <c r="T56" s="4153" t="n"/>
      <c r="U56" s="4153" t="n"/>
      <c r="V56" s="4154" t="n"/>
      <c r="W56" s="4798" t="n"/>
      <c r="X56" s="4153" t="n"/>
      <c r="Y56" s="4153" t="n"/>
      <c r="Z56" s="4153" t="n"/>
      <c r="AA56" s="4153" t="n"/>
      <c r="AB56" s="4154" t="n"/>
      <c r="AC56" s="4799" t="n"/>
      <c r="AD56" s="4153" t="n"/>
      <c r="AE56" s="4153" t="n"/>
      <c r="AF56" s="4153" t="n"/>
      <c r="AG56" s="4153" t="n"/>
      <c r="AH56" s="4155" t="n"/>
    </row>
  </sheetData>
  <mergeCells count="370">
    <mergeCell ref="Z43:AB43"/>
    <mergeCell ref="C39:C41"/>
    <mergeCell ref="N17:P17"/>
    <mergeCell ref="E25:J26"/>
    <mergeCell ref="N44:P44"/>
    <mergeCell ref="Q15:S15"/>
    <mergeCell ref="W12:AB12"/>
    <mergeCell ref="Q30:AH30"/>
    <mergeCell ref="T34:V34"/>
    <mergeCell ref="T28:V28"/>
    <mergeCell ref="K34:M34"/>
    <mergeCell ref="W53:Y53"/>
    <mergeCell ref="Q47:V47"/>
    <mergeCell ref="Q33:S33"/>
    <mergeCell ref="N32:P32"/>
    <mergeCell ref="K35:P35"/>
    <mergeCell ref="T54:V54"/>
    <mergeCell ref="E10:J10"/>
    <mergeCell ref="K44:M44"/>
    <mergeCell ref="A8:A56"/>
    <mergeCell ref="AC39:AE39"/>
    <mergeCell ref="W21:Y21"/>
    <mergeCell ref="Q22:S22"/>
    <mergeCell ref="W48:Y48"/>
    <mergeCell ref="Q48:S48"/>
    <mergeCell ref="W14:AB14"/>
    <mergeCell ref="Z9:AB9"/>
    <mergeCell ref="N45:P45"/>
    <mergeCell ref="AE1:AF1"/>
    <mergeCell ref="K49:M49"/>
    <mergeCell ref="T49:V49"/>
    <mergeCell ref="W10:Y10"/>
    <mergeCell ref="Z11:AB11"/>
    <mergeCell ref="B30:B46"/>
    <mergeCell ref="D30:D46"/>
    <mergeCell ref="N22:P22"/>
    <mergeCell ref="E23:J23"/>
    <mergeCell ref="T50:V50"/>
    <mergeCell ref="T44:V44"/>
    <mergeCell ref="K41:P41"/>
    <mergeCell ref="AC3:AC4"/>
    <mergeCell ref="AE3:AE4"/>
    <mergeCell ref="K56:P56"/>
    <mergeCell ref="Q34:S34"/>
    <mergeCell ref="AF21:AH21"/>
    <mergeCell ref="Q49:S49"/>
    <mergeCell ref="AF32:AH32"/>
    <mergeCell ref="N40:P40"/>
    <mergeCell ref="K39:M39"/>
    <mergeCell ref="AF26:AH26"/>
    <mergeCell ref="AF23:AH23"/>
    <mergeCell ref="W8:AB8"/>
    <mergeCell ref="F5:AH5"/>
    <mergeCell ref="W23:Y23"/>
    <mergeCell ref="E18:J18"/>
    <mergeCell ref="AF27:AH27"/>
    <mergeCell ref="AB3:AB4"/>
    <mergeCell ref="AD3:AD4"/>
    <mergeCell ref="K25:P25"/>
    <mergeCell ref="K21:M21"/>
    <mergeCell ref="Q54:S54"/>
    <mergeCell ref="N53:P53"/>
    <mergeCell ref="AC12:AH12"/>
    <mergeCell ref="E29:J29"/>
    <mergeCell ref="AF16:AH16"/>
    <mergeCell ref="AC15:AE15"/>
    <mergeCell ref="K50:M50"/>
    <mergeCell ref="AC14:AH14"/>
    <mergeCell ref="AF9:AH9"/>
    <mergeCell ref="N48:P48"/>
    <mergeCell ref="AF45:AH45"/>
    <mergeCell ref="AF11:AH11"/>
    <mergeCell ref="Q46:V46"/>
    <mergeCell ref="AC10:AE10"/>
    <mergeCell ref="AE2:AF2"/>
    <mergeCell ref="Q9:S9"/>
    <mergeCell ref="AG2:AH2"/>
    <mergeCell ref="W17:Y17"/>
    <mergeCell ref="K53:M53"/>
    <mergeCell ref="AF40:AH40"/>
    <mergeCell ref="W11:Y11"/>
    <mergeCell ref="Q11:S11"/>
    <mergeCell ref="Z15:AB15"/>
    <mergeCell ref="Q41:V41"/>
    <mergeCell ref="Q56:V56"/>
    <mergeCell ref="K19:AH19"/>
    <mergeCell ref="N54:P54"/>
    <mergeCell ref="T38:V38"/>
    <mergeCell ref="N16:P16"/>
    <mergeCell ref="AC28:AE28"/>
    <mergeCell ref="E17:J17"/>
    <mergeCell ref="K55:M55"/>
    <mergeCell ref="Q39:S39"/>
    <mergeCell ref="N43:P43"/>
    <mergeCell ref="E44:J44"/>
    <mergeCell ref="K40:M40"/>
    <mergeCell ref="W32:Y32"/>
    <mergeCell ref="AC23:AE23"/>
    <mergeCell ref="C22:C28"/>
    <mergeCell ref="K12:P12"/>
    <mergeCell ref="AC20:AH20"/>
    <mergeCell ref="K14:P14"/>
    <mergeCell ref="N9:P9"/>
    <mergeCell ref="AF17:AH17"/>
    <mergeCell ref="W29:AB29"/>
    <mergeCell ref="K10:M10"/>
    <mergeCell ref="AC51:AH51"/>
    <mergeCell ref="W44:Y44"/>
    <mergeCell ref="AC16:AE16"/>
    <mergeCell ref="AF48:AH48"/>
    <mergeCell ref="W24:AB24"/>
    <mergeCell ref="Q51:V51"/>
    <mergeCell ref="AF10:AH10"/>
    <mergeCell ref="B8:B29"/>
    <mergeCell ref="AC8:AH8"/>
    <mergeCell ref="W22:Y22"/>
    <mergeCell ref="T26:V26"/>
    <mergeCell ref="AC35:AH35"/>
    <mergeCell ref="Z33:AB33"/>
    <mergeCell ref="E19:J21"/>
    <mergeCell ref="AC44:AE44"/>
    <mergeCell ref="E52:J53"/>
    <mergeCell ref="E45:J45"/>
    <mergeCell ref="W42:AB42"/>
    <mergeCell ref="K23:M23"/>
    <mergeCell ref="W9:Y9"/>
    <mergeCell ref="W52:AB52"/>
    <mergeCell ref="Z34:AB34"/>
    <mergeCell ref="W38:Y38"/>
    <mergeCell ref="Z28:AB28"/>
    <mergeCell ref="E22:J22"/>
    <mergeCell ref="W37:AB37"/>
    <mergeCell ref="W40:Y40"/>
    <mergeCell ref="T39:V39"/>
    <mergeCell ref="K13:AH13"/>
    <mergeCell ref="Q12:V12"/>
    <mergeCell ref="W33:Y33"/>
    <mergeCell ref="T32:V32"/>
    <mergeCell ref="C48:C55"/>
    <mergeCell ref="Q10:S10"/>
    <mergeCell ref="E40:J40"/>
    <mergeCell ref="E13:J15"/>
    <mergeCell ref="A1:Y2"/>
    <mergeCell ref="T21:V21"/>
    <mergeCell ref="T23:V23"/>
    <mergeCell ref="U3:X4"/>
    <mergeCell ref="AC56:AH56"/>
    <mergeCell ref="T16:V16"/>
    <mergeCell ref="AF38:AH38"/>
    <mergeCell ref="T27:V27"/>
    <mergeCell ref="N27:P27"/>
    <mergeCell ref="AC45:AE45"/>
    <mergeCell ref="Q21:S21"/>
    <mergeCell ref="Z49:AB49"/>
    <mergeCell ref="E55:J55"/>
    <mergeCell ref="AF33:AH33"/>
    <mergeCell ref="AC32:AE32"/>
    <mergeCell ref="Q37:V37"/>
    <mergeCell ref="K26:M26"/>
    <mergeCell ref="Z50:AB50"/>
    <mergeCell ref="Q20:V20"/>
    <mergeCell ref="W54:Y54"/>
    <mergeCell ref="Q14:V14"/>
    <mergeCell ref="W47:AB47"/>
    <mergeCell ref="T9:V9"/>
    <mergeCell ref="AG1:AH1"/>
    <mergeCell ref="P3:S3"/>
    <mergeCell ref="Z39:AB39"/>
    <mergeCell ref="T11:V11"/>
    <mergeCell ref="K8:P8"/>
    <mergeCell ref="W43:Y43"/>
    <mergeCell ref="N38:P38"/>
    <mergeCell ref="AC50:AE50"/>
    <mergeCell ref="AC31:AH31"/>
    <mergeCell ref="E8:J9"/>
    <mergeCell ref="E54:J54"/>
    <mergeCell ref="N15:P15"/>
    <mergeCell ref="E41:J41"/>
    <mergeCell ref="E16:J16"/>
    <mergeCell ref="AC27:AE27"/>
    <mergeCell ref="AA3:AA4"/>
    <mergeCell ref="E56:J56"/>
    <mergeCell ref="K18:P18"/>
    <mergeCell ref="Q25:V25"/>
    <mergeCell ref="Q28:S28"/>
    <mergeCell ref="Z32:AB32"/>
    <mergeCell ref="A5:B7"/>
    <mergeCell ref="T53:V53"/>
    <mergeCell ref="K29:P29"/>
    <mergeCell ref="AF54:AH54"/>
    <mergeCell ref="AC53:AE53"/>
    <mergeCell ref="K32:M32"/>
    <mergeCell ref="N33:P33"/>
    <mergeCell ref="Q23:S23"/>
    <mergeCell ref="T55:V55"/>
    <mergeCell ref="AC55:AE55"/>
    <mergeCell ref="Z3:Z4"/>
    <mergeCell ref="AC38:AE38"/>
    <mergeCell ref="W16:Y16"/>
    <mergeCell ref="E11:J11"/>
    <mergeCell ref="W46:AB46"/>
    <mergeCell ref="N28:P28"/>
    <mergeCell ref="K27:M27"/>
    <mergeCell ref="AC40:AE40"/>
    <mergeCell ref="E36:J38"/>
    <mergeCell ref="E30:J32"/>
    <mergeCell ref="Z45:AB45"/>
    <mergeCell ref="T48:V48"/>
    <mergeCell ref="K16:M16"/>
    <mergeCell ref="C35:C37"/>
    <mergeCell ref="Z55:AB55"/>
    <mergeCell ref="K24:P24"/>
    <mergeCell ref="E24:J24"/>
    <mergeCell ref="K9:M9"/>
    <mergeCell ref="Z1:AA1"/>
    <mergeCell ref="K45:M45"/>
    <mergeCell ref="AC47:AH47"/>
    <mergeCell ref="E51:J51"/>
    <mergeCell ref="K11:M11"/>
    <mergeCell ref="AC43:AE43"/>
    <mergeCell ref="K22:M22"/>
    <mergeCell ref="Q35:V35"/>
    <mergeCell ref="T40:V40"/>
    <mergeCell ref="Q44:S44"/>
    <mergeCell ref="AB2:AD2"/>
    <mergeCell ref="AC25:AH25"/>
    <mergeCell ref="Z48:AB48"/>
    <mergeCell ref="D8:D29"/>
    <mergeCell ref="N34:P34"/>
    <mergeCell ref="E42:J43"/>
    <mergeCell ref="AC21:AE21"/>
    <mergeCell ref="Q45:S45"/>
    <mergeCell ref="N49:P49"/>
    <mergeCell ref="K37:P37"/>
    <mergeCell ref="Q32:S32"/>
    <mergeCell ref="AF22:AH22"/>
    <mergeCell ref="AC48:AE48"/>
    <mergeCell ref="E12:J12"/>
    <mergeCell ref="K33:M33"/>
    <mergeCell ref="F6:AH7"/>
    <mergeCell ref="T45:V45"/>
    <mergeCell ref="Y3:Y4"/>
    <mergeCell ref="W51:AB51"/>
    <mergeCell ref="Q50:S50"/>
    <mergeCell ref="G3:I3"/>
    <mergeCell ref="K52:P52"/>
    <mergeCell ref="C9:C12"/>
    <mergeCell ref="Q27:S27"/>
    <mergeCell ref="E27:J27"/>
    <mergeCell ref="W18:AB18"/>
    <mergeCell ref="AC9:AE9"/>
    <mergeCell ref="K48:M48"/>
    <mergeCell ref="Z10:AB10"/>
    <mergeCell ref="AC11:AE11"/>
    <mergeCell ref="Z2:AA2"/>
    <mergeCell ref="T33:V33"/>
    <mergeCell ref="N11:P11"/>
    <mergeCell ref="W15:Y15"/>
    <mergeCell ref="AF3:AF4"/>
    <mergeCell ref="AH3:AH4"/>
    <mergeCell ref="Q52:V52"/>
    <mergeCell ref="Q55:S55"/>
    <mergeCell ref="K47:P47"/>
    <mergeCell ref="Q38:S38"/>
    <mergeCell ref="K46:P46"/>
    <mergeCell ref="AC36:AH37"/>
    <mergeCell ref="Q40:S40"/>
    <mergeCell ref="N39:P39"/>
    <mergeCell ref="E47:J48"/>
    <mergeCell ref="K43:M43"/>
    <mergeCell ref="Z21:AB21"/>
    <mergeCell ref="AC26:AE26"/>
    <mergeCell ref="Z23:AB23"/>
    <mergeCell ref="W28:Y28"/>
    <mergeCell ref="AC17:AE17"/>
    <mergeCell ref="Q53:S53"/>
    <mergeCell ref="AF43:AH43"/>
    <mergeCell ref="E33:J33"/>
    <mergeCell ref="N50:P50"/>
    <mergeCell ref="K54:M54"/>
    <mergeCell ref="AC18:AH18"/>
    <mergeCell ref="E35:J35"/>
    <mergeCell ref="Z16:AB16"/>
    <mergeCell ref="W20:AB20"/>
    <mergeCell ref="E28:J28"/>
    <mergeCell ref="Z17:AB17"/>
    <mergeCell ref="AC42:AH42"/>
    <mergeCell ref="AC29:AH29"/>
    <mergeCell ref="E46:J46"/>
    <mergeCell ref="T22:V22"/>
    <mergeCell ref="K30:P31"/>
    <mergeCell ref="K17:M17"/>
    <mergeCell ref="AF28:AH28"/>
    <mergeCell ref="AG3:AG4"/>
    <mergeCell ref="N55:P55"/>
    <mergeCell ref="Q43:S43"/>
    <mergeCell ref="AF39:AH39"/>
    <mergeCell ref="W34:Y34"/>
    <mergeCell ref="Z26:AB26"/>
    <mergeCell ref="Q8:V8"/>
    <mergeCell ref="AB1:AD1"/>
    <mergeCell ref="W35:AB35"/>
    <mergeCell ref="AC24:AH24"/>
    <mergeCell ref="E34:J34"/>
    <mergeCell ref="C6:E7"/>
    <mergeCell ref="E49:J49"/>
    <mergeCell ref="N10:P10"/>
    <mergeCell ref="AC22:AE22"/>
    <mergeCell ref="AF50:AH50"/>
    <mergeCell ref="T17:V17"/>
    <mergeCell ref="Z44:AB44"/>
    <mergeCell ref="AC52:AH52"/>
    <mergeCell ref="Q16:S16"/>
    <mergeCell ref="AF34:AH34"/>
    <mergeCell ref="W49:Y49"/>
    <mergeCell ref="AF49:AH49"/>
    <mergeCell ref="C14:C20"/>
    <mergeCell ref="W26:Y26"/>
    <mergeCell ref="K51:P51"/>
    <mergeCell ref="N21:P21"/>
    <mergeCell ref="AC33:AE33"/>
    <mergeCell ref="AF44:AH44"/>
    <mergeCell ref="W41:AB41"/>
    <mergeCell ref="N23:P23"/>
    <mergeCell ref="AF55:AH55"/>
    <mergeCell ref="W56:AB56"/>
    <mergeCell ref="AC34:AE34"/>
    <mergeCell ref="Z38:AB38"/>
    <mergeCell ref="K3:N3"/>
    <mergeCell ref="K42:P42"/>
    <mergeCell ref="Q17:S17"/>
    <mergeCell ref="W39:Y39"/>
    <mergeCell ref="T43:V43"/>
    <mergeCell ref="K38:M38"/>
    <mergeCell ref="E50:J50"/>
    <mergeCell ref="K15:M15"/>
    <mergeCell ref="W25:AB25"/>
    <mergeCell ref="Z27:AB27"/>
    <mergeCell ref="C31:C33"/>
    <mergeCell ref="E39:J39"/>
    <mergeCell ref="AF53:AH53"/>
    <mergeCell ref="K36:AB36"/>
    <mergeCell ref="Z53:AB53"/>
    <mergeCell ref="C43:C45"/>
    <mergeCell ref="Q29:V29"/>
    <mergeCell ref="Z22:AB22"/>
    <mergeCell ref="W50:Y50"/>
    <mergeCell ref="Q26:S26"/>
    <mergeCell ref="W31:AB31"/>
    <mergeCell ref="Q31:V31"/>
    <mergeCell ref="AC54:AE54"/>
    <mergeCell ref="AF15:AH15"/>
    <mergeCell ref="W27:Y27"/>
    <mergeCell ref="AC46:AH46"/>
    <mergeCell ref="AC49:AE49"/>
    <mergeCell ref="K28:M28"/>
    <mergeCell ref="Z40:AB40"/>
    <mergeCell ref="C3:E3"/>
    <mergeCell ref="AC41:AH41"/>
    <mergeCell ref="N26:P26"/>
    <mergeCell ref="T15:V15"/>
    <mergeCell ref="C5:E5"/>
    <mergeCell ref="Z54:AB54"/>
    <mergeCell ref="Q24:V24"/>
    <mergeCell ref="Q18:V18"/>
    <mergeCell ref="Q42:V42"/>
    <mergeCell ref="W45:Y45"/>
    <mergeCell ref="K20:P20"/>
    <mergeCell ref="W55:Y55"/>
    <mergeCell ref="T10:V10"/>
  </mergeCells>
  <conditionalFormatting sqref="W39:W40 Z39:Z40 AC16:AC17 AC22:AC23 AC33:AC34 AF16:AF17 AF22:AF23 AF33:AF34">
    <cfRule type="cellIs" priority="1" operator="equal" dxfId="0" stopIfTrue="1">
      <formula>0</formula>
    </cfRule>
  </conditionalFormatting>
  <conditionalFormatting sqref="W41:AB41 AC18:AH18 AC24:AH24 AC35:AH35">
    <cfRule type="cellIs" priority="2" operator="lessThanOrEqual" dxfId="0" stopIfTrue="1">
      <formula>0</formula>
    </cfRule>
  </conditionalFormatting>
  <dataValidations count="7">
    <dataValidation sqref="K42:AH42" showDropDown="0" showInputMessage="1" showErrorMessage="1" allowBlank="1" error="栄養士、調理員、事務職員、運転手等の直接処遇職員以外の職員は、(14)以降に記入すること" type="list" errorStyle="warning">
      <formula1>"　,あん摩マッサージ指圧師,介護職員,保育士,事務職員,調理員,栄養士,運転手"</formula1>
    </dataValidation>
    <dataValidation sqref="K52:AH52 AC47:AH47" showDropDown="0" showInputMessage="1" showErrorMessage="1" allowBlank="1" error="栄養士、調理員、事務職員、運転手等の直接処遇職員以外の職員は、(14)以降に記入すること" type="list" errorStyle="warning">
      <formula1>"　,職業指導員,あん摩マッサージ指圧師,介護職員,保育士,事務職員,調理員,運転手"</formula1>
    </dataValidation>
    <dataValidation sqref="K10:AH12 K16:AC18 K22:AC24 K27:AH29 K33:AC35 K39:W41 K44:AH46 K49:AH51 K54:AH56 X41:Y41 Z39:Z41 AA41:AB41 AC39:AH41 AD18:AE18 AD24:AE24 AD35:AE35 AF16:AF18 AF22:AF24 AF33:AF35 AG18:AH18 AG24:AH24 AG35:AH35" showDropDown="0" showInputMessage="1" showErrorMessage="1" allowBlank="1" imeMode="halfAlpha"/>
    <dataValidation sqref="Z1:AA2 AE1:AF2" showDropDown="0" showInputMessage="1" showErrorMessage="1" allowBlank="1" type="list" errorStyle="warning">
      <formula1>"　,１,２,３,４"</formula1>
    </dataValidation>
    <dataValidation sqref="K25:AH25" showDropDown="0" showInputMessage="1" showErrorMessage="1" allowBlank="1" error="栄養士、調理員、事務職員、運転手等の直接処遇職員以外の職員は、(14)以降に記入すること" type="list" errorStyle="warning">
      <formula1>"　,職業指導員,あん摩マッサージ指圧師,介護職員,保育士,事務職員,調理員,栄養士,運転手"</formula1>
    </dataValidation>
    <dataValidation sqref="Y3:AH4" showDropDown="0" showInputMessage="1" showErrorMessage="1" allowBlank="1" imeMode="fullAlpha"/>
    <dataValidation sqref="F5:AH5" showDropDown="0" showInputMessage="1" showErrorMessage="1" allowBlank="1" imeMode="halfKatakana"/>
  </dataValidations>
  <printOptions horizontalCentered="1"/>
  <pageMargins left="0.7086614173228347" right="0.5905511811023623" top="0.3937007874015748" bottom="0.3937007874015748" header="0.5118110236220472" footer="0.5118110236220472"/>
  <pageSetup orientation="portrait" paperSize="9" scale="99"/>
  <legacyDrawing xmlns:r="http://schemas.openxmlformats.org/officeDocument/2006/relationships" r:id="anysvml"/>
</worksheet>
</file>

<file path=xl/worksheets/sheet32.xml><?xml version="1.0" encoding="utf-8"?>
<worksheet xmlns="http://schemas.openxmlformats.org/spreadsheetml/2006/main">
  <sheetPr codeName="Sheet31">
    <outlinePr summaryBelow="1" summaryRight="1"/>
    <pageSetUpPr/>
  </sheetPr>
  <dimension ref="A2:AN127"/>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7"/>
    <col width="2.5" customWidth="1" style="1667" min="8" max="8"/>
    <col width="2.625" customWidth="1" style="1667" min="9" max="35"/>
    <col width="9" customWidth="1" style="1667" min="36" max="16384"/>
  </cols>
  <sheetData>
    <row r="1" ht="6.75" customHeight="1" s="4080"/>
    <row r="2" ht="17.25" customFormat="1" customHeight="1" s="3270">
      <c r="A2" s="482" t="inlineStr">
        <is>
          <t>付表15・16</t>
        </is>
      </c>
      <c r="E2" s="3270" t="inlineStr">
        <is>
          <t>児童発達支援</t>
        </is>
      </c>
      <c r="J2" s="484" t="inlineStr">
        <is>
          <t>・</t>
        </is>
      </c>
      <c r="K2" s="3271" t="inlineStr">
        <is>
          <t>放課後等デイサービス</t>
        </is>
      </c>
      <c r="S2" s="3270" t="inlineStr">
        <is>
          <t>事業所の指定に係る記載事項</t>
        </is>
      </c>
      <c r="AN2" s="719">
        <f>HYPERLINK("#目次!A1","目次へ戻る")</f>
        <v/>
      </c>
    </row>
    <row r="3" ht="5.25" customHeight="1" s="4080">
      <c r="A3" s="485" t="n"/>
    </row>
    <row r="4" ht="6" customHeight="1" s="4080" thickBot="1">
      <c r="A4" s="1213" t="n"/>
      <c r="B4" s="1213" t="n"/>
      <c r="C4" s="1213" t="n"/>
      <c r="D4" s="1213" t="n"/>
      <c r="E4" s="1213" t="n"/>
      <c r="F4" s="1213" t="n"/>
      <c r="G4" s="470" t="n"/>
      <c r="H4" s="1290" t="n"/>
      <c r="I4" s="1290" t="n"/>
      <c r="J4" s="1290" t="n"/>
      <c r="K4" s="1290" t="n"/>
      <c r="L4" s="1290" t="n"/>
      <c r="M4" s="1325" t="n"/>
      <c r="N4" s="1290" t="n"/>
      <c r="O4" s="1290" t="n"/>
      <c r="P4" s="1290" t="n"/>
      <c r="Q4" s="1290" t="n"/>
      <c r="R4" s="1290" t="n"/>
      <c r="S4" s="1290" t="n"/>
      <c r="T4" s="1355" t="n"/>
      <c r="U4" s="1213" t="n"/>
      <c r="V4" s="1213" t="n"/>
      <c r="W4" s="1213" t="n"/>
      <c r="X4" s="487" t="n"/>
      <c r="Y4" s="487" t="n"/>
      <c r="Z4" s="1753" t="n"/>
      <c r="AA4" s="1753" t="n"/>
      <c r="AB4" s="1754" t="n"/>
      <c r="AC4" s="1754" t="n"/>
      <c r="AD4" s="1754" t="n"/>
      <c r="AE4" s="1753" t="n"/>
      <c r="AF4" s="1753" t="n"/>
      <c r="AG4" s="1755" t="n"/>
      <c r="AH4" s="1755" t="n"/>
    </row>
    <row r="5" ht="12" customHeight="1" s="4080">
      <c r="B5" s="45" t="n"/>
      <c r="U5" s="4178" t="inlineStr">
        <is>
          <t>事業所番号</t>
        </is>
      </c>
      <c r="V5" s="4082" t="n"/>
      <c r="W5" s="4082" t="n"/>
      <c r="X5" s="4083" t="n"/>
      <c r="Y5" s="4084" t="n"/>
      <c r="Z5" s="4084" t="n"/>
      <c r="AA5" s="4084" t="n"/>
      <c r="AB5" s="4084" t="n"/>
      <c r="AC5" s="4084" t="n"/>
      <c r="AD5" s="4084" t="n"/>
      <c r="AE5" s="4084" t="n"/>
      <c r="AF5" s="4084" t="n"/>
      <c r="AG5" s="4084" t="n"/>
      <c r="AH5" s="4085" t="n"/>
    </row>
    <row r="6" ht="3.95" customHeight="1" s="4080" thickBot="1">
      <c r="B6" s="45" t="n"/>
      <c r="C6" s="48" t="n"/>
      <c r="D6" s="48" t="n"/>
      <c r="E6" s="48" t="n"/>
      <c r="F6" s="49" t="n"/>
      <c r="G6" s="48" t="n"/>
      <c r="H6" s="48" t="n"/>
      <c r="I6" s="48" t="n"/>
      <c r="J6" s="49" t="n"/>
      <c r="K6" s="48" t="n"/>
      <c r="L6" s="48" t="n"/>
      <c r="M6" s="48" t="n"/>
      <c r="Q6" s="2345" t="n"/>
      <c r="R6" s="2345" t="n"/>
      <c r="S6" s="2345" t="n"/>
      <c r="T6" s="4015" t="n"/>
      <c r="U6" s="4086" t="n"/>
      <c r="V6" s="4087" t="n"/>
      <c r="W6" s="4087" t="n"/>
      <c r="X6" s="4088" t="n"/>
      <c r="Y6" s="4089" t="n"/>
      <c r="Z6" s="4089" t="n"/>
      <c r="AA6" s="4089" t="n"/>
      <c r="AB6" s="4089" t="n"/>
      <c r="AC6" s="4089" t="n"/>
      <c r="AD6" s="4089" t="n"/>
      <c r="AE6" s="4089" t="n"/>
      <c r="AF6" s="4089" t="n"/>
      <c r="AG6" s="4089" t="n"/>
      <c r="AH6" s="4090" t="n"/>
    </row>
    <row r="7" ht="15" customHeight="1" s="4080">
      <c r="A7" s="4179" t="inlineStr">
        <is>
          <t>事業所</t>
        </is>
      </c>
      <c r="B7" s="4082" t="n"/>
      <c r="C7" s="4180" t="inlineStr">
        <is>
          <t>ﾌﾘｶﾞﾅ</t>
        </is>
      </c>
      <c r="D7" s="4093" t="n"/>
      <c r="E7" s="4094" t="n"/>
      <c r="F7" s="4095" t="n"/>
      <c r="G7" s="4093" t="n"/>
      <c r="H7" s="4093" t="n"/>
      <c r="I7" s="4093" t="n"/>
      <c r="J7" s="4093" t="n"/>
      <c r="K7" s="4093" t="n"/>
      <c r="L7" s="4093" t="n"/>
      <c r="M7" s="4093" t="n"/>
      <c r="N7" s="4093" t="n"/>
      <c r="O7" s="4093" t="n"/>
      <c r="P7" s="4093" t="n"/>
      <c r="Q7" s="4093" t="n"/>
      <c r="R7" s="4093" t="n"/>
      <c r="S7" s="4093" t="n"/>
      <c r="T7" s="4093" t="n"/>
      <c r="U7" s="4093" t="n"/>
      <c r="V7" s="4093" t="n"/>
      <c r="W7" s="4093" t="n"/>
      <c r="X7" s="4093" t="n"/>
      <c r="Y7" s="4093" t="n"/>
      <c r="Z7" s="4093" t="n"/>
      <c r="AA7" s="4093" t="n"/>
      <c r="AB7" s="4093" t="n"/>
      <c r="AC7" s="4093" t="n"/>
      <c r="AD7" s="4093" t="n"/>
      <c r="AE7" s="4093" t="n"/>
      <c r="AF7" s="4093" t="n"/>
      <c r="AG7" s="4093" t="n"/>
      <c r="AH7" s="4096" t="n"/>
    </row>
    <row r="8" ht="14.25" customHeight="1" s="4080">
      <c r="A8" s="4097" t="n"/>
      <c r="C8" s="4181" t="inlineStr">
        <is>
          <t>名　称</t>
        </is>
      </c>
      <c r="D8" s="4098" t="n"/>
      <c r="E8" s="4099" t="n"/>
      <c r="F8" s="4182" t="n"/>
      <c r="G8" s="4098" t="n"/>
      <c r="H8" s="4098" t="n"/>
      <c r="I8" s="4098" t="n"/>
      <c r="J8" s="4098" t="n"/>
      <c r="K8" s="4098" t="n"/>
      <c r="L8" s="4098" t="n"/>
      <c r="M8" s="4098" t="n"/>
      <c r="N8" s="4098" t="n"/>
      <c r="O8" s="4098" t="n"/>
      <c r="P8" s="4098" t="n"/>
      <c r="Q8" s="4098" t="n"/>
      <c r="R8" s="4098" t="n"/>
      <c r="S8" s="4098" t="n"/>
      <c r="T8" s="4098" t="n"/>
      <c r="U8" s="4098" t="n"/>
      <c r="V8" s="4098" t="n"/>
      <c r="W8" s="4098" t="n"/>
      <c r="X8" s="4098" t="n"/>
      <c r="Y8" s="4098" t="n"/>
      <c r="Z8" s="4098" t="n"/>
      <c r="AA8" s="4098" t="n"/>
      <c r="AB8" s="4098" t="n"/>
      <c r="AC8" s="4098" t="n"/>
      <c r="AD8" s="4098" t="n"/>
      <c r="AE8" s="4098" t="n"/>
      <c r="AF8" s="4098" t="n"/>
      <c r="AG8" s="4098" t="n"/>
      <c r="AH8" s="4101" t="n"/>
    </row>
    <row r="9" ht="12"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2" customHeight="1" s="4080">
      <c r="A10" s="4097" t="n"/>
      <c r="C10" s="4268" t="inlineStr">
        <is>
          <t>所在地</t>
        </is>
      </c>
      <c r="D10" s="4098" t="n"/>
      <c r="E10" s="4099" t="n"/>
      <c r="F10" s="1244" t="inlineStr">
        <is>
          <t>郵便番号（</t>
        </is>
      </c>
      <c r="G10" s="4098" t="n"/>
      <c r="H10" s="4098" t="n"/>
      <c r="I10" s="4098" t="n"/>
      <c r="J10" s="1287" t="n"/>
      <c r="K10" s="4098" t="n"/>
      <c r="L10" s="4098" t="n"/>
      <c r="M10" s="4098" t="n"/>
      <c r="N10" s="4098" t="n"/>
      <c r="O10" s="1329" t="inlineStr">
        <is>
          <t>）</t>
        </is>
      </c>
      <c r="P10" s="4311" t="n"/>
      <c r="Q10" s="4098" t="n"/>
      <c r="R10" s="4098" t="n"/>
      <c r="S10" s="4098" t="n"/>
      <c r="T10" s="4098" t="n"/>
      <c r="U10" s="4098" t="n"/>
      <c r="V10" s="4098" t="n"/>
      <c r="W10" s="4098" t="n"/>
      <c r="X10" s="4098" t="n"/>
      <c r="Y10" s="4098" t="n"/>
      <c r="Z10" s="4098" t="n"/>
      <c r="AA10" s="4098" t="n"/>
      <c r="AB10" s="4098" t="n"/>
      <c r="AC10" s="4098" t="n"/>
      <c r="AD10" s="4098" t="n"/>
      <c r="AE10" s="4098" t="n"/>
      <c r="AF10" s="4098" t="n"/>
      <c r="AG10" s="4098" t="n"/>
      <c r="AH10" s="4101" t="n"/>
    </row>
    <row r="11" ht="17.25" customHeight="1" s="4080">
      <c r="A11" s="4097" t="n"/>
      <c r="C11" s="4106" t="n"/>
      <c r="E11" s="4107" t="n"/>
      <c r="F11" s="1255" t="inlineStr">
        <is>
          <t>大阪市</t>
        </is>
      </c>
      <c r="I11" s="986" t="n"/>
      <c r="N11" s="1260" t="inlineStr">
        <is>
          <t>区</t>
        </is>
      </c>
      <c r="AH11" s="4109" t="n"/>
    </row>
    <row r="12" ht="3.95" customHeight="1" s="4080">
      <c r="A12" s="4097" t="n"/>
      <c r="C12" s="4106" t="n"/>
      <c r="E12" s="4107" t="n"/>
      <c r="F12" s="4102" t="n"/>
      <c r="G12" s="4103" t="n"/>
      <c r="H12" s="4103" t="n"/>
      <c r="I12" s="4103" t="n"/>
      <c r="J12" s="4103" t="n"/>
      <c r="K12" s="4103" t="n"/>
      <c r="L12" s="4103" t="n"/>
      <c r="M12" s="4103" t="n"/>
      <c r="N12" s="4103" t="n"/>
      <c r="O12" s="4103" t="n"/>
      <c r="P12" s="4103" t="n"/>
      <c r="Q12" s="4103" t="n"/>
      <c r="R12" s="4103" t="n"/>
      <c r="S12" s="4103" t="n"/>
      <c r="T12" s="4103" t="n"/>
      <c r="U12" s="4103" t="n"/>
      <c r="V12" s="4103" t="n"/>
      <c r="W12" s="4103" t="n"/>
      <c r="X12" s="4103" t="n"/>
      <c r="Y12" s="4103" t="n"/>
      <c r="Z12" s="4103" t="n"/>
      <c r="AA12" s="4103" t="n"/>
      <c r="AB12" s="4103" t="n"/>
      <c r="AC12" s="4103" t="n"/>
      <c r="AD12" s="4103" t="n"/>
      <c r="AE12" s="4103" t="n"/>
      <c r="AF12" s="4103" t="n"/>
      <c r="AG12" s="4103" t="n"/>
      <c r="AH12" s="4105" t="n"/>
    </row>
    <row r="13" ht="15" customHeight="1" s="4080">
      <c r="A13" s="4097" t="n"/>
      <c r="C13" s="4181" t="inlineStr">
        <is>
          <t>連絡先</t>
        </is>
      </c>
      <c r="D13" s="4098" t="n"/>
      <c r="E13" s="4099" t="n"/>
      <c r="F13" s="1262" t="inlineStr">
        <is>
          <t>電話番号</t>
        </is>
      </c>
      <c r="G13" s="4110" t="n"/>
      <c r="H13" s="4111" t="n"/>
      <c r="I13" s="882" t="n"/>
      <c r="J13" s="4110" t="n"/>
      <c r="K13" s="4110" t="n"/>
      <c r="L13" s="53" t="inlineStr">
        <is>
          <t>－</t>
        </is>
      </c>
      <c r="M13" s="920" t="n"/>
      <c r="N13" s="4110" t="n"/>
      <c r="O13" s="4110" t="n"/>
      <c r="P13" s="53" t="inlineStr">
        <is>
          <t>－</t>
        </is>
      </c>
      <c r="Q13" s="878" t="n"/>
      <c r="R13" s="4110" t="n"/>
      <c r="S13" s="4111" t="n"/>
      <c r="T13" s="4184" t="inlineStr">
        <is>
          <t>ＦＡＸ番号</t>
        </is>
      </c>
      <c r="U13" s="4110" t="n"/>
      <c r="V13" s="4110" t="n"/>
      <c r="W13" s="4111" t="n"/>
      <c r="X13" s="882" t="n"/>
      <c r="Y13" s="4110" t="n"/>
      <c r="Z13" s="4110" t="n"/>
      <c r="AA13" s="53" t="inlineStr">
        <is>
          <t>－</t>
        </is>
      </c>
      <c r="AB13" s="920" t="n"/>
      <c r="AC13" s="4110" t="n"/>
      <c r="AD13" s="4110" t="n"/>
      <c r="AE13" s="53" t="inlineStr">
        <is>
          <t>－</t>
        </is>
      </c>
      <c r="AF13" s="955" t="n"/>
      <c r="AG13" s="4110" t="n"/>
      <c r="AH13" s="4113" t="n"/>
    </row>
    <row r="14" ht="15" customHeight="1" s="4080">
      <c r="A14" s="4114" t="n"/>
      <c r="B14" s="4103" t="n"/>
      <c r="C14" s="4102" t="n"/>
      <c r="D14" s="4103" t="n"/>
      <c r="E14" s="4104" t="n"/>
      <c r="F14" s="4185" t="inlineStr">
        <is>
          <t>メールアドレス</t>
        </is>
      </c>
      <c r="G14" s="4110" t="n"/>
      <c r="H14" s="4110" t="n"/>
      <c r="I14" s="4110" t="n"/>
      <c r="J14" s="4111" t="n"/>
      <c r="K14" s="4186" t="n"/>
      <c r="L14" s="4110" t="n"/>
      <c r="M14" s="4110" t="n"/>
      <c r="N14" s="4110" t="n"/>
      <c r="O14" s="4110" t="n"/>
      <c r="P14" s="4110" t="n"/>
      <c r="Q14" s="4110" t="n"/>
      <c r="R14" s="4110" t="n"/>
      <c r="S14" s="4110" t="n"/>
      <c r="T14" s="4110" t="n"/>
      <c r="U14" s="4110" t="n"/>
      <c r="V14" s="4110" t="n"/>
      <c r="W14" s="4110" t="n"/>
      <c r="X14" s="4110" t="n"/>
      <c r="Y14" s="4110" t="n"/>
      <c r="Z14" s="4110" t="n"/>
      <c r="AA14" s="4110" t="n"/>
      <c r="AB14" s="4110" t="n"/>
      <c r="AC14" s="4110" t="n"/>
      <c r="AD14" s="4110" t="n"/>
      <c r="AE14" s="4110" t="n"/>
      <c r="AF14" s="4110" t="n"/>
      <c r="AG14" s="4110" t="n"/>
      <c r="AH14" s="4113" t="n"/>
    </row>
    <row r="15" ht="17.1" customHeight="1" s="4080">
      <c r="A15" s="4187" t="inlineStr">
        <is>
          <t>当該事業の実施について定めてある定款・寄附行為等又は条例等</t>
        </is>
      </c>
      <c r="B15" s="4110" t="n"/>
      <c r="C15" s="4110" t="n"/>
      <c r="D15" s="4110" t="n"/>
      <c r="E15" s="4110" t="n"/>
      <c r="F15" s="4110" t="n"/>
      <c r="G15" s="4110" t="n"/>
      <c r="H15" s="4110" t="n"/>
      <c r="I15" s="4110" t="n"/>
      <c r="J15" s="4110" t="n"/>
      <c r="K15" s="4110" t="n"/>
      <c r="L15" s="4110" t="n"/>
      <c r="M15" s="4110" t="n"/>
      <c r="N15" s="4110" t="n"/>
      <c r="O15" s="4110" t="n"/>
      <c r="P15" s="4110" t="n"/>
      <c r="Q15" s="4110" t="n"/>
      <c r="R15" s="4110" t="n"/>
      <c r="S15" s="4111" t="n"/>
      <c r="T15" s="54" t="inlineStr">
        <is>
          <t>第</t>
        </is>
      </c>
      <c r="U15" s="920" t="n"/>
      <c r="V15" s="4110" t="n"/>
      <c r="W15" s="1264" t="inlineStr">
        <is>
          <t>条第</t>
        </is>
      </c>
      <c r="X15" s="4110" t="n"/>
      <c r="Y15" s="920" t="n"/>
      <c r="Z15" s="4110" t="n"/>
      <c r="AA15" s="1264" t="inlineStr">
        <is>
          <t>項第</t>
        </is>
      </c>
      <c r="AB15" s="4110" t="n"/>
      <c r="AC15" s="920" t="n"/>
      <c r="AD15" s="4110" t="n"/>
      <c r="AE15" s="1264" t="inlineStr">
        <is>
          <t>号（</t>
        </is>
      </c>
      <c r="AF15" s="4110" t="n"/>
      <c r="AG15" s="920" t="n"/>
      <c r="AH15" s="2827" t="inlineStr">
        <is>
          <t>）</t>
        </is>
      </c>
    </row>
    <row r="16" ht="11.25" customHeight="1" s="4080">
      <c r="A16" s="4188" t="inlineStr">
        <is>
          <t>管　　理　　者</t>
        </is>
      </c>
      <c r="B16" s="4099" t="n"/>
      <c r="C16" s="4184" t="inlineStr">
        <is>
          <t>ﾌﾘｶﾞﾅ</t>
        </is>
      </c>
      <c r="D16" s="4110" t="n"/>
      <c r="E16" s="4111" t="n"/>
      <c r="F16" s="1278" t="n"/>
      <c r="G16" s="4110" t="n"/>
      <c r="H16" s="4110" t="n"/>
      <c r="I16" s="4189" t="n"/>
      <c r="J16" s="1279" t="n"/>
      <c r="K16" s="4110" t="n"/>
      <c r="L16" s="4110" t="n"/>
      <c r="M16" s="4189" t="n"/>
      <c r="N16" s="4185" t="inlineStr">
        <is>
          <t>住所</t>
        </is>
      </c>
      <c r="O16" s="4099" t="n"/>
      <c r="P16" s="1244" t="inlineStr">
        <is>
          <t>郵便番号（</t>
        </is>
      </c>
      <c r="Q16" s="4098" t="n"/>
      <c r="R16" s="4098" t="n"/>
      <c r="S16" s="4098" t="n"/>
      <c r="T16" s="1287" t="n"/>
      <c r="U16" s="4098" t="n"/>
      <c r="V16" s="4098" t="n"/>
      <c r="W16" s="4098" t="n"/>
      <c r="X16" s="4098" t="n"/>
      <c r="Y16" s="1329" t="inlineStr">
        <is>
          <t>）</t>
        </is>
      </c>
      <c r="Z16" s="1017" t="n"/>
      <c r="AA16" s="1017" t="n"/>
      <c r="AB16" s="1017" t="n"/>
      <c r="AC16" s="1017" t="n"/>
      <c r="AD16" s="1017" t="n"/>
      <c r="AE16" s="1017" t="n"/>
      <c r="AF16" s="1017" t="n"/>
      <c r="AG16" s="1017" t="n"/>
      <c r="AH16" s="1424" t="n"/>
    </row>
    <row r="17" ht="12" customHeight="1" s="4080">
      <c r="A17" s="4097" t="n"/>
      <c r="B17" s="4107" t="n"/>
      <c r="C17" s="4184" t="inlineStr">
        <is>
          <t>氏名</t>
        </is>
      </c>
      <c r="D17" s="4098" t="n"/>
      <c r="E17" s="4099" t="n"/>
      <c r="F17" s="1278" t="n"/>
      <c r="G17" s="4098" t="n"/>
      <c r="H17" s="4098" t="n"/>
      <c r="I17" s="4190" t="n"/>
      <c r="J17" s="1279" t="n"/>
      <c r="K17" s="4098" t="n"/>
      <c r="L17" s="4098" t="n"/>
      <c r="M17" s="4190" t="n"/>
      <c r="N17" s="4106" t="n"/>
      <c r="O17" s="4107" t="n"/>
      <c r="P17" s="1318" t="n"/>
      <c r="R17" s="1325" t="inlineStr">
        <is>
          <t>都</t>
        </is>
      </c>
      <c r="S17" s="2378" t="inlineStr">
        <is>
          <t>道</t>
        </is>
      </c>
      <c r="T17" s="1319" t="n"/>
      <c r="W17" s="2378" t="inlineStr">
        <is>
          <t>郡</t>
        </is>
      </c>
      <c r="X17" s="1321" t="n"/>
      <c r="AH17" s="4109" t="n"/>
    </row>
    <row r="18" ht="12" customHeight="1" s="4080">
      <c r="A18" s="4097" t="n"/>
      <c r="B18" s="4107" t="n"/>
      <c r="C18" s="4106" t="n"/>
      <c r="E18" s="4107" t="n"/>
      <c r="F18" s="4106" t="n"/>
      <c r="I18" s="4191" t="n"/>
      <c r="J18" s="4192" t="n"/>
      <c r="M18" s="4191" t="n"/>
      <c r="N18" s="4106" t="n"/>
      <c r="O18" s="4107" t="n"/>
      <c r="P18" s="4106" t="n"/>
      <c r="R18" s="2378" t="inlineStr">
        <is>
          <t>府</t>
        </is>
      </c>
      <c r="S18" s="2378" t="inlineStr">
        <is>
          <t>県</t>
        </is>
      </c>
      <c r="W18" s="2378" t="inlineStr">
        <is>
          <t>市</t>
        </is>
      </c>
      <c r="AH18" s="4109" t="n"/>
    </row>
    <row r="19" ht="3.95" customHeight="1" s="4080">
      <c r="A19" s="4097" t="n"/>
      <c r="B19" s="4107" t="n"/>
      <c r="C19" s="4102" t="n"/>
      <c r="D19" s="4103" t="n"/>
      <c r="E19" s="4104" t="n"/>
      <c r="F19" s="4102" t="n"/>
      <c r="G19" s="4103" t="n"/>
      <c r="H19" s="4103" t="n"/>
      <c r="I19" s="4193" t="n"/>
      <c r="J19" s="4194" t="n"/>
      <c r="K19" s="4103" t="n"/>
      <c r="L19" s="4103" t="n"/>
      <c r="M19" s="4193" t="n"/>
      <c r="N19" s="4102" t="n"/>
      <c r="O19" s="4104" t="n"/>
      <c r="P19" s="4102" t="n"/>
      <c r="Q19" s="4103" t="n"/>
      <c r="R19" s="1810" t="n"/>
      <c r="S19" s="1810" t="n"/>
      <c r="T19" s="4103" t="n"/>
      <c r="U19" s="4103" t="n"/>
      <c r="V19" s="4103" t="n"/>
      <c r="W19" s="1810" t="n"/>
      <c r="AH19" s="4109" t="n"/>
    </row>
    <row r="20" ht="3.95" customHeight="1" s="4080">
      <c r="A20" s="4097" t="n"/>
      <c r="B20" s="4107" t="n"/>
      <c r="C20" s="1393" t="inlineStr">
        <is>
          <t>他の職務との兼務の有無及び職種</t>
        </is>
      </c>
      <c r="D20" s="4098" t="n"/>
      <c r="E20" s="4098" t="n"/>
      <c r="F20" s="4098" t="n"/>
      <c r="G20" s="4098" t="n"/>
      <c r="H20" s="4098" t="n"/>
      <c r="I20" s="4098" t="n"/>
      <c r="J20" s="4098" t="n"/>
      <c r="K20" s="4098" t="n"/>
      <c r="L20" s="4098" t="n"/>
      <c r="M20" s="4098" t="n"/>
      <c r="N20" s="4195" t="n"/>
      <c r="O20" s="4098" t="n"/>
      <c r="P20" s="4098" t="n"/>
      <c r="Q20" s="4098" t="n"/>
      <c r="R20" s="4099" t="n"/>
      <c r="S20" s="2163" t="inlineStr">
        <is>
          <t>職　　種</t>
        </is>
      </c>
      <c r="T20" s="4098" t="n"/>
      <c r="U20" s="4099" t="n"/>
      <c r="V20" s="1322" t="n"/>
      <c r="W20" s="1335" t="inlineStr">
        <is>
          <t xml:space="preserve">　</t>
        </is>
      </c>
      <c r="X20" s="4098" t="n"/>
      <c r="Y20" s="4098" t="n"/>
      <c r="Z20" s="4098" t="n"/>
      <c r="AA20" s="4098" t="n"/>
      <c r="AB20" s="4098" t="n"/>
      <c r="AC20" s="4098" t="n"/>
      <c r="AD20" s="4098" t="n"/>
      <c r="AE20" s="4098" t="n"/>
      <c r="AF20" s="4098" t="n"/>
      <c r="AG20" s="4098" t="n"/>
      <c r="AH20" s="4101" t="n"/>
    </row>
    <row r="21" ht="12" customHeight="1" s="4080">
      <c r="A21" s="4097" t="n"/>
      <c r="B21" s="4107" t="n"/>
      <c r="C21" s="4106" t="n"/>
      <c r="N21" s="1354" t="n"/>
      <c r="O21" s="1325" t="inlineStr">
        <is>
          <t>有</t>
        </is>
      </c>
      <c r="P21" s="1325" t="inlineStr">
        <is>
          <t>・</t>
        </is>
      </c>
      <c r="Q21" s="1325" t="inlineStr">
        <is>
          <t>無</t>
        </is>
      </c>
      <c r="R21" s="1332" t="n"/>
      <c r="S21" s="4106" t="n"/>
      <c r="U21" s="4107" t="n"/>
      <c r="V21" s="4312" t="n"/>
      <c r="AH21" s="4109" t="n"/>
    </row>
    <row r="22" ht="3.95" customHeight="1" s="4080">
      <c r="A22" s="4097" t="n"/>
      <c r="B22" s="4107" t="n"/>
      <c r="C22" s="4102" t="n"/>
      <c r="D22" s="4103" t="n"/>
      <c r="E22" s="4103" t="n"/>
      <c r="F22" s="4103" t="n"/>
      <c r="G22" s="4103" t="n"/>
      <c r="H22" s="4103" t="n"/>
      <c r="I22" s="4103" t="n"/>
      <c r="J22" s="4103" t="n"/>
      <c r="K22" s="4103" t="n"/>
      <c r="L22" s="4103" t="n"/>
      <c r="M22" s="4103" t="n"/>
      <c r="N22" s="4197" t="n"/>
      <c r="O22" s="4103" t="n"/>
      <c r="P22" s="4103" t="n"/>
      <c r="Q22" s="4103" t="n"/>
      <c r="R22" s="4104" t="n"/>
      <c r="S22" s="4102" t="n"/>
      <c r="T22" s="4103" t="n"/>
      <c r="U22" s="4104" t="n"/>
      <c r="V22" s="1326" t="n"/>
      <c r="W22" s="1299" t="n"/>
      <c r="X22" s="4103" t="n"/>
      <c r="Y22" s="4103" t="n"/>
      <c r="Z22" s="4103" t="n"/>
      <c r="AA22" s="4103" t="n"/>
      <c r="AB22" s="4103" t="n"/>
      <c r="AC22" s="4103" t="n"/>
      <c r="AD22" s="4103" t="n"/>
      <c r="AE22" s="4103" t="n"/>
      <c r="AF22" s="4103" t="n"/>
      <c r="AG22" s="4103" t="n"/>
      <c r="AH22" s="4105" t="n"/>
    </row>
    <row r="23" ht="15" customHeight="1" s="4080">
      <c r="A23" s="4097" t="n"/>
      <c r="B23" s="4107" t="n"/>
      <c r="C23" s="4800" t="inlineStr">
        <is>
          <t xml:space="preserve">　　同一敷地内の他の事業所又は施設を兼務する場合、当該兼務する事業所等の名称等</t>
        </is>
      </c>
      <c r="D23" s="4110" t="n"/>
      <c r="E23" s="4110" t="n"/>
      <c r="F23" s="4110" t="n"/>
      <c r="G23" s="4110" t="n"/>
      <c r="H23" s="4110" t="n"/>
      <c r="I23" s="4110" t="n"/>
      <c r="J23" s="4110" t="n"/>
      <c r="K23" s="4110" t="n"/>
      <c r="L23" s="4110" t="n"/>
      <c r="M23" s="4110" t="n"/>
      <c r="N23" s="4110" t="n"/>
      <c r="O23" s="4110" t="n"/>
      <c r="P23" s="4110" t="n"/>
      <c r="Q23" s="4110" t="n"/>
      <c r="R23" s="4110" t="n"/>
      <c r="S23" s="4110" t="n"/>
      <c r="T23" s="4110" t="n"/>
      <c r="U23" s="4110" t="n"/>
      <c r="V23" s="4110" t="n"/>
      <c r="W23" s="4110" t="n"/>
      <c r="X23" s="4110" t="n"/>
      <c r="Y23" s="4110" t="n"/>
      <c r="Z23" s="4110" t="n"/>
      <c r="AA23" s="4110" t="n"/>
      <c r="AB23" s="4110" t="n"/>
      <c r="AC23" s="4110" t="n"/>
      <c r="AD23" s="4110" t="n"/>
      <c r="AE23" s="4110" t="n"/>
      <c r="AF23" s="4110" t="n"/>
      <c r="AG23" s="4110" t="n"/>
      <c r="AH23" s="4113" t="n"/>
    </row>
    <row r="24" ht="15" customHeight="1" s="4080">
      <c r="A24" s="4097" t="n"/>
      <c r="B24" s="4107" t="n"/>
      <c r="C24" s="2163" t="inlineStr">
        <is>
          <t>事業所名</t>
        </is>
      </c>
      <c r="D24" s="4110" t="n"/>
      <c r="E24" s="4110" t="n"/>
      <c r="F24" s="4110" t="n"/>
      <c r="G24" s="4110" t="n"/>
      <c r="H24" s="4110" t="n"/>
      <c r="I24" s="4110" t="n"/>
      <c r="J24" s="4111" t="n"/>
      <c r="K24" s="2164" t="inlineStr">
        <is>
          <t>サービス種別</t>
        </is>
      </c>
      <c r="L24" s="4110" t="n"/>
      <c r="M24" s="4110" t="n"/>
      <c r="N24" s="4110" t="n"/>
      <c r="O24" s="4110" t="n"/>
      <c r="P24" s="4110" t="n"/>
      <c r="Q24" s="4110" t="n"/>
      <c r="R24" s="4110" t="n"/>
      <c r="S24" s="4110" t="n"/>
      <c r="T24" s="4110" t="n"/>
      <c r="U24" s="4110" t="n"/>
      <c r="V24" s="4110" t="n"/>
      <c r="W24" s="4110" t="n"/>
      <c r="X24" s="4110" t="n"/>
      <c r="Y24" s="4111" t="n"/>
      <c r="Z24" s="3273" t="inlineStr">
        <is>
          <t>職種</t>
        </is>
      </c>
      <c r="AA24" s="4110" t="n"/>
      <c r="AB24" s="4110" t="n"/>
      <c r="AC24" s="4110" t="n"/>
      <c r="AD24" s="4110" t="n"/>
      <c r="AE24" s="4110" t="n"/>
      <c r="AF24" s="4110" t="n"/>
      <c r="AG24" s="4110" t="n"/>
      <c r="AH24" s="4111" t="n"/>
    </row>
    <row r="25" ht="15" customHeight="1" s="4080">
      <c r="A25" s="4097" t="n"/>
      <c r="B25" s="4107" t="n"/>
      <c r="C25" s="2167" t="n"/>
      <c r="D25" s="4457" t="n"/>
      <c r="E25" s="4457" t="n"/>
      <c r="F25" s="4457" t="n"/>
      <c r="G25" s="4457" t="n"/>
      <c r="H25" s="4457" t="n"/>
      <c r="I25" s="4457" t="n"/>
      <c r="J25" s="4458" t="n"/>
      <c r="K25" s="2168" t="n"/>
      <c r="L25" s="4457" t="n"/>
      <c r="M25" s="4457" t="n"/>
      <c r="N25" s="4457" t="n"/>
      <c r="O25" s="4457" t="n"/>
      <c r="P25" s="4457" t="n"/>
      <c r="Q25" s="4457" t="n"/>
      <c r="R25" s="4457" t="n"/>
      <c r="S25" s="4457" t="n"/>
      <c r="T25" s="4457" t="n"/>
      <c r="U25" s="4457" t="n"/>
      <c r="V25" s="4457" t="n"/>
      <c r="W25" s="4457" t="n"/>
      <c r="X25" s="4457" t="n"/>
      <c r="Y25" s="4458" t="n"/>
      <c r="Z25" s="2169" t="n"/>
      <c r="AA25" s="4457" t="n"/>
      <c r="AB25" s="4457" t="n"/>
      <c r="AC25" s="4457" t="n"/>
      <c r="AD25" s="4457" t="n"/>
      <c r="AE25" s="4457" t="n"/>
      <c r="AF25" s="4457" t="n"/>
      <c r="AG25" s="4457" t="n"/>
      <c r="AH25" s="4458" t="n"/>
    </row>
    <row r="26" ht="15" customHeight="1" s="4080">
      <c r="A26" s="4097" t="n"/>
      <c r="B26" s="4107" t="n"/>
      <c r="C26" s="2171" t="n"/>
      <c r="D26" s="4459" t="n"/>
      <c r="E26" s="4459" t="n"/>
      <c r="F26" s="4459" t="n"/>
      <c r="G26" s="4459" t="n"/>
      <c r="H26" s="4459" t="n"/>
      <c r="I26" s="4459" t="n"/>
      <c r="J26" s="4459" t="n"/>
      <c r="K26" s="4460" t="n"/>
      <c r="L26" s="4459" t="n"/>
      <c r="M26" s="4459" t="n"/>
      <c r="N26" s="4459" t="n"/>
      <c r="O26" s="4459" t="n"/>
      <c r="P26" s="4459" t="n"/>
      <c r="Q26" s="4459" t="n"/>
      <c r="R26" s="4459" t="n"/>
      <c r="S26" s="4459" t="n"/>
      <c r="T26" s="4459" t="n"/>
      <c r="U26" s="4459" t="n"/>
      <c r="V26" s="4459" t="n"/>
      <c r="W26" s="4459" t="n"/>
      <c r="X26" s="4459" t="n"/>
      <c r="Y26" s="4461" t="n"/>
      <c r="Z26" s="2177" t="n"/>
      <c r="AA26" s="4459" t="n"/>
      <c r="AB26" s="4459" t="n"/>
      <c r="AC26" s="4459" t="n"/>
      <c r="AD26" s="4459" t="n"/>
      <c r="AE26" s="4459" t="n"/>
      <c r="AF26" s="4459" t="n"/>
      <c r="AG26" s="4459" t="n"/>
      <c r="AH26" s="4462" t="n"/>
    </row>
    <row r="27" ht="12" customHeight="1" s="4080">
      <c r="A27" s="1766" t="inlineStr">
        <is>
          <t>児童発達支援管理責任者</t>
        </is>
      </c>
      <c r="B27" s="1768" t="inlineStr">
        <is>
          <t>１</t>
        </is>
      </c>
      <c r="C27" s="4184" t="inlineStr">
        <is>
          <t>ﾌﾘｶﾞﾅ</t>
        </is>
      </c>
      <c r="D27" s="4110" t="n"/>
      <c r="E27" s="4111" t="n"/>
      <c r="F27" s="4612" t="n"/>
      <c r="G27" s="4110" t="n"/>
      <c r="H27" s="4110" t="n"/>
      <c r="I27" s="4204" t="n"/>
      <c r="J27" s="4613" t="n"/>
      <c r="K27" s="4110" t="n"/>
      <c r="L27" s="4110" t="n"/>
      <c r="M27" s="4111" t="n"/>
      <c r="N27" s="2164" t="inlineStr">
        <is>
          <t>住所</t>
        </is>
      </c>
      <c r="O27" s="4099" t="n"/>
      <c r="P27" s="1244" t="inlineStr">
        <is>
          <t>郵便番号（</t>
        </is>
      </c>
      <c r="Q27" s="4098" t="n"/>
      <c r="R27" s="4098" t="n"/>
      <c r="S27" s="4098" t="n"/>
      <c r="T27" s="1287" t="n"/>
      <c r="U27" s="4098" t="n"/>
      <c r="V27" s="4098" t="n"/>
      <c r="W27" s="4098" t="n"/>
      <c r="X27" s="4098" t="n"/>
      <c r="Y27" s="1329" t="inlineStr">
        <is>
          <t>）</t>
        </is>
      </c>
      <c r="Z27" s="1017" t="n"/>
      <c r="AA27" s="1017" t="n"/>
      <c r="AB27" s="1017" t="n"/>
      <c r="AC27" s="1017" t="n"/>
      <c r="AD27" s="1017" t="n"/>
      <c r="AE27" s="120" t="n"/>
      <c r="AF27" s="119" t="n"/>
      <c r="AG27" s="119" t="n"/>
      <c r="AH27" s="118" t="n"/>
    </row>
    <row r="28" ht="9.75" customHeight="1" s="4080">
      <c r="A28" s="4208" t="n"/>
      <c r="B28" s="4107" t="n"/>
      <c r="C28" s="4209" t="inlineStr">
        <is>
          <t>氏　　名</t>
        </is>
      </c>
      <c r="D28" s="4098" t="n"/>
      <c r="E28" s="4099" t="n"/>
      <c r="F28" s="4612" t="n"/>
      <c r="G28" s="4098" t="n"/>
      <c r="H28" s="4098" t="n"/>
      <c r="I28" s="4210" t="n"/>
      <c r="J28" s="4613" t="n"/>
      <c r="K28" s="4098" t="n"/>
      <c r="L28" s="4098" t="n"/>
      <c r="M28" s="4099" t="n"/>
      <c r="N28" s="4106" t="n"/>
      <c r="O28" s="4107" t="n"/>
      <c r="P28" s="1318" t="n"/>
      <c r="R28" s="2378" t="inlineStr">
        <is>
          <t>都</t>
        </is>
      </c>
      <c r="S28" s="2378" t="inlineStr">
        <is>
          <t>道</t>
        </is>
      </c>
      <c r="T28" s="1389" t="n"/>
      <c r="W28" s="2378" t="inlineStr">
        <is>
          <t>郡</t>
        </is>
      </c>
      <c r="X28" s="1686" t="n"/>
      <c r="AH28" s="4109" t="n"/>
    </row>
    <row r="29" ht="12" customHeight="1" s="4080">
      <c r="A29" s="4208" t="n"/>
      <c r="B29" s="4107" t="n"/>
      <c r="C29" s="4106" t="n"/>
      <c r="E29" s="4107" t="n"/>
      <c r="F29" s="4106" t="n"/>
      <c r="I29" s="4212" t="n"/>
      <c r="J29" s="4213" t="n"/>
      <c r="M29" s="4107" t="n"/>
      <c r="N29" s="4106" t="n"/>
      <c r="O29" s="4107" t="n"/>
      <c r="P29" s="4106" t="n"/>
      <c r="R29" s="2378" t="inlineStr">
        <is>
          <t>府</t>
        </is>
      </c>
      <c r="S29" s="2378" t="inlineStr">
        <is>
          <t>県</t>
        </is>
      </c>
      <c r="W29" s="2378" t="inlineStr">
        <is>
          <t>市</t>
        </is>
      </c>
      <c r="AH29" s="4109" t="n"/>
    </row>
    <row r="30" ht="3" customHeight="1" s="4080">
      <c r="A30" s="4208" t="n"/>
      <c r="B30" s="4107" t="n"/>
      <c r="C30" s="4102" t="n"/>
      <c r="D30" s="4103" t="n"/>
      <c r="E30" s="4104" t="n"/>
      <c r="F30" s="4102" t="n"/>
      <c r="G30" s="4103" t="n"/>
      <c r="H30" s="4103" t="n"/>
      <c r="I30" s="4215" t="n"/>
      <c r="J30" s="4216" t="n"/>
      <c r="K30" s="4103" t="n"/>
      <c r="L30" s="4103" t="n"/>
      <c r="M30" s="4104" t="n"/>
      <c r="N30" s="4102" t="n"/>
      <c r="O30" s="4104" t="n"/>
      <c r="P30" s="4102" t="n"/>
      <c r="Q30" s="4103" t="n"/>
      <c r="R30" s="2378" t="n"/>
      <c r="S30" s="2378" t="n"/>
      <c r="T30" s="4103" t="n"/>
      <c r="U30" s="4103" t="n"/>
      <c r="V30" s="4103" t="n"/>
      <c r="W30" s="63" t="n"/>
      <c r="X30" s="4103" t="n"/>
      <c r="Y30" s="4103" t="n"/>
      <c r="Z30" s="4103" t="n"/>
      <c r="AA30" s="4103" t="n"/>
      <c r="AB30" s="4103" t="n"/>
      <c r="AC30" s="4103" t="n"/>
      <c r="AD30" s="4103" t="n"/>
      <c r="AE30" s="4103" t="n"/>
      <c r="AF30" s="4103" t="n"/>
      <c r="AG30" s="4103" t="n"/>
      <c r="AH30" s="4105" t="n"/>
    </row>
    <row r="31" ht="3.95" customHeight="1" s="4080">
      <c r="A31" s="4208" t="n"/>
      <c r="B31" s="4107" t="n"/>
      <c r="C31" s="1393" t="inlineStr">
        <is>
          <t>他の職務との兼務の有無及び職種</t>
        </is>
      </c>
      <c r="D31" s="4098" t="n"/>
      <c r="E31" s="4098" t="n"/>
      <c r="F31" s="4098" t="n"/>
      <c r="G31" s="4098" t="n"/>
      <c r="H31" s="4098" t="n"/>
      <c r="I31" s="4098" t="n"/>
      <c r="J31" s="4098" t="n"/>
      <c r="K31" s="4098" t="n"/>
      <c r="L31" s="4098" t="n"/>
      <c r="M31" s="4098" t="n"/>
      <c r="N31" s="4195" t="n"/>
      <c r="O31" s="4098" t="n"/>
      <c r="P31" s="4098" t="n"/>
      <c r="Q31" s="4098" t="n"/>
      <c r="R31" s="4099" t="n"/>
      <c r="S31" s="2163" t="inlineStr">
        <is>
          <t>職　　種</t>
        </is>
      </c>
      <c r="T31" s="4098" t="n"/>
      <c r="U31" s="4099" t="n"/>
      <c r="V31" s="1322" t="n"/>
      <c r="W31" s="1335" t="inlineStr">
        <is>
          <t xml:space="preserve">　</t>
        </is>
      </c>
      <c r="X31" s="4098" t="n"/>
      <c r="Y31" s="4098" t="n"/>
      <c r="Z31" s="4098" t="n"/>
      <c r="AA31" s="4098" t="n"/>
      <c r="AB31" s="4098" t="n"/>
      <c r="AC31" s="4098" t="n"/>
      <c r="AD31" s="4098" t="n"/>
      <c r="AE31" s="4098" t="n"/>
      <c r="AF31" s="4098" t="n"/>
      <c r="AG31" s="4098" t="n"/>
      <c r="AH31" s="4101" t="n"/>
    </row>
    <row r="32" ht="12" customHeight="1" s="4080">
      <c r="A32" s="4208" t="n"/>
      <c r="B32" s="4107" t="n"/>
      <c r="C32" s="4106" t="n"/>
      <c r="N32" s="1354" t="n"/>
      <c r="O32" s="1325" t="inlineStr">
        <is>
          <t>有</t>
        </is>
      </c>
      <c r="P32" s="1325" t="inlineStr">
        <is>
          <t>・</t>
        </is>
      </c>
      <c r="Q32" s="1325" t="inlineStr">
        <is>
          <t>無</t>
        </is>
      </c>
      <c r="R32" s="1332" t="n"/>
      <c r="S32" s="4106" t="n"/>
      <c r="U32" s="4107" t="n"/>
      <c r="V32" s="4312" t="n"/>
      <c r="AH32" s="4109" t="n"/>
    </row>
    <row r="33" ht="3.95" customHeight="1" s="4080">
      <c r="A33" s="4208" t="n"/>
      <c r="B33" s="4107" t="n"/>
      <c r="C33" s="4102" t="n"/>
      <c r="D33" s="4103" t="n"/>
      <c r="E33" s="4103" t="n"/>
      <c r="F33" s="4103" t="n"/>
      <c r="G33" s="4103" t="n"/>
      <c r="H33" s="4103" t="n"/>
      <c r="I33" s="4103" t="n"/>
      <c r="J33" s="4103" t="n"/>
      <c r="K33" s="4103" t="n"/>
      <c r="L33" s="4103" t="n"/>
      <c r="M33" s="4103" t="n"/>
      <c r="N33" s="4197" t="n"/>
      <c r="O33" s="4103" t="n"/>
      <c r="P33" s="4103" t="n"/>
      <c r="Q33" s="4103" t="n"/>
      <c r="R33" s="4104" t="n"/>
      <c r="S33" s="4102" t="n"/>
      <c r="T33" s="4103" t="n"/>
      <c r="U33" s="4104" t="n"/>
      <c r="V33" s="1326" t="n"/>
      <c r="W33" s="1299" t="n"/>
      <c r="X33" s="4103" t="n"/>
      <c r="Y33" s="4103" t="n"/>
      <c r="Z33" s="4103" t="n"/>
      <c r="AA33" s="4103" t="n"/>
      <c r="AB33" s="4103" t="n"/>
      <c r="AC33" s="4103" t="n"/>
      <c r="AD33" s="4103" t="n"/>
      <c r="AE33" s="4103" t="n"/>
      <c r="AF33" s="4103" t="n"/>
      <c r="AG33" s="4103" t="n"/>
      <c r="AH33" s="4105" t="n"/>
    </row>
    <row r="34" ht="12" customHeight="1" s="4080">
      <c r="A34" s="4208" t="n"/>
      <c r="B34" s="1768" t="inlineStr">
        <is>
          <t>２</t>
        </is>
      </c>
      <c r="C34" s="4184" t="inlineStr">
        <is>
          <t>ﾌﾘｶﾞﾅ</t>
        </is>
      </c>
      <c r="D34" s="4110" t="n"/>
      <c r="E34" s="4111" t="n"/>
      <c r="F34" s="4203" t="n"/>
      <c r="G34" s="4110" t="n"/>
      <c r="H34" s="4110" t="n"/>
      <c r="I34" s="4204" t="n"/>
      <c r="J34" s="4205" t="n"/>
      <c r="K34" s="4110" t="n"/>
      <c r="L34" s="4110" t="n"/>
      <c r="M34" s="4111" t="n"/>
      <c r="N34" s="2164" t="inlineStr">
        <is>
          <t>住所</t>
        </is>
      </c>
      <c r="O34" s="4099" t="n"/>
      <c r="P34" s="1244" t="inlineStr">
        <is>
          <t>郵便番号（</t>
        </is>
      </c>
      <c r="Q34" s="4098" t="n"/>
      <c r="R34" s="4098" t="n"/>
      <c r="S34" s="4098" t="n"/>
      <c r="T34" s="1287" t="n"/>
      <c r="U34" s="4098" t="n"/>
      <c r="V34" s="4098" t="n"/>
      <c r="W34" s="4098" t="n"/>
      <c r="X34" s="4098" t="n"/>
      <c r="Y34" s="1329" t="inlineStr">
        <is>
          <t>）</t>
        </is>
      </c>
      <c r="Z34" s="1017" t="n"/>
      <c r="AA34" s="1017" t="n"/>
      <c r="AB34" s="1017" t="n"/>
      <c r="AC34" s="1017" t="n"/>
      <c r="AD34" s="1017" t="n"/>
      <c r="AE34" s="120" t="n"/>
      <c r="AF34" s="119" t="n"/>
      <c r="AG34" s="119" t="n"/>
      <c r="AH34" s="118" t="n"/>
    </row>
    <row r="35" ht="9.75" customHeight="1" s="4080">
      <c r="A35" s="4208" t="n"/>
      <c r="B35" s="4107" t="n"/>
      <c r="C35" s="4209" t="inlineStr">
        <is>
          <t>氏　　名</t>
        </is>
      </c>
      <c r="D35" s="4098" t="n"/>
      <c r="E35" s="4099" t="n"/>
      <c r="F35" s="4203" t="n"/>
      <c r="G35" s="4098" t="n"/>
      <c r="H35" s="4098" t="n"/>
      <c r="I35" s="4210" t="n"/>
      <c r="J35" s="4205" t="n"/>
      <c r="K35" s="4098" t="n"/>
      <c r="L35" s="4098" t="n"/>
      <c r="M35" s="4099" t="n"/>
      <c r="N35" s="4106" t="n"/>
      <c r="O35" s="4107" t="n"/>
      <c r="P35" s="1318" t="n"/>
      <c r="R35" s="2378" t="inlineStr">
        <is>
          <t>都</t>
        </is>
      </c>
      <c r="S35" s="2378" t="inlineStr">
        <is>
          <t>道</t>
        </is>
      </c>
      <c r="T35" s="1389" t="n"/>
      <c r="W35" s="2378" t="inlineStr">
        <is>
          <t>郡</t>
        </is>
      </c>
      <c r="X35" s="1686" t="n"/>
      <c r="AH35" s="4109" t="n"/>
    </row>
    <row r="36" ht="9.75" customHeight="1" s="4080">
      <c r="A36" s="4208" t="n"/>
      <c r="B36" s="4107" t="n"/>
      <c r="C36" s="4106" t="n"/>
      <c r="E36" s="4107" t="n"/>
      <c r="F36" s="4106" t="n"/>
      <c r="I36" s="4212" t="n"/>
      <c r="J36" s="4213" t="n"/>
      <c r="M36" s="4107" t="n"/>
      <c r="N36" s="4106" t="n"/>
      <c r="O36" s="4107" t="n"/>
      <c r="P36" s="4106" t="n"/>
      <c r="R36" s="2378" t="inlineStr">
        <is>
          <t>府</t>
        </is>
      </c>
      <c r="S36" s="2378" t="inlineStr">
        <is>
          <t>県</t>
        </is>
      </c>
      <c r="W36" s="2378" t="inlineStr">
        <is>
          <t>市</t>
        </is>
      </c>
      <c r="AH36" s="4109" t="n"/>
    </row>
    <row r="37" ht="3" customHeight="1" s="4080">
      <c r="A37" s="4208" t="n"/>
      <c r="B37" s="4107" t="n"/>
      <c r="C37" s="4102" t="n"/>
      <c r="D37" s="4103" t="n"/>
      <c r="E37" s="4104" t="n"/>
      <c r="F37" s="4102" t="n"/>
      <c r="G37" s="4103" t="n"/>
      <c r="H37" s="4103" t="n"/>
      <c r="I37" s="4215" t="n"/>
      <c r="J37" s="4216" t="n"/>
      <c r="K37" s="4103" t="n"/>
      <c r="L37" s="4103" t="n"/>
      <c r="M37" s="4104" t="n"/>
      <c r="N37" s="4102" t="n"/>
      <c r="O37" s="4104" t="n"/>
      <c r="P37" s="4102" t="n"/>
      <c r="Q37" s="4103" t="n"/>
      <c r="R37" s="2378" t="n"/>
      <c r="S37" s="2378" t="n"/>
      <c r="T37" s="4103" t="n"/>
      <c r="U37" s="4103" t="n"/>
      <c r="V37" s="4103" t="n"/>
      <c r="W37" s="63" t="n"/>
      <c r="X37" s="4103" t="n"/>
      <c r="Y37" s="4103" t="n"/>
      <c r="Z37" s="4103" t="n"/>
      <c r="AA37" s="4103" t="n"/>
      <c r="AB37" s="4103" t="n"/>
      <c r="AC37" s="4103" t="n"/>
      <c r="AD37" s="4103" t="n"/>
      <c r="AE37" s="4103" t="n"/>
      <c r="AF37" s="4103" t="n"/>
      <c r="AG37" s="4103" t="n"/>
      <c r="AH37" s="4105" t="n"/>
    </row>
    <row r="38" ht="3.95" customHeight="1" s="4080">
      <c r="A38" s="4208" t="n"/>
      <c r="B38" s="4107" t="n"/>
      <c r="C38" s="1393" t="inlineStr">
        <is>
          <t>他の職務との兼務の有無及び職種</t>
        </is>
      </c>
      <c r="D38" s="4098" t="n"/>
      <c r="E38" s="4098" t="n"/>
      <c r="F38" s="4098" t="n"/>
      <c r="G38" s="4098" t="n"/>
      <c r="H38" s="4098" t="n"/>
      <c r="I38" s="4098" t="n"/>
      <c r="J38" s="4098" t="n"/>
      <c r="K38" s="4098" t="n"/>
      <c r="L38" s="4098" t="n"/>
      <c r="M38" s="4098" t="n"/>
      <c r="N38" s="4195" t="n"/>
      <c r="O38" s="4098" t="n"/>
      <c r="P38" s="4098" t="n"/>
      <c r="Q38" s="4098" t="n"/>
      <c r="R38" s="4099" t="n"/>
      <c r="S38" s="2163" t="inlineStr">
        <is>
          <t>職　　種</t>
        </is>
      </c>
      <c r="T38" s="4098" t="n"/>
      <c r="U38" s="4099" t="n"/>
      <c r="V38" s="1322" t="n"/>
      <c r="W38" s="1335" t="inlineStr">
        <is>
          <t xml:space="preserve">　</t>
        </is>
      </c>
      <c r="X38" s="4098" t="n"/>
      <c r="Y38" s="4098" t="n"/>
      <c r="Z38" s="4098" t="n"/>
      <c r="AA38" s="4098" t="n"/>
      <c r="AB38" s="4098" t="n"/>
      <c r="AC38" s="4098" t="n"/>
      <c r="AD38" s="4098" t="n"/>
      <c r="AE38" s="4098" t="n"/>
      <c r="AF38" s="4098" t="n"/>
      <c r="AG38" s="4098" t="n"/>
      <c r="AH38" s="4101" t="n"/>
    </row>
    <row r="39" ht="12" customHeight="1" s="4080">
      <c r="A39" s="4208" t="n"/>
      <c r="B39" s="4107" t="n"/>
      <c r="C39" s="4106" t="n"/>
      <c r="N39" s="1354" t="n"/>
      <c r="O39" s="1325" t="inlineStr">
        <is>
          <t>有</t>
        </is>
      </c>
      <c r="P39" s="1325" t="inlineStr">
        <is>
          <t>・</t>
        </is>
      </c>
      <c r="Q39" s="1325" t="inlineStr">
        <is>
          <t>無</t>
        </is>
      </c>
      <c r="R39" s="1332" t="n"/>
      <c r="S39" s="4106" t="n"/>
      <c r="U39" s="4107" t="n"/>
      <c r="V39" s="4312" t="n"/>
      <c r="AH39" s="4109" t="n"/>
    </row>
    <row r="40" ht="3.95" customHeight="1" s="4080">
      <c r="A40" s="4208" t="n"/>
      <c r="B40" s="4107" t="n"/>
      <c r="C40" s="4102" t="n"/>
      <c r="D40" s="4103" t="n"/>
      <c r="E40" s="4103" t="n"/>
      <c r="F40" s="4103" t="n"/>
      <c r="G40" s="4103" t="n"/>
      <c r="H40" s="4103" t="n"/>
      <c r="I40" s="4103" t="n"/>
      <c r="J40" s="4103" t="n"/>
      <c r="K40" s="4103" t="n"/>
      <c r="L40" s="4103" t="n"/>
      <c r="M40" s="4103" t="n"/>
      <c r="N40" s="4197" t="n"/>
      <c r="O40" s="4103" t="n"/>
      <c r="P40" s="4103" t="n"/>
      <c r="Q40" s="4103" t="n"/>
      <c r="R40" s="4104" t="n"/>
      <c r="S40" s="4102" t="n"/>
      <c r="T40" s="4103" t="n"/>
      <c r="U40" s="4104" t="n"/>
      <c r="V40" s="1326" t="n"/>
      <c r="W40" s="1299" t="n"/>
      <c r="X40" s="4103" t="n"/>
      <c r="Y40" s="4103" t="n"/>
      <c r="Z40" s="4103" t="n"/>
      <c r="AA40" s="4103" t="n"/>
      <c r="AB40" s="4103" t="n"/>
      <c r="AC40" s="4103" t="n"/>
      <c r="AD40" s="4103" t="n"/>
      <c r="AE40" s="4103" t="n"/>
      <c r="AF40" s="4103" t="n"/>
      <c r="AG40" s="4103" t="n"/>
      <c r="AH40" s="4105" t="n"/>
    </row>
    <row r="41" ht="15" customHeight="1" s="4080" thickBot="1">
      <c r="A41" s="4801" t="inlineStr">
        <is>
          <t>職員の職種・員数</t>
        </is>
      </c>
      <c r="B41" s="4099" t="n"/>
      <c r="C41" s="4272" t="inlineStr">
        <is>
          <t xml:space="preserve">　　　　　　職種・勤務形態
常勤・非常勤の別</t>
        </is>
      </c>
      <c r="D41" s="4098" t="n"/>
      <c r="E41" s="4098" t="n"/>
      <c r="F41" s="4098" t="n"/>
      <c r="G41" s="4098" t="n"/>
      <c r="H41" s="4098" t="n"/>
      <c r="I41" s="4098" t="n"/>
      <c r="J41" s="4099" t="n"/>
      <c r="K41" s="4440" t="inlineStr">
        <is>
          <t>児童発達支援管理責任者</t>
        </is>
      </c>
      <c r="L41" s="4110" t="n"/>
      <c r="M41" s="4110" t="n"/>
      <c r="N41" s="4110" t="n"/>
      <c r="O41" s="4110" t="n"/>
      <c r="P41" s="4111" t="n"/>
      <c r="Q41" s="4185" t="inlineStr">
        <is>
          <t>指　導　員</t>
        </is>
      </c>
      <c r="R41" s="4110" t="n"/>
      <c r="S41" s="4110" t="n"/>
      <c r="T41" s="4110" t="n"/>
      <c r="U41" s="4110" t="n"/>
      <c r="V41" s="4111" t="n"/>
      <c r="W41" s="4325" t="inlineStr">
        <is>
          <t>保　育　士</t>
        </is>
      </c>
      <c r="X41" s="4098" t="n"/>
      <c r="Y41" s="4098" t="n"/>
      <c r="Z41" s="4098" t="n"/>
      <c r="AA41" s="4098" t="n"/>
      <c r="AB41" s="4099" t="n"/>
      <c r="AC41" s="4506" t="n"/>
      <c r="AD41" s="4098" t="n"/>
      <c r="AE41" s="4098" t="n"/>
      <c r="AF41" s="4098" t="n"/>
      <c r="AG41" s="4098" t="n"/>
      <c r="AH41" s="4101" t="n"/>
    </row>
    <row r="42" ht="15" customHeight="1" s="4080" thickBot="1">
      <c r="A42" s="4097" t="n"/>
      <c r="B42" s="4107" t="n"/>
      <c r="C42" s="4102" t="n"/>
      <c r="D42" s="4103" t="n"/>
      <c r="E42" s="4103" t="n"/>
      <c r="F42" s="4103" t="n"/>
      <c r="G42" s="4103" t="n"/>
      <c r="H42" s="4103" t="n"/>
      <c r="I42" s="4103" t="n"/>
      <c r="J42" s="4104" t="n"/>
      <c r="K42" s="1617" t="inlineStr">
        <is>
          <t>専従</t>
        </is>
      </c>
      <c r="L42" s="4110" t="n"/>
      <c r="M42" s="4189" t="n"/>
      <c r="N42" s="1603" t="inlineStr">
        <is>
          <t>兼務</t>
        </is>
      </c>
      <c r="O42" s="4110" t="n"/>
      <c r="P42" s="4189" t="n"/>
      <c r="Q42" s="1617" t="inlineStr">
        <is>
          <t>専従</t>
        </is>
      </c>
      <c r="R42" s="4110" t="n"/>
      <c r="S42" s="4189" t="n"/>
      <c r="T42" s="1603" t="inlineStr">
        <is>
          <t>兼務</t>
        </is>
      </c>
      <c r="U42" s="4110" t="n"/>
      <c r="V42" s="4189" t="n"/>
      <c r="W42" s="1617" t="inlineStr">
        <is>
          <t>専従</t>
        </is>
      </c>
      <c r="X42" s="4110" t="n"/>
      <c r="Y42" s="4189" t="n"/>
      <c r="Z42" s="1603" t="inlineStr">
        <is>
          <t>兼務</t>
        </is>
      </c>
      <c r="AA42" s="4110" t="n"/>
      <c r="AB42" s="4189" t="n"/>
      <c r="AC42" s="1617" t="inlineStr">
        <is>
          <t>専従</t>
        </is>
      </c>
      <c r="AD42" s="4110" t="n"/>
      <c r="AE42" s="4189" t="n"/>
      <c r="AF42" s="1603" t="inlineStr">
        <is>
          <t>兼務</t>
        </is>
      </c>
      <c r="AG42" s="4110" t="n"/>
      <c r="AH42" s="4189" t="n"/>
    </row>
    <row r="43" ht="15" customHeight="1" s="4080" thickBot="1">
      <c r="A43" s="4097" t="n"/>
      <c r="B43" s="4107" t="n"/>
      <c r="C43" s="1268" t="inlineStr">
        <is>
          <t>常　　　　　勤（人）</t>
        </is>
      </c>
      <c r="D43" s="4110" t="n"/>
      <c r="E43" s="4110" t="n"/>
      <c r="F43" s="4110" t="n"/>
      <c r="G43" s="4110" t="n"/>
      <c r="H43" s="4110" t="n"/>
      <c r="I43" s="4110" t="n"/>
      <c r="J43" s="4111" t="n"/>
      <c r="K43" s="4327" t="n"/>
      <c r="L43" s="4110" t="n"/>
      <c r="M43" s="4189" t="n"/>
      <c r="N43" s="4328" t="n"/>
      <c r="O43" s="4110" t="n"/>
      <c r="P43" s="4189" t="n"/>
      <c r="Q43" s="4327" t="n"/>
      <c r="R43" s="4110" t="n"/>
      <c r="S43" s="4189" t="n"/>
      <c r="T43" s="4328" t="n"/>
      <c r="U43" s="4110" t="n"/>
      <c r="V43" s="4189" t="n"/>
      <c r="W43" s="4327" t="n"/>
      <c r="X43" s="4110" t="n"/>
      <c r="Y43" s="4189" t="n"/>
      <c r="Z43" s="4328" t="n"/>
      <c r="AA43" s="4110" t="n"/>
      <c r="AB43" s="4189" t="n"/>
      <c r="AC43" s="4327" t="n"/>
      <c r="AD43" s="4110" t="n"/>
      <c r="AE43" s="4189" t="n"/>
      <c r="AF43" s="4328" t="n"/>
      <c r="AG43" s="4110" t="n"/>
      <c r="AH43" s="4189" t="n"/>
    </row>
    <row r="44" ht="15" customHeight="1" s="4080" thickBot="1">
      <c r="A44" s="4097" t="n"/>
      <c r="B44" s="4107" t="n"/>
      <c r="C44" s="1286" t="inlineStr">
        <is>
          <t>非　　常　　勤（人）</t>
        </is>
      </c>
      <c r="D44" s="4103" t="n"/>
      <c r="E44" s="4103" t="n"/>
      <c r="F44" s="4103" t="n"/>
      <c r="G44" s="4103" t="n"/>
      <c r="H44" s="4103" t="n"/>
      <c r="I44" s="4103" t="n"/>
      <c r="J44" s="4104" t="n"/>
      <c r="K44" s="4327" t="n"/>
      <c r="L44" s="4110" t="n"/>
      <c r="M44" s="4189" t="n"/>
      <c r="N44" s="4328" t="n"/>
      <c r="O44" s="4110" t="n"/>
      <c r="P44" s="4189" t="n"/>
      <c r="Q44" s="4327" t="n"/>
      <c r="R44" s="4110" t="n"/>
      <c r="S44" s="4189" t="n"/>
      <c r="T44" s="4328" t="n"/>
      <c r="U44" s="4110" t="n"/>
      <c r="V44" s="4189" t="n"/>
      <c r="W44" s="4327" t="n"/>
      <c r="X44" s="4110" t="n"/>
      <c r="Y44" s="4189" t="n"/>
      <c r="Z44" s="4328" t="n"/>
      <c r="AA44" s="4110" t="n"/>
      <c r="AB44" s="4189" t="n"/>
      <c r="AC44" s="4327" t="n"/>
      <c r="AD44" s="4110" t="n"/>
      <c r="AE44" s="4189" t="n"/>
      <c r="AF44" s="4328" t="n"/>
      <c r="AG44" s="4110" t="n"/>
      <c r="AH44" s="4189" t="n"/>
    </row>
    <row r="45" ht="15" customHeight="1" s="4080" thickBot="1">
      <c r="A45" s="4097" t="n"/>
      <c r="B45" s="4107" t="n"/>
      <c r="C45" s="1268" t="inlineStr">
        <is>
          <t>常勤換算後の人数（人）</t>
        </is>
      </c>
      <c r="D45" s="4110" t="n"/>
      <c r="E45" s="4110" t="n"/>
      <c r="F45" s="4110" t="n"/>
      <c r="G45" s="4110" t="n"/>
      <c r="H45" s="4110" t="n"/>
      <c r="I45" s="4110" t="n"/>
      <c r="J45" s="4111" t="n"/>
      <c r="K45" s="4330" t="n"/>
      <c r="L45" s="4110" t="n"/>
      <c r="M45" s="4110" t="n"/>
      <c r="N45" s="4110" t="n"/>
      <c r="O45" s="4110" t="n"/>
      <c r="P45" s="4111" t="n"/>
      <c r="Q45" s="4330" t="n"/>
      <c r="R45" s="4110" t="n"/>
      <c r="S45" s="4110" t="n"/>
      <c r="T45" s="4110" t="n"/>
      <c r="U45" s="4110" t="n"/>
      <c r="V45" s="4111" t="n"/>
      <c r="W45" s="4330" t="n"/>
      <c r="X45" s="4110" t="n"/>
      <c r="Y45" s="4110" t="n"/>
      <c r="Z45" s="4110" t="n"/>
      <c r="AA45" s="4110" t="n"/>
      <c r="AB45" s="4111" t="n"/>
      <c r="AC45" s="4367" t="n"/>
      <c r="AD45" s="4098" t="n"/>
      <c r="AE45" s="4098" t="n"/>
      <c r="AF45" s="4098" t="n"/>
      <c r="AG45" s="4098" t="n"/>
      <c r="AH45" s="4101" t="n"/>
    </row>
    <row r="46" ht="15" customHeight="1" s="4080" thickBot="1">
      <c r="A46" s="4097" t="n"/>
      <c r="B46" s="4107" t="n"/>
      <c r="C46" s="4272" t="inlineStr">
        <is>
          <t xml:space="preserve">　　　　　　職種・勤務形態
常勤・非常勤の別</t>
        </is>
      </c>
      <c r="D46" s="4098" t="n"/>
      <c r="E46" s="4098" t="n"/>
      <c r="F46" s="4098" t="n"/>
      <c r="G46" s="4098" t="n"/>
      <c r="H46" s="4098" t="n"/>
      <c r="I46" s="4098" t="n"/>
      <c r="J46" s="4099" t="n"/>
      <c r="K46" s="4505" t="n"/>
      <c r="L46" s="4110" t="n"/>
      <c r="M46" s="4110" t="n"/>
      <c r="N46" s="4110" t="n"/>
      <c r="O46" s="4110" t="n"/>
      <c r="P46" s="4111" t="n"/>
      <c r="Q46" s="4136" t="n"/>
      <c r="R46" s="4098" t="n"/>
      <c r="S46" s="4098" t="n"/>
      <c r="T46" s="4098" t="n"/>
      <c r="U46" s="4098" t="n"/>
      <c r="V46" s="4099" t="n"/>
      <c r="W46" s="4136" t="n"/>
      <c r="X46" s="4098" t="n"/>
      <c r="Y46" s="4098" t="n"/>
      <c r="Z46" s="4098" t="n"/>
      <c r="AA46" s="4098" t="n"/>
      <c r="AB46" s="4099" t="n"/>
      <c r="AC46" s="4506" t="n"/>
      <c r="AD46" s="4098" t="n"/>
      <c r="AE46" s="4098" t="n"/>
      <c r="AF46" s="4098" t="n"/>
      <c r="AG46" s="4098" t="n"/>
      <c r="AH46" s="4101" t="n"/>
    </row>
    <row r="47" ht="15" customHeight="1" s="4080" thickBot="1">
      <c r="A47" s="4097" t="n"/>
      <c r="B47" s="4107" t="n"/>
      <c r="C47" s="4102" t="n"/>
      <c r="D47" s="4103" t="n"/>
      <c r="E47" s="4103" t="n"/>
      <c r="F47" s="4103" t="n"/>
      <c r="G47" s="4103" t="n"/>
      <c r="H47" s="4103" t="n"/>
      <c r="I47" s="4103" t="n"/>
      <c r="J47" s="4104" t="n"/>
      <c r="K47" s="1617" t="inlineStr">
        <is>
          <t>専従</t>
        </is>
      </c>
      <c r="L47" s="4110" t="n"/>
      <c r="M47" s="4189" t="n"/>
      <c r="N47" s="1603" t="inlineStr">
        <is>
          <t>兼務</t>
        </is>
      </c>
      <c r="O47" s="4110" t="n"/>
      <c r="P47" s="4189" t="n"/>
      <c r="Q47" s="1617" t="inlineStr">
        <is>
          <t>専従</t>
        </is>
      </c>
      <c r="R47" s="4110" t="n"/>
      <c r="S47" s="4189" t="n"/>
      <c r="T47" s="1603" t="inlineStr">
        <is>
          <t>兼務</t>
        </is>
      </c>
      <c r="U47" s="4110" t="n"/>
      <c r="V47" s="4189" t="n"/>
      <c r="W47" s="1617" t="inlineStr">
        <is>
          <t>専従</t>
        </is>
      </c>
      <c r="X47" s="4110" t="n"/>
      <c r="Y47" s="4189" t="n"/>
      <c r="Z47" s="1603" t="inlineStr">
        <is>
          <t>兼務</t>
        </is>
      </c>
      <c r="AA47" s="4110" t="n"/>
      <c r="AB47" s="4189" t="n"/>
      <c r="AC47" s="1617" t="inlineStr">
        <is>
          <t>専従</t>
        </is>
      </c>
      <c r="AD47" s="4110" t="n"/>
      <c r="AE47" s="4189" t="n"/>
      <c r="AF47" s="1603" t="inlineStr">
        <is>
          <t>兼務</t>
        </is>
      </c>
      <c r="AG47" s="4110" t="n"/>
      <c r="AH47" s="4189" t="n"/>
    </row>
    <row r="48" ht="15" customHeight="1" s="4080" thickBot="1">
      <c r="A48" s="4097" t="n"/>
      <c r="B48" s="4107" t="n"/>
      <c r="C48" s="1268" t="inlineStr">
        <is>
          <t>常　　　　　勤（人）</t>
        </is>
      </c>
      <c r="D48" s="4110" t="n"/>
      <c r="E48" s="4110" t="n"/>
      <c r="F48" s="4110" t="n"/>
      <c r="G48" s="4110" t="n"/>
      <c r="H48" s="4110" t="n"/>
      <c r="I48" s="4110" t="n"/>
      <c r="J48" s="4111" t="n"/>
      <c r="K48" s="4327" t="n"/>
      <c r="L48" s="4110" t="n"/>
      <c r="M48" s="4189" t="n"/>
      <c r="N48" s="4328" t="n"/>
      <c r="O48" s="4110" t="n"/>
      <c r="P48" s="4189" t="n"/>
      <c r="Q48" s="4327" t="n"/>
      <c r="R48" s="4110" t="n"/>
      <c r="S48" s="4189" t="n"/>
      <c r="T48" s="4328" t="n"/>
      <c r="U48" s="4110" t="n"/>
      <c r="V48" s="4189" t="n"/>
      <c r="W48" s="4327" t="n"/>
      <c r="X48" s="4110" t="n"/>
      <c r="Y48" s="4189" t="n"/>
      <c r="Z48" s="4328" t="n"/>
      <c r="AA48" s="4110" t="n"/>
      <c r="AB48" s="4189" t="n"/>
      <c r="AC48" s="4327" t="n"/>
      <c r="AD48" s="4110" t="n"/>
      <c r="AE48" s="4189" t="n"/>
      <c r="AF48" s="4328" t="n"/>
      <c r="AG48" s="4110" t="n"/>
      <c r="AH48" s="4189" t="n"/>
    </row>
    <row r="49" ht="15" customHeight="1" s="4080" thickBot="1">
      <c r="A49" s="4097" t="n"/>
      <c r="B49" s="4107" t="n"/>
      <c r="C49" s="1286" t="inlineStr">
        <is>
          <t>非　　常　　勤（人）</t>
        </is>
      </c>
      <c r="D49" s="4103" t="n"/>
      <c r="E49" s="4103" t="n"/>
      <c r="F49" s="4103" t="n"/>
      <c r="G49" s="4103" t="n"/>
      <c r="H49" s="4103" t="n"/>
      <c r="I49" s="4103" t="n"/>
      <c r="J49" s="4104" t="n"/>
      <c r="K49" s="4327" t="n"/>
      <c r="L49" s="4110" t="n"/>
      <c r="M49" s="4189" t="n"/>
      <c r="N49" s="4328" t="n"/>
      <c r="O49" s="4110" t="n"/>
      <c r="P49" s="4189" t="n"/>
      <c r="Q49" s="4327" t="n"/>
      <c r="R49" s="4110" t="n"/>
      <c r="S49" s="4189" t="n"/>
      <c r="T49" s="4328" t="n"/>
      <c r="U49" s="4110" t="n"/>
      <c r="V49" s="4189" t="n"/>
      <c r="W49" s="4327" t="n"/>
      <c r="X49" s="4110" t="n"/>
      <c r="Y49" s="4189" t="n"/>
      <c r="Z49" s="4328" t="n"/>
      <c r="AA49" s="4110" t="n"/>
      <c r="AB49" s="4189" t="n"/>
      <c r="AC49" s="4327" t="n"/>
      <c r="AD49" s="4110" t="n"/>
      <c r="AE49" s="4189" t="n"/>
      <c r="AF49" s="4328" t="n"/>
      <c r="AG49" s="4110" t="n"/>
      <c r="AH49" s="4189" t="n"/>
    </row>
    <row r="50" ht="15" customHeight="1" s="4080">
      <c r="A50" s="4086" t="n"/>
      <c r="B50" s="4410" t="n"/>
      <c r="C50" s="4185" t="inlineStr">
        <is>
          <t>常勤換算後の人数（人）</t>
        </is>
      </c>
      <c r="D50" s="4110" t="n"/>
      <c r="E50" s="4110" t="n"/>
      <c r="F50" s="4110" t="n"/>
      <c r="G50" s="4110" t="n"/>
      <c r="H50" s="4110" t="n"/>
      <c r="I50" s="4110" t="n"/>
      <c r="J50" s="4111" t="n"/>
      <c r="K50" s="4330" t="n"/>
      <c r="L50" s="4110" t="n"/>
      <c r="M50" s="4110" t="n"/>
      <c r="N50" s="4110" t="n"/>
      <c r="O50" s="4110" t="n"/>
      <c r="P50" s="4111" t="n"/>
      <c r="Q50" s="4330" t="n"/>
      <c r="R50" s="4110" t="n"/>
      <c r="S50" s="4110" t="n"/>
      <c r="T50" s="4110" t="n"/>
      <c r="U50" s="4110" t="n"/>
      <c r="V50" s="4111" t="n"/>
      <c r="W50" s="4330" t="n"/>
      <c r="X50" s="4110" t="n"/>
      <c r="Y50" s="4110" t="n"/>
      <c r="Z50" s="4110" t="n"/>
      <c r="AA50" s="4110" t="n"/>
      <c r="AB50" s="4111" t="n"/>
      <c r="AC50" s="4331" t="n"/>
      <c r="AD50" s="4110" t="n"/>
      <c r="AE50" s="4110" t="n"/>
      <c r="AF50" s="4110" t="n"/>
      <c r="AG50" s="4110" t="n"/>
      <c r="AH50" s="4113" t="n"/>
    </row>
    <row r="51" ht="3.95" customHeight="1" s="4080">
      <c r="A51" s="3062" t="n"/>
      <c r="J51" s="4107" t="n"/>
      <c r="K51" s="4339" t="n"/>
      <c r="L51" s="4341" t="n"/>
      <c r="M51" s="4341" t="n"/>
      <c r="N51" s="4341" t="n"/>
      <c r="O51" s="4341" t="n"/>
      <c r="P51" s="4397" t="n"/>
      <c r="Q51" s="4802" t="inlineStr">
        <is>
          <t>短期入所の利用定員</t>
        </is>
      </c>
      <c r="V51" s="4107" t="n"/>
      <c r="W51" s="4803" t="n"/>
      <c r="Y51" s="4346" t="inlineStr">
        <is>
          <t>名</t>
        </is>
      </c>
      <c r="Z51" s="4804" t="n"/>
      <c r="AH51" s="4109" t="n"/>
    </row>
    <row r="52" ht="14.1" customHeight="1" s="4080">
      <c r="A52" s="4338" t="inlineStr">
        <is>
          <t>短期入所の実施の有無</t>
        </is>
      </c>
      <c r="J52" s="4107" t="n"/>
      <c r="K52" s="4339" t="n"/>
      <c r="L52" s="4340" t="inlineStr">
        <is>
          <t>無</t>
        </is>
      </c>
      <c r="M52" s="4340" t="inlineStr">
        <is>
          <t>・</t>
        </is>
      </c>
      <c r="O52" s="4340" t="inlineStr">
        <is>
          <t>有</t>
        </is>
      </c>
      <c r="P52" s="4397" t="n"/>
      <c r="Q52" s="4106" t="n"/>
      <c r="V52" s="4107" t="n"/>
      <c r="W52" s="4106" t="n"/>
      <c r="Y52" s="4107" t="n"/>
      <c r="Z52" s="4106" t="n"/>
      <c r="AH52" s="4109" t="n"/>
    </row>
    <row r="53" ht="3.95" customHeight="1" s="4080">
      <c r="A53" s="2296" t="n"/>
      <c r="B53" s="2321" t="n"/>
      <c r="C53" s="2321" t="n"/>
      <c r="D53" s="2321" t="n"/>
      <c r="E53" s="2321" t="n"/>
      <c r="F53" s="2321" t="n"/>
      <c r="G53" s="2321" t="n"/>
      <c r="H53" s="2321" t="n"/>
      <c r="I53" s="2321" t="n"/>
      <c r="J53" s="1450" t="n"/>
      <c r="K53" s="4343" t="n"/>
      <c r="L53" s="4344" t="n"/>
      <c r="M53" s="4344" t="n"/>
      <c r="N53" s="4344" t="n"/>
      <c r="O53" s="4344" t="n"/>
      <c r="P53" s="4398" t="n"/>
      <c r="Q53" s="4102" t="n"/>
      <c r="R53" s="4103" t="n"/>
      <c r="S53" s="4103" t="n"/>
      <c r="T53" s="4103" t="n"/>
      <c r="U53" s="4103" t="n"/>
      <c r="V53" s="4104" t="n"/>
      <c r="W53" s="4102" t="n"/>
      <c r="X53" s="4103" t="n"/>
      <c r="Y53" s="4104" t="n"/>
      <c r="Z53" s="4102" t="n"/>
      <c r="AA53" s="4103" t="n"/>
      <c r="AB53" s="4103" t="n"/>
      <c r="AC53" s="4103" t="n"/>
      <c r="AD53" s="4103" t="n"/>
      <c r="AE53" s="4103" t="n"/>
      <c r="AF53" s="4103" t="n"/>
      <c r="AG53" s="4103" t="n"/>
      <c r="AH53" s="4105" t="n"/>
    </row>
    <row r="54" ht="15" customHeight="1" s="4080">
      <c r="A54" s="4402" t="inlineStr">
        <is>
          <t>前年度利用者数
（又は推定数）</t>
        </is>
      </c>
      <c r="B54" s="4098" t="n"/>
      <c r="C54" s="4098" t="n"/>
      <c r="D54" s="4098" t="n"/>
      <c r="E54" s="4098" t="n"/>
      <c r="F54" s="4098" t="n"/>
      <c r="G54" s="4098" t="n"/>
      <c r="H54" s="4098" t="n"/>
      <c r="I54" s="4098" t="n"/>
      <c r="J54" s="4099" t="n"/>
      <c r="K54" s="1990" t="inlineStr">
        <is>
          <t>利用者数</t>
        </is>
      </c>
      <c r="L54" s="4110" t="n"/>
      <c r="M54" s="4110" t="n"/>
      <c r="N54" s="4110" t="n"/>
      <c r="O54" s="4403" t="inlineStr">
        <is>
          <t>開所日数</t>
        </is>
      </c>
      <c r="P54" s="4110" t="n"/>
      <c r="Q54" s="4110" t="n"/>
      <c r="R54" s="4111" t="n"/>
      <c r="S54" s="1990" t="inlineStr">
        <is>
          <t>平均利用者数</t>
        </is>
      </c>
      <c r="T54" s="4110" t="n"/>
      <c r="U54" s="4110" t="n"/>
      <c r="V54" s="4110" t="n"/>
      <c r="W54" s="2270" t="n"/>
      <c r="X54" s="2271" t="n"/>
      <c r="Y54" s="2271" t="n"/>
      <c r="Z54" s="2271" t="n"/>
      <c r="AA54" s="2271" t="n"/>
      <c r="AB54" s="2271" t="n"/>
      <c r="AC54" s="2271" t="n"/>
      <c r="AD54" s="2271" t="n"/>
      <c r="AE54" s="2271" t="n"/>
      <c r="AF54" s="2271" t="n"/>
      <c r="AG54" s="2271" t="n"/>
      <c r="AH54" s="2272" t="n"/>
    </row>
    <row r="55" ht="15" customHeight="1" s="4080" thickBot="1">
      <c r="A55" s="4086" t="n"/>
      <c r="B55" s="4087" t="n"/>
      <c r="C55" s="4087" t="n"/>
      <c r="D55" s="4087" t="n"/>
      <c r="E55" s="4087" t="n"/>
      <c r="F55" s="4087" t="n"/>
      <c r="G55" s="4087" t="n"/>
      <c r="H55" s="4087" t="n"/>
      <c r="I55" s="4087" t="n"/>
      <c r="J55" s="4410" t="n"/>
      <c r="K55" s="4805" t="n"/>
      <c r="L55" s="4153" t="n"/>
      <c r="M55" s="4153" t="n"/>
      <c r="N55" s="4806" t="inlineStr">
        <is>
          <t>人</t>
        </is>
      </c>
      <c r="O55" s="4805" t="n"/>
      <c r="P55" s="4153" t="n"/>
      <c r="Q55" s="4153" t="n"/>
      <c r="R55" s="4807" t="inlineStr">
        <is>
          <t>日</t>
        </is>
      </c>
      <c r="S55" s="4808">
        <f>IF(O55=0," ",ROUNDUP(#REF!/O55,1))</f>
        <v/>
      </c>
      <c r="T55" s="4153" t="n"/>
      <c r="U55" s="4153" t="n"/>
      <c r="V55" s="494" t="inlineStr">
        <is>
          <t>人</t>
        </is>
      </c>
      <c r="W55" s="495" t="n"/>
      <c r="X55" s="496" t="n"/>
      <c r="Y55" s="496" t="n"/>
      <c r="Z55" s="496" t="n"/>
      <c r="AA55" s="496" t="n"/>
      <c r="AB55" s="496" t="n"/>
      <c r="AC55" s="496" t="n"/>
      <c r="AD55" s="496" t="n"/>
      <c r="AE55" s="496" t="n"/>
      <c r="AF55" s="496" t="n"/>
      <c r="AG55" s="496" t="n"/>
      <c r="AH55" s="311" t="n"/>
    </row>
    <row r="56" ht="13.5" customHeight="1" s="4080">
      <c r="A56" s="4652" t="inlineStr">
        <is>
          <t xml:space="preserve">サ　ー　ビ　ス　提　供　体　制　</t>
        </is>
      </c>
      <c r="B56" s="4356" t="n"/>
      <c r="C56" s="4809" t="inlineStr">
        <is>
          <t>①</t>
        </is>
      </c>
      <c r="D56" s="4809" t="inlineStr">
        <is>
          <t>サービス提供日</t>
        </is>
      </c>
      <c r="E56" s="4082" t="n"/>
      <c r="F56" s="4082" t="n"/>
      <c r="G56" s="4082" t="n"/>
      <c r="H56" s="4082" t="n"/>
      <c r="I56" s="4082" t="n"/>
      <c r="J56" s="4356" t="n"/>
      <c r="K56" s="2244" t="inlineStr">
        <is>
          <t>月</t>
        </is>
      </c>
      <c r="L56" s="2245" t="inlineStr">
        <is>
          <t>火</t>
        </is>
      </c>
      <c r="M56" s="2245" t="inlineStr">
        <is>
          <t>水</t>
        </is>
      </c>
      <c r="N56" s="2245" t="inlineStr">
        <is>
          <t>木</t>
        </is>
      </c>
      <c r="O56" s="2245" t="inlineStr">
        <is>
          <t>金</t>
        </is>
      </c>
      <c r="P56" s="2245" t="inlineStr">
        <is>
          <t>土</t>
        </is>
      </c>
      <c r="Q56" s="2245" t="inlineStr">
        <is>
          <t>日</t>
        </is>
      </c>
      <c r="R56" s="2249" t="inlineStr">
        <is>
          <t>祝</t>
        </is>
      </c>
      <c r="S56" s="4279" t="inlineStr">
        <is>
          <t>休業日</t>
        </is>
      </c>
      <c r="T56" s="1611" t="inlineStr">
        <is>
          <t>年末年始</t>
        </is>
      </c>
      <c r="U56" s="4098" t="n"/>
      <c r="V56" s="934" t="n"/>
      <c r="W56" s="4098" t="n"/>
      <c r="X56" s="4098" t="n"/>
      <c r="Y56" s="4098" t="n"/>
      <c r="Z56" s="4098" t="n"/>
      <c r="AA56" s="4098" t="n"/>
      <c r="AB56" s="4099" t="n"/>
      <c r="AC56" s="4280" t="inlineStr">
        <is>
          <t>備　考</t>
        </is>
      </c>
      <c r="AD56" s="4281" t="n"/>
      <c r="AE56" s="4098" t="n"/>
      <c r="AF56" s="4098" t="n"/>
      <c r="AG56" s="4098" t="n"/>
      <c r="AH56" s="4101" t="n"/>
    </row>
    <row r="57" ht="13.5" customHeight="1" s="4080">
      <c r="A57" s="4097" t="n"/>
      <c r="B57" s="4107" t="n"/>
      <c r="C57" s="4122" t="n"/>
      <c r="D57" s="4106" t="n"/>
      <c r="J57" s="4107" t="n"/>
      <c r="K57" s="2244" t="n"/>
      <c r="L57" s="2245" t="n"/>
      <c r="M57" s="2245" t="n"/>
      <c r="N57" s="2245" t="n"/>
      <c r="O57" s="2245" t="n"/>
      <c r="P57" s="2245" t="n"/>
      <c r="Q57" s="2245" t="n"/>
      <c r="R57" s="2249" t="n"/>
      <c r="S57" s="4282" t="n"/>
      <c r="T57" s="1609" t="inlineStr">
        <is>
          <t>夏季</t>
        </is>
      </c>
      <c r="V57" s="937" t="n"/>
      <c r="AB57" s="4107" t="n"/>
      <c r="AC57" s="4282" t="n"/>
      <c r="AD57" s="4192" t="n"/>
      <c r="AH57" s="4109" t="n"/>
    </row>
    <row r="58" ht="13.5" customHeight="1" s="4080">
      <c r="A58" s="4097" t="n"/>
      <c r="B58" s="4107" t="n"/>
      <c r="C58" s="4122" t="n"/>
      <c r="D58" s="4102" t="n"/>
      <c r="E58" s="4103" t="n"/>
      <c r="F58" s="4103" t="n"/>
      <c r="G58" s="4103" t="n"/>
      <c r="H58" s="4103" t="n"/>
      <c r="I58" s="4103" t="n"/>
      <c r="J58" s="4104" t="n"/>
      <c r="K58" s="4283" t="n"/>
      <c r="L58" s="4284" t="n"/>
      <c r="M58" s="4284" t="n"/>
      <c r="N58" s="4284" t="n"/>
      <c r="O58" s="4284" t="n"/>
      <c r="P58" s="4284" t="n"/>
      <c r="Q58" s="4284" t="n"/>
      <c r="R58" s="4285" t="n"/>
      <c r="S58" s="4286" t="n"/>
      <c r="T58" s="1610" t="inlineStr">
        <is>
          <t>その他</t>
        </is>
      </c>
      <c r="U58" s="4103" t="n"/>
      <c r="V58" s="940" t="n"/>
      <c r="W58" s="4103" t="n"/>
      <c r="X58" s="4103" t="n"/>
      <c r="Y58" s="4103" t="n"/>
      <c r="Z58" s="4103" t="n"/>
      <c r="AA58" s="4103" t="n"/>
      <c r="AB58" s="4104" t="n"/>
      <c r="AC58" s="4286" t="n"/>
      <c r="AD58" s="4194" t="n"/>
      <c r="AE58" s="4103" t="n"/>
      <c r="AF58" s="4103" t="n"/>
      <c r="AG58" s="4103" t="n"/>
      <c r="AH58" s="4105" t="n"/>
    </row>
    <row r="59" ht="9" customHeight="1" s="4080">
      <c r="A59" s="4097" t="n"/>
      <c r="B59" s="4107" t="n"/>
      <c r="C59" s="4122" t="n"/>
      <c r="D59" s="2163" t="inlineStr">
        <is>
          <t>サービス提供時間</t>
        </is>
      </c>
      <c r="E59" s="4098" t="n"/>
      <c r="F59" s="4098" t="n"/>
      <c r="G59" s="4098" t="n"/>
      <c r="H59" s="4098" t="n"/>
      <c r="I59" s="4098" t="n"/>
      <c r="J59" s="4099" t="n"/>
      <c r="K59" s="1660" t="n"/>
      <c r="L59" s="920" t="n"/>
      <c r="M59" s="4098" t="n"/>
      <c r="N59" s="4098" t="n"/>
      <c r="O59" s="1301" t="inlineStr">
        <is>
          <t>時</t>
        </is>
      </c>
      <c r="P59" s="1492" t="n"/>
      <c r="Q59" s="4098" t="n"/>
      <c r="R59" s="1301" t="inlineStr">
        <is>
          <t>分～</t>
        </is>
      </c>
      <c r="S59" s="4098" t="n"/>
      <c r="T59" s="920" t="n"/>
      <c r="U59" s="4098" t="n"/>
      <c r="V59" s="4098" t="n"/>
      <c r="W59" s="1301" t="inlineStr">
        <is>
          <t>時</t>
        </is>
      </c>
      <c r="X59" s="1492" t="n"/>
      <c r="Y59" s="4098" t="n"/>
      <c r="Z59" s="1301" t="inlineStr">
        <is>
          <t>分</t>
        </is>
      </c>
      <c r="AA59" s="1661" t="n"/>
      <c r="AB59" s="1661" t="n"/>
      <c r="AC59" s="1661" t="n"/>
      <c r="AD59" s="1661" t="n"/>
      <c r="AE59" s="1661" t="n"/>
      <c r="AF59" s="1661" t="n"/>
      <c r="AG59" s="1661" t="n"/>
      <c r="AH59" s="1662" t="n"/>
    </row>
    <row r="60" ht="9" customHeight="1" s="4080">
      <c r="A60" s="4097" t="n"/>
      <c r="B60" s="4107" t="n"/>
      <c r="C60" s="4122" t="n"/>
      <c r="D60" s="4102" t="n"/>
      <c r="E60" s="4103" t="n"/>
      <c r="F60" s="4103" t="n"/>
      <c r="G60" s="4103" t="n"/>
      <c r="H60" s="4103" t="n"/>
      <c r="I60" s="4103" t="n"/>
      <c r="J60" s="4104" t="n"/>
      <c r="K60" s="497" t="n"/>
      <c r="L60" s="4103" t="n"/>
      <c r="M60" s="4103" t="n"/>
      <c r="N60" s="4103" t="n"/>
      <c r="O60" s="4103" t="n"/>
      <c r="P60" s="4103" t="n"/>
      <c r="Q60" s="4103" t="n"/>
      <c r="R60" s="4103" t="n"/>
      <c r="S60" s="4103" t="n"/>
      <c r="T60" s="4103" t="n"/>
      <c r="U60" s="4103" t="n"/>
      <c r="V60" s="4103" t="n"/>
      <c r="W60" s="4103" t="n"/>
      <c r="X60" s="4103" t="n"/>
      <c r="Y60" s="4103" t="n"/>
      <c r="Z60" s="4103" t="n"/>
      <c r="AA60" s="2713" t="n"/>
      <c r="AB60" s="4103" t="n"/>
      <c r="AC60" s="4103" t="n"/>
      <c r="AD60" s="4103" t="n"/>
      <c r="AE60" s="4103" t="n"/>
      <c r="AF60" s="4103" t="n"/>
      <c r="AG60" s="4103" t="n"/>
      <c r="AH60" s="4105" t="n"/>
    </row>
    <row r="61" ht="11.25" customHeight="1" s="4080">
      <c r="A61" s="4097" t="n"/>
      <c r="B61" s="4107" t="n"/>
      <c r="C61" s="4122" t="n"/>
      <c r="D61" s="4325" t="inlineStr">
        <is>
          <t>定員とサービス種別</t>
        </is>
      </c>
      <c r="E61" s="4098" t="n"/>
      <c r="F61" s="4098" t="n"/>
      <c r="G61" s="4098" t="n"/>
      <c r="H61" s="4098" t="n"/>
      <c r="I61" s="4098" t="n"/>
      <c r="J61" s="4099" t="n"/>
      <c r="K61" s="336" t="n"/>
      <c r="L61" s="336" t="n"/>
      <c r="M61" s="336" t="n"/>
      <c r="N61" s="336" t="n"/>
      <c r="O61" s="336" t="n"/>
      <c r="P61" s="4810" t="inlineStr">
        <is>
          <t>提供するサービス</t>
        </is>
      </c>
      <c r="Q61" s="4110" t="n"/>
      <c r="R61" s="4110" t="n"/>
      <c r="S61" s="4110" t="n"/>
      <c r="T61" s="4110" t="n"/>
      <c r="U61" s="4110" t="n"/>
      <c r="V61" s="4110" t="n"/>
      <c r="W61" s="4111" t="n"/>
      <c r="X61" s="4811" t="inlineStr">
        <is>
          <t>サービスごとの定員</t>
        </is>
      </c>
      <c r="Y61" s="4110" t="n"/>
      <c r="Z61" s="4110" t="n"/>
      <c r="AA61" s="4110" t="n"/>
      <c r="AB61" s="4110" t="n"/>
      <c r="AC61" s="4110" t="n"/>
      <c r="AD61" s="4812" t="n"/>
      <c r="AE61" s="4813" t="n"/>
      <c r="AF61" s="2271" t="n"/>
      <c r="AG61" s="2271" t="n"/>
      <c r="AH61" s="2272" t="n"/>
    </row>
    <row r="62" ht="3.75" customHeight="1" s="4080">
      <c r="A62" s="4097" t="n"/>
      <c r="B62" s="4107" t="n"/>
      <c r="C62" s="4122" t="n"/>
      <c r="D62" s="4106" t="n"/>
      <c r="J62" s="4107" t="n"/>
      <c r="K62" s="1658" t="n"/>
      <c r="L62" s="2069" t="n"/>
      <c r="P62" s="2053" t="n"/>
      <c r="Q62" s="500" t="n"/>
      <c r="R62" s="500" t="n"/>
      <c r="S62" s="500" t="n"/>
      <c r="T62" s="4814" t="n"/>
      <c r="U62" s="4814" t="n"/>
      <c r="V62" s="4815" t="n"/>
      <c r="W62" s="4816" t="n"/>
      <c r="X62" s="4817" t="n"/>
      <c r="Y62" s="4818" t="n"/>
      <c r="AC62" s="506" t="n"/>
      <c r="AD62" s="507" t="n"/>
      <c r="AE62" s="508" t="n"/>
      <c r="AF62" s="508" t="n"/>
      <c r="AG62" s="508" t="n"/>
      <c r="AH62" s="298" t="n"/>
    </row>
    <row r="63" ht="11.25" customHeight="1" s="4080">
      <c r="A63" s="4097" t="n"/>
      <c r="B63" s="4107" t="n"/>
      <c r="C63" s="4122" t="n"/>
      <c r="D63" s="4106" t="n"/>
      <c r="J63" s="4107" t="n"/>
      <c r="K63" s="1657" t="n"/>
      <c r="P63" s="2054" t="n"/>
      <c r="Q63" s="4819" t="inlineStr">
        <is>
          <t>児童発達支援</t>
        </is>
      </c>
      <c r="W63" s="4820" t="n"/>
      <c r="X63" s="4821" t="n"/>
      <c r="Y63" s="4822" t="n"/>
      <c r="AB63" s="1667" t="inlineStr">
        <is>
          <t>人</t>
        </is>
      </c>
      <c r="AC63" s="376" t="n"/>
      <c r="AD63" s="507" t="n"/>
      <c r="AE63" s="508" t="n"/>
      <c r="AF63" s="508" t="n"/>
      <c r="AG63" s="508" t="n"/>
      <c r="AH63" s="298" t="n"/>
    </row>
    <row r="64" ht="3.75" customHeight="1" s="4080">
      <c r="A64" s="4097" t="n"/>
      <c r="B64" s="4107" t="n"/>
      <c r="C64" s="4122" t="n"/>
      <c r="D64" s="4106" t="n"/>
      <c r="J64" s="4107" t="n"/>
      <c r="K64" s="1657" t="n"/>
      <c r="P64" s="2054" t="n"/>
      <c r="Q64" s="500" t="n"/>
      <c r="R64" s="500" t="n"/>
      <c r="S64" s="500" t="n"/>
      <c r="T64" s="4823" t="n"/>
      <c r="U64" s="4823" t="n"/>
      <c r="V64" s="4815" t="n"/>
      <c r="W64" s="4816" t="n"/>
      <c r="X64" s="4817" t="n"/>
      <c r="Y64" s="4818" t="n"/>
      <c r="AC64" s="376" t="n"/>
      <c r="AD64" s="507" t="n"/>
      <c r="AE64" s="508" t="n"/>
      <c r="AF64" s="508" t="n"/>
      <c r="AG64" s="508" t="n"/>
      <c r="AH64" s="298" t="n"/>
    </row>
    <row r="65" ht="11.25" customHeight="1" s="4080">
      <c r="A65" s="4097" t="n"/>
      <c r="B65" s="4107" t="n"/>
      <c r="C65" s="4122" t="n"/>
      <c r="D65" s="4106" t="n"/>
      <c r="J65" s="4107" t="n"/>
      <c r="K65" s="1657" t="n"/>
      <c r="O65" s="1658" t="inlineStr">
        <is>
          <t>人</t>
        </is>
      </c>
      <c r="P65" s="1657" t="n"/>
      <c r="Q65" s="4824" t="inlineStr">
        <is>
          <t>放課後等デイサービス</t>
        </is>
      </c>
      <c r="W65" s="4825" t="n"/>
      <c r="X65" s="4821" t="n"/>
      <c r="Y65" s="4822" t="n"/>
      <c r="AB65" s="1667" t="inlineStr">
        <is>
          <t>人</t>
        </is>
      </c>
      <c r="AC65" s="376" t="n"/>
      <c r="AD65" s="507" t="n"/>
      <c r="AE65" s="508" t="n"/>
      <c r="AF65" s="508" t="n"/>
      <c r="AG65" s="508" t="n"/>
      <c r="AH65" s="298" t="n"/>
    </row>
    <row r="66" ht="4.5" customHeight="1" s="4080">
      <c r="A66" s="4097" t="n"/>
      <c r="B66" s="4107" t="n"/>
      <c r="C66" s="4124" t="n"/>
      <c r="D66" s="4106" t="n"/>
      <c r="J66" s="4107" t="n"/>
      <c r="K66" s="393" t="n"/>
      <c r="L66" s="393" t="n"/>
      <c r="M66" s="393" t="n"/>
      <c r="N66" s="393" t="n"/>
      <c r="O66" s="393" t="n"/>
      <c r="P66" s="2055" t="n"/>
      <c r="Q66" s="515" t="n"/>
      <c r="R66" s="515" t="n"/>
      <c r="S66" s="515" t="n"/>
      <c r="T66" s="4826" t="n"/>
      <c r="U66" s="4826" t="n"/>
      <c r="V66" s="4827" t="n"/>
      <c r="W66" s="4828" t="n"/>
      <c r="X66" s="4829" t="n"/>
      <c r="Y66" s="4830" t="n"/>
      <c r="Z66" s="393" t="n"/>
      <c r="AA66" s="393" t="n"/>
      <c r="AB66" s="393" t="n"/>
      <c r="AC66" s="521" t="n"/>
      <c r="AD66" s="522" t="n"/>
      <c r="AE66" s="523" t="n"/>
      <c r="AF66" s="523" t="n"/>
      <c r="AG66" s="523" t="n"/>
      <c r="AH66" s="300" t="n"/>
    </row>
    <row r="67" ht="13.5" customHeight="1" s="4080">
      <c r="A67" s="4097" t="n"/>
      <c r="B67" s="4107" t="n"/>
      <c r="C67" s="2163" t="inlineStr">
        <is>
          <t>②</t>
        </is>
      </c>
      <c r="D67" s="2163" t="inlineStr">
        <is>
          <t>サービス提供日</t>
        </is>
      </c>
      <c r="E67" s="4098" t="n"/>
      <c r="F67" s="4098" t="n"/>
      <c r="G67" s="4098" t="n"/>
      <c r="H67" s="4098" t="n"/>
      <c r="I67" s="4098" t="n"/>
      <c r="J67" s="4099" t="n"/>
      <c r="K67" s="2244" t="inlineStr">
        <is>
          <t>月</t>
        </is>
      </c>
      <c r="L67" s="2245" t="inlineStr">
        <is>
          <t>火</t>
        </is>
      </c>
      <c r="M67" s="2245" t="inlineStr">
        <is>
          <t>水</t>
        </is>
      </c>
      <c r="N67" s="2245" t="inlineStr">
        <is>
          <t>木</t>
        </is>
      </c>
      <c r="O67" s="2245" t="inlineStr">
        <is>
          <t>金</t>
        </is>
      </c>
      <c r="P67" s="2245" t="inlineStr">
        <is>
          <t>土</t>
        </is>
      </c>
      <c r="Q67" s="2245" t="inlineStr">
        <is>
          <t>日</t>
        </is>
      </c>
      <c r="R67" s="2249" t="inlineStr">
        <is>
          <t>祝</t>
        </is>
      </c>
      <c r="S67" s="4279" t="inlineStr">
        <is>
          <t>休業日</t>
        </is>
      </c>
      <c r="T67" s="1611" t="inlineStr">
        <is>
          <t>年末年始</t>
        </is>
      </c>
      <c r="U67" s="4098" t="n"/>
      <c r="V67" s="934" t="n"/>
      <c r="W67" s="4098" t="n"/>
      <c r="X67" s="4098" t="n"/>
      <c r="Y67" s="4098" t="n"/>
      <c r="Z67" s="4098" t="n"/>
      <c r="AA67" s="4098" t="n"/>
      <c r="AB67" s="4099" t="n"/>
      <c r="AC67" s="4280" t="inlineStr">
        <is>
          <t>備　考</t>
        </is>
      </c>
      <c r="AD67" s="4281" t="n"/>
      <c r="AE67" s="4098" t="n"/>
      <c r="AF67" s="4098" t="n"/>
      <c r="AG67" s="4098" t="n"/>
      <c r="AH67" s="4101" t="n"/>
    </row>
    <row r="68" ht="13.5" customHeight="1" s="4080">
      <c r="A68" s="4097" t="n"/>
      <c r="B68" s="4107" t="n"/>
      <c r="C68" s="4122" t="n"/>
      <c r="D68" s="4106" t="n"/>
      <c r="J68" s="4107" t="n"/>
      <c r="K68" s="2244" t="n"/>
      <c r="L68" s="2245" t="n"/>
      <c r="M68" s="2245" t="n"/>
      <c r="N68" s="2245" t="n"/>
      <c r="O68" s="2245" t="n"/>
      <c r="P68" s="2245" t="n"/>
      <c r="Q68" s="2245" t="n"/>
      <c r="R68" s="2249" t="n"/>
      <c r="S68" s="4282" t="n"/>
      <c r="T68" s="1609" t="inlineStr">
        <is>
          <t>夏季</t>
        </is>
      </c>
      <c r="V68" s="937" t="n"/>
      <c r="AB68" s="4107" t="n"/>
      <c r="AC68" s="4282" t="n"/>
      <c r="AD68" s="4192" t="n"/>
      <c r="AH68" s="4109" t="n"/>
    </row>
    <row r="69" ht="13.5" customHeight="1" s="4080">
      <c r="A69" s="4097" t="n"/>
      <c r="B69" s="4107" t="n"/>
      <c r="C69" s="4122" t="n"/>
      <c r="D69" s="4102" t="n"/>
      <c r="E69" s="4103" t="n"/>
      <c r="F69" s="4103" t="n"/>
      <c r="G69" s="4103" t="n"/>
      <c r="H69" s="4103" t="n"/>
      <c r="I69" s="4103" t="n"/>
      <c r="J69" s="4104" t="n"/>
      <c r="K69" s="4283" t="n"/>
      <c r="L69" s="4284" t="n"/>
      <c r="M69" s="4284" t="n"/>
      <c r="N69" s="4284" t="n"/>
      <c r="O69" s="4284" t="n"/>
      <c r="P69" s="4284" t="n"/>
      <c r="Q69" s="4284" t="n"/>
      <c r="R69" s="4285" t="n"/>
      <c r="S69" s="4286" t="n"/>
      <c r="T69" s="1610" t="inlineStr">
        <is>
          <t>その他</t>
        </is>
      </c>
      <c r="U69" s="4103" t="n"/>
      <c r="V69" s="940" t="n"/>
      <c r="W69" s="4103" t="n"/>
      <c r="X69" s="4103" t="n"/>
      <c r="Y69" s="4103" t="n"/>
      <c r="Z69" s="4103" t="n"/>
      <c r="AA69" s="4103" t="n"/>
      <c r="AB69" s="4104" t="n"/>
      <c r="AC69" s="4286" t="n"/>
      <c r="AD69" s="4194" t="n"/>
      <c r="AE69" s="4103" t="n"/>
      <c r="AF69" s="4103" t="n"/>
      <c r="AG69" s="4103" t="n"/>
      <c r="AH69" s="4105" t="n"/>
    </row>
    <row r="70" ht="9" customHeight="1" s="4080">
      <c r="A70" s="4097" t="n"/>
      <c r="B70" s="4107" t="n"/>
      <c r="C70" s="4122" t="n"/>
      <c r="D70" s="2163" t="inlineStr">
        <is>
          <t>サービス提供時間</t>
        </is>
      </c>
      <c r="E70" s="4098" t="n"/>
      <c r="F70" s="4098" t="n"/>
      <c r="G70" s="4098" t="n"/>
      <c r="H70" s="4098" t="n"/>
      <c r="I70" s="4098" t="n"/>
      <c r="J70" s="4099" t="n"/>
      <c r="K70" s="1660" t="n"/>
      <c r="L70" s="920" t="n"/>
      <c r="M70" s="4098" t="n"/>
      <c r="N70" s="4098" t="n"/>
      <c r="O70" s="1301" t="inlineStr">
        <is>
          <t>時</t>
        </is>
      </c>
      <c r="P70" s="1492" t="n"/>
      <c r="Q70" s="4098" t="n"/>
      <c r="R70" s="1301" t="inlineStr">
        <is>
          <t>分～</t>
        </is>
      </c>
      <c r="S70" s="4098" t="n"/>
      <c r="T70" s="920" t="n"/>
      <c r="U70" s="4098" t="n"/>
      <c r="V70" s="4098" t="n"/>
      <c r="W70" s="1301" t="inlineStr">
        <is>
          <t>時</t>
        </is>
      </c>
      <c r="X70" s="1492" t="n"/>
      <c r="Y70" s="4098" t="n"/>
      <c r="Z70" s="1301" t="inlineStr">
        <is>
          <t>分</t>
        </is>
      </c>
      <c r="AA70" s="1661" t="n"/>
      <c r="AB70" s="1661" t="n"/>
      <c r="AC70" s="1661" t="n"/>
      <c r="AD70" s="1661" t="n"/>
      <c r="AE70" s="1661" t="n"/>
      <c r="AF70" s="1661" t="n"/>
      <c r="AG70" s="1661" t="n"/>
      <c r="AH70" s="1662" t="n"/>
    </row>
    <row r="71" ht="9" customHeight="1" s="4080">
      <c r="A71" s="4097" t="n"/>
      <c r="B71" s="4107" t="n"/>
      <c r="C71" s="4122" t="n"/>
      <c r="D71" s="4102" t="n"/>
      <c r="E71" s="4103" t="n"/>
      <c r="F71" s="4103" t="n"/>
      <c r="G71" s="4103" t="n"/>
      <c r="H71" s="4103" t="n"/>
      <c r="I71" s="4103" t="n"/>
      <c r="J71" s="4104" t="n"/>
      <c r="K71" s="497" t="n"/>
      <c r="L71" s="4103" t="n"/>
      <c r="M71" s="4103" t="n"/>
      <c r="N71" s="4103" t="n"/>
      <c r="O71" s="4103" t="n"/>
      <c r="P71" s="4103" t="n"/>
      <c r="Q71" s="4103" t="n"/>
      <c r="R71" s="4103" t="n"/>
      <c r="S71" s="4103" t="n"/>
      <c r="T71" s="4103" t="n"/>
      <c r="U71" s="4103" t="n"/>
      <c r="V71" s="4103" t="n"/>
      <c r="W71" s="4103" t="n"/>
      <c r="X71" s="4103" t="n"/>
      <c r="Y71" s="4103" t="n"/>
      <c r="Z71" s="4103" t="n"/>
      <c r="AA71" s="2713" t="n"/>
      <c r="AB71" s="4103" t="n"/>
      <c r="AC71" s="4103" t="n"/>
      <c r="AD71" s="4103" t="n"/>
      <c r="AE71" s="4103" t="n"/>
      <c r="AF71" s="4103" t="n"/>
      <c r="AG71" s="4103" t="n"/>
      <c r="AH71" s="4105" t="n"/>
    </row>
    <row r="72" ht="11.25" customHeight="1" s="4080">
      <c r="A72" s="4097" t="n"/>
      <c r="B72" s="4107" t="n"/>
      <c r="C72" s="4122" t="n"/>
      <c r="D72" s="4185" t="inlineStr">
        <is>
          <t>定員とサービス種別</t>
        </is>
      </c>
      <c r="E72" s="4098" t="n"/>
      <c r="F72" s="4098" t="n"/>
      <c r="G72" s="4098" t="n"/>
      <c r="H72" s="4098" t="n"/>
      <c r="I72" s="4098" t="n"/>
      <c r="J72" s="4099" t="n"/>
      <c r="K72" s="336" t="n"/>
      <c r="L72" s="336" t="n"/>
      <c r="M72" s="336" t="n"/>
      <c r="N72" s="336" t="n"/>
      <c r="O72" s="336" t="n"/>
      <c r="P72" s="4810" t="inlineStr">
        <is>
          <t>提供するサービス</t>
        </is>
      </c>
      <c r="Q72" s="4110" t="n"/>
      <c r="R72" s="4110" t="n"/>
      <c r="S72" s="4110" t="n"/>
      <c r="T72" s="4110" t="n"/>
      <c r="U72" s="4110" t="n"/>
      <c r="V72" s="4110" t="n"/>
      <c r="W72" s="4111" t="n"/>
      <c r="X72" s="4811" t="inlineStr">
        <is>
          <t>サービスごとの定員</t>
        </is>
      </c>
      <c r="Y72" s="4110" t="n"/>
      <c r="Z72" s="4110" t="n"/>
      <c r="AA72" s="4110" t="n"/>
      <c r="AB72" s="4110" t="n"/>
      <c r="AC72" s="4110" t="n"/>
      <c r="AD72" s="4812" t="n"/>
      <c r="AE72" s="4813" t="n"/>
      <c r="AF72" s="2271" t="n"/>
      <c r="AG72" s="2271" t="n"/>
      <c r="AH72" s="2272" t="n"/>
    </row>
    <row r="73" ht="2.25" customHeight="1" s="4080">
      <c r="A73" s="4097" t="n"/>
      <c r="B73" s="4107" t="n"/>
      <c r="C73" s="4122" t="n"/>
      <c r="D73" s="4106" t="n"/>
      <c r="J73" s="4107" t="n"/>
      <c r="K73" s="1658" t="n"/>
      <c r="L73" s="2069" t="n"/>
      <c r="P73" s="2053" t="n"/>
      <c r="Q73" s="500" t="n"/>
      <c r="R73" s="500" t="n"/>
      <c r="S73" s="500" t="n"/>
      <c r="T73" s="4814" t="n"/>
      <c r="U73" s="4814" t="n"/>
      <c r="V73" s="4815" t="n"/>
      <c r="W73" s="4816" t="n"/>
      <c r="X73" s="4817" t="n"/>
      <c r="Y73" s="4818" t="n"/>
      <c r="AC73" s="506" t="n"/>
      <c r="AD73" s="507" t="n"/>
      <c r="AE73" s="508" t="n"/>
      <c r="AF73" s="508" t="n"/>
      <c r="AG73" s="508" t="n"/>
      <c r="AH73" s="298" t="n"/>
    </row>
    <row r="74" ht="11.25" customHeight="1" s="4080">
      <c r="A74" s="4097" t="n"/>
      <c r="B74" s="4107" t="n"/>
      <c r="C74" s="4122" t="n"/>
      <c r="D74" s="4106" t="n"/>
      <c r="J74" s="4107" t="n"/>
      <c r="K74" s="1657" t="n"/>
      <c r="P74" s="2054" t="n"/>
      <c r="Q74" s="4819" t="inlineStr">
        <is>
          <t>児童発達支援</t>
        </is>
      </c>
      <c r="W74" s="4820" t="n"/>
      <c r="X74" s="4821" t="n"/>
      <c r="Y74" s="4822" t="n"/>
      <c r="AB74" s="1667" t="inlineStr">
        <is>
          <t>人</t>
        </is>
      </c>
      <c r="AC74" s="376" t="n"/>
      <c r="AD74" s="507" t="n"/>
      <c r="AE74" s="508" t="n"/>
      <c r="AF74" s="508" t="n"/>
      <c r="AG74" s="508" t="n"/>
      <c r="AH74" s="298" t="n"/>
    </row>
    <row r="75" ht="3" customHeight="1" s="4080">
      <c r="A75" s="4097" t="n"/>
      <c r="B75" s="4107" t="n"/>
      <c r="C75" s="4122" t="n"/>
      <c r="D75" s="4106" t="n"/>
      <c r="J75" s="4107" t="n"/>
      <c r="K75" s="1657" t="n"/>
      <c r="P75" s="2054" t="n"/>
      <c r="Q75" s="500" t="n"/>
      <c r="R75" s="500" t="n"/>
      <c r="S75" s="500" t="n"/>
      <c r="T75" s="4823" t="n"/>
      <c r="U75" s="4823" t="n"/>
      <c r="V75" s="4815" t="n"/>
      <c r="W75" s="4816" t="n"/>
      <c r="X75" s="4817" t="n"/>
      <c r="Y75" s="4818" t="n"/>
      <c r="AC75" s="376" t="n"/>
      <c r="AD75" s="507" t="n"/>
      <c r="AE75" s="508" t="n"/>
      <c r="AF75" s="508" t="n"/>
      <c r="AG75" s="508" t="n"/>
      <c r="AH75" s="298" t="n"/>
    </row>
    <row r="76" ht="11.25" customHeight="1" s="4080">
      <c r="A76" s="4097" t="n"/>
      <c r="B76" s="4107" t="n"/>
      <c r="C76" s="4122" t="n"/>
      <c r="D76" s="4106" t="n"/>
      <c r="J76" s="4107" t="n"/>
      <c r="K76" s="1657" t="n"/>
      <c r="O76" s="1658" t="inlineStr">
        <is>
          <t>人</t>
        </is>
      </c>
      <c r="P76" s="1657" t="n"/>
      <c r="Q76" s="4824" t="inlineStr">
        <is>
          <t>放課後等デイサービス</t>
        </is>
      </c>
      <c r="W76" s="4825" t="n"/>
      <c r="X76" s="4821" t="n"/>
      <c r="Y76" s="4822" t="n"/>
      <c r="AB76" s="1667" t="inlineStr">
        <is>
          <t>人</t>
        </is>
      </c>
      <c r="AC76" s="376" t="n"/>
      <c r="AD76" s="507" t="n"/>
      <c r="AE76" s="508" t="n"/>
      <c r="AF76" s="508" t="n"/>
      <c r="AG76" s="508" t="n"/>
      <c r="AH76" s="298" t="n"/>
    </row>
    <row r="77" ht="3.95" customHeight="1" s="4080">
      <c r="A77" s="4097" t="n"/>
      <c r="B77" s="4107" t="n"/>
      <c r="C77" s="4124" t="n"/>
      <c r="D77" s="4102" t="n"/>
      <c r="E77" s="4103" t="n"/>
      <c r="F77" s="4103" t="n"/>
      <c r="G77" s="4103" t="n"/>
      <c r="H77" s="4103" t="n"/>
      <c r="I77" s="4103" t="n"/>
      <c r="J77" s="4104" t="n"/>
      <c r="K77" s="393" t="n"/>
      <c r="L77" s="393" t="n"/>
      <c r="M77" s="393" t="n"/>
      <c r="N77" s="393" t="n"/>
      <c r="O77" s="393" t="n"/>
      <c r="P77" s="2055" t="n"/>
      <c r="Q77" s="515" t="n"/>
      <c r="R77" s="515" t="n"/>
      <c r="S77" s="515" t="n"/>
      <c r="T77" s="4826" t="n"/>
      <c r="U77" s="4826" t="n"/>
      <c r="V77" s="4827" t="n"/>
      <c r="W77" s="4828" t="n"/>
      <c r="X77" s="4829" t="n"/>
      <c r="Y77" s="4830" t="n"/>
      <c r="Z77" s="393" t="n"/>
      <c r="AA77" s="393" t="n"/>
      <c r="AB77" s="393" t="n"/>
      <c r="AC77" s="521" t="n"/>
      <c r="AD77" s="522" t="n"/>
      <c r="AE77" s="523" t="n"/>
      <c r="AF77" s="523" t="n"/>
      <c r="AG77" s="523" t="n"/>
      <c r="AH77" s="300" t="n"/>
    </row>
    <row r="78" ht="13.5" customHeight="1" s="4080">
      <c r="A78" s="4097" t="n"/>
      <c r="B78" s="4107" t="n"/>
      <c r="C78" s="4503" t="inlineStr">
        <is>
          <t>③</t>
        </is>
      </c>
      <c r="D78" s="2163" t="inlineStr">
        <is>
          <t>サービス提供日</t>
        </is>
      </c>
      <c r="E78" s="4098" t="n"/>
      <c r="F78" s="4098" t="n"/>
      <c r="G78" s="4098" t="n"/>
      <c r="H78" s="4098" t="n"/>
      <c r="I78" s="4098" t="n"/>
      <c r="J78" s="4099" t="n"/>
      <c r="K78" s="2244" t="inlineStr">
        <is>
          <t>月</t>
        </is>
      </c>
      <c r="L78" s="2245" t="inlineStr">
        <is>
          <t>火</t>
        </is>
      </c>
      <c r="M78" s="2245" t="inlineStr">
        <is>
          <t>水</t>
        </is>
      </c>
      <c r="N78" s="2245" t="inlineStr">
        <is>
          <t>木</t>
        </is>
      </c>
      <c r="O78" s="2245" t="inlineStr">
        <is>
          <t>金</t>
        </is>
      </c>
      <c r="P78" s="2245" t="inlineStr">
        <is>
          <t>土</t>
        </is>
      </c>
      <c r="Q78" s="2245" t="inlineStr">
        <is>
          <t>日</t>
        </is>
      </c>
      <c r="R78" s="2249" t="inlineStr">
        <is>
          <t>祝</t>
        </is>
      </c>
      <c r="S78" s="4279" t="inlineStr">
        <is>
          <t>休業日</t>
        </is>
      </c>
      <c r="T78" s="1611" t="inlineStr">
        <is>
          <t>年末年始</t>
        </is>
      </c>
      <c r="U78" s="4098" t="n"/>
      <c r="V78" s="934" t="n"/>
      <c r="W78" s="4098" t="n"/>
      <c r="X78" s="4098" t="n"/>
      <c r="Y78" s="4098" t="n"/>
      <c r="Z78" s="4098" t="n"/>
      <c r="AA78" s="4098" t="n"/>
      <c r="AB78" s="4099" t="n"/>
      <c r="AC78" s="4280" t="inlineStr">
        <is>
          <t>備　考</t>
        </is>
      </c>
      <c r="AD78" s="4281" t="n"/>
      <c r="AE78" s="4098" t="n"/>
      <c r="AF78" s="4098" t="n"/>
      <c r="AG78" s="4098" t="n"/>
      <c r="AH78" s="4101" t="n"/>
    </row>
    <row r="79" ht="13.5" customHeight="1" s="4080">
      <c r="A79" s="4097" t="n"/>
      <c r="B79" s="4107" t="n"/>
      <c r="C79" s="4122" t="n"/>
      <c r="D79" s="4106" t="n"/>
      <c r="J79" s="4107" t="n"/>
      <c r="K79" s="2244" t="n"/>
      <c r="L79" s="2245" t="n"/>
      <c r="M79" s="2245" t="n"/>
      <c r="N79" s="2245" t="n"/>
      <c r="O79" s="2245" t="n"/>
      <c r="P79" s="2245" t="n"/>
      <c r="Q79" s="2245" t="n"/>
      <c r="R79" s="2249" t="n"/>
      <c r="S79" s="4282" t="n"/>
      <c r="T79" s="1609" t="inlineStr">
        <is>
          <t>夏季</t>
        </is>
      </c>
      <c r="V79" s="937" t="n"/>
      <c r="AB79" s="4107" t="n"/>
      <c r="AC79" s="4282" t="n"/>
      <c r="AD79" s="4192" t="n"/>
      <c r="AH79" s="4109" t="n"/>
    </row>
    <row r="80" ht="13.5" customHeight="1" s="4080">
      <c r="A80" s="4097" t="n"/>
      <c r="B80" s="4107" t="n"/>
      <c r="C80" s="4122" t="n"/>
      <c r="D80" s="4102" t="n"/>
      <c r="E80" s="4103" t="n"/>
      <c r="F80" s="4103" t="n"/>
      <c r="G80" s="4103" t="n"/>
      <c r="H80" s="4103" t="n"/>
      <c r="I80" s="4103" t="n"/>
      <c r="J80" s="4104" t="n"/>
      <c r="K80" s="4283" t="n"/>
      <c r="L80" s="4284" t="n"/>
      <c r="M80" s="4284" t="n"/>
      <c r="N80" s="4284" t="n"/>
      <c r="O80" s="4284" t="n"/>
      <c r="P80" s="4284" t="n"/>
      <c r="Q80" s="4284" t="n"/>
      <c r="R80" s="4285" t="n"/>
      <c r="S80" s="4286" t="n"/>
      <c r="T80" s="1610" t="inlineStr">
        <is>
          <t>その他</t>
        </is>
      </c>
      <c r="U80" s="4103" t="n"/>
      <c r="V80" s="940" t="n"/>
      <c r="W80" s="4103" t="n"/>
      <c r="X80" s="4103" t="n"/>
      <c r="Y80" s="4103" t="n"/>
      <c r="Z80" s="4103" t="n"/>
      <c r="AA80" s="4103" t="n"/>
      <c r="AB80" s="4104" t="n"/>
      <c r="AC80" s="4286" t="n"/>
      <c r="AD80" s="4194" t="n"/>
      <c r="AE80" s="4103" t="n"/>
      <c r="AF80" s="4103" t="n"/>
      <c r="AG80" s="4103" t="n"/>
      <c r="AH80" s="4105" t="n"/>
    </row>
    <row r="81" ht="9" customHeight="1" s="4080">
      <c r="A81" s="4097" t="n"/>
      <c r="B81" s="4107" t="n"/>
      <c r="C81" s="4122" t="n"/>
      <c r="D81" s="2163" t="inlineStr">
        <is>
          <t>サービス提供時間</t>
        </is>
      </c>
      <c r="E81" s="4098" t="n"/>
      <c r="F81" s="4098" t="n"/>
      <c r="G81" s="4098" t="n"/>
      <c r="H81" s="4098" t="n"/>
      <c r="I81" s="4098" t="n"/>
      <c r="J81" s="4099" t="n"/>
      <c r="K81" s="1660" t="n"/>
      <c r="L81" s="920" t="n"/>
      <c r="M81" s="4098" t="n"/>
      <c r="N81" s="4098" t="n"/>
      <c r="O81" s="1301" t="inlineStr">
        <is>
          <t>時</t>
        </is>
      </c>
      <c r="P81" s="1492" t="n"/>
      <c r="Q81" s="4098" t="n"/>
      <c r="R81" s="1301" t="inlineStr">
        <is>
          <t>分～</t>
        </is>
      </c>
      <c r="S81" s="4098" t="n"/>
      <c r="T81" s="920" t="n"/>
      <c r="U81" s="4098" t="n"/>
      <c r="V81" s="4098" t="n"/>
      <c r="W81" s="1301" t="inlineStr">
        <is>
          <t>時</t>
        </is>
      </c>
      <c r="X81" s="1492" t="n"/>
      <c r="Y81" s="4098" t="n"/>
      <c r="Z81" s="1301" t="inlineStr">
        <is>
          <t>分</t>
        </is>
      </c>
      <c r="AA81" s="1661" t="n"/>
      <c r="AB81" s="1661" t="n"/>
      <c r="AC81" s="1661" t="n"/>
      <c r="AD81" s="1661" t="n"/>
      <c r="AE81" s="1661" t="n"/>
      <c r="AF81" s="1661" t="n"/>
      <c r="AG81" s="1661" t="n"/>
      <c r="AH81" s="1662" t="n"/>
    </row>
    <row r="82" ht="9" customHeight="1" s="4080">
      <c r="A82" s="4097" t="n"/>
      <c r="B82" s="4107" t="n"/>
      <c r="C82" s="4122" t="n"/>
      <c r="D82" s="4102" t="n"/>
      <c r="E82" s="4103" t="n"/>
      <c r="F82" s="4103" t="n"/>
      <c r="G82" s="4103" t="n"/>
      <c r="H82" s="4103" t="n"/>
      <c r="I82" s="4103" t="n"/>
      <c r="J82" s="4104" t="n"/>
      <c r="K82" s="497" t="n"/>
      <c r="L82" s="4103" t="n"/>
      <c r="M82" s="4103" t="n"/>
      <c r="N82" s="4103" t="n"/>
      <c r="O82" s="4103" t="n"/>
      <c r="P82" s="4103" t="n"/>
      <c r="Q82" s="4103" t="n"/>
      <c r="R82" s="4103" t="n"/>
      <c r="S82" s="4103" t="n"/>
      <c r="T82" s="4103" t="n"/>
      <c r="U82" s="4103" t="n"/>
      <c r="V82" s="4103" t="n"/>
      <c r="W82" s="4103" t="n"/>
      <c r="X82" s="4103" t="n"/>
      <c r="Y82" s="4103" t="n"/>
      <c r="Z82" s="4103" t="n"/>
      <c r="AA82" s="2713" t="n"/>
      <c r="AB82" s="4103" t="n"/>
      <c r="AC82" s="4103" t="n"/>
      <c r="AD82" s="4103" t="n"/>
      <c r="AE82" s="4103" t="n"/>
      <c r="AF82" s="4103" t="n"/>
      <c r="AG82" s="4103" t="n"/>
      <c r="AH82" s="4105" t="n"/>
    </row>
    <row r="83" ht="11.25" customHeight="1" s="4080">
      <c r="A83" s="4097" t="n"/>
      <c r="B83" s="4107" t="n"/>
      <c r="C83" s="4122" t="n"/>
      <c r="D83" s="4831" t="inlineStr">
        <is>
          <t>定員とサービス種別</t>
        </is>
      </c>
      <c r="E83" s="4098" t="n"/>
      <c r="F83" s="4098" t="n"/>
      <c r="G83" s="4098" t="n"/>
      <c r="H83" s="4098" t="n"/>
      <c r="I83" s="4098" t="n"/>
      <c r="J83" s="4099" t="n"/>
      <c r="K83" s="336" t="n"/>
      <c r="L83" s="336" t="n"/>
      <c r="M83" s="336" t="n"/>
      <c r="N83" s="336" t="n"/>
      <c r="O83" s="336" t="n"/>
      <c r="P83" s="4810" t="inlineStr">
        <is>
          <t>提供するサービス</t>
        </is>
      </c>
      <c r="Q83" s="4110" t="n"/>
      <c r="R83" s="4110" t="n"/>
      <c r="S83" s="4110" t="n"/>
      <c r="T83" s="4110" t="n"/>
      <c r="U83" s="4110" t="n"/>
      <c r="V83" s="4110" t="n"/>
      <c r="W83" s="4111" t="n"/>
      <c r="X83" s="4811" t="inlineStr">
        <is>
          <t>サービスごとの定員</t>
        </is>
      </c>
      <c r="Y83" s="4110" t="n"/>
      <c r="Z83" s="4110" t="n"/>
      <c r="AA83" s="4110" t="n"/>
      <c r="AB83" s="4110" t="n"/>
      <c r="AC83" s="4110" t="n"/>
      <c r="AD83" s="4812" t="n"/>
      <c r="AE83" s="4813" t="n"/>
      <c r="AF83" s="2271" t="n"/>
      <c r="AG83" s="2271" t="n"/>
      <c r="AH83" s="2272" t="n"/>
    </row>
    <row r="84" ht="2.25" customHeight="1" s="4080">
      <c r="A84" s="4097" t="n"/>
      <c r="B84" s="4107" t="n"/>
      <c r="C84" s="4122" t="n"/>
      <c r="D84" s="4106" t="n"/>
      <c r="J84" s="4107" t="n"/>
      <c r="K84" s="1658" t="n"/>
      <c r="L84" s="2069" t="n"/>
      <c r="P84" s="2053" t="n"/>
      <c r="Q84" s="500" t="n"/>
      <c r="R84" s="500" t="n"/>
      <c r="S84" s="500" t="n"/>
      <c r="T84" s="4814" t="n"/>
      <c r="U84" s="4814" t="n"/>
      <c r="V84" s="4815" t="n"/>
      <c r="W84" s="4816" t="n"/>
      <c r="X84" s="4817" t="n"/>
      <c r="Y84" s="4818" t="n"/>
      <c r="AC84" s="506" t="n"/>
      <c r="AD84" s="507" t="n"/>
      <c r="AE84" s="508" t="n"/>
      <c r="AF84" s="508" t="n"/>
      <c r="AG84" s="508" t="n"/>
      <c r="AH84" s="298" t="n"/>
    </row>
    <row r="85" ht="11.25" customHeight="1" s="4080">
      <c r="A85" s="4097" t="n"/>
      <c r="B85" s="4107" t="n"/>
      <c r="C85" s="4122" t="n"/>
      <c r="D85" s="4106" t="n"/>
      <c r="J85" s="4107" t="n"/>
      <c r="K85" s="1657" t="n"/>
      <c r="P85" s="2054" t="n"/>
      <c r="Q85" s="4819" t="inlineStr">
        <is>
          <t>児童発達支援</t>
        </is>
      </c>
      <c r="W85" s="4820" t="n"/>
      <c r="X85" s="4821" t="n"/>
      <c r="Y85" s="4822" t="n"/>
      <c r="AB85" s="1667" t="inlineStr">
        <is>
          <t>人</t>
        </is>
      </c>
      <c r="AC85" s="376" t="n"/>
      <c r="AD85" s="507" t="n"/>
      <c r="AE85" s="508" t="n"/>
      <c r="AF85" s="508" t="n"/>
      <c r="AG85" s="508" t="n"/>
      <c r="AH85" s="298" t="n"/>
    </row>
    <row r="86" ht="3" customHeight="1" s="4080">
      <c r="A86" s="4097" t="n"/>
      <c r="B86" s="4107" t="n"/>
      <c r="C86" s="4122" t="n"/>
      <c r="D86" s="4106" t="n"/>
      <c r="J86" s="4107" t="n"/>
      <c r="K86" s="1657" t="n"/>
      <c r="P86" s="2054" t="n"/>
      <c r="Q86" s="500" t="n"/>
      <c r="R86" s="500" t="n"/>
      <c r="S86" s="500" t="n"/>
      <c r="T86" s="4823" t="n"/>
      <c r="U86" s="4823" t="n"/>
      <c r="V86" s="4815" t="n"/>
      <c r="W86" s="4816" t="n"/>
      <c r="X86" s="4817" t="n"/>
      <c r="Y86" s="4818" t="n"/>
      <c r="AC86" s="376" t="n"/>
      <c r="AD86" s="507" t="n"/>
      <c r="AE86" s="508" t="n"/>
      <c r="AF86" s="508" t="n"/>
      <c r="AG86" s="508" t="n"/>
      <c r="AH86" s="298" t="n"/>
    </row>
    <row r="87" ht="11.25" customHeight="1" s="4080">
      <c r="A87" s="4097" t="n"/>
      <c r="B87" s="4107" t="n"/>
      <c r="C87" s="4122" t="n"/>
      <c r="D87" s="4106" t="n"/>
      <c r="J87" s="4107" t="n"/>
      <c r="K87" s="1657" t="n"/>
      <c r="O87" s="1658" t="inlineStr">
        <is>
          <t>人</t>
        </is>
      </c>
      <c r="P87" s="1657" t="n"/>
      <c r="Q87" s="4824" t="inlineStr">
        <is>
          <t>放課後等デイサービス</t>
        </is>
      </c>
      <c r="W87" s="4825" t="n"/>
      <c r="X87" s="4821" t="n"/>
      <c r="Y87" s="4822" t="n"/>
      <c r="AB87" s="1667" t="inlineStr">
        <is>
          <t>人</t>
        </is>
      </c>
      <c r="AC87" s="376" t="n"/>
      <c r="AD87" s="507" t="n"/>
      <c r="AE87" s="508" t="n"/>
      <c r="AF87" s="508" t="n"/>
      <c r="AG87" s="508" t="n"/>
      <c r="AH87" s="298" t="n"/>
    </row>
    <row r="88" ht="3.95" customHeight="1" s="4080" thickBot="1">
      <c r="A88" s="524" t="n"/>
      <c r="B88" s="525" t="n"/>
      <c r="C88" s="4669" t="n"/>
      <c r="D88" s="4420" t="n"/>
      <c r="E88" s="4087" t="n"/>
      <c r="F88" s="4087" t="n"/>
      <c r="G88" s="4087" t="n"/>
      <c r="H88" s="4087" t="n"/>
      <c r="I88" s="4087" t="n"/>
      <c r="J88" s="4410" t="n"/>
      <c r="K88" s="197" t="n"/>
      <c r="L88" s="197" t="n"/>
      <c r="M88" s="197" t="n"/>
      <c r="N88" s="197" t="n"/>
      <c r="O88" s="197" t="n"/>
      <c r="P88" s="526" t="n"/>
      <c r="Q88" s="527" t="n"/>
      <c r="R88" s="527" t="n"/>
      <c r="S88" s="527" t="n"/>
      <c r="T88" s="4832" t="n"/>
      <c r="U88" s="4832" t="n"/>
      <c r="V88" s="4833" t="n"/>
      <c r="W88" s="4834" t="n"/>
      <c r="X88" s="4835" t="n"/>
      <c r="Y88" s="4836" t="n"/>
      <c r="Z88" s="197" t="n"/>
      <c r="AA88" s="197" t="n"/>
      <c r="AB88" s="197" t="n"/>
      <c r="AC88" s="533" t="n"/>
      <c r="AD88" s="495" t="n"/>
      <c r="AE88" s="496" t="n"/>
      <c r="AF88" s="496" t="n"/>
      <c r="AG88" s="496" t="n"/>
      <c r="AH88" s="311" t="n"/>
    </row>
    <row r="89" ht="18.75" customHeight="1" s="4080" thickBot="1">
      <c r="A89" s="4837" t="inlineStr">
        <is>
          <t>主　　な　　掲　　示　　事　　項</t>
        </is>
      </c>
      <c r="B89" s="4356" t="n"/>
      <c r="C89" s="1999" t="n"/>
      <c r="D89" s="1886" t="inlineStr">
        <is>
          <t>営業日</t>
        </is>
      </c>
      <c r="E89" s="4082" t="n"/>
      <c r="F89" s="4082" t="n"/>
      <c r="G89" s="4082" t="n"/>
      <c r="H89" s="4082" t="n"/>
      <c r="I89" s="4082" t="n"/>
      <c r="J89" s="2002" t="n"/>
      <c r="K89" s="2352" t="inlineStr">
        <is>
          <t>月</t>
        </is>
      </c>
      <c r="L89" s="2354" t="inlineStr">
        <is>
          <t>火</t>
        </is>
      </c>
      <c r="M89" s="2354" t="inlineStr">
        <is>
          <t>水</t>
        </is>
      </c>
      <c r="N89" s="2354" t="inlineStr">
        <is>
          <t>木</t>
        </is>
      </c>
      <c r="O89" s="2354" t="inlineStr">
        <is>
          <t>金</t>
        </is>
      </c>
      <c r="P89" s="2354" t="inlineStr">
        <is>
          <t>土</t>
        </is>
      </c>
      <c r="Q89" s="2354" t="inlineStr">
        <is>
          <t>日</t>
        </is>
      </c>
      <c r="R89" s="2356" t="inlineStr">
        <is>
          <t>祝</t>
        </is>
      </c>
      <c r="S89" s="2004" t="inlineStr">
        <is>
          <t>休業日</t>
        </is>
      </c>
      <c r="T89" s="2007" t="inlineStr">
        <is>
          <t>年末年始</t>
        </is>
      </c>
      <c r="U89" s="4082" t="n"/>
      <c r="V89" s="2014" t="n"/>
      <c r="W89" s="4082" t="n"/>
      <c r="X89" s="4082" t="n"/>
      <c r="Y89" s="4082" t="n"/>
      <c r="Z89" s="4082" t="n"/>
      <c r="AA89" s="4082" t="n"/>
      <c r="AB89" s="4356" t="n"/>
      <c r="AC89" s="2236" t="inlineStr">
        <is>
          <t>備　考</t>
        </is>
      </c>
      <c r="AD89" s="4479" t="n"/>
      <c r="AE89" s="4082" t="n"/>
      <c r="AF89" s="4082" t="n"/>
      <c r="AG89" s="4082" t="n"/>
      <c r="AH89" s="4083" t="n"/>
    </row>
    <row r="90" ht="12" customHeight="1" s="4080" thickBot="1">
      <c r="A90" s="4097" t="n"/>
      <c r="B90" s="4107" t="n"/>
      <c r="C90" s="4106" t="n"/>
      <c r="J90" s="4107" t="n"/>
      <c r="K90" s="2244" t="n"/>
      <c r="L90" s="2245" t="n"/>
      <c r="M90" s="2245" t="n"/>
      <c r="N90" s="2245" t="n"/>
      <c r="O90" s="2245" t="n"/>
      <c r="P90" s="2245" t="n"/>
      <c r="Q90" s="2245" t="n"/>
      <c r="R90" s="2249" t="n"/>
      <c r="S90" s="4282" t="n"/>
      <c r="T90" s="2008" t="inlineStr">
        <is>
          <t>夏季</t>
        </is>
      </c>
      <c r="V90" s="937" t="n"/>
      <c r="AB90" s="4107" t="n"/>
      <c r="AC90" s="4282" t="n"/>
      <c r="AD90" s="4192" t="n"/>
      <c r="AH90" s="4109" t="n"/>
    </row>
    <row r="91" ht="12" customHeight="1" s="4080">
      <c r="A91" s="4097" t="n"/>
      <c r="B91" s="4107" t="n"/>
      <c r="C91" s="4420" t="n"/>
      <c r="D91" s="4087" t="n"/>
      <c r="E91" s="4087" t="n"/>
      <c r="F91" s="4087" t="n"/>
      <c r="G91" s="4087" t="n"/>
      <c r="H91" s="4087" t="n"/>
      <c r="I91" s="4087" t="n"/>
      <c r="J91" s="4410" t="n"/>
      <c r="K91" s="4283" t="n"/>
      <c r="L91" s="4284" t="n"/>
      <c r="M91" s="4284" t="n"/>
      <c r="N91" s="4284" t="n"/>
      <c r="O91" s="4284" t="n"/>
      <c r="P91" s="4284" t="n"/>
      <c r="Q91" s="4284" t="n"/>
      <c r="R91" s="4285" t="n"/>
      <c r="S91" s="4421" t="n"/>
      <c r="T91" s="1610" t="inlineStr">
        <is>
          <t>その他</t>
        </is>
      </c>
      <c r="U91" s="4103" t="n"/>
      <c r="V91" s="940" t="n"/>
      <c r="W91" s="4103" t="n"/>
      <c r="X91" s="4103" t="n"/>
      <c r="Y91" s="4103" t="n"/>
      <c r="Z91" s="4103" t="n"/>
      <c r="AA91" s="4103" t="n"/>
      <c r="AB91" s="4104" t="n"/>
      <c r="AC91" s="4421" t="n"/>
      <c r="AD91" s="4480" t="n"/>
      <c r="AE91" s="4087" t="n"/>
      <c r="AF91" s="4087" t="n"/>
      <c r="AG91" s="4087" t="n"/>
      <c r="AH91" s="4088" t="n"/>
    </row>
    <row r="92" ht="12" customHeight="1" s="4080">
      <c r="A92" s="4097" t="n"/>
      <c r="B92" s="4107" t="n"/>
      <c r="C92" s="1393" t="n"/>
      <c r="D92" s="1264" t="inlineStr">
        <is>
          <t>営業時間</t>
        </is>
      </c>
      <c r="E92" s="4098" t="n"/>
      <c r="F92" s="4098" t="n"/>
      <c r="G92" s="4098" t="n"/>
      <c r="H92" s="4098" t="n"/>
      <c r="I92" s="4098" t="n"/>
      <c r="J92" s="4223" t="n"/>
      <c r="K92" s="4287" t="inlineStr">
        <is>
          <t>平日</t>
        </is>
      </c>
      <c r="L92" s="4098" t="n"/>
      <c r="M92" s="4190" t="n"/>
      <c r="N92" s="1590" t="n"/>
      <c r="O92" s="4098" t="n"/>
      <c r="P92" s="2842" t="inlineStr">
        <is>
          <t>時</t>
        </is>
      </c>
      <c r="Q92" s="1323" t="n"/>
      <c r="R92" s="1323" t="n"/>
      <c r="S92" s="4288" t="inlineStr">
        <is>
          <t>分～</t>
        </is>
      </c>
      <c r="T92" s="4098" t="n"/>
      <c r="U92" s="108" t="inlineStr">
        <is>
          <t xml:space="preserve">　</t>
        </is>
      </c>
      <c r="V92" s="1591" t="n"/>
      <c r="W92" s="4098" t="n"/>
      <c r="X92" s="2842" t="inlineStr">
        <is>
          <t>時</t>
        </is>
      </c>
      <c r="Y92" s="2834" t="n"/>
      <c r="Z92" s="2834" t="n"/>
      <c r="AA92" s="2842" t="inlineStr">
        <is>
          <t>分</t>
        </is>
      </c>
      <c r="AB92" s="1323" t="n"/>
      <c r="AC92" s="4422" t="inlineStr">
        <is>
          <t>備　考</t>
        </is>
      </c>
      <c r="AD92" s="4838" t="n"/>
      <c r="AE92" s="4098" t="n"/>
      <c r="AF92" s="4098" t="n"/>
      <c r="AG92" s="4098" t="n"/>
      <c r="AH92" s="4101" t="n"/>
    </row>
    <row r="93" ht="3.95" customHeight="1" s="4080">
      <c r="A93" s="4097" t="n"/>
      <c r="B93" s="4107" t="n"/>
      <c r="C93" s="4106" t="n"/>
      <c r="J93" s="4107" t="n"/>
      <c r="K93" s="4106" t="n"/>
      <c r="M93" s="4191" t="n"/>
      <c r="N93" s="1589" t="n"/>
      <c r="Q93" s="1325" t="n"/>
      <c r="U93" s="1257" t="n"/>
      <c r="Y93" s="1580" t="n"/>
      <c r="AB93" s="1325" t="n"/>
      <c r="AC93" s="4419" t="n"/>
      <c r="AD93" s="4213" t="n"/>
      <c r="AH93" s="4109" t="n"/>
    </row>
    <row r="94" ht="12" customHeight="1" s="4080">
      <c r="A94" s="4097" t="n"/>
      <c r="B94" s="4107" t="n"/>
      <c r="C94" s="4106" t="n"/>
      <c r="J94" s="4107" t="n"/>
      <c r="K94" s="4145" t="n"/>
      <c r="L94" s="4146" t="n"/>
      <c r="M94" s="4201" t="n"/>
      <c r="N94" s="1586" t="n"/>
      <c r="O94" s="1587" t="n"/>
      <c r="P94" s="4146" t="n"/>
      <c r="Q94" s="1585" t="n"/>
      <c r="R94" s="1585" t="n"/>
      <c r="S94" s="4146" t="n"/>
      <c r="T94" s="4146" t="n"/>
      <c r="U94" s="105" t="n"/>
      <c r="V94" s="1587" t="n"/>
      <c r="W94" s="1587" t="n"/>
      <c r="X94" s="4146" t="n"/>
      <c r="Y94" s="101" t="n"/>
      <c r="Z94" s="101" t="n"/>
      <c r="AA94" s="4146" t="n"/>
      <c r="AB94" s="1585" t="n"/>
      <c r="AC94" s="4419" t="n"/>
      <c r="AD94" s="4213" t="n"/>
      <c r="AH94" s="4109" t="n"/>
    </row>
    <row r="95" ht="3.95" customHeight="1" s="4080">
      <c r="A95" s="4097" t="n"/>
      <c r="B95" s="4107" t="n"/>
      <c r="C95" s="4106" t="n"/>
      <c r="J95" s="4107" t="n"/>
      <c r="K95" s="4289" t="inlineStr">
        <is>
          <t>土曜</t>
        </is>
      </c>
      <c r="L95" s="4290" t="n"/>
      <c r="M95" s="4291" t="n"/>
      <c r="N95" s="1581" t="n"/>
      <c r="O95" s="4290" t="n"/>
      <c r="P95" s="1514" t="inlineStr">
        <is>
          <t>時</t>
        </is>
      </c>
      <c r="Q95" s="1583" t="n"/>
      <c r="R95" s="1583" t="n"/>
      <c r="S95" s="4292" t="inlineStr">
        <is>
          <t>分～</t>
        </is>
      </c>
      <c r="T95" s="4290" t="n"/>
      <c r="U95" s="98" t="inlineStr">
        <is>
          <t xml:space="preserve">　</t>
        </is>
      </c>
      <c r="V95" s="1582" t="n"/>
      <c r="W95" s="1582" t="n"/>
      <c r="X95" s="1514" t="inlineStr">
        <is>
          <t>時</t>
        </is>
      </c>
      <c r="Y95" s="96" t="n"/>
      <c r="Z95" s="96" t="n"/>
      <c r="AA95" s="1514" t="inlineStr">
        <is>
          <t>分</t>
        </is>
      </c>
      <c r="AB95" s="1583" t="n"/>
      <c r="AC95" s="4419" t="n"/>
      <c r="AD95" s="4213" t="n"/>
      <c r="AH95" s="4109" t="n"/>
    </row>
    <row r="96" ht="3.95" customHeight="1" s="4080">
      <c r="A96" s="4097" t="n"/>
      <c r="B96" s="4107" t="n"/>
      <c r="C96" s="4106" t="n"/>
      <c r="J96" s="4107" t="n"/>
      <c r="K96" s="4106" t="n"/>
      <c r="M96" s="4191" t="n"/>
      <c r="N96" s="1589" t="n"/>
      <c r="Q96" s="1325" t="n"/>
      <c r="U96" s="1257" t="n"/>
      <c r="Y96" s="1580" t="n"/>
      <c r="AB96" s="1325" t="n"/>
      <c r="AC96" s="4419" t="n"/>
      <c r="AD96" s="4213" t="n"/>
      <c r="AH96" s="4109" t="n"/>
    </row>
    <row r="97" ht="12" customHeight="1" s="4080">
      <c r="A97" s="4097" t="n"/>
      <c r="B97" s="4107" t="n"/>
      <c r="C97" s="4106" t="n"/>
      <c r="J97" s="4107" t="n"/>
      <c r="K97" s="4145" t="n"/>
      <c r="L97" s="4146" t="n"/>
      <c r="M97" s="4201" t="n"/>
      <c r="N97" s="1586" t="n"/>
      <c r="O97" s="1587" t="n"/>
      <c r="P97" s="4146" t="n"/>
      <c r="Q97" s="1585" t="n"/>
      <c r="R97" s="1585" t="n"/>
      <c r="S97" s="4146" t="n"/>
      <c r="T97" s="4146" t="n"/>
      <c r="U97" s="103" t="n"/>
      <c r="V97" s="1587" t="n"/>
      <c r="W97" s="1587" t="n"/>
      <c r="X97" s="4146" t="n"/>
      <c r="Y97" s="101" t="n"/>
      <c r="Z97" s="101" t="n"/>
      <c r="AA97" s="4146" t="n"/>
      <c r="AB97" s="1585" t="n"/>
      <c r="AC97" s="4419" t="n"/>
      <c r="AD97" s="4213" t="n"/>
      <c r="AH97" s="4109" t="n"/>
    </row>
    <row r="98" ht="3.95" customHeight="1" s="4080">
      <c r="A98" s="4097" t="n"/>
      <c r="B98" s="4107" t="n"/>
      <c r="C98" s="4106" t="n"/>
      <c r="J98" s="4107" t="n"/>
      <c r="K98" s="4293" t="inlineStr">
        <is>
          <t>日・祝日</t>
        </is>
      </c>
      <c r="L98" s="4290" t="n"/>
      <c r="M98" s="4291" t="n"/>
      <c r="N98" s="1581" t="n"/>
      <c r="O98" s="4290" t="n"/>
      <c r="P98" s="1521" t="inlineStr">
        <is>
          <t>時</t>
        </is>
      </c>
      <c r="Q98" s="1583" t="n"/>
      <c r="R98" s="1583" t="n"/>
      <c r="S98" s="4294" t="inlineStr">
        <is>
          <t>分～</t>
        </is>
      </c>
      <c r="T98" s="4290" t="n"/>
      <c r="U98" s="98" t="inlineStr">
        <is>
          <t xml:space="preserve">　</t>
        </is>
      </c>
      <c r="V98" s="1582" t="n"/>
      <c r="W98" s="1582" t="n"/>
      <c r="X98" s="1521" t="inlineStr">
        <is>
          <t>時</t>
        </is>
      </c>
      <c r="Y98" s="96" t="n"/>
      <c r="Z98" s="96" t="n"/>
      <c r="AA98" s="1521" t="inlineStr">
        <is>
          <t>分</t>
        </is>
      </c>
      <c r="AB98" s="1583" t="n"/>
      <c r="AC98" s="4419" t="n"/>
      <c r="AD98" s="4213" t="n"/>
      <c r="AH98" s="4109" t="n"/>
    </row>
    <row r="99" ht="3.95" customHeight="1" s="4080">
      <c r="A99" s="4097" t="n"/>
      <c r="B99" s="4107" t="n"/>
      <c r="C99" s="4106" t="n"/>
      <c r="J99" s="4107" t="n"/>
      <c r="K99" s="4106" t="n"/>
      <c r="M99" s="4191" t="n"/>
      <c r="N99" s="1589" t="n"/>
      <c r="Q99" s="1325" t="n"/>
      <c r="U99" s="1257" t="n"/>
      <c r="Y99" s="1580" t="n"/>
      <c r="AB99" s="1325" t="n"/>
      <c r="AC99" s="4419" t="n"/>
      <c r="AD99" s="4213" t="n"/>
      <c r="AH99" s="4109" t="n"/>
    </row>
    <row r="100" ht="12" customHeight="1" s="4080">
      <c r="A100" s="4097" t="n"/>
      <c r="B100" s="4107" t="n"/>
      <c r="C100" s="4102" t="n"/>
      <c r="D100" s="4103" t="n"/>
      <c r="E100" s="4103" t="n"/>
      <c r="F100" s="4103" t="n"/>
      <c r="G100" s="4103" t="n"/>
      <c r="H100" s="4103" t="n"/>
      <c r="I100" s="4103" t="n"/>
      <c r="J100" s="4104" t="n"/>
      <c r="K100" s="4102" t="n"/>
      <c r="L100" s="4103" t="n"/>
      <c r="M100" s="4193" t="n"/>
      <c r="N100" s="1588" t="n"/>
      <c r="O100" s="1258" t="n"/>
      <c r="P100" s="4103" t="n"/>
      <c r="Q100" s="1327" t="n"/>
      <c r="R100" s="1327" t="n"/>
      <c r="S100" s="4103" t="n"/>
      <c r="T100" s="4103" t="n"/>
      <c r="U100" s="92" t="n"/>
      <c r="V100" s="1258" t="n"/>
      <c r="W100" s="1258" t="n"/>
      <c r="X100" s="4103" t="n"/>
      <c r="Y100" s="2836" t="n"/>
      <c r="Z100" s="2836" t="n"/>
      <c r="AA100" s="4103" t="n"/>
      <c r="AB100" s="1327" t="n"/>
      <c r="AC100" s="4283" t="n"/>
      <c r="AD100" s="4216" t="n"/>
      <c r="AE100" s="4103" t="n"/>
      <c r="AF100" s="4103" t="n"/>
      <c r="AG100" s="4103" t="n"/>
      <c r="AH100" s="4105" t="n"/>
    </row>
    <row r="101" ht="3.95" customHeight="1" s="4080">
      <c r="A101" s="4097" t="n"/>
      <c r="B101" s="4107" t="n"/>
      <c r="C101" s="1322" t="n"/>
      <c r="D101" s="4429" t="inlineStr">
        <is>
          <t>多機能型実施の有無</t>
        </is>
      </c>
      <c r="E101" s="4098" t="n"/>
      <c r="F101" s="4098" t="n"/>
      <c r="G101" s="4098" t="n"/>
      <c r="H101" s="4098" t="n"/>
      <c r="I101" s="4098" t="n"/>
      <c r="J101" s="1394" t="n"/>
      <c r="K101" s="4430" t="n"/>
      <c r="L101" s="2056" t="n"/>
      <c r="M101" s="4098" t="n"/>
      <c r="N101" s="4098" t="n"/>
      <c r="O101" s="2070" t="n"/>
      <c r="P101" s="4839" t="n"/>
      <c r="Q101" s="4098" t="n"/>
      <c r="R101" s="4098" t="n"/>
      <c r="S101" s="4098" t="n"/>
      <c r="T101" s="4098" t="n"/>
      <c r="U101" s="534" t="n"/>
      <c r="V101" s="534" t="n"/>
      <c r="W101" s="534" t="n"/>
      <c r="X101" s="534" t="n"/>
      <c r="Y101" s="534" t="n"/>
      <c r="Z101" s="534" t="n"/>
      <c r="AA101" s="534" t="n"/>
      <c r="AB101" s="2957" t="n"/>
      <c r="AC101" s="2957" t="n"/>
      <c r="AD101" s="2957" t="n"/>
      <c r="AE101" s="2957" t="n"/>
      <c r="AF101" s="2957" t="n"/>
      <c r="AG101" s="2957" t="n"/>
      <c r="AH101" s="2958" t="n"/>
    </row>
    <row r="102" ht="12" customHeight="1" s="4080">
      <c r="A102" s="4097" t="n"/>
      <c r="B102" s="4107" t="n"/>
      <c r="C102" s="4106" t="n"/>
      <c r="J102" s="4107" t="n"/>
      <c r="K102" s="4106" t="n"/>
      <c r="L102" s="2069" t="inlineStr">
        <is>
          <t>有</t>
        </is>
      </c>
      <c r="M102" s="2069" t="inlineStr">
        <is>
          <t>・</t>
        </is>
      </c>
      <c r="N102" s="2069" t="inlineStr">
        <is>
          <t>無</t>
        </is>
      </c>
      <c r="O102" s="4107" t="n"/>
      <c r="P102" s="4106" t="n"/>
      <c r="U102" s="537" t="n"/>
      <c r="V102" s="3319" t="n"/>
      <c r="AB102" s="538" t="n"/>
      <c r="AC102" s="3320" t="n"/>
      <c r="AH102" s="4109" t="n"/>
    </row>
    <row r="103" ht="3.95" customHeight="1" s="4080">
      <c r="A103" s="4097" t="n"/>
      <c r="B103" s="4107" t="n"/>
      <c r="C103" s="1326" t="n"/>
      <c r="J103" s="4107" t="n"/>
      <c r="K103" s="4106" t="n"/>
      <c r="O103" s="4107" t="n"/>
      <c r="P103" s="4106" t="n"/>
      <c r="U103" s="539" t="n"/>
      <c r="V103" s="3319" t="n"/>
      <c r="AB103" s="540" t="n"/>
      <c r="AC103" s="3320" t="n"/>
      <c r="AH103" s="4109" t="n"/>
      <c r="AJ103" s="266" t="n"/>
    </row>
    <row r="104" ht="20.1" customHeight="1" s="4080">
      <c r="A104" s="4097" t="n"/>
      <c r="B104" s="4107" t="n"/>
      <c r="C104" s="4102" t="n"/>
      <c r="D104" s="4103" t="n"/>
      <c r="E104" s="4103" t="n"/>
      <c r="F104" s="4103" t="n"/>
      <c r="G104" s="4103" t="n"/>
      <c r="H104" s="4103" t="n"/>
      <c r="I104" s="4103" t="n"/>
      <c r="J104" s="4104" t="n"/>
      <c r="K104" s="4102" t="n"/>
      <c r="L104" s="2059" t="n"/>
      <c r="M104" s="4103" t="n"/>
      <c r="N104" s="4103" t="n"/>
      <c r="O104" s="4104" t="n"/>
      <c r="P104" s="4102" t="n"/>
      <c r="Q104" s="4103" t="n"/>
      <c r="R104" s="4103" t="n"/>
      <c r="S104" s="4103" t="n"/>
      <c r="T104" s="4103" t="n"/>
      <c r="U104" s="244" t="n"/>
      <c r="V104" s="244" t="n"/>
      <c r="W104" s="244" t="n"/>
      <c r="X104" s="244" t="n"/>
      <c r="Y104" s="244" t="n"/>
      <c r="Z104" s="244" t="n"/>
      <c r="AA104" s="244" t="n"/>
      <c r="AB104" s="2963" t="n"/>
      <c r="AC104" s="2963" t="n"/>
      <c r="AD104" s="2963" t="n"/>
      <c r="AE104" s="2963" t="n"/>
      <c r="AF104" s="2963" t="n"/>
      <c r="AG104" s="2963" t="n"/>
      <c r="AH104" s="2964" t="n"/>
    </row>
    <row r="105" ht="20.1" customHeight="1" s="4080">
      <c r="A105" s="4097" t="n"/>
      <c r="B105" s="4107" t="n"/>
      <c r="C105" s="1393" t="n"/>
      <c r="D105" s="1264" t="inlineStr">
        <is>
          <t>利用料</t>
        </is>
      </c>
      <c r="E105" s="4110" t="n"/>
      <c r="F105" s="4110" t="n"/>
      <c r="G105" s="4110" t="n"/>
      <c r="H105" s="4110" t="n"/>
      <c r="I105" s="4110" t="n"/>
      <c r="J105" s="1394" t="n"/>
      <c r="K105" s="4227" t="n"/>
      <c r="L105" s="4110" t="n"/>
      <c r="M105" s="4110" t="n"/>
      <c r="N105" s="4110" t="n"/>
      <c r="O105" s="4110" t="n"/>
      <c r="P105" s="4110" t="n"/>
      <c r="Q105" s="4110" t="n"/>
      <c r="R105" s="4110" t="n"/>
      <c r="S105" s="4110" t="n"/>
      <c r="T105" s="4110" t="n"/>
      <c r="U105" s="4110" t="n"/>
      <c r="V105" s="4110" t="n"/>
      <c r="W105" s="4110" t="n"/>
      <c r="X105" s="4110" t="n"/>
      <c r="Y105" s="4110" t="n"/>
      <c r="Z105" s="4110" t="n"/>
      <c r="AA105" s="4110" t="n"/>
      <c r="AB105" s="4110" t="n"/>
      <c r="AC105" s="4110" t="n"/>
      <c r="AD105" s="4110" t="n"/>
      <c r="AE105" s="4110" t="n"/>
      <c r="AF105" s="4110" t="n"/>
      <c r="AG105" s="4110" t="n"/>
      <c r="AH105" s="4113" t="n"/>
    </row>
    <row r="106" ht="16.5" customHeight="1" s="4080">
      <c r="A106" s="4097" t="n"/>
      <c r="B106" s="4107" t="n"/>
      <c r="C106" s="1322" t="n"/>
      <c r="D106" s="1264" t="inlineStr">
        <is>
          <t>その他の費用</t>
        </is>
      </c>
      <c r="E106" s="4110" t="n"/>
      <c r="F106" s="4110" t="n"/>
      <c r="G106" s="4110" t="n"/>
      <c r="H106" s="4110" t="n"/>
      <c r="I106" s="4110" t="n"/>
      <c r="J106" s="1331" t="n"/>
      <c r="K106" s="4121" t="n"/>
      <c r="L106" s="4110" t="n"/>
      <c r="M106" s="4110" t="n"/>
      <c r="N106" s="4110" t="n"/>
      <c r="O106" s="4110" t="n"/>
      <c r="P106" s="4110" t="n"/>
      <c r="Q106" s="4110" t="n"/>
      <c r="R106" s="4110" t="n"/>
      <c r="S106" s="4110" t="n"/>
      <c r="T106" s="4110" t="n"/>
      <c r="U106" s="4110" t="n"/>
      <c r="V106" s="4110" t="n"/>
      <c r="W106" s="4110" t="n"/>
      <c r="X106" s="4110" t="n"/>
      <c r="Y106" s="4110" t="n"/>
      <c r="Z106" s="4110" t="n"/>
      <c r="AA106" s="4110" t="n"/>
      <c r="AB106" s="4110" t="n"/>
      <c r="AC106" s="4110" t="n"/>
      <c r="AD106" s="4110" t="n"/>
      <c r="AE106" s="4110" t="n"/>
      <c r="AF106" s="4110" t="n"/>
      <c r="AG106" s="4110" t="n"/>
      <c r="AH106" s="4113" t="n"/>
    </row>
    <row r="107" ht="19.5" customHeight="1" s="4080">
      <c r="A107" s="4097" t="n"/>
      <c r="B107" s="4107" t="n"/>
      <c r="C107" s="1300" t="n"/>
      <c r="D107" s="4222" t="inlineStr">
        <is>
          <t>通常の事業の
実施地域</t>
        </is>
      </c>
      <c r="E107" s="4098" t="n"/>
      <c r="F107" s="4098" t="n"/>
      <c r="G107" s="4098" t="n"/>
      <c r="H107" s="4098" t="n"/>
      <c r="I107" s="4098" t="n"/>
      <c r="J107" s="1963" t="n"/>
      <c r="K107" s="3272" t="inlineStr">
        <is>
          <t>1)</t>
        </is>
      </c>
      <c r="L107" s="1406" t="n"/>
      <c r="M107" s="4110" t="n"/>
      <c r="N107" s="4110" t="n"/>
      <c r="O107" s="2325" t="inlineStr">
        <is>
          <t>2)</t>
        </is>
      </c>
      <c r="P107" s="1406" t="n"/>
      <c r="Q107" s="4110" t="n"/>
      <c r="R107" s="4110" t="n"/>
      <c r="S107" s="2325" t="inlineStr">
        <is>
          <t>3)</t>
        </is>
      </c>
      <c r="T107" s="1406" t="n"/>
      <c r="U107" s="4110" t="n"/>
      <c r="V107" s="4110" t="n"/>
      <c r="W107" s="2325" t="inlineStr">
        <is>
          <t>4)</t>
        </is>
      </c>
      <c r="X107" s="1406" t="n"/>
      <c r="Y107" s="4110" t="n"/>
      <c r="Z107" s="4110" t="n"/>
      <c r="AA107" s="2325" t="inlineStr">
        <is>
          <t>5)</t>
        </is>
      </c>
      <c r="AB107" s="1406" t="n"/>
      <c r="AC107" s="4110" t="n"/>
      <c r="AD107" s="4110" t="n"/>
      <c r="AE107" s="4229" t="inlineStr">
        <is>
          <t>備考</t>
        </is>
      </c>
      <c r="AF107" s="4230" t="n"/>
      <c r="AG107" s="4098" t="n"/>
      <c r="AH107" s="4101" t="n"/>
    </row>
    <row r="108" ht="16.5" customHeight="1" s="4080">
      <c r="A108" s="4097" t="n"/>
      <c r="B108" s="4107" t="n"/>
      <c r="C108" s="4102" t="n"/>
      <c r="D108" s="4103" t="n"/>
      <c r="E108" s="4103" t="n"/>
      <c r="F108" s="4103" t="n"/>
      <c r="G108" s="4103" t="n"/>
      <c r="H108" s="4103" t="n"/>
      <c r="I108" s="4103" t="n"/>
      <c r="J108" s="4104" t="n"/>
      <c r="K108" s="3272" t="inlineStr">
        <is>
          <t>6)</t>
        </is>
      </c>
      <c r="L108" s="1406" t="n"/>
      <c r="M108" s="4110" t="n"/>
      <c r="N108" s="4110" t="n"/>
      <c r="O108" s="2325" t="inlineStr">
        <is>
          <t>7)</t>
        </is>
      </c>
      <c r="P108" s="1406" t="n"/>
      <c r="Q108" s="4110" t="n"/>
      <c r="R108" s="4110" t="n"/>
      <c r="S108" s="2325" t="inlineStr">
        <is>
          <t>8)</t>
        </is>
      </c>
      <c r="T108" s="1406" t="n"/>
      <c r="U108" s="4110" t="n"/>
      <c r="V108" s="4110" t="n"/>
      <c r="W108" s="2325" t="inlineStr">
        <is>
          <t>9)</t>
        </is>
      </c>
      <c r="X108" s="1406" t="n"/>
      <c r="Y108" s="4110" t="n"/>
      <c r="Z108" s="4110" t="n"/>
      <c r="AA108" s="71" t="inlineStr">
        <is>
          <t>10)</t>
        </is>
      </c>
      <c r="AB108" s="1406" t="n"/>
      <c r="AC108" s="4110" t="n"/>
      <c r="AD108" s="4110" t="n"/>
      <c r="AE108" s="4124" t="n"/>
      <c r="AF108" s="4102" t="n"/>
      <c r="AG108" s="4103" t="n"/>
      <c r="AH108" s="4105" t="n"/>
    </row>
    <row r="109" ht="3.95" customHeight="1" s="4080">
      <c r="A109" s="4097" t="n"/>
      <c r="B109" s="4107" t="n"/>
      <c r="C109" s="1795" t="n"/>
      <c r="D109" s="1402" t="n"/>
      <c r="E109" s="3328" t="n"/>
      <c r="F109" s="3328" t="n"/>
      <c r="G109" s="3328" t="n"/>
      <c r="H109" s="3328" t="n"/>
      <c r="I109" s="3328" t="n"/>
      <c r="J109" s="3329" t="n"/>
      <c r="K109" s="541" t="n"/>
      <c r="L109" s="1852" t="n"/>
      <c r="M109" s="4098" t="n"/>
      <c r="N109" s="4098" t="n"/>
      <c r="O109" s="3371" t="n"/>
      <c r="P109" s="4488" t="n"/>
      <c r="Q109" s="4098" t="n"/>
      <c r="R109" s="4098" t="n"/>
      <c r="S109" s="4098" t="n"/>
      <c r="T109" s="4098" t="n"/>
      <c r="U109" s="4098" t="n"/>
      <c r="V109" s="4098" t="n"/>
      <c r="W109" s="4098" t="n"/>
      <c r="X109" s="4098" t="n"/>
      <c r="Y109" s="4098" t="n"/>
      <c r="Z109" s="4098" t="n"/>
      <c r="AA109" s="4098" t="n"/>
      <c r="AB109" s="4098" t="n"/>
      <c r="AC109" s="4098" t="n"/>
      <c r="AD109" s="4098" t="n"/>
      <c r="AE109" s="4098" t="n"/>
      <c r="AF109" s="4098" t="n"/>
      <c r="AG109" s="4098" t="n"/>
      <c r="AH109" s="4101" t="n"/>
    </row>
    <row r="110" ht="12" customHeight="1" s="4080">
      <c r="A110" s="4097" t="n"/>
      <c r="B110" s="4107" t="n"/>
      <c r="C110" s="1241" t="n"/>
      <c r="D110" s="2284" t="inlineStr">
        <is>
          <t>食事提供の有無</t>
        </is>
      </c>
      <c r="J110" s="1243" t="n"/>
      <c r="K110" s="4106" t="n"/>
      <c r="L110" s="1829" t="inlineStr">
        <is>
          <t>有</t>
        </is>
      </c>
      <c r="M110" s="1829" t="inlineStr">
        <is>
          <t>・</t>
        </is>
      </c>
      <c r="N110" s="1829" t="inlineStr">
        <is>
          <t>無</t>
        </is>
      </c>
      <c r="O110" s="4107" t="n"/>
      <c r="P110" s="4106" t="n"/>
      <c r="AH110" s="4109" t="n"/>
    </row>
    <row r="111" ht="3.95" customHeight="1" s="4080">
      <c r="A111" s="4097" t="n"/>
      <c r="B111" s="4107" t="n"/>
      <c r="C111" s="1795" t="n"/>
      <c r="D111" s="1413" t="n"/>
      <c r="E111" s="3334" t="n"/>
      <c r="F111" s="3334" t="n"/>
      <c r="G111" s="3334" t="n"/>
      <c r="H111" s="3334" t="n"/>
      <c r="I111" s="3334" t="n"/>
      <c r="J111" s="3335" t="n"/>
      <c r="K111" s="4102" t="n"/>
      <c r="L111" s="2285" t="n"/>
      <c r="M111" s="4103" t="n"/>
      <c r="N111" s="4103" t="n"/>
      <c r="O111" s="4104" t="n"/>
      <c r="P111" s="4102" t="n"/>
      <c r="Q111" s="4103" t="n"/>
      <c r="R111" s="4103" t="n"/>
      <c r="S111" s="4103" t="n"/>
      <c r="T111" s="4103" t="n"/>
      <c r="U111" s="4103" t="n"/>
      <c r="V111" s="4103" t="n"/>
      <c r="W111" s="4103" t="n"/>
      <c r="X111" s="4103" t="n"/>
      <c r="Y111" s="4103" t="n"/>
      <c r="Z111" s="4103" t="n"/>
      <c r="AA111" s="4103" t="n"/>
      <c r="AB111" s="4103" t="n"/>
      <c r="AC111" s="4103" t="n"/>
      <c r="AD111" s="4103" t="n"/>
      <c r="AE111" s="4103" t="n"/>
      <c r="AF111" s="4103" t="n"/>
      <c r="AG111" s="4103" t="n"/>
      <c r="AH111" s="4105" t="n"/>
    </row>
    <row r="112" ht="14.1" customHeight="1" s="4080">
      <c r="A112" s="4097" t="n"/>
      <c r="B112" s="4107" t="n"/>
      <c r="C112" s="4840" t="inlineStr">
        <is>
          <t>送迎サービス</t>
        </is>
      </c>
      <c r="D112" s="4099" t="n"/>
      <c r="E112" s="4841" t="inlineStr">
        <is>
          <t>実施の有無</t>
        </is>
      </c>
      <c r="F112" s="4098" t="n"/>
      <c r="G112" s="4098" t="n"/>
      <c r="H112" s="4098" t="n"/>
      <c r="I112" s="4098" t="n"/>
      <c r="J112" s="4099" t="n"/>
      <c r="K112" s="541" t="n"/>
      <c r="L112" s="1852" t="n"/>
      <c r="M112" s="4098" t="n"/>
      <c r="N112" s="4098" t="n"/>
      <c r="O112" s="3371" t="n"/>
      <c r="P112" s="4488" t="n"/>
      <c r="Q112" s="4098" t="n"/>
      <c r="R112" s="4098" t="n"/>
      <c r="S112" s="4098" t="n"/>
      <c r="T112" s="4098" t="n"/>
      <c r="U112" s="4098" t="n"/>
      <c r="V112" s="4098" t="n"/>
      <c r="W112" s="4098" t="n"/>
      <c r="X112" s="4098" t="n"/>
      <c r="Y112" s="4098" t="n"/>
      <c r="Z112" s="4098" t="n"/>
      <c r="AA112" s="4098" t="n"/>
      <c r="AB112" s="4098" t="n"/>
      <c r="AC112" s="4098" t="n"/>
      <c r="AD112" s="4098" t="n"/>
      <c r="AE112" s="4098" t="n"/>
      <c r="AF112" s="4098" t="n"/>
      <c r="AG112" s="4098" t="n"/>
      <c r="AH112" s="4101" t="n"/>
    </row>
    <row r="113" ht="14.1" customHeight="1" s="4080">
      <c r="A113" s="4097" t="n"/>
      <c r="B113" s="4107" t="n"/>
      <c r="C113" s="4106" t="n"/>
      <c r="D113" s="4107" t="n"/>
      <c r="E113" s="4106" t="n"/>
      <c r="J113" s="4107" t="n"/>
      <c r="K113" s="4106" t="n"/>
      <c r="L113" s="1829" t="inlineStr">
        <is>
          <t>有</t>
        </is>
      </c>
      <c r="M113" s="1829" t="inlineStr">
        <is>
          <t>・</t>
        </is>
      </c>
      <c r="N113" s="1829" t="inlineStr">
        <is>
          <t>無</t>
        </is>
      </c>
      <c r="O113" s="4107" t="n"/>
      <c r="P113" s="4106" t="n"/>
      <c r="AH113" s="4109" t="n"/>
    </row>
    <row r="114" ht="14.1" customHeight="1" s="4080">
      <c r="A114" s="4097" t="n"/>
      <c r="B114" s="4107" t="n"/>
      <c r="C114" s="4106" t="n"/>
      <c r="D114" s="4107" t="n"/>
      <c r="E114" s="4102" t="n"/>
      <c r="F114" s="4103" t="n"/>
      <c r="G114" s="4103" t="n"/>
      <c r="H114" s="4103" t="n"/>
      <c r="I114" s="4103" t="n"/>
      <c r="J114" s="4104" t="n"/>
      <c r="K114" s="4102" t="n"/>
      <c r="L114" s="2285" t="n"/>
      <c r="M114" s="4103" t="n"/>
      <c r="N114" s="4103" t="n"/>
      <c r="O114" s="4104" t="n"/>
      <c r="P114" s="4102" t="n"/>
      <c r="Q114" s="4103" t="n"/>
      <c r="R114" s="4103" t="n"/>
      <c r="S114" s="4103" t="n"/>
      <c r="T114" s="4103" t="n"/>
      <c r="U114" s="4103" t="n"/>
      <c r="V114" s="4103" t="n"/>
      <c r="W114" s="4103" t="n"/>
      <c r="X114" s="4103" t="n"/>
      <c r="Y114" s="4103" t="n"/>
      <c r="Z114" s="4103" t="n"/>
      <c r="AA114" s="4103" t="n"/>
      <c r="AB114" s="4103" t="n"/>
      <c r="AC114" s="4103" t="n"/>
      <c r="AD114" s="4103" t="n"/>
      <c r="AE114" s="4103" t="n"/>
      <c r="AF114" s="4103" t="n"/>
      <c r="AG114" s="4103" t="n"/>
      <c r="AH114" s="4105" t="n"/>
    </row>
    <row r="115" ht="19.5" customHeight="1" s="4080">
      <c r="A115" s="4097" t="n"/>
      <c r="B115" s="4107" t="n"/>
      <c r="C115" s="4106" t="n"/>
      <c r="D115" s="4107" t="n"/>
      <c r="E115" s="4842" t="inlineStr">
        <is>
          <t>送迎サービスの
実施地域</t>
        </is>
      </c>
      <c r="F115" s="4098" t="n"/>
      <c r="G115" s="4098" t="n"/>
      <c r="H115" s="4098" t="n"/>
      <c r="I115" s="4098" t="n"/>
      <c r="J115" s="4099" t="n"/>
      <c r="K115" s="541" t="inlineStr">
        <is>
          <t>1)</t>
        </is>
      </c>
      <c r="L115" s="1406" t="n"/>
      <c r="M115" s="4110" t="n"/>
      <c r="N115" s="4110" t="n"/>
      <c r="O115" s="2325" t="inlineStr">
        <is>
          <t>2)</t>
        </is>
      </c>
      <c r="P115" s="1406" t="n"/>
      <c r="Q115" s="4110" t="n"/>
      <c r="R115" s="4110" t="n"/>
      <c r="S115" s="2325" t="inlineStr">
        <is>
          <t>3)</t>
        </is>
      </c>
      <c r="T115" s="1406" t="n"/>
      <c r="U115" s="4110" t="n"/>
      <c r="V115" s="4110" t="n"/>
      <c r="W115" s="2325" t="inlineStr">
        <is>
          <t>4)</t>
        </is>
      </c>
      <c r="X115" s="1406" t="n"/>
      <c r="Y115" s="4110" t="n"/>
      <c r="Z115" s="4110" t="n"/>
      <c r="AA115" s="2325" t="inlineStr">
        <is>
          <t>5)</t>
        </is>
      </c>
      <c r="AB115" s="1406" t="n"/>
      <c r="AC115" s="4110" t="n"/>
      <c r="AD115" s="4110" t="n"/>
      <c r="AE115" s="4843" t="inlineStr">
        <is>
          <t>備考</t>
        </is>
      </c>
      <c r="AF115" s="4844" t="n"/>
      <c r="AG115" s="4098" t="n"/>
      <c r="AH115" s="4101" t="n"/>
    </row>
    <row r="116" ht="18.75" customHeight="1" s="4080">
      <c r="A116" s="4097" t="n"/>
      <c r="B116" s="4107" t="n"/>
      <c r="C116" s="4102" t="n"/>
      <c r="D116" s="4104" t="n"/>
      <c r="E116" s="4102" t="n"/>
      <c r="F116" s="4103" t="n"/>
      <c r="G116" s="4103" t="n"/>
      <c r="H116" s="4103" t="n"/>
      <c r="I116" s="4103" t="n"/>
      <c r="J116" s="4104" t="n"/>
      <c r="K116" s="541" t="inlineStr">
        <is>
          <t>6)</t>
        </is>
      </c>
      <c r="L116" s="1406" t="n"/>
      <c r="M116" s="4110" t="n"/>
      <c r="N116" s="4110" t="n"/>
      <c r="O116" s="2325" t="inlineStr">
        <is>
          <t>7)</t>
        </is>
      </c>
      <c r="P116" s="1406" t="n"/>
      <c r="Q116" s="4110" t="n"/>
      <c r="R116" s="4110" t="n"/>
      <c r="S116" s="2325" t="inlineStr">
        <is>
          <t>8)</t>
        </is>
      </c>
      <c r="T116" s="1406" t="n"/>
      <c r="U116" s="4110" t="n"/>
      <c r="V116" s="4110" t="n"/>
      <c r="W116" s="2325" t="inlineStr">
        <is>
          <t>9)</t>
        </is>
      </c>
      <c r="X116" s="1406" t="n"/>
      <c r="Y116" s="4110" t="n"/>
      <c r="Z116" s="4110" t="n"/>
      <c r="AA116" s="71" t="inlineStr">
        <is>
          <t>10)</t>
        </is>
      </c>
      <c r="AB116" s="1406" t="n"/>
      <c r="AC116" s="4110" t="n"/>
      <c r="AD116" s="4110" t="n"/>
      <c r="AE116" s="4124" t="n"/>
      <c r="AF116" s="4103" t="n"/>
      <c r="AG116" s="4103" t="n"/>
      <c r="AH116" s="4105" t="n"/>
    </row>
    <row r="117">
      <c r="A117" s="4097" t="n"/>
      <c r="B117" s="4107" t="n"/>
      <c r="C117" s="2163" t="inlineStr">
        <is>
          <t>指導訓練室の有無等</t>
        </is>
      </c>
      <c r="D117" s="4098" t="n"/>
      <c r="E117" s="4098" t="n"/>
      <c r="F117" s="4098" t="n"/>
      <c r="G117" s="4098" t="n"/>
      <c r="H117" s="4098" t="n"/>
      <c r="I117" s="4098" t="n"/>
      <c r="J117" s="4099" t="n"/>
      <c r="K117" s="541" t="n"/>
      <c r="L117" s="1852" t="n"/>
      <c r="M117" s="4098" t="n"/>
      <c r="N117" s="4098" t="n"/>
      <c r="O117" s="3371" t="n"/>
      <c r="P117" s="4274" t="inlineStr">
        <is>
          <t>設置形態</t>
        </is>
      </c>
      <c r="Q117" s="4098" t="n"/>
      <c r="R117" s="4098" t="n"/>
      <c r="S117" s="4099" t="n"/>
      <c r="T117" s="1457" t="n"/>
      <c r="U117" s="1457" t="n"/>
      <c r="V117" s="1457" t="n"/>
      <c r="W117" s="1457" t="n"/>
      <c r="X117" s="1457" t="n"/>
      <c r="Y117" s="1457" t="n"/>
      <c r="Z117" s="1457" t="n"/>
      <c r="AA117" s="1052" t="n"/>
      <c r="AB117" s="4098" t="n"/>
      <c r="AC117" s="4098" t="n"/>
      <c r="AD117" s="4098" t="n"/>
      <c r="AE117" s="4098" t="n"/>
      <c r="AF117" s="4098" t="n"/>
      <c r="AG117" s="4098" t="n"/>
      <c r="AH117" s="1659" t="n"/>
    </row>
    <row r="118">
      <c r="A118" s="4097" t="n"/>
      <c r="B118" s="4107" t="n"/>
      <c r="C118" s="4106" t="n"/>
      <c r="J118" s="4107" t="n"/>
      <c r="K118" s="4106" t="n"/>
      <c r="L118" s="1829" t="inlineStr">
        <is>
          <t>有</t>
        </is>
      </c>
      <c r="M118" s="1829" t="inlineStr">
        <is>
          <t>・</t>
        </is>
      </c>
      <c r="N118" s="1829" t="inlineStr">
        <is>
          <t>無</t>
        </is>
      </c>
      <c r="O118" s="4107" t="n"/>
      <c r="P118" s="4106" t="n"/>
      <c r="S118" s="4107" t="n"/>
      <c r="T118" s="1457" t="n"/>
      <c r="U118" s="1391" t="inlineStr">
        <is>
          <t>専用</t>
        </is>
      </c>
      <c r="W118" s="2295" t="inlineStr">
        <is>
          <t>・</t>
        </is>
      </c>
      <c r="X118" s="1391" t="inlineStr">
        <is>
          <t>共用</t>
        </is>
      </c>
      <c r="Z118" s="187" t="inlineStr">
        <is>
          <t>（</t>
        </is>
      </c>
      <c r="AH118" s="188" t="inlineStr">
        <is>
          <t>）</t>
        </is>
      </c>
    </row>
    <row r="119">
      <c r="A119" s="4097" t="n"/>
      <c r="B119" s="4107" t="n"/>
      <c r="C119" s="4102" t="n"/>
      <c r="D119" s="4103" t="n"/>
      <c r="E119" s="4103" t="n"/>
      <c r="F119" s="4103" t="n"/>
      <c r="G119" s="4103" t="n"/>
      <c r="H119" s="4103" t="n"/>
      <c r="I119" s="4103" t="n"/>
      <c r="J119" s="4104" t="n"/>
      <c r="K119" s="4102" t="n"/>
      <c r="L119" s="2285" t="n"/>
      <c r="M119" s="4103" t="n"/>
      <c r="N119" s="4103" t="n"/>
      <c r="O119" s="4104" t="n"/>
      <c r="P119" s="4102" t="n"/>
      <c r="Q119" s="4103" t="n"/>
      <c r="R119" s="4103" t="n"/>
      <c r="S119" s="4104" t="n"/>
      <c r="T119" s="929" t="n"/>
      <c r="U119" s="930" t="n"/>
      <c r="V119" s="930" t="n"/>
      <c r="W119" s="930" t="n"/>
      <c r="X119" s="930" t="n"/>
      <c r="Y119" s="930" t="n"/>
      <c r="Z119" s="930" t="n"/>
      <c r="AA119" s="4103" t="n"/>
      <c r="AB119" s="4103" t="n"/>
      <c r="AC119" s="4103" t="n"/>
      <c r="AD119" s="4103" t="n"/>
      <c r="AE119" s="4103" t="n"/>
      <c r="AF119" s="4103" t="n"/>
      <c r="AG119" s="4103" t="n"/>
      <c r="AH119" s="1659" t="n"/>
    </row>
    <row r="120" ht="18.75" customHeight="1" s="4080">
      <c r="A120" s="4097" t="n"/>
      <c r="B120" s="4107" t="n"/>
      <c r="C120" s="2163" t="inlineStr">
        <is>
          <t>協 力 医 療 機 関</t>
        </is>
      </c>
      <c r="D120" s="4110" t="n"/>
      <c r="E120" s="4110" t="n"/>
      <c r="F120" s="4110" t="n"/>
      <c r="G120" s="4110" t="n"/>
      <c r="H120" s="4110" t="n"/>
      <c r="I120" s="4110" t="n"/>
      <c r="J120" s="4111" t="n"/>
      <c r="K120" s="4845" t="inlineStr">
        <is>
          <t>名 称</t>
        </is>
      </c>
      <c r="L120" s="4110" t="n"/>
      <c r="M120" s="4111" t="n"/>
      <c r="N120" s="3369" t="n"/>
      <c r="O120" s="1829" t="n"/>
      <c r="P120" s="1432" t="n"/>
      <c r="Q120" s="1432" t="n"/>
      <c r="R120" s="1432" t="n"/>
      <c r="S120" s="1432" t="n"/>
      <c r="T120" s="1457" t="n"/>
      <c r="U120" s="1457" t="n"/>
      <c r="V120" s="1457" t="n"/>
      <c r="W120" s="1457" t="n"/>
      <c r="X120" s="844" t="inlineStr">
        <is>
          <t>主な診療科名</t>
        </is>
      </c>
      <c r="Y120" s="4110" t="n"/>
      <c r="Z120" s="4110" t="n"/>
      <c r="AA120" s="4111" t="n"/>
      <c r="AB120" s="3349" t="n"/>
      <c r="AC120" s="3349" t="n"/>
      <c r="AD120" s="3349" t="n"/>
      <c r="AE120" s="3349" t="n"/>
      <c r="AF120" s="3349" t="n"/>
      <c r="AG120" s="3349" t="n"/>
      <c r="AH120" s="422" t="n"/>
    </row>
    <row r="121" ht="5.25" customHeight="1" s="4080">
      <c r="A121" s="4097" t="n"/>
      <c r="B121" s="4107" t="n"/>
      <c r="C121" s="4846" t="inlineStr">
        <is>
          <t>その他参考
となる事項</t>
        </is>
      </c>
      <c r="D121" s="4107" t="n"/>
      <c r="E121" s="4634" t="inlineStr">
        <is>
          <t>第三者評価の実施状況</t>
        </is>
      </c>
      <c r="F121" s="4098" t="n"/>
      <c r="G121" s="4098" t="n"/>
      <c r="H121" s="4098" t="n"/>
      <c r="I121" s="4098" t="n"/>
      <c r="J121" s="4099" t="n"/>
      <c r="K121" s="1660" t="n"/>
      <c r="L121" s="1661" t="n"/>
      <c r="M121" s="1661" t="n"/>
      <c r="N121" s="1661" t="n"/>
      <c r="O121" s="1661" t="n"/>
      <c r="P121" s="1661" t="n"/>
      <c r="Q121" s="1661" t="n"/>
      <c r="R121" s="4232" t="n"/>
      <c r="S121" s="4098" t="n"/>
      <c r="T121" s="4098" t="n"/>
      <c r="U121" s="4098" t="n"/>
      <c r="V121" s="4098" t="n"/>
      <c r="W121" s="4098" t="n"/>
      <c r="X121" s="4098" t="n"/>
      <c r="Y121" s="4098" t="n"/>
      <c r="Z121" s="4098" t="n"/>
      <c r="AA121" s="4098" t="n"/>
      <c r="AB121" s="1661" t="n"/>
      <c r="AC121" s="1661" t="n"/>
      <c r="AD121" s="1661" t="n"/>
      <c r="AE121" s="1661" t="n"/>
      <c r="AF121" s="1661" t="n"/>
      <c r="AG121" s="1661" t="n"/>
      <c r="AH121" s="1662" t="n"/>
    </row>
    <row r="122" ht="16.5" customHeight="1" s="4080">
      <c r="A122" s="4097" t="n"/>
      <c r="B122" s="4107" t="n"/>
      <c r="C122" s="4106" t="n"/>
      <c r="D122" s="4107" t="n"/>
      <c r="E122" s="4106" t="n"/>
      <c r="J122" s="4107" t="n"/>
      <c r="K122" s="1372" t="n"/>
      <c r="L122" s="1432" t="inlineStr">
        <is>
          <t>している</t>
        </is>
      </c>
      <c r="O122" s="3376" t="inlineStr">
        <is>
          <t>(実施先：</t>
        </is>
      </c>
      <c r="AB122" s="1889" t="inlineStr">
        <is>
          <t>)・</t>
        </is>
      </c>
      <c r="AC122" s="1290" t="inlineStr">
        <is>
          <t>していない</t>
        </is>
      </c>
      <c r="AH122" s="1668" t="n"/>
    </row>
    <row r="123" ht="8.25" customHeight="1" s="4080">
      <c r="A123" s="4097" t="n"/>
      <c r="B123" s="4107" t="n"/>
      <c r="C123" s="4106" t="n"/>
      <c r="D123" s="4107" t="n"/>
      <c r="E123" s="4102" t="n"/>
      <c r="F123" s="4103" t="n"/>
      <c r="G123" s="4103" t="n"/>
      <c r="H123" s="4103" t="n"/>
      <c r="I123" s="4103" t="n"/>
      <c r="J123" s="4104" t="n"/>
      <c r="K123" s="438" t="n"/>
      <c r="L123" s="389" t="n"/>
      <c r="M123" s="389" t="n"/>
      <c r="N123" s="389" t="n"/>
      <c r="O123" s="389" t="n"/>
      <c r="P123" s="389" t="n"/>
      <c r="Q123" s="389" t="n"/>
      <c r="R123" s="4103" t="n"/>
      <c r="S123" s="4103" t="n"/>
      <c r="T123" s="4103" t="n"/>
      <c r="U123" s="4103" t="n"/>
      <c r="V123" s="4103" t="n"/>
      <c r="W123" s="4103" t="n"/>
      <c r="X123" s="4103" t="n"/>
      <c r="Y123" s="4103" t="n"/>
      <c r="Z123" s="4103" t="n"/>
      <c r="AA123" s="4103" t="n"/>
      <c r="AB123" s="389" t="n"/>
      <c r="AC123" s="389" t="n"/>
      <c r="AD123" s="389" t="n"/>
      <c r="AE123" s="389" t="n"/>
      <c r="AF123" s="389" t="n"/>
      <c r="AG123" s="389" t="n"/>
      <c r="AH123" s="390" t="n"/>
    </row>
    <row r="124" ht="15.75" customHeight="1" s="4080">
      <c r="A124" s="4097" t="n"/>
      <c r="B124" s="4107" t="n"/>
      <c r="C124" s="4106" t="n"/>
      <c r="D124" s="4107" t="n"/>
      <c r="E124" s="4847" t="inlineStr">
        <is>
          <t>苦情解決の措置概要</t>
        </is>
      </c>
      <c r="F124" s="4098" t="n"/>
      <c r="G124" s="4098" t="n"/>
      <c r="H124" s="4098" t="n"/>
      <c r="I124" s="4098" t="n"/>
      <c r="J124" s="4099" t="n"/>
      <c r="K124" s="4848" t="inlineStr">
        <is>
          <t>窓　口</t>
        </is>
      </c>
      <c r="L124" s="4110" t="n"/>
      <c r="M124" s="4111" t="n"/>
      <c r="N124" s="4121" t="n"/>
      <c r="O124" s="4110" t="n"/>
      <c r="P124" s="4110" t="n"/>
      <c r="Q124" s="4110" t="n"/>
      <c r="R124" s="4110" t="n"/>
      <c r="S124" s="4110" t="n"/>
      <c r="T124" s="4110" t="n"/>
      <c r="U124" s="4110" t="n"/>
      <c r="V124" s="4110" t="n"/>
      <c r="W124" s="4110" t="n"/>
      <c r="X124" s="4110" t="n"/>
      <c r="Y124" s="4110" t="n"/>
      <c r="Z124" s="4110" t="n"/>
      <c r="AA124" s="4110" t="n"/>
      <c r="AB124" s="4110" t="n"/>
      <c r="AC124" s="4110" t="n"/>
      <c r="AD124" s="4110" t="n"/>
      <c r="AE124" s="4110" t="n"/>
      <c r="AF124" s="4110" t="n"/>
      <c r="AG124" s="4110" t="n"/>
      <c r="AH124" s="4113" t="n"/>
    </row>
    <row r="125" ht="19.5" customHeight="1" s="4080">
      <c r="A125" s="4097" t="n"/>
      <c r="B125" s="4107" t="n"/>
      <c r="C125" s="4106" t="n"/>
      <c r="D125" s="4107" t="n"/>
      <c r="E125" s="4102" t="n"/>
      <c r="F125" s="4103" t="n"/>
      <c r="G125" s="4103" t="n"/>
      <c r="H125" s="4103" t="n"/>
      <c r="I125" s="4103" t="n"/>
      <c r="J125" s="4104" t="n"/>
      <c r="K125" s="2542" t="inlineStr">
        <is>
          <t>担当者</t>
        </is>
      </c>
      <c r="L125" s="4110" t="n"/>
      <c r="M125" s="4111" t="n"/>
      <c r="N125" s="4123" t="n"/>
      <c r="O125" s="4110" t="n"/>
      <c r="P125" s="4110" t="n"/>
      <c r="Q125" s="4110" t="n"/>
      <c r="R125" s="4110" t="n"/>
      <c r="S125" s="4110" t="n"/>
      <c r="T125" s="4110" t="n"/>
      <c r="U125" s="4111" t="n"/>
      <c r="V125" s="2163" t="inlineStr">
        <is>
          <t>電話</t>
        </is>
      </c>
      <c r="W125" s="4111" t="n"/>
      <c r="X125" s="882" t="n"/>
      <c r="Y125" s="4110" t="n"/>
      <c r="Z125" s="4110" t="n"/>
      <c r="AA125" s="1492" t="inlineStr">
        <is>
          <t>－</t>
        </is>
      </c>
      <c r="AB125" s="920" t="n"/>
      <c r="AC125" s="4110" t="n"/>
      <c r="AD125" s="4110" t="n"/>
      <c r="AE125" s="1492" t="inlineStr">
        <is>
          <t>－</t>
        </is>
      </c>
      <c r="AF125" s="955" t="n"/>
      <c r="AG125" s="4110" t="n"/>
      <c r="AH125" s="4113" t="n"/>
    </row>
    <row r="126" ht="14.25" customHeight="1" s="4080">
      <c r="A126" s="4114" t="n"/>
      <c r="B126" s="4104" t="n"/>
      <c r="C126" s="4102" t="n"/>
      <c r="D126" s="4104" t="n"/>
      <c r="E126" s="2070" t="inlineStr">
        <is>
          <t>そ　　　 の 　　　他</t>
        </is>
      </c>
      <c r="F126" s="4110" t="n"/>
      <c r="G126" s="4110" t="n"/>
      <c r="H126" s="4110" t="n"/>
      <c r="I126" s="4110" t="n"/>
      <c r="J126" s="4111" t="n"/>
      <c r="K126" s="4121" t="n"/>
      <c r="L126" s="4110" t="n"/>
      <c r="M126" s="4110" t="n"/>
      <c r="N126" s="4110" t="n"/>
      <c r="O126" s="4110" t="n"/>
      <c r="P126" s="4110" t="n"/>
      <c r="Q126" s="4110" t="n"/>
      <c r="R126" s="4110" t="n"/>
      <c r="S126" s="4110" t="n"/>
      <c r="T126" s="4110" t="n"/>
      <c r="U126" s="4110" t="n"/>
      <c r="V126" s="4110" t="n"/>
      <c r="W126" s="4110" t="n"/>
      <c r="X126" s="4110" t="n"/>
      <c r="Y126" s="4110" t="n"/>
      <c r="Z126" s="4110" t="n"/>
      <c r="AA126" s="4110" t="n"/>
      <c r="AB126" s="4110" t="n"/>
      <c r="AC126" s="4110" t="n"/>
      <c r="AD126" s="4110" t="n"/>
      <c r="AE126" s="4110" t="n"/>
      <c r="AF126" s="4110" t="n"/>
      <c r="AG126" s="4110" t="n"/>
      <c r="AH126" s="4113" t="n"/>
    </row>
    <row r="127" ht="12.75" customHeight="1" s="4080" thickBot="1">
      <c r="A127" s="4849" t="inlineStr">
        <is>
          <t>添　　付　　書　　類</t>
        </is>
      </c>
      <c r="B127" s="4153" t="n"/>
      <c r="C127" s="4153" t="n"/>
      <c r="D127" s="4153" t="n"/>
      <c r="E127" s="4153" t="n"/>
      <c r="F127" s="4153" t="n"/>
      <c r="G127" s="4153" t="n"/>
      <c r="H127" s="4153" t="n"/>
      <c r="I127" s="4153" t="n"/>
      <c r="J127" s="4154" t="n"/>
      <c r="K127" s="4235" t="inlineStr">
        <is>
          <t xml:space="preserve">　別紙「添付書類一覧表」のとおり</t>
        </is>
      </c>
      <c r="L127" s="4153" t="n"/>
      <c r="M127" s="4153" t="n"/>
      <c r="N127" s="4153" t="n"/>
      <c r="O127" s="4153" t="n"/>
      <c r="P127" s="4153" t="n"/>
      <c r="Q127" s="4153" t="n"/>
      <c r="R127" s="4153" t="n"/>
      <c r="S127" s="4153" t="n"/>
      <c r="T127" s="4153" t="n"/>
      <c r="U127" s="4153" t="n"/>
      <c r="V127" s="4153" t="n"/>
      <c r="W127" s="4153" t="n"/>
      <c r="X127" s="4153" t="n"/>
      <c r="Y127" s="4153" t="n"/>
      <c r="Z127" s="4153" t="n"/>
      <c r="AA127" s="4153" t="n"/>
      <c r="AB127" s="4153" t="n"/>
      <c r="AC127" s="4153" t="n"/>
      <c r="AD127" s="4153" t="n"/>
      <c r="AE127" s="4153" t="n"/>
      <c r="AF127" s="4153" t="n"/>
      <c r="AG127" s="4153" t="n"/>
      <c r="AH127" s="4155" t="n"/>
    </row>
  </sheetData>
  <mergeCells count="462">
    <mergeCell ref="Z43:AB43"/>
    <mergeCell ref="W47:Y47"/>
    <mergeCell ref="C41:J42"/>
    <mergeCell ref="N42:P42"/>
    <mergeCell ref="AA82:AH82"/>
    <mergeCell ref="C13:E14"/>
    <mergeCell ref="M90:M91"/>
    <mergeCell ref="N44:P44"/>
    <mergeCell ref="K120:M120"/>
    <mergeCell ref="N33:R33"/>
    <mergeCell ref="J17:M19"/>
    <mergeCell ref="AB125:AD125"/>
    <mergeCell ref="S56:S58"/>
    <mergeCell ref="V79:AB79"/>
    <mergeCell ref="Q45:V45"/>
    <mergeCell ref="T59:V60"/>
    <mergeCell ref="D110:I110"/>
    <mergeCell ref="L108:N108"/>
    <mergeCell ref="C34:E34"/>
    <mergeCell ref="O54:R54"/>
    <mergeCell ref="T67:U67"/>
    <mergeCell ref="P83:W83"/>
    <mergeCell ref="K44:M44"/>
    <mergeCell ref="Q63:V63"/>
    <mergeCell ref="W50:AB50"/>
    <mergeCell ref="C24:J24"/>
    <mergeCell ref="Q50:V50"/>
    <mergeCell ref="L68:L69"/>
    <mergeCell ref="Q51:V53"/>
    <mergeCell ref="N68:N69"/>
    <mergeCell ref="C26:J26"/>
    <mergeCell ref="A41:B50"/>
    <mergeCell ref="AC103:AH103"/>
    <mergeCell ref="AB107:AD107"/>
    <mergeCell ref="W48:Y48"/>
    <mergeCell ref="N11:O12"/>
    <mergeCell ref="Q48:S48"/>
    <mergeCell ref="AF107:AH108"/>
    <mergeCell ref="C112:D116"/>
    <mergeCell ref="P108:R108"/>
    <mergeCell ref="N124:AH124"/>
    <mergeCell ref="D72:J77"/>
    <mergeCell ref="K49:M49"/>
    <mergeCell ref="O70:O71"/>
    <mergeCell ref="O57:O58"/>
    <mergeCell ref="T49:V49"/>
    <mergeCell ref="K127:AH127"/>
    <mergeCell ref="Q57:Q58"/>
    <mergeCell ref="N47:P47"/>
    <mergeCell ref="V89:AB89"/>
    <mergeCell ref="T42:V42"/>
    <mergeCell ref="L116:N116"/>
    <mergeCell ref="C92:C100"/>
    <mergeCell ref="Y74:AA74"/>
    <mergeCell ref="F14:J14"/>
    <mergeCell ref="T57:U57"/>
    <mergeCell ref="T44:V44"/>
    <mergeCell ref="Z25:AH25"/>
    <mergeCell ref="K41:P41"/>
    <mergeCell ref="L70:N71"/>
    <mergeCell ref="L117:N117"/>
    <mergeCell ref="P101:T104"/>
    <mergeCell ref="X108:Z108"/>
    <mergeCell ref="AA5:AA6"/>
    <mergeCell ref="AC5:AC6"/>
    <mergeCell ref="N96:O96"/>
    <mergeCell ref="T58:U58"/>
    <mergeCell ref="V103:AA103"/>
    <mergeCell ref="L119:N119"/>
    <mergeCell ref="Q49:S49"/>
    <mergeCell ref="F13:H13"/>
    <mergeCell ref="Z81:Z82"/>
    <mergeCell ref="X81:Y82"/>
    <mergeCell ref="N98:O98"/>
    <mergeCell ref="C17:E19"/>
    <mergeCell ref="O117:O119"/>
    <mergeCell ref="AD78:AH80"/>
    <mergeCell ref="P61:W61"/>
    <mergeCell ref="P34:S34"/>
    <mergeCell ref="L90:L91"/>
    <mergeCell ref="P17:Q19"/>
    <mergeCell ref="O112:O114"/>
    <mergeCell ref="K25:Y25"/>
    <mergeCell ref="Y87:AA87"/>
    <mergeCell ref="D92:I100"/>
    <mergeCell ref="A16:B26"/>
    <mergeCell ref="T70:V71"/>
    <mergeCell ref="K68:K69"/>
    <mergeCell ref="J16:M16"/>
    <mergeCell ref="M68:M69"/>
    <mergeCell ref="K95:M97"/>
    <mergeCell ref="P70:Q71"/>
    <mergeCell ref="J35:M37"/>
    <mergeCell ref="R70:S71"/>
    <mergeCell ref="D56:J58"/>
    <mergeCell ref="N48:P48"/>
    <mergeCell ref="C45:J45"/>
    <mergeCell ref="AC56:AC58"/>
    <mergeCell ref="V57:AB57"/>
    <mergeCell ref="C27:E27"/>
    <mergeCell ref="Q46:V46"/>
    <mergeCell ref="P117:S119"/>
    <mergeCell ref="W42:Y42"/>
    <mergeCell ref="A56:B87"/>
    <mergeCell ref="F7:AH7"/>
    <mergeCell ref="AB13:AD13"/>
    <mergeCell ref="N57:N58"/>
    <mergeCell ref="T79:U79"/>
    <mergeCell ref="P57:P58"/>
    <mergeCell ref="Q41:V41"/>
    <mergeCell ref="K101:K104"/>
    <mergeCell ref="E126:J126"/>
    <mergeCell ref="O109:O111"/>
    <mergeCell ref="K55:M55"/>
    <mergeCell ref="N43:P43"/>
    <mergeCell ref="K2:Q2"/>
    <mergeCell ref="AB5:AB6"/>
    <mergeCell ref="AD5:AD6"/>
    <mergeCell ref="S78:S80"/>
    <mergeCell ref="E115:J116"/>
    <mergeCell ref="P107:R107"/>
    <mergeCell ref="X17:AH19"/>
    <mergeCell ref="AA15:AB15"/>
    <mergeCell ref="AC15:AD15"/>
    <mergeCell ref="AF42:AH42"/>
    <mergeCell ref="Y65:AA65"/>
    <mergeCell ref="D61:J66"/>
    <mergeCell ref="K90:K91"/>
    <mergeCell ref="K14:AH14"/>
    <mergeCell ref="Q93:R93"/>
    <mergeCell ref="C89:C91"/>
    <mergeCell ref="X118:Y118"/>
    <mergeCell ref="AF47:AH47"/>
    <mergeCell ref="K98:M100"/>
    <mergeCell ref="AC122:AG122"/>
    <mergeCell ref="Z24:AH24"/>
    <mergeCell ref="K124:M124"/>
    <mergeCell ref="W44:Y44"/>
    <mergeCell ref="N90:N91"/>
    <mergeCell ref="D107:I108"/>
    <mergeCell ref="AF48:AH48"/>
    <mergeCell ref="Q87:V87"/>
    <mergeCell ref="C48:J48"/>
    <mergeCell ref="T56:U56"/>
    <mergeCell ref="P98:P100"/>
    <mergeCell ref="L81:N82"/>
    <mergeCell ref="C10:E12"/>
    <mergeCell ref="W20:AH20"/>
    <mergeCell ref="Y85:AA85"/>
    <mergeCell ref="F8:AH9"/>
    <mergeCell ref="D70:J71"/>
    <mergeCell ref="AC42:AE42"/>
    <mergeCell ref="W22:AH22"/>
    <mergeCell ref="P35:Q37"/>
    <mergeCell ref="Q79:Q80"/>
    <mergeCell ref="C20:M22"/>
    <mergeCell ref="AC44:AE44"/>
    <mergeCell ref="P72:W72"/>
    <mergeCell ref="F34:I34"/>
    <mergeCell ref="X120:AA120"/>
    <mergeCell ref="S55:U55"/>
    <mergeCell ref="N92:O92"/>
    <mergeCell ref="T115:V115"/>
    <mergeCell ref="L115:N115"/>
    <mergeCell ref="W38:AH38"/>
    <mergeCell ref="D89:I91"/>
    <mergeCell ref="AC78:AC80"/>
    <mergeCell ref="Q13:S13"/>
    <mergeCell ref="P109:AH111"/>
    <mergeCell ref="W40:AH40"/>
    <mergeCell ref="J27:M27"/>
    <mergeCell ref="S95:T97"/>
    <mergeCell ref="N79:N80"/>
    <mergeCell ref="P79:P80"/>
    <mergeCell ref="W33:AH33"/>
    <mergeCell ref="C38:M40"/>
    <mergeCell ref="R79:R80"/>
    <mergeCell ref="C8:E9"/>
    <mergeCell ref="Z70:Z71"/>
    <mergeCell ref="T35:V37"/>
    <mergeCell ref="Z26:AH26"/>
    <mergeCell ref="T47:V47"/>
    <mergeCell ref="C107:C108"/>
    <mergeCell ref="V102:AA102"/>
    <mergeCell ref="C101:C102"/>
    <mergeCell ref="AF125:AH125"/>
    <mergeCell ref="F17:I19"/>
    <mergeCell ref="X125:Z125"/>
    <mergeCell ref="C16:E16"/>
    <mergeCell ref="C35:E37"/>
    <mergeCell ref="A127:J127"/>
    <mergeCell ref="Q65:V65"/>
    <mergeCell ref="V68:AB68"/>
    <mergeCell ref="V67:AB67"/>
    <mergeCell ref="A51:J51"/>
    <mergeCell ref="A15:S15"/>
    <mergeCell ref="O122:Q122"/>
    <mergeCell ref="U5:X6"/>
    <mergeCell ref="E2:I2"/>
    <mergeCell ref="V69:AB69"/>
    <mergeCell ref="T116:V116"/>
    <mergeCell ref="S20:U22"/>
    <mergeCell ref="C28:E30"/>
    <mergeCell ref="Y96:Z96"/>
    <mergeCell ref="Z49:AB49"/>
    <mergeCell ref="X107:Z107"/>
    <mergeCell ref="X35:AH37"/>
    <mergeCell ref="Y51:Y53"/>
    <mergeCell ref="AC47:AE47"/>
    <mergeCell ref="W45:AB45"/>
    <mergeCell ref="N95:O95"/>
    <mergeCell ref="V92:W92"/>
    <mergeCell ref="Q85:V85"/>
    <mergeCell ref="AB115:AD115"/>
    <mergeCell ref="Y93:Z93"/>
    <mergeCell ref="L102:L103"/>
    <mergeCell ref="N102:N103"/>
    <mergeCell ref="K106:AH106"/>
    <mergeCell ref="W43:Y43"/>
    <mergeCell ref="P112:AH114"/>
    <mergeCell ref="L109:N109"/>
    <mergeCell ref="K42:M42"/>
    <mergeCell ref="K105:AH105"/>
    <mergeCell ref="L122:N122"/>
    <mergeCell ref="S98:T100"/>
    <mergeCell ref="AE107:AE108"/>
    <mergeCell ref="O79:O80"/>
    <mergeCell ref="W70:W71"/>
    <mergeCell ref="X98:X100"/>
    <mergeCell ref="O81:O82"/>
    <mergeCell ref="N31:R31"/>
    <mergeCell ref="N16:O19"/>
    <mergeCell ref="X61:AC61"/>
    <mergeCell ref="D83:J88"/>
    <mergeCell ref="AC67:AC69"/>
    <mergeCell ref="AA71:AH71"/>
    <mergeCell ref="P16:S16"/>
    <mergeCell ref="D81:J82"/>
    <mergeCell ref="F27:I27"/>
    <mergeCell ref="AF115:AH116"/>
    <mergeCell ref="B34:B40"/>
    <mergeCell ref="A52:J52"/>
    <mergeCell ref="T78:U78"/>
    <mergeCell ref="W46:AB46"/>
    <mergeCell ref="C25:J25"/>
    <mergeCell ref="F16:I16"/>
    <mergeCell ref="T17:V19"/>
    <mergeCell ref="T80:U80"/>
    <mergeCell ref="C7:E7"/>
    <mergeCell ref="C67:C77"/>
    <mergeCell ref="AB116:AD116"/>
    <mergeCell ref="L111:N111"/>
    <mergeCell ref="Q99:R99"/>
    <mergeCell ref="T48:V48"/>
    <mergeCell ref="J28:M30"/>
    <mergeCell ref="E112:J114"/>
    <mergeCell ref="L112:N112"/>
    <mergeCell ref="T34:X34"/>
    <mergeCell ref="Q42:S42"/>
    <mergeCell ref="T81:V82"/>
    <mergeCell ref="J89:J91"/>
    <mergeCell ref="X13:Z13"/>
    <mergeCell ref="M102:M103"/>
    <mergeCell ref="L57:L58"/>
    <mergeCell ref="K47:M47"/>
    <mergeCell ref="AC43:AE43"/>
    <mergeCell ref="E124:J125"/>
    <mergeCell ref="C46:J47"/>
    <mergeCell ref="AD67:AH69"/>
    <mergeCell ref="A54:J55"/>
    <mergeCell ref="L114:N114"/>
    <mergeCell ref="Q44:S44"/>
    <mergeCell ref="N125:U125"/>
    <mergeCell ref="T68:U68"/>
    <mergeCell ref="Z48:AB48"/>
    <mergeCell ref="N93:O93"/>
    <mergeCell ref="Z5:Z6"/>
    <mergeCell ref="N27:O30"/>
    <mergeCell ref="X72:AC72"/>
    <mergeCell ref="N49:P49"/>
    <mergeCell ref="K57:K58"/>
    <mergeCell ref="M57:M58"/>
    <mergeCell ref="AC48:AE48"/>
    <mergeCell ref="Q47:S47"/>
    <mergeCell ref="V39:AH39"/>
    <mergeCell ref="O68:O69"/>
    <mergeCell ref="Q68:Q69"/>
    <mergeCell ref="N20:R20"/>
    <mergeCell ref="L84:N87"/>
    <mergeCell ref="Y5:Y6"/>
    <mergeCell ref="AC92:AC100"/>
    <mergeCell ref="K50:P50"/>
    <mergeCell ref="R81:S82"/>
    <mergeCell ref="X83:AC83"/>
    <mergeCell ref="N22:R22"/>
    <mergeCell ref="R121:AA123"/>
    <mergeCell ref="J107:J108"/>
    <mergeCell ref="AC102:AH102"/>
    <mergeCell ref="K48:M48"/>
    <mergeCell ref="W81:W82"/>
    <mergeCell ref="AA60:AH60"/>
    <mergeCell ref="F10:I10"/>
    <mergeCell ref="K125:M125"/>
    <mergeCell ref="K54:N54"/>
    <mergeCell ref="C43:J43"/>
    <mergeCell ref="C120:J120"/>
    <mergeCell ref="AD89:AH91"/>
    <mergeCell ref="T69:U69"/>
    <mergeCell ref="P27:S27"/>
    <mergeCell ref="A27:A40"/>
    <mergeCell ref="P59:Q60"/>
    <mergeCell ref="K45:P45"/>
    <mergeCell ref="F35:I37"/>
    <mergeCell ref="R59:S60"/>
    <mergeCell ref="P28:Q30"/>
    <mergeCell ref="U96:W96"/>
    <mergeCell ref="P115:R115"/>
    <mergeCell ref="K126:AH126"/>
    <mergeCell ref="Q96:R96"/>
    <mergeCell ref="AH5:AH6"/>
    <mergeCell ref="K46:P46"/>
    <mergeCell ref="F11:H12"/>
    <mergeCell ref="M13:O13"/>
    <mergeCell ref="J10:N10"/>
    <mergeCell ref="K43:M43"/>
    <mergeCell ref="S54:V54"/>
    <mergeCell ref="P116:R116"/>
    <mergeCell ref="U93:W93"/>
    <mergeCell ref="L79:L80"/>
    <mergeCell ref="C44:J44"/>
    <mergeCell ref="T89:U89"/>
    <mergeCell ref="Z51:AH53"/>
    <mergeCell ref="S67:S69"/>
    <mergeCell ref="T28:V30"/>
    <mergeCell ref="J92:J100"/>
    <mergeCell ref="C78:C88"/>
    <mergeCell ref="L62:N65"/>
    <mergeCell ref="AF13:AH13"/>
    <mergeCell ref="P68:P69"/>
    <mergeCell ref="AF43:AH43"/>
    <mergeCell ref="U118:V118"/>
    <mergeCell ref="R68:R69"/>
    <mergeCell ref="P10:AH12"/>
    <mergeCell ref="E121:J123"/>
    <mergeCell ref="K92:M94"/>
    <mergeCell ref="C49:J49"/>
    <mergeCell ref="V32:AH32"/>
    <mergeCell ref="T108:V108"/>
    <mergeCell ref="U15:V15"/>
    <mergeCell ref="D78:J80"/>
    <mergeCell ref="W15:X15"/>
    <mergeCell ref="Y15:Z15"/>
    <mergeCell ref="AA95:AA97"/>
    <mergeCell ref="S89:S91"/>
    <mergeCell ref="V90:AB90"/>
    <mergeCell ref="S38:U40"/>
    <mergeCell ref="N34:O37"/>
    <mergeCell ref="V56:AB56"/>
    <mergeCell ref="D106:I106"/>
    <mergeCell ref="P92:P94"/>
    <mergeCell ref="X59:Y60"/>
    <mergeCell ref="V91:AB91"/>
    <mergeCell ref="X28:AH30"/>
    <mergeCell ref="J101:J104"/>
    <mergeCell ref="Y76:AA76"/>
    <mergeCell ref="X115:Z115"/>
    <mergeCell ref="Q90:Q91"/>
    <mergeCell ref="Q43:S43"/>
    <mergeCell ref="AE5:AE6"/>
    <mergeCell ref="AG5:AG6"/>
    <mergeCell ref="U99:W99"/>
    <mergeCell ref="Y63:AA63"/>
    <mergeCell ref="V125:W125"/>
    <mergeCell ref="T90:U90"/>
    <mergeCell ref="K109:K111"/>
    <mergeCell ref="R57:R58"/>
    <mergeCell ref="D59:J60"/>
    <mergeCell ref="K79:K80"/>
    <mergeCell ref="T91:U91"/>
    <mergeCell ref="M79:M80"/>
    <mergeCell ref="T13:W13"/>
    <mergeCell ref="P90:P91"/>
    <mergeCell ref="W31:AH31"/>
    <mergeCell ref="V80:AB80"/>
    <mergeCell ref="Z42:AB42"/>
    <mergeCell ref="AA92:AA94"/>
    <mergeCell ref="AF5:AF6"/>
    <mergeCell ref="AD92:AH100"/>
    <mergeCell ref="C50:J50"/>
    <mergeCell ref="Z44:AB44"/>
    <mergeCell ref="C31:M33"/>
    <mergeCell ref="C117:J119"/>
    <mergeCell ref="AB108:AD108"/>
    <mergeCell ref="J34:M34"/>
    <mergeCell ref="Y99:Z99"/>
    <mergeCell ref="AA117:AG119"/>
    <mergeCell ref="AA98:AA100"/>
    <mergeCell ref="Z59:Z60"/>
    <mergeCell ref="W49:Y49"/>
    <mergeCell ref="AC45:AH45"/>
    <mergeCell ref="AC89:AC91"/>
    <mergeCell ref="L101:N101"/>
    <mergeCell ref="AF49:AH49"/>
    <mergeCell ref="K24:Y24"/>
    <mergeCell ref="C23:AH23"/>
    <mergeCell ref="P95:P97"/>
    <mergeCell ref="X116:Z116"/>
    <mergeCell ref="K26:Y26"/>
    <mergeCell ref="C103:C104"/>
    <mergeCell ref="AE115:AE116"/>
    <mergeCell ref="C121:D126"/>
    <mergeCell ref="AF44:AH44"/>
    <mergeCell ref="K117:K119"/>
    <mergeCell ref="W41:AB41"/>
    <mergeCell ref="M52:N52"/>
    <mergeCell ref="Z47:AB47"/>
    <mergeCell ref="F28:I30"/>
    <mergeCell ref="O101:O104"/>
    <mergeCell ref="A7:B14"/>
    <mergeCell ref="L104:N104"/>
    <mergeCell ref="C56:C66"/>
    <mergeCell ref="AC50:AH50"/>
    <mergeCell ref="Q74:V74"/>
    <mergeCell ref="K112:K114"/>
    <mergeCell ref="V58:AB58"/>
    <mergeCell ref="T43:V43"/>
    <mergeCell ref="Q76:V76"/>
    <mergeCell ref="I13:K13"/>
    <mergeCell ref="A89:B126"/>
    <mergeCell ref="T107:V107"/>
    <mergeCell ref="V78:AB78"/>
    <mergeCell ref="S92:T94"/>
    <mergeCell ref="L73:N76"/>
    <mergeCell ref="T16:X16"/>
    <mergeCell ref="AE15:AF15"/>
    <mergeCell ref="S31:U33"/>
    <mergeCell ref="O90:O91"/>
    <mergeCell ref="D105:I105"/>
    <mergeCell ref="T27:X27"/>
    <mergeCell ref="B27:B33"/>
    <mergeCell ref="AD56:AH58"/>
    <mergeCell ref="L59:N60"/>
    <mergeCell ref="X92:X94"/>
    <mergeCell ref="R90:R91"/>
    <mergeCell ref="D67:J69"/>
    <mergeCell ref="O55:Q55"/>
    <mergeCell ref="W51:X53"/>
    <mergeCell ref="AC46:AH46"/>
    <mergeCell ref="V21:AH21"/>
    <mergeCell ref="W59:W60"/>
    <mergeCell ref="X95:X97"/>
    <mergeCell ref="O59:O60"/>
    <mergeCell ref="X70:Y71"/>
    <mergeCell ref="AC49:AE49"/>
    <mergeCell ref="N38:R38"/>
    <mergeCell ref="P81:Q82"/>
    <mergeCell ref="AC41:AH41"/>
    <mergeCell ref="I11:M12"/>
    <mergeCell ref="N40:R40"/>
    <mergeCell ref="L107:N107"/>
    <mergeCell ref="D101:I104"/>
    <mergeCell ref="N99:O99"/>
  </mergeCells>
  <conditionalFormatting sqref="O55">
    <cfRule type="cellIs" priority="1" operator="equal" dxfId="6" stopIfTrue="1">
      <formula>0</formula>
    </cfRule>
  </conditionalFormatting>
  <dataValidations count="13">
    <dataValidation sqref="V21:AH21"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M13:O13 Q13:S13 X13:Z13 AB13:AD13 AF13:AH13" showDropDown="0" showInputMessage="1" showErrorMessage="1" allowBlank="1" error="全角数字で入力してください" imeMode="fullAlpha"/>
    <dataValidation sqref="V32:AH32 V39:AH39" showDropDown="0" showInputMessage="1" showErrorMessage="1" allowBlank="1" prompt="サービス管理責任者は、サービス提供職員との兼務はできません。" type="list" errorStyle="warning">
      <formula1>"　,管理者,事務職員,管理者、事務職員"</formula1>
    </dataValidation>
    <dataValidation sqref="F7:AH7 F16:M16 F27:M27 F34:M34" showDropDown="0" showInputMessage="1" showErrorMessage="1" allowBlank="1" imeMode="halfKatakana"/>
    <dataValidation sqref="K46:AH46 AC41:AH41" showDropDown="0" showInputMessage="1" showErrorMessage="1" allowBlank="1" type="list" errorStyle="information">
      <formula1>"　,職業指導員,あん摩マッサージ指圧師,介護職員,保育士,事務職員,調理員,栄養士,運転手"</formula1>
    </dataValidation>
    <dataValidation sqref="K43:AH45 K48:AH50 K51:P53 K55 O55 R55:S55 W51:X53 W62 W64 W66 W73 W75 W77 W84 W86 W88" showDropDown="0" showInputMessage="1" showErrorMessage="1" allowBlank="1" imeMode="halfAlpha"/>
    <dataValidation sqref="L59:L60 L70:L71 L81:L82 N93 N96 N99 T59:T60 T70:T71 T81:T82 U93:V93 U96:V96 U99:V99" showDropDown="0" showInputMessage="1" showErrorMessage="1" allowBlank="1" type="list">
      <formula1>"　,１,２,３,４,５,６,７,８,９,１０,１１,１２,１３,１４,１５,１６,１７,１８,１９,２０,２１,２２,２３,２４"</formula1>
    </dataValidation>
    <dataValidation sqref="K57:R58 K68:R69 K79:R80 K90:R91" showDropDown="0" showInputMessage="1" showErrorMessage="1" allowBlank="1" type="list">
      <formula1>"　,○"</formula1>
    </dataValidation>
    <dataValidation sqref="K106:AH106" showDropDown="0" showInputMessage="1" showErrorMessage="1" allowBlank="1" type="list">
      <formula1>"　,運営規程に定めるとおり"</formula1>
    </dataValidation>
    <dataValidation sqref="AB101:AH101 AB104:AH104" showDropDown="0" showInputMessage="1" showErrorMessage="1" allowBlank="1" type="list">
      <formula1>"　,サービス提供責任者,事務職員,サービス提供責任者、事務職員"</formula1>
    </dataValidation>
    <dataValidation sqref="V102:AA103 AC102:AH103" showDropDown="0" showInputMessage="1" showErrorMessage="1" allowBlank="1" error="このサービスの組み合わせは、多機能型では選択できません" type="list">
      <formula1>"　,生活介護,自立訓練(生活訓練),自立訓練(機能訓練),就労移行支援,就労継続支援(A型),就労継続支援(B型)"</formula1>
    </dataValidation>
    <dataValidation sqref="K105:AH105" showDropDown="0" showInputMessage="1" showErrorMessage="1" allowBlank="1" type="list" errorStyle="warning">
      <formula1>"　,法定代理受領分：厚生労働大臣が定める基準の10/100、法定代理受領分以外：厚生労働大臣が定める基準"</formula1>
    </dataValidation>
    <dataValidation sqref="I13:K13 J10:N10 T16:X16 T27:X27 T34:X34 U15:V15 X125 Y5:AH6 Y15:Z15 AB125:AD125 AC15:AD15 AF125" showDropDown="0" showInputMessage="1" showErrorMessage="1" allowBlank="1" imeMode="fullAlpha"/>
  </dataValidations>
  <printOptions horizontalCentered="1"/>
  <pageMargins left="0.7086614173228347" right="0.5905511811023623" top="0.26" bottom="0.16" header="0.4" footer="0.5118110236220472"/>
  <pageSetup orientation="portrait" paperSize="9" scale="98"/>
  <rowBreaks count="1" manualBreakCount="1">
    <brk id="88" min="0" max="33" man="1"/>
  </rowBreaks>
  <legacyDrawing xmlns:r="http://schemas.openxmlformats.org/officeDocument/2006/relationships" r:id="anysvml"/>
</worksheet>
</file>

<file path=xl/worksheets/sheet33.xml><?xml version="1.0" encoding="utf-8"?>
<worksheet xmlns="http://schemas.openxmlformats.org/spreadsheetml/2006/main">
  <sheetPr codeName="Sheet32">
    <outlinePr summaryBelow="1" summaryRight="1"/>
    <pageSetUpPr/>
  </sheetPr>
  <dimension ref="A2:AN127"/>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7"/>
    <col width="2.5" customWidth="1" style="1667" min="8" max="8"/>
    <col width="2.625" customWidth="1" style="1667" min="9" max="35"/>
    <col width="9" customWidth="1" style="1667" min="36" max="16384"/>
  </cols>
  <sheetData>
    <row r="1" ht="6.75" customHeight="1" s="4080"/>
    <row r="2" ht="17.25" customFormat="1" customHeight="1" s="3270">
      <c r="A2" s="482" t="inlineStr">
        <is>
          <t>付表15・16</t>
        </is>
      </c>
      <c r="E2" s="4850" t="inlineStr">
        <is>
          <t>児童発達支援</t>
        </is>
      </c>
      <c r="F2" s="4110" t="n"/>
      <c r="G2" s="4110" t="n"/>
      <c r="H2" s="4110" t="n"/>
      <c r="I2" s="4111" t="n"/>
      <c r="J2" s="484" t="inlineStr">
        <is>
          <t>・</t>
        </is>
      </c>
      <c r="K2" s="4851" t="inlineStr">
        <is>
          <t>放課後等デイサービス</t>
        </is>
      </c>
      <c r="L2" s="4110" t="n"/>
      <c r="M2" s="4110" t="n"/>
      <c r="N2" s="4110" t="n"/>
      <c r="O2" s="4110" t="n"/>
      <c r="P2" s="4110" t="n"/>
      <c r="Q2" s="4111" t="n"/>
      <c r="S2" s="3270" t="inlineStr">
        <is>
          <t>事業所の指定に係る記載事項</t>
        </is>
      </c>
      <c r="AN2" s="719">
        <f>HYPERLINK("#目次!A1","目次へ戻る")</f>
        <v/>
      </c>
    </row>
    <row r="3" ht="5.25" customHeight="1" s="4080">
      <c r="A3" s="485" t="n"/>
    </row>
    <row r="4" ht="6" customHeight="1" s="4080" thickBot="1">
      <c r="A4" s="1213" t="n"/>
      <c r="B4" s="1213" t="n"/>
      <c r="C4" s="1213" t="n"/>
      <c r="D4" s="1213" t="n"/>
      <c r="E4" s="1213" t="n"/>
      <c r="F4" s="1213" t="n"/>
      <c r="G4" s="470" t="n"/>
      <c r="H4" s="1290" t="n"/>
      <c r="I4" s="1290" t="n"/>
      <c r="J4" s="1290" t="n"/>
      <c r="K4" s="1290" t="n"/>
      <c r="L4" s="1290" t="n"/>
      <c r="M4" s="1325" t="n"/>
      <c r="N4" s="1290" t="n"/>
      <c r="O4" s="1290" t="n"/>
      <c r="P4" s="1290" t="n"/>
      <c r="Q4" s="1290" t="n"/>
      <c r="R4" s="1290" t="n"/>
      <c r="S4" s="1290" t="n"/>
      <c r="T4" s="1355" t="n"/>
      <c r="U4" s="1213" t="n"/>
      <c r="V4" s="1213" t="n"/>
      <c r="W4" s="1213" t="n"/>
      <c r="X4" s="487" t="n"/>
      <c r="Y4" s="487" t="n"/>
      <c r="Z4" s="1753" t="n"/>
      <c r="AA4" s="1753" t="n"/>
      <c r="AB4" s="1754" t="n"/>
      <c r="AC4" s="1754" t="n"/>
      <c r="AD4" s="1754" t="n"/>
      <c r="AE4" s="1753" t="n"/>
      <c r="AF4" s="1753" t="n"/>
      <c r="AG4" s="1755" t="n"/>
      <c r="AH4" s="1755" t="n"/>
    </row>
    <row r="5" ht="12" customHeight="1" s="4080">
      <c r="B5" s="45" t="n"/>
      <c r="U5" s="4178" t="inlineStr">
        <is>
          <t>事業所番号</t>
        </is>
      </c>
      <c r="V5" s="4082" t="n"/>
      <c r="W5" s="4082" t="n"/>
      <c r="X5" s="4083" t="n"/>
      <c r="Y5" s="4084" t="n"/>
      <c r="Z5" s="4084" t="n"/>
      <c r="AA5" s="4084" t="n"/>
      <c r="AB5" s="4084" t="n"/>
      <c r="AC5" s="4084" t="n"/>
      <c r="AD5" s="4084" t="n"/>
      <c r="AE5" s="4084" t="n"/>
      <c r="AF5" s="4084" t="n"/>
      <c r="AG5" s="4084" t="n"/>
      <c r="AH5" s="4085" t="n"/>
    </row>
    <row r="6" ht="3.95" customHeight="1" s="4080" thickBot="1">
      <c r="B6" s="45" t="n"/>
      <c r="C6" s="48" t="n"/>
      <c r="D6" s="48" t="n"/>
      <c r="E6" s="48" t="n"/>
      <c r="F6" s="49" t="n"/>
      <c r="G6" s="48" t="n"/>
      <c r="H6" s="48" t="n"/>
      <c r="I6" s="48" t="n"/>
      <c r="J6" s="49" t="n"/>
      <c r="K6" s="48" t="n"/>
      <c r="L6" s="48" t="n"/>
      <c r="M6" s="48" t="n"/>
      <c r="Q6" s="2345" t="n"/>
      <c r="R6" s="2345" t="n"/>
      <c r="S6" s="2345" t="n"/>
      <c r="T6" s="4015" t="n"/>
      <c r="U6" s="4086" t="n"/>
      <c r="V6" s="4087" t="n"/>
      <c r="W6" s="4087" t="n"/>
      <c r="X6" s="4088" t="n"/>
      <c r="Y6" s="4089" t="n"/>
      <c r="Z6" s="4089" t="n"/>
      <c r="AA6" s="4089" t="n"/>
      <c r="AB6" s="4089" t="n"/>
      <c r="AC6" s="4089" t="n"/>
      <c r="AD6" s="4089" t="n"/>
      <c r="AE6" s="4089" t="n"/>
      <c r="AF6" s="4089" t="n"/>
      <c r="AG6" s="4089" t="n"/>
      <c r="AH6" s="4090" t="n"/>
    </row>
    <row r="7" ht="15" customHeight="1" s="4080">
      <c r="A7" s="4179" t="inlineStr">
        <is>
          <t>事業所</t>
        </is>
      </c>
      <c r="B7" s="4082" t="n"/>
      <c r="C7" s="4180" t="inlineStr">
        <is>
          <t>ﾌﾘｶﾞﾅ</t>
        </is>
      </c>
      <c r="D7" s="4093" t="n"/>
      <c r="E7" s="4094" t="n"/>
      <c r="F7" s="4095" t="n"/>
      <c r="G7" s="4093" t="n"/>
      <c r="H7" s="4093" t="n"/>
      <c r="I7" s="4093" t="n"/>
      <c r="J7" s="4093" t="n"/>
      <c r="K7" s="4093" t="n"/>
      <c r="L7" s="4093" t="n"/>
      <c r="M7" s="4093" t="n"/>
      <c r="N7" s="4093" t="n"/>
      <c r="O7" s="4093" t="n"/>
      <c r="P7" s="4093" t="n"/>
      <c r="Q7" s="4093" t="n"/>
      <c r="R7" s="4093" t="n"/>
      <c r="S7" s="4093" t="n"/>
      <c r="T7" s="4093" t="n"/>
      <c r="U7" s="4093" t="n"/>
      <c r="V7" s="4093" t="n"/>
      <c r="W7" s="4093" t="n"/>
      <c r="X7" s="4093" t="n"/>
      <c r="Y7" s="4093" t="n"/>
      <c r="Z7" s="4093" t="n"/>
      <c r="AA7" s="4093" t="n"/>
      <c r="AB7" s="4093" t="n"/>
      <c r="AC7" s="4093" t="n"/>
      <c r="AD7" s="4093" t="n"/>
      <c r="AE7" s="4093" t="n"/>
      <c r="AF7" s="4093" t="n"/>
      <c r="AG7" s="4093" t="n"/>
      <c r="AH7" s="4096" t="n"/>
    </row>
    <row r="8" ht="14.25" customHeight="1" s="4080">
      <c r="A8" s="4097" t="n"/>
      <c r="C8" s="4181" t="inlineStr">
        <is>
          <t>名　称</t>
        </is>
      </c>
      <c r="D8" s="4098" t="n"/>
      <c r="E8" s="4099" t="n"/>
      <c r="F8" s="4852" t="inlineStr">
        <is>
          <t xml:space="preserve">　せんばデイサービス</t>
        </is>
      </c>
      <c r="G8" s="4098" t="n"/>
      <c r="H8" s="4098" t="n"/>
      <c r="I8" s="4098" t="n"/>
      <c r="J8" s="4098" t="n"/>
      <c r="K8" s="4098" t="n"/>
      <c r="L8" s="4098" t="n"/>
      <c r="M8" s="4098" t="n"/>
      <c r="N8" s="4098" t="n"/>
      <c r="O8" s="4098" t="n"/>
      <c r="P8" s="4098" t="n"/>
      <c r="Q8" s="4098" t="n"/>
      <c r="R8" s="4098" t="n"/>
      <c r="S8" s="4098" t="n"/>
      <c r="T8" s="4098" t="n"/>
      <c r="U8" s="4098" t="n"/>
      <c r="V8" s="4098" t="n"/>
      <c r="W8" s="4098" t="n"/>
      <c r="X8" s="4098" t="n"/>
      <c r="Y8" s="4098" t="n"/>
      <c r="Z8" s="4098" t="n"/>
      <c r="AA8" s="4098" t="n"/>
      <c r="AB8" s="4098" t="n"/>
      <c r="AC8" s="4098" t="n"/>
      <c r="AD8" s="4098" t="n"/>
      <c r="AE8" s="4098" t="n"/>
      <c r="AF8" s="4098" t="n"/>
      <c r="AG8" s="4098" t="n"/>
      <c r="AH8" s="4101" t="n"/>
    </row>
    <row r="9" ht="12" customHeight="1" s="4080">
      <c r="A9" s="409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2" customHeight="1" s="4080">
      <c r="A10" s="4097" t="n"/>
      <c r="C10" s="4268" t="inlineStr">
        <is>
          <t>所在地</t>
        </is>
      </c>
      <c r="D10" s="4098" t="n"/>
      <c r="E10" s="4099" t="n"/>
      <c r="F10" s="1244" t="inlineStr">
        <is>
          <t>郵便番号（</t>
        </is>
      </c>
      <c r="G10" s="4098" t="n"/>
      <c r="H10" s="4098" t="n"/>
      <c r="I10" s="4098" t="n"/>
      <c r="J10" s="3389" t="inlineStr">
        <is>
          <t>５４１－００５５</t>
        </is>
      </c>
      <c r="K10" s="4098" t="n"/>
      <c r="L10" s="4098" t="n"/>
      <c r="M10" s="4098" t="n"/>
      <c r="N10" s="4098" t="n"/>
      <c r="O10" s="1329" t="inlineStr">
        <is>
          <t>）</t>
        </is>
      </c>
      <c r="P10" s="4853" t="inlineStr">
        <is>
          <t xml:space="preserve">　　船場中央３－１－７－３３１</t>
        </is>
      </c>
      <c r="Q10" s="4098" t="n"/>
      <c r="R10" s="4098" t="n"/>
      <c r="S10" s="4098" t="n"/>
      <c r="T10" s="4098" t="n"/>
      <c r="U10" s="4098" t="n"/>
      <c r="V10" s="4098" t="n"/>
      <c r="W10" s="4098" t="n"/>
      <c r="X10" s="4098" t="n"/>
      <c r="Y10" s="4098" t="n"/>
      <c r="Z10" s="4098" t="n"/>
      <c r="AA10" s="4098" t="n"/>
      <c r="AB10" s="4098" t="n"/>
      <c r="AC10" s="4098" t="n"/>
      <c r="AD10" s="4098" t="n"/>
      <c r="AE10" s="4098" t="n"/>
      <c r="AF10" s="4098" t="n"/>
      <c r="AG10" s="4098" t="n"/>
      <c r="AH10" s="4101" t="n"/>
    </row>
    <row r="11" ht="17.25" customHeight="1" s="4080">
      <c r="A11" s="4097" t="n"/>
      <c r="C11" s="4106" t="n"/>
      <c r="E11" s="4107" t="n"/>
      <c r="F11" s="1255" t="inlineStr">
        <is>
          <t>大阪市</t>
        </is>
      </c>
      <c r="I11" s="3387" t="inlineStr">
        <is>
          <t>中央</t>
        </is>
      </c>
      <c r="N11" s="1260" t="inlineStr">
        <is>
          <t>区</t>
        </is>
      </c>
      <c r="AH11" s="4109" t="n"/>
    </row>
    <row r="12" ht="3.95" customHeight="1" s="4080">
      <c r="A12" s="4097" t="n"/>
      <c r="C12" s="4106" t="n"/>
      <c r="E12" s="4107" t="n"/>
      <c r="F12" s="4102" t="n"/>
      <c r="G12" s="4103" t="n"/>
      <c r="H12" s="4103" t="n"/>
      <c r="I12" s="4103" t="n"/>
      <c r="J12" s="4103" t="n"/>
      <c r="K12" s="4103" t="n"/>
      <c r="L12" s="4103" t="n"/>
      <c r="M12" s="4103" t="n"/>
      <c r="N12" s="4103" t="n"/>
      <c r="O12" s="4103" t="n"/>
      <c r="P12" s="4103" t="n"/>
      <c r="Q12" s="4103" t="n"/>
      <c r="R12" s="4103" t="n"/>
      <c r="S12" s="4103" t="n"/>
      <c r="T12" s="4103" t="n"/>
      <c r="U12" s="4103" t="n"/>
      <c r="V12" s="4103" t="n"/>
      <c r="W12" s="4103" t="n"/>
      <c r="X12" s="4103" t="n"/>
      <c r="Y12" s="4103" t="n"/>
      <c r="Z12" s="4103" t="n"/>
      <c r="AA12" s="4103" t="n"/>
      <c r="AB12" s="4103" t="n"/>
      <c r="AC12" s="4103" t="n"/>
      <c r="AD12" s="4103" t="n"/>
      <c r="AE12" s="4103" t="n"/>
      <c r="AF12" s="4103" t="n"/>
      <c r="AG12" s="4103" t="n"/>
      <c r="AH12" s="4105" t="n"/>
    </row>
    <row r="13" ht="15" customHeight="1" s="4080">
      <c r="A13" s="4097" t="n"/>
      <c r="C13" s="4181" t="inlineStr">
        <is>
          <t>連絡先</t>
        </is>
      </c>
      <c r="D13" s="4098" t="n"/>
      <c r="E13" s="4099" t="n"/>
      <c r="F13" s="4274" t="inlineStr">
        <is>
          <t>電話番号</t>
        </is>
      </c>
      <c r="G13" s="4110" t="n"/>
      <c r="H13" s="4111" t="n"/>
      <c r="I13" s="3383" t="inlineStr">
        <is>
          <t>０６</t>
        </is>
      </c>
      <c r="J13" s="4110" t="n"/>
      <c r="K13" s="4110" t="n"/>
      <c r="L13" s="53" t="inlineStr">
        <is>
          <t>－</t>
        </is>
      </c>
      <c r="M13" s="3385" t="inlineStr">
        <is>
          <t>６２４１</t>
        </is>
      </c>
      <c r="N13" s="4110" t="n"/>
      <c r="O13" s="4110" t="n"/>
      <c r="P13" s="53" t="inlineStr">
        <is>
          <t>－</t>
        </is>
      </c>
      <c r="Q13" s="3397" t="inlineStr">
        <is>
          <t>６５２０</t>
        </is>
      </c>
      <c r="R13" s="4110" t="n"/>
      <c r="S13" s="4111" t="n"/>
      <c r="T13" s="4184" t="inlineStr">
        <is>
          <t>ＦＡＸ番号</t>
        </is>
      </c>
      <c r="U13" s="4110" t="n"/>
      <c r="V13" s="4110" t="n"/>
      <c r="W13" s="4111" t="n"/>
      <c r="X13" s="3383" t="inlineStr">
        <is>
          <t>０６</t>
        </is>
      </c>
      <c r="Y13" s="4110" t="n"/>
      <c r="Z13" s="4110" t="n"/>
      <c r="AA13" s="53" t="inlineStr">
        <is>
          <t>－</t>
        </is>
      </c>
      <c r="AB13" s="3385" t="inlineStr">
        <is>
          <t>６２４１</t>
        </is>
      </c>
      <c r="AC13" s="4110" t="n"/>
      <c r="AD13" s="4110" t="n"/>
      <c r="AE13" s="53" t="inlineStr">
        <is>
          <t>－</t>
        </is>
      </c>
      <c r="AF13" s="3398" t="inlineStr">
        <is>
          <t>６６０８</t>
        </is>
      </c>
      <c r="AG13" s="4110" t="n"/>
      <c r="AH13" s="4113" t="n"/>
    </row>
    <row r="14" ht="15" customHeight="1" s="4080">
      <c r="A14" s="4114" t="n"/>
      <c r="B14" s="4103" t="n"/>
      <c r="C14" s="4102" t="n"/>
      <c r="D14" s="4103" t="n"/>
      <c r="E14" s="4104" t="n"/>
      <c r="F14" s="4185" t="inlineStr">
        <is>
          <t>メールアドレス</t>
        </is>
      </c>
      <c r="G14" s="4110" t="n"/>
      <c r="H14" s="4110" t="n"/>
      <c r="I14" s="4110" t="n"/>
      <c r="J14" s="4111" t="n"/>
      <c r="K14" s="4239" t="inlineStr">
        <is>
          <t>fa0260@city.osaka.lg.jp</t>
        </is>
      </c>
      <c r="L14" s="4110" t="n"/>
      <c r="M14" s="4110" t="n"/>
      <c r="N14" s="4110" t="n"/>
      <c r="O14" s="4110" t="n"/>
      <c r="P14" s="4110" t="n"/>
      <c r="Q14" s="4110" t="n"/>
      <c r="R14" s="4110" t="n"/>
      <c r="S14" s="4110" t="n"/>
      <c r="T14" s="4110" t="n"/>
      <c r="U14" s="4110" t="n"/>
      <c r="V14" s="4110" t="n"/>
      <c r="W14" s="4110" t="n"/>
      <c r="X14" s="4110" t="n"/>
      <c r="Y14" s="4110" t="n"/>
      <c r="Z14" s="4110" t="n"/>
      <c r="AA14" s="4110" t="n"/>
      <c r="AB14" s="4110" t="n"/>
      <c r="AC14" s="4110" t="n"/>
      <c r="AD14" s="4110" t="n"/>
      <c r="AE14" s="4110" t="n"/>
      <c r="AF14" s="4110" t="n"/>
      <c r="AG14" s="4110" t="n"/>
      <c r="AH14" s="4113" t="n"/>
    </row>
    <row r="15" ht="17.1" customHeight="1" s="4080">
      <c r="A15" s="4187" t="inlineStr">
        <is>
          <t>当該事業の実施について定めてある定款・寄附行為等又は条例等</t>
        </is>
      </c>
      <c r="B15" s="4110" t="n"/>
      <c r="C15" s="4110" t="n"/>
      <c r="D15" s="4110" t="n"/>
      <c r="E15" s="4110" t="n"/>
      <c r="F15" s="4110" t="n"/>
      <c r="G15" s="4110" t="n"/>
      <c r="H15" s="4110" t="n"/>
      <c r="I15" s="4110" t="n"/>
      <c r="J15" s="4110" t="n"/>
      <c r="K15" s="4110" t="n"/>
      <c r="L15" s="4110" t="n"/>
      <c r="M15" s="4110" t="n"/>
      <c r="N15" s="4110" t="n"/>
      <c r="O15" s="4110" t="n"/>
      <c r="P15" s="4110" t="n"/>
      <c r="Q15" s="4110" t="n"/>
      <c r="R15" s="4110" t="n"/>
      <c r="S15" s="4111" t="n"/>
      <c r="T15" s="54" t="inlineStr">
        <is>
          <t>第</t>
        </is>
      </c>
      <c r="U15" s="920" t="n"/>
      <c r="V15" s="4110" t="n"/>
      <c r="W15" s="1264" t="inlineStr">
        <is>
          <t>条第</t>
        </is>
      </c>
      <c r="X15" s="4110" t="n"/>
      <c r="Y15" s="920" t="n"/>
      <c r="Z15" s="4110" t="n"/>
      <c r="AA15" s="1264" t="inlineStr">
        <is>
          <t>項第</t>
        </is>
      </c>
      <c r="AB15" s="4110" t="n"/>
      <c r="AC15" s="920" t="n"/>
      <c r="AD15" s="4110" t="n"/>
      <c r="AE15" s="1264" t="inlineStr">
        <is>
          <t>号（</t>
        </is>
      </c>
      <c r="AF15" s="4110" t="n"/>
      <c r="AG15" s="920" t="n"/>
      <c r="AH15" s="2827" t="inlineStr">
        <is>
          <t>）</t>
        </is>
      </c>
    </row>
    <row r="16" ht="11.25" customHeight="1" s="4080">
      <c r="A16" s="4188" t="inlineStr">
        <is>
          <t>管　　理　　者</t>
        </is>
      </c>
      <c r="B16" s="4099" t="n"/>
      <c r="C16" s="4184" t="inlineStr">
        <is>
          <t>ﾌﾘｶﾞﾅ</t>
        </is>
      </c>
      <c r="D16" s="4110" t="n"/>
      <c r="E16" s="4111" t="n"/>
      <c r="F16" s="3399" t="inlineStr">
        <is>
          <t>ｵｵｻｶ</t>
        </is>
      </c>
      <c r="G16" s="4110" t="n"/>
      <c r="H16" s="4110" t="n"/>
      <c r="I16" s="4189" t="n"/>
      <c r="J16" s="3400" t="inlineStr">
        <is>
          <t>ﾀﾛｳ</t>
        </is>
      </c>
      <c r="K16" s="4110" t="n"/>
      <c r="L16" s="4110" t="n"/>
      <c r="M16" s="4189" t="n"/>
      <c r="N16" s="4185" t="inlineStr">
        <is>
          <t>住所</t>
        </is>
      </c>
      <c r="O16" s="4099" t="n"/>
      <c r="P16" s="1244" t="inlineStr">
        <is>
          <t>郵便番号（</t>
        </is>
      </c>
      <c r="Q16" s="4098" t="n"/>
      <c r="R16" s="4098" t="n"/>
      <c r="S16" s="4098" t="n"/>
      <c r="T16" s="3389" t="inlineStr">
        <is>
          <t>５４１－００５５</t>
        </is>
      </c>
      <c r="U16" s="4098" t="n"/>
      <c r="V16" s="4098" t="n"/>
      <c r="W16" s="4098" t="n"/>
      <c r="X16" s="4098" t="n"/>
      <c r="Y16" s="1329" t="inlineStr">
        <is>
          <t>）</t>
        </is>
      </c>
      <c r="Z16" s="1017" t="n"/>
      <c r="AA16" s="1017" t="n"/>
      <c r="AB16" s="1017" t="n"/>
      <c r="AC16" s="1017" t="n"/>
      <c r="AD16" s="1017" t="n"/>
      <c r="AE16" s="1017" t="n"/>
      <c r="AF16" s="1017" t="n"/>
      <c r="AG16" s="1017" t="n"/>
      <c r="AH16" s="1424" t="n"/>
    </row>
    <row r="17" ht="12" customHeight="1" s="4080">
      <c r="A17" s="4097" t="n"/>
      <c r="B17" s="4107" t="n"/>
      <c r="C17" s="4184" t="inlineStr">
        <is>
          <t>氏名</t>
        </is>
      </c>
      <c r="D17" s="4098" t="n"/>
      <c r="E17" s="4099" t="n"/>
      <c r="F17" s="3399" t="inlineStr">
        <is>
          <t>大阪</t>
        </is>
      </c>
      <c r="G17" s="4098" t="n"/>
      <c r="H17" s="4098" t="n"/>
      <c r="I17" s="4190" t="n"/>
      <c r="J17" s="3400" t="inlineStr">
        <is>
          <t>太郎</t>
        </is>
      </c>
      <c r="K17" s="4098" t="n"/>
      <c r="L17" s="4098" t="n"/>
      <c r="M17" s="4190" t="n"/>
      <c r="N17" s="4106" t="n"/>
      <c r="O17" s="4107" t="n"/>
      <c r="P17" s="3414" t="inlineStr">
        <is>
          <t>大阪</t>
        </is>
      </c>
      <c r="R17" s="1325" t="inlineStr">
        <is>
          <t>都</t>
        </is>
      </c>
      <c r="S17" s="2378" t="inlineStr">
        <is>
          <t>道</t>
        </is>
      </c>
      <c r="T17" s="3415" t="inlineStr">
        <is>
          <t>大阪</t>
        </is>
      </c>
      <c r="W17" s="2378" t="inlineStr">
        <is>
          <t>郡</t>
        </is>
      </c>
      <c r="X17" s="3417" t="inlineStr">
        <is>
          <t>中央区船場中央２－２－２２</t>
        </is>
      </c>
      <c r="AH17" s="4109" t="n"/>
    </row>
    <row r="18" ht="12" customHeight="1" s="4080">
      <c r="A18" s="4097" t="n"/>
      <c r="B18" s="4107" t="n"/>
      <c r="C18" s="4106" t="n"/>
      <c r="E18" s="4107" t="n"/>
      <c r="F18" s="4106" t="n"/>
      <c r="I18" s="4191" t="n"/>
      <c r="J18" s="4192" t="n"/>
      <c r="M18" s="4191" t="n"/>
      <c r="N18" s="4106" t="n"/>
      <c r="O18" s="4107" t="n"/>
      <c r="P18" s="4106" t="n"/>
      <c r="R18" s="2378" t="inlineStr">
        <is>
          <t>府</t>
        </is>
      </c>
      <c r="S18" s="2378" t="inlineStr">
        <is>
          <t>県</t>
        </is>
      </c>
      <c r="W18" s="2378" t="inlineStr">
        <is>
          <t>市</t>
        </is>
      </c>
      <c r="AH18" s="4109" t="n"/>
    </row>
    <row r="19" ht="3.95" customHeight="1" s="4080">
      <c r="A19" s="4097" t="n"/>
      <c r="B19" s="4107" t="n"/>
      <c r="C19" s="4102" t="n"/>
      <c r="D19" s="4103" t="n"/>
      <c r="E19" s="4104" t="n"/>
      <c r="F19" s="4102" t="n"/>
      <c r="G19" s="4103" t="n"/>
      <c r="H19" s="4103" t="n"/>
      <c r="I19" s="4193" t="n"/>
      <c r="J19" s="4194" t="n"/>
      <c r="K19" s="4103" t="n"/>
      <c r="L19" s="4103" t="n"/>
      <c r="M19" s="4193" t="n"/>
      <c r="N19" s="4102" t="n"/>
      <c r="O19" s="4104" t="n"/>
      <c r="P19" s="4102" t="n"/>
      <c r="Q19" s="4103" t="n"/>
      <c r="R19" s="1810" t="n"/>
      <c r="S19" s="1810" t="n"/>
      <c r="T19" s="4103" t="n"/>
      <c r="U19" s="4103" t="n"/>
      <c r="V19" s="4103" t="n"/>
      <c r="W19" s="1810" t="n"/>
      <c r="AH19" s="4109" t="n"/>
    </row>
    <row r="20" ht="3.95" customHeight="1" s="4080">
      <c r="A20" s="4097" t="n"/>
      <c r="B20" s="4107" t="n"/>
      <c r="C20" s="1393" t="inlineStr">
        <is>
          <t>他の職務との兼務の有無及び職種</t>
        </is>
      </c>
      <c r="D20" s="4098" t="n"/>
      <c r="E20" s="4098" t="n"/>
      <c r="F20" s="4098" t="n"/>
      <c r="G20" s="4098" t="n"/>
      <c r="H20" s="4098" t="n"/>
      <c r="I20" s="4098" t="n"/>
      <c r="J20" s="4098" t="n"/>
      <c r="K20" s="4098" t="n"/>
      <c r="L20" s="4098" t="n"/>
      <c r="M20" s="4098" t="n"/>
      <c r="N20" s="4195" t="n"/>
      <c r="O20" s="4098" t="n"/>
      <c r="P20" s="4098" t="n"/>
      <c r="Q20" s="4098" t="n"/>
      <c r="R20" s="4099" t="n"/>
      <c r="S20" s="2163" t="inlineStr">
        <is>
          <t>職　　種</t>
        </is>
      </c>
      <c r="T20" s="4098" t="n"/>
      <c r="U20" s="4099" t="n"/>
      <c r="V20" s="1322" t="n"/>
      <c r="W20" s="1335" t="inlineStr">
        <is>
          <t xml:space="preserve">　</t>
        </is>
      </c>
      <c r="X20" s="4098" t="n"/>
      <c r="Y20" s="4098" t="n"/>
      <c r="Z20" s="4098" t="n"/>
      <c r="AA20" s="4098" t="n"/>
      <c r="AB20" s="4098" t="n"/>
      <c r="AC20" s="4098" t="n"/>
      <c r="AD20" s="4098" t="n"/>
      <c r="AE20" s="4098" t="n"/>
      <c r="AF20" s="4098" t="n"/>
      <c r="AG20" s="4098" t="n"/>
      <c r="AH20" s="4101" t="n"/>
    </row>
    <row r="21" ht="12" customHeight="1" s="4080">
      <c r="A21" s="4097" t="n"/>
      <c r="B21" s="4107" t="n"/>
      <c r="C21" s="4106" t="n"/>
      <c r="N21" s="1354" t="n"/>
      <c r="O21" s="1325" t="inlineStr">
        <is>
          <t>有</t>
        </is>
      </c>
      <c r="P21" s="1325" t="inlineStr">
        <is>
          <t>・</t>
        </is>
      </c>
      <c r="Q21" s="1325" t="inlineStr">
        <is>
          <t>無</t>
        </is>
      </c>
      <c r="R21" s="1332" t="n"/>
      <c r="S21" s="4106" t="n"/>
      <c r="U21" s="4107" t="n"/>
      <c r="V21" s="4312" t="n"/>
      <c r="AH21" s="4109" t="n"/>
    </row>
    <row r="22" ht="3.95" customHeight="1" s="4080">
      <c r="A22" s="4097" t="n"/>
      <c r="B22" s="4107" t="n"/>
      <c r="C22" s="4102" t="n"/>
      <c r="D22" s="4103" t="n"/>
      <c r="E22" s="4103" t="n"/>
      <c r="F22" s="4103" t="n"/>
      <c r="G22" s="4103" t="n"/>
      <c r="H22" s="4103" t="n"/>
      <c r="I22" s="4103" t="n"/>
      <c r="J22" s="4103" t="n"/>
      <c r="K22" s="4103" t="n"/>
      <c r="L22" s="4103" t="n"/>
      <c r="M22" s="4103" t="n"/>
      <c r="N22" s="4197" t="n"/>
      <c r="O22" s="4103" t="n"/>
      <c r="P22" s="4103" t="n"/>
      <c r="Q22" s="4103" t="n"/>
      <c r="R22" s="4104" t="n"/>
      <c r="S22" s="4102" t="n"/>
      <c r="T22" s="4103" t="n"/>
      <c r="U22" s="4104" t="n"/>
      <c r="V22" s="1326" t="n"/>
      <c r="W22" s="1299" t="n"/>
      <c r="X22" s="4103" t="n"/>
      <c r="Y22" s="4103" t="n"/>
      <c r="Z22" s="4103" t="n"/>
      <c r="AA22" s="4103" t="n"/>
      <c r="AB22" s="4103" t="n"/>
      <c r="AC22" s="4103" t="n"/>
      <c r="AD22" s="4103" t="n"/>
      <c r="AE22" s="4103" t="n"/>
      <c r="AF22" s="4103" t="n"/>
      <c r="AG22" s="4103" t="n"/>
      <c r="AH22" s="4105" t="n"/>
    </row>
    <row r="23" ht="15" customHeight="1" s="4080">
      <c r="A23" s="4097" t="n"/>
      <c r="B23" s="4107" t="n"/>
      <c r="C23" s="4800" t="inlineStr">
        <is>
          <t xml:space="preserve">　　同一敷地内の他の事業所又は施設を兼務する場合、当該兼務する事業所等の名称等</t>
        </is>
      </c>
      <c r="D23" s="4110" t="n"/>
      <c r="E23" s="4110" t="n"/>
      <c r="F23" s="4110" t="n"/>
      <c r="G23" s="4110" t="n"/>
      <c r="H23" s="4110" t="n"/>
      <c r="I23" s="4110" t="n"/>
      <c r="J23" s="4110" t="n"/>
      <c r="K23" s="4110" t="n"/>
      <c r="L23" s="4110" t="n"/>
      <c r="M23" s="4110" t="n"/>
      <c r="N23" s="4110" t="n"/>
      <c r="O23" s="4110" t="n"/>
      <c r="P23" s="4110" t="n"/>
      <c r="Q23" s="4110" t="n"/>
      <c r="R23" s="4110" t="n"/>
      <c r="S23" s="4110" t="n"/>
      <c r="T23" s="4110" t="n"/>
      <c r="U23" s="4110" t="n"/>
      <c r="V23" s="4110" t="n"/>
      <c r="W23" s="4110" t="n"/>
      <c r="X23" s="4110" t="n"/>
      <c r="Y23" s="4110" t="n"/>
      <c r="Z23" s="4110" t="n"/>
      <c r="AA23" s="4110" t="n"/>
      <c r="AB23" s="4110" t="n"/>
      <c r="AC23" s="4110" t="n"/>
      <c r="AD23" s="4110" t="n"/>
      <c r="AE23" s="4110" t="n"/>
      <c r="AF23" s="4110" t="n"/>
      <c r="AG23" s="4110" t="n"/>
      <c r="AH23" s="4113" t="n"/>
    </row>
    <row r="24" ht="15" customHeight="1" s="4080">
      <c r="A24" s="4097" t="n"/>
      <c r="B24" s="4107" t="n"/>
      <c r="C24" s="2163" t="inlineStr">
        <is>
          <t>事業所名</t>
        </is>
      </c>
      <c r="D24" s="4110" t="n"/>
      <c r="E24" s="4110" t="n"/>
      <c r="F24" s="4110" t="n"/>
      <c r="G24" s="4110" t="n"/>
      <c r="H24" s="4110" t="n"/>
      <c r="I24" s="4110" t="n"/>
      <c r="J24" s="4111" t="n"/>
      <c r="K24" s="2164" t="inlineStr">
        <is>
          <t>サービス種別</t>
        </is>
      </c>
      <c r="L24" s="4110" t="n"/>
      <c r="M24" s="4110" t="n"/>
      <c r="N24" s="4110" t="n"/>
      <c r="O24" s="4110" t="n"/>
      <c r="P24" s="4110" t="n"/>
      <c r="Q24" s="4110" t="n"/>
      <c r="R24" s="4110" t="n"/>
      <c r="S24" s="4110" t="n"/>
      <c r="T24" s="4110" t="n"/>
      <c r="U24" s="4110" t="n"/>
      <c r="V24" s="4110" t="n"/>
      <c r="W24" s="4110" t="n"/>
      <c r="X24" s="4110" t="n"/>
      <c r="Y24" s="4111" t="n"/>
      <c r="Z24" s="3273" t="inlineStr">
        <is>
          <t>職種</t>
        </is>
      </c>
      <c r="AA24" s="4110" t="n"/>
      <c r="AB24" s="4110" t="n"/>
      <c r="AC24" s="4110" t="n"/>
      <c r="AD24" s="4110" t="n"/>
      <c r="AE24" s="4110" t="n"/>
      <c r="AF24" s="4110" t="n"/>
      <c r="AG24" s="4110" t="n"/>
      <c r="AH24" s="4111" t="n"/>
    </row>
    <row r="25" ht="15" customHeight="1" s="4080">
      <c r="A25" s="4097" t="n"/>
      <c r="B25" s="4107" t="n"/>
      <c r="C25" s="2167" t="n"/>
      <c r="D25" s="4457" t="n"/>
      <c r="E25" s="4457" t="n"/>
      <c r="F25" s="4457" t="n"/>
      <c r="G25" s="4457" t="n"/>
      <c r="H25" s="4457" t="n"/>
      <c r="I25" s="4457" t="n"/>
      <c r="J25" s="4458" t="n"/>
      <c r="K25" s="2168" t="n"/>
      <c r="L25" s="4457" t="n"/>
      <c r="M25" s="4457" t="n"/>
      <c r="N25" s="4457" t="n"/>
      <c r="O25" s="4457" t="n"/>
      <c r="P25" s="4457" t="n"/>
      <c r="Q25" s="4457" t="n"/>
      <c r="R25" s="4457" t="n"/>
      <c r="S25" s="4457" t="n"/>
      <c r="T25" s="4457" t="n"/>
      <c r="U25" s="4457" t="n"/>
      <c r="V25" s="4457" t="n"/>
      <c r="W25" s="4457" t="n"/>
      <c r="X25" s="4457" t="n"/>
      <c r="Y25" s="4458" t="n"/>
      <c r="Z25" s="2169" t="n"/>
      <c r="AA25" s="4457" t="n"/>
      <c r="AB25" s="4457" t="n"/>
      <c r="AC25" s="4457" t="n"/>
      <c r="AD25" s="4457" t="n"/>
      <c r="AE25" s="4457" t="n"/>
      <c r="AF25" s="4457" t="n"/>
      <c r="AG25" s="4457" t="n"/>
      <c r="AH25" s="4458" t="n"/>
    </row>
    <row r="26" ht="15" customHeight="1" s="4080">
      <c r="A26" s="4097" t="n"/>
      <c r="B26" s="4107" t="n"/>
      <c r="C26" s="2171" t="n"/>
      <c r="D26" s="4459" t="n"/>
      <c r="E26" s="4459" t="n"/>
      <c r="F26" s="4459" t="n"/>
      <c r="G26" s="4459" t="n"/>
      <c r="H26" s="4459" t="n"/>
      <c r="I26" s="4459" t="n"/>
      <c r="J26" s="4459" t="n"/>
      <c r="K26" s="4460" t="n"/>
      <c r="L26" s="4459" t="n"/>
      <c r="M26" s="4459" t="n"/>
      <c r="N26" s="4459" t="n"/>
      <c r="O26" s="4459" t="n"/>
      <c r="P26" s="4459" t="n"/>
      <c r="Q26" s="4459" t="n"/>
      <c r="R26" s="4459" t="n"/>
      <c r="S26" s="4459" t="n"/>
      <c r="T26" s="4459" t="n"/>
      <c r="U26" s="4459" t="n"/>
      <c r="V26" s="4459" t="n"/>
      <c r="W26" s="4459" t="n"/>
      <c r="X26" s="4459" t="n"/>
      <c r="Y26" s="4461" t="n"/>
      <c r="Z26" s="2177" t="n"/>
      <c r="AA26" s="4459" t="n"/>
      <c r="AB26" s="4459" t="n"/>
      <c r="AC26" s="4459" t="n"/>
      <c r="AD26" s="4459" t="n"/>
      <c r="AE26" s="4459" t="n"/>
      <c r="AF26" s="4459" t="n"/>
      <c r="AG26" s="4459" t="n"/>
      <c r="AH26" s="4462" t="n"/>
    </row>
    <row r="27" ht="12" customHeight="1" s="4080">
      <c r="A27" s="1766" t="inlineStr">
        <is>
          <t>児童発達支援管理責任者</t>
        </is>
      </c>
      <c r="B27" s="1768" t="inlineStr">
        <is>
          <t>１</t>
        </is>
      </c>
      <c r="C27" s="4184" t="inlineStr">
        <is>
          <t>ﾌﾘｶﾞﾅ</t>
        </is>
      </c>
      <c r="D27" s="4110" t="n"/>
      <c r="E27" s="4111" t="n"/>
      <c r="F27" s="4854" t="inlineStr">
        <is>
          <t>ﾎﾝﾏﾁ</t>
        </is>
      </c>
      <c r="G27" s="4110" t="n"/>
      <c r="H27" s="4110" t="n"/>
      <c r="I27" s="4204" t="n"/>
      <c r="J27" s="4855" t="inlineStr">
        <is>
          <t>ﾊﾅｺ</t>
        </is>
      </c>
      <c r="K27" s="4110" t="n"/>
      <c r="L27" s="4110" t="n"/>
      <c r="M27" s="4111" t="n"/>
      <c r="N27" s="2164" t="inlineStr">
        <is>
          <t>住所</t>
        </is>
      </c>
      <c r="O27" s="4099" t="n"/>
      <c r="P27" s="1244" t="inlineStr">
        <is>
          <t>郵便番号（</t>
        </is>
      </c>
      <c r="Q27" s="4098" t="n"/>
      <c r="R27" s="4098" t="n"/>
      <c r="S27" s="4098" t="n"/>
      <c r="T27" s="3389" t="inlineStr">
        <is>
          <t>５４１－００５５</t>
        </is>
      </c>
      <c r="U27" s="4098" t="n"/>
      <c r="V27" s="4098" t="n"/>
      <c r="W27" s="4098" t="n"/>
      <c r="X27" s="4098" t="n"/>
      <c r="Y27" s="1329" t="inlineStr">
        <is>
          <t>）</t>
        </is>
      </c>
      <c r="Z27" s="1017" t="n"/>
      <c r="AA27" s="1017" t="n"/>
      <c r="AB27" s="1017" t="n"/>
      <c r="AC27" s="1017" t="n"/>
      <c r="AD27" s="1017" t="n"/>
      <c r="AE27" s="120" t="n"/>
      <c r="AF27" s="119" t="n"/>
      <c r="AG27" s="119" t="n"/>
      <c r="AH27" s="118" t="n"/>
    </row>
    <row r="28" ht="9.75" customHeight="1" s="4080">
      <c r="A28" s="4208" t="n"/>
      <c r="B28" s="4107" t="n"/>
      <c r="C28" s="4209" t="inlineStr">
        <is>
          <t>氏　　名</t>
        </is>
      </c>
      <c r="D28" s="4098" t="n"/>
      <c r="E28" s="4099" t="n"/>
      <c r="F28" s="4854" t="inlineStr">
        <is>
          <t>本町</t>
        </is>
      </c>
      <c r="G28" s="4098" t="n"/>
      <c r="H28" s="4098" t="n"/>
      <c r="I28" s="4210" t="n"/>
      <c r="J28" s="4855" t="inlineStr">
        <is>
          <t>花子</t>
        </is>
      </c>
      <c r="K28" s="4098" t="n"/>
      <c r="L28" s="4098" t="n"/>
      <c r="M28" s="4099" t="n"/>
      <c r="N28" s="4106" t="n"/>
      <c r="O28" s="4107" t="n"/>
      <c r="P28" s="3414" t="inlineStr">
        <is>
          <t>大阪</t>
        </is>
      </c>
      <c r="R28" s="2378" t="inlineStr">
        <is>
          <t>都</t>
        </is>
      </c>
      <c r="S28" s="2378" t="inlineStr">
        <is>
          <t>道</t>
        </is>
      </c>
      <c r="T28" s="3438" t="inlineStr">
        <is>
          <t>大阪</t>
        </is>
      </c>
      <c r="W28" s="2378" t="inlineStr">
        <is>
          <t>郡</t>
        </is>
      </c>
      <c r="X28" s="3440" t="inlineStr">
        <is>
          <t>中央区船場中央２－２－２３</t>
        </is>
      </c>
      <c r="AH28" s="4109" t="n"/>
    </row>
    <row r="29" ht="12" customHeight="1" s="4080">
      <c r="A29" s="4208" t="n"/>
      <c r="B29" s="4107" t="n"/>
      <c r="C29" s="4106" t="n"/>
      <c r="E29" s="4107" t="n"/>
      <c r="F29" s="4106" t="n"/>
      <c r="I29" s="4212" t="n"/>
      <c r="J29" s="4213" t="n"/>
      <c r="M29" s="4107" t="n"/>
      <c r="N29" s="4106" t="n"/>
      <c r="O29" s="4107" t="n"/>
      <c r="P29" s="4106" t="n"/>
      <c r="R29" s="2378" t="inlineStr">
        <is>
          <t>府</t>
        </is>
      </c>
      <c r="S29" s="2378" t="inlineStr">
        <is>
          <t>県</t>
        </is>
      </c>
      <c r="W29" s="2378" t="inlineStr">
        <is>
          <t>市</t>
        </is>
      </c>
      <c r="AH29" s="4109" t="n"/>
    </row>
    <row r="30" ht="3" customHeight="1" s="4080">
      <c r="A30" s="4208" t="n"/>
      <c r="B30" s="4107" t="n"/>
      <c r="C30" s="4102" t="n"/>
      <c r="D30" s="4103" t="n"/>
      <c r="E30" s="4104" t="n"/>
      <c r="F30" s="4102" t="n"/>
      <c r="G30" s="4103" t="n"/>
      <c r="H30" s="4103" t="n"/>
      <c r="I30" s="4215" t="n"/>
      <c r="J30" s="4216" t="n"/>
      <c r="K30" s="4103" t="n"/>
      <c r="L30" s="4103" t="n"/>
      <c r="M30" s="4104" t="n"/>
      <c r="N30" s="4102" t="n"/>
      <c r="O30" s="4104" t="n"/>
      <c r="P30" s="4102" t="n"/>
      <c r="Q30" s="4103" t="n"/>
      <c r="R30" s="2378" t="n"/>
      <c r="S30" s="2378" t="n"/>
      <c r="T30" s="4103" t="n"/>
      <c r="U30" s="4103" t="n"/>
      <c r="V30" s="4103" t="n"/>
      <c r="W30" s="63" t="n"/>
      <c r="X30" s="4103" t="n"/>
      <c r="Y30" s="4103" t="n"/>
      <c r="Z30" s="4103" t="n"/>
      <c r="AA30" s="4103" t="n"/>
      <c r="AB30" s="4103" t="n"/>
      <c r="AC30" s="4103" t="n"/>
      <c r="AD30" s="4103" t="n"/>
      <c r="AE30" s="4103" t="n"/>
      <c r="AF30" s="4103" t="n"/>
      <c r="AG30" s="4103" t="n"/>
      <c r="AH30" s="4105" t="n"/>
    </row>
    <row r="31" ht="3.95" customHeight="1" s="4080">
      <c r="A31" s="4208" t="n"/>
      <c r="B31" s="4107" t="n"/>
      <c r="C31" s="1393" t="inlineStr">
        <is>
          <t>他の職務との兼務の有無及び職種</t>
        </is>
      </c>
      <c r="D31" s="4098" t="n"/>
      <c r="E31" s="4098" t="n"/>
      <c r="F31" s="4098" t="n"/>
      <c r="G31" s="4098" t="n"/>
      <c r="H31" s="4098" t="n"/>
      <c r="I31" s="4098" t="n"/>
      <c r="J31" s="4098" t="n"/>
      <c r="K31" s="4098" t="n"/>
      <c r="L31" s="4098" t="n"/>
      <c r="M31" s="4098" t="n"/>
      <c r="N31" s="4195" t="n"/>
      <c r="O31" s="4098" t="n"/>
      <c r="P31" s="4098" t="n"/>
      <c r="Q31" s="4098" t="n"/>
      <c r="R31" s="4099" t="n"/>
      <c r="S31" s="2163" t="inlineStr">
        <is>
          <t>職　　種</t>
        </is>
      </c>
      <c r="T31" s="4098" t="n"/>
      <c r="U31" s="4099" t="n"/>
      <c r="V31" s="1322" t="n"/>
      <c r="W31" s="1335" t="inlineStr">
        <is>
          <t xml:space="preserve">　</t>
        </is>
      </c>
      <c r="X31" s="4098" t="n"/>
      <c r="Y31" s="4098" t="n"/>
      <c r="Z31" s="4098" t="n"/>
      <c r="AA31" s="4098" t="n"/>
      <c r="AB31" s="4098" t="n"/>
      <c r="AC31" s="4098" t="n"/>
      <c r="AD31" s="4098" t="n"/>
      <c r="AE31" s="4098" t="n"/>
      <c r="AF31" s="4098" t="n"/>
      <c r="AG31" s="4098" t="n"/>
      <c r="AH31" s="4101" t="n"/>
    </row>
    <row r="32" ht="12" customHeight="1" s="4080">
      <c r="A32" s="4208" t="n"/>
      <c r="B32" s="4107" t="n"/>
      <c r="C32" s="4106" t="n"/>
      <c r="N32" s="1354" t="n"/>
      <c r="O32" s="1325" t="inlineStr">
        <is>
          <t>有</t>
        </is>
      </c>
      <c r="P32" s="1325" t="inlineStr">
        <is>
          <t>・</t>
        </is>
      </c>
      <c r="Q32" s="1325" t="inlineStr">
        <is>
          <t>無</t>
        </is>
      </c>
      <c r="R32" s="1332" t="n"/>
      <c r="S32" s="4106" t="n"/>
      <c r="U32" s="4107" t="n"/>
      <c r="V32" s="4312" t="n"/>
      <c r="AH32" s="4109" t="n"/>
    </row>
    <row r="33" ht="3.95" customHeight="1" s="4080">
      <c r="A33" s="4208" t="n"/>
      <c r="B33" s="4107" t="n"/>
      <c r="C33" s="4102" t="n"/>
      <c r="D33" s="4103" t="n"/>
      <c r="E33" s="4103" t="n"/>
      <c r="F33" s="4103" t="n"/>
      <c r="G33" s="4103" t="n"/>
      <c r="H33" s="4103" t="n"/>
      <c r="I33" s="4103" t="n"/>
      <c r="J33" s="4103" t="n"/>
      <c r="K33" s="4103" t="n"/>
      <c r="L33" s="4103" t="n"/>
      <c r="M33" s="4103" t="n"/>
      <c r="N33" s="4197" t="n"/>
      <c r="O33" s="4103" t="n"/>
      <c r="P33" s="4103" t="n"/>
      <c r="Q33" s="4103" t="n"/>
      <c r="R33" s="4104" t="n"/>
      <c r="S33" s="4102" t="n"/>
      <c r="T33" s="4103" t="n"/>
      <c r="U33" s="4104" t="n"/>
      <c r="V33" s="1326" t="n"/>
      <c r="W33" s="1299" t="n"/>
      <c r="X33" s="4103" t="n"/>
      <c r="Y33" s="4103" t="n"/>
      <c r="Z33" s="4103" t="n"/>
      <c r="AA33" s="4103" t="n"/>
      <c r="AB33" s="4103" t="n"/>
      <c r="AC33" s="4103" t="n"/>
      <c r="AD33" s="4103" t="n"/>
      <c r="AE33" s="4103" t="n"/>
      <c r="AF33" s="4103" t="n"/>
      <c r="AG33" s="4103" t="n"/>
      <c r="AH33" s="4105" t="n"/>
    </row>
    <row r="34" ht="12" customHeight="1" s="4080">
      <c r="A34" s="4208" t="n"/>
      <c r="B34" s="1768" t="inlineStr">
        <is>
          <t>２</t>
        </is>
      </c>
      <c r="C34" s="4184" t="inlineStr">
        <is>
          <t>ﾌﾘｶﾞﾅ</t>
        </is>
      </c>
      <c r="D34" s="4110" t="n"/>
      <c r="E34" s="4111" t="n"/>
      <c r="F34" s="4203" t="n"/>
      <c r="G34" s="4110" t="n"/>
      <c r="H34" s="4110" t="n"/>
      <c r="I34" s="4204" t="n"/>
      <c r="J34" s="4205" t="n"/>
      <c r="K34" s="4110" t="n"/>
      <c r="L34" s="4110" t="n"/>
      <c r="M34" s="4111" t="n"/>
      <c r="N34" s="2164" t="inlineStr">
        <is>
          <t>住所</t>
        </is>
      </c>
      <c r="O34" s="4099" t="n"/>
      <c r="P34" s="1244" t="inlineStr">
        <is>
          <t>郵便番号（</t>
        </is>
      </c>
      <c r="Q34" s="4098" t="n"/>
      <c r="R34" s="4098" t="n"/>
      <c r="S34" s="4098" t="n"/>
      <c r="T34" s="1287" t="n"/>
      <c r="U34" s="4098" t="n"/>
      <c r="V34" s="4098" t="n"/>
      <c r="W34" s="4098" t="n"/>
      <c r="X34" s="4098" t="n"/>
      <c r="Y34" s="1329" t="inlineStr">
        <is>
          <t>）</t>
        </is>
      </c>
      <c r="Z34" s="1017" t="n"/>
      <c r="AA34" s="1017" t="n"/>
      <c r="AB34" s="1017" t="n"/>
      <c r="AC34" s="1017" t="n"/>
      <c r="AD34" s="1017" t="n"/>
      <c r="AE34" s="120" t="n"/>
      <c r="AF34" s="119" t="n"/>
      <c r="AG34" s="119" t="n"/>
      <c r="AH34" s="118" t="n"/>
    </row>
    <row r="35" ht="9.75" customHeight="1" s="4080">
      <c r="A35" s="4208" t="n"/>
      <c r="B35" s="4107" t="n"/>
      <c r="C35" s="4209" t="inlineStr">
        <is>
          <t>氏　　名</t>
        </is>
      </c>
      <c r="D35" s="4098" t="n"/>
      <c r="E35" s="4099" t="n"/>
      <c r="F35" s="4203" t="n"/>
      <c r="G35" s="4098" t="n"/>
      <c r="H35" s="4098" t="n"/>
      <c r="I35" s="4210" t="n"/>
      <c r="J35" s="4205" t="n"/>
      <c r="K35" s="4098" t="n"/>
      <c r="L35" s="4098" t="n"/>
      <c r="M35" s="4099" t="n"/>
      <c r="N35" s="4106" t="n"/>
      <c r="O35" s="4107" t="n"/>
      <c r="P35" s="1318" t="n"/>
      <c r="R35" s="2378" t="inlineStr">
        <is>
          <t>都</t>
        </is>
      </c>
      <c r="S35" s="2378" t="inlineStr">
        <is>
          <t>道</t>
        </is>
      </c>
      <c r="T35" s="1389" t="n"/>
      <c r="W35" s="2378" t="inlineStr">
        <is>
          <t>郡</t>
        </is>
      </c>
      <c r="X35" s="1686" t="n"/>
      <c r="AH35" s="4109" t="n"/>
    </row>
    <row r="36" ht="9.75" customHeight="1" s="4080">
      <c r="A36" s="4208" t="n"/>
      <c r="B36" s="4107" t="n"/>
      <c r="C36" s="4106" t="n"/>
      <c r="E36" s="4107" t="n"/>
      <c r="F36" s="4106" t="n"/>
      <c r="I36" s="4212" t="n"/>
      <c r="J36" s="4213" t="n"/>
      <c r="M36" s="4107" t="n"/>
      <c r="N36" s="4106" t="n"/>
      <c r="O36" s="4107" t="n"/>
      <c r="P36" s="4106" t="n"/>
      <c r="R36" s="2378" t="inlineStr">
        <is>
          <t>府</t>
        </is>
      </c>
      <c r="S36" s="2378" t="inlineStr">
        <is>
          <t>県</t>
        </is>
      </c>
      <c r="W36" s="2378" t="inlineStr">
        <is>
          <t>市</t>
        </is>
      </c>
      <c r="AH36" s="4109" t="n"/>
    </row>
    <row r="37" ht="3" customHeight="1" s="4080">
      <c r="A37" s="4208" t="n"/>
      <c r="B37" s="4107" t="n"/>
      <c r="C37" s="4102" t="n"/>
      <c r="D37" s="4103" t="n"/>
      <c r="E37" s="4104" t="n"/>
      <c r="F37" s="4102" t="n"/>
      <c r="G37" s="4103" t="n"/>
      <c r="H37" s="4103" t="n"/>
      <c r="I37" s="4215" t="n"/>
      <c r="J37" s="4216" t="n"/>
      <c r="K37" s="4103" t="n"/>
      <c r="L37" s="4103" t="n"/>
      <c r="M37" s="4104" t="n"/>
      <c r="N37" s="4102" t="n"/>
      <c r="O37" s="4104" t="n"/>
      <c r="P37" s="4102" t="n"/>
      <c r="Q37" s="4103" t="n"/>
      <c r="R37" s="2378" t="n"/>
      <c r="S37" s="2378" t="n"/>
      <c r="T37" s="4103" t="n"/>
      <c r="U37" s="4103" t="n"/>
      <c r="V37" s="4103" t="n"/>
      <c r="W37" s="63" t="n"/>
      <c r="X37" s="4103" t="n"/>
      <c r="Y37" s="4103" t="n"/>
      <c r="Z37" s="4103" t="n"/>
      <c r="AA37" s="4103" t="n"/>
      <c r="AB37" s="4103" t="n"/>
      <c r="AC37" s="4103" t="n"/>
      <c r="AD37" s="4103" t="n"/>
      <c r="AE37" s="4103" t="n"/>
      <c r="AF37" s="4103" t="n"/>
      <c r="AG37" s="4103" t="n"/>
      <c r="AH37" s="4105" t="n"/>
    </row>
    <row r="38" ht="3.95" customHeight="1" s="4080">
      <c r="A38" s="4208" t="n"/>
      <c r="B38" s="4107" t="n"/>
      <c r="C38" s="1393" t="inlineStr">
        <is>
          <t>他の職務との兼務の有無及び職種</t>
        </is>
      </c>
      <c r="D38" s="4098" t="n"/>
      <c r="E38" s="4098" t="n"/>
      <c r="F38" s="4098" t="n"/>
      <c r="G38" s="4098" t="n"/>
      <c r="H38" s="4098" t="n"/>
      <c r="I38" s="4098" t="n"/>
      <c r="J38" s="4098" t="n"/>
      <c r="K38" s="4098" t="n"/>
      <c r="L38" s="4098" t="n"/>
      <c r="M38" s="4098" t="n"/>
      <c r="N38" s="4195" t="n"/>
      <c r="O38" s="4098" t="n"/>
      <c r="P38" s="4098" t="n"/>
      <c r="Q38" s="4098" t="n"/>
      <c r="R38" s="4099" t="n"/>
      <c r="S38" s="2163" t="inlineStr">
        <is>
          <t>職　　種</t>
        </is>
      </c>
      <c r="T38" s="4098" t="n"/>
      <c r="U38" s="4099" t="n"/>
      <c r="V38" s="1322" t="n"/>
      <c r="W38" s="1335" t="inlineStr">
        <is>
          <t xml:space="preserve">　</t>
        </is>
      </c>
      <c r="X38" s="4098" t="n"/>
      <c r="Y38" s="4098" t="n"/>
      <c r="Z38" s="4098" t="n"/>
      <c r="AA38" s="4098" t="n"/>
      <c r="AB38" s="4098" t="n"/>
      <c r="AC38" s="4098" t="n"/>
      <c r="AD38" s="4098" t="n"/>
      <c r="AE38" s="4098" t="n"/>
      <c r="AF38" s="4098" t="n"/>
      <c r="AG38" s="4098" t="n"/>
      <c r="AH38" s="4101" t="n"/>
    </row>
    <row r="39" ht="12" customHeight="1" s="4080">
      <c r="A39" s="4208" t="n"/>
      <c r="B39" s="4107" t="n"/>
      <c r="C39" s="4106" t="n"/>
      <c r="N39" s="1354" t="n"/>
      <c r="O39" s="1325" t="inlineStr">
        <is>
          <t>有</t>
        </is>
      </c>
      <c r="P39" s="1325" t="inlineStr">
        <is>
          <t>・</t>
        </is>
      </c>
      <c r="Q39" s="1325" t="inlineStr">
        <is>
          <t>無</t>
        </is>
      </c>
      <c r="R39" s="1332" t="n"/>
      <c r="S39" s="4106" t="n"/>
      <c r="U39" s="4107" t="n"/>
      <c r="V39" s="4312" t="n"/>
      <c r="AH39" s="4109" t="n"/>
    </row>
    <row r="40" ht="3.95" customHeight="1" s="4080">
      <c r="A40" s="4208" t="n"/>
      <c r="B40" s="4107" t="n"/>
      <c r="C40" s="4102" t="n"/>
      <c r="D40" s="4103" t="n"/>
      <c r="E40" s="4103" t="n"/>
      <c r="F40" s="4103" t="n"/>
      <c r="G40" s="4103" t="n"/>
      <c r="H40" s="4103" t="n"/>
      <c r="I40" s="4103" t="n"/>
      <c r="J40" s="4103" t="n"/>
      <c r="K40" s="4103" t="n"/>
      <c r="L40" s="4103" t="n"/>
      <c r="M40" s="4103" t="n"/>
      <c r="N40" s="4197" t="n"/>
      <c r="O40" s="4103" t="n"/>
      <c r="P40" s="4103" t="n"/>
      <c r="Q40" s="4103" t="n"/>
      <c r="R40" s="4104" t="n"/>
      <c r="S40" s="4102" t="n"/>
      <c r="T40" s="4103" t="n"/>
      <c r="U40" s="4104" t="n"/>
      <c r="V40" s="1326" t="n"/>
      <c r="W40" s="1299" t="n"/>
      <c r="X40" s="4103" t="n"/>
      <c r="Y40" s="4103" t="n"/>
      <c r="Z40" s="4103" t="n"/>
      <c r="AA40" s="4103" t="n"/>
      <c r="AB40" s="4103" t="n"/>
      <c r="AC40" s="4103" t="n"/>
      <c r="AD40" s="4103" t="n"/>
      <c r="AE40" s="4103" t="n"/>
      <c r="AF40" s="4103" t="n"/>
      <c r="AG40" s="4103" t="n"/>
      <c r="AH40" s="4105" t="n"/>
    </row>
    <row r="41" ht="15" customHeight="1" s="4080" thickBot="1">
      <c r="A41" s="4801" t="inlineStr">
        <is>
          <t>職員の職種・員数</t>
        </is>
      </c>
      <c r="B41" s="4099" t="n"/>
      <c r="C41" s="4272" t="inlineStr">
        <is>
          <t xml:space="preserve">　　　　　　職種・勤務形態
常勤・非常勤の別</t>
        </is>
      </c>
      <c r="D41" s="4098" t="n"/>
      <c r="E41" s="4098" t="n"/>
      <c r="F41" s="4098" t="n"/>
      <c r="G41" s="4098" t="n"/>
      <c r="H41" s="4098" t="n"/>
      <c r="I41" s="4098" t="n"/>
      <c r="J41" s="4099" t="n"/>
      <c r="K41" s="4440" t="inlineStr">
        <is>
          <t>児童発達支援管理責任者</t>
        </is>
      </c>
      <c r="L41" s="4110" t="n"/>
      <c r="M41" s="4110" t="n"/>
      <c r="N41" s="4110" t="n"/>
      <c r="O41" s="4110" t="n"/>
      <c r="P41" s="4111" t="n"/>
      <c r="Q41" s="4185" t="inlineStr">
        <is>
          <t>指　導　員</t>
        </is>
      </c>
      <c r="R41" s="4110" t="n"/>
      <c r="S41" s="4110" t="n"/>
      <c r="T41" s="4110" t="n"/>
      <c r="U41" s="4110" t="n"/>
      <c r="V41" s="4111" t="n"/>
      <c r="W41" s="4325" t="inlineStr">
        <is>
          <t>保　育　士</t>
        </is>
      </c>
      <c r="X41" s="4098" t="n"/>
      <c r="Y41" s="4098" t="n"/>
      <c r="Z41" s="4098" t="n"/>
      <c r="AA41" s="4098" t="n"/>
      <c r="AB41" s="4099" t="n"/>
      <c r="AC41" s="4506" t="n"/>
      <c r="AD41" s="4098" t="n"/>
      <c r="AE41" s="4098" t="n"/>
      <c r="AF41" s="4098" t="n"/>
      <c r="AG41" s="4098" t="n"/>
      <c r="AH41" s="4101" t="n"/>
    </row>
    <row r="42" ht="15" customHeight="1" s="4080" thickBot="1">
      <c r="A42" s="4097" t="n"/>
      <c r="B42" s="4107" t="n"/>
      <c r="C42" s="4102" t="n"/>
      <c r="D42" s="4103" t="n"/>
      <c r="E42" s="4103" t="n"/>
      <c r="F42" s="4103" t="n"/>
      <c r="G42" s="4103" t="n"/>
      <c r="H42" s="4103" t="n"/>
      <c r="I42" s="4103" t="n"/>
      <c r="J42" s="4104" t="n"/>
      <c r="K42" s="1617" t="inlineStr">
        <is>
          <t>専従</t>
        </is>
      </c>
      <c r="L42" s="4110" t="n"/>
      <c r="M42" s="4189" t="n"/>
      <c r="N42" s="1603" t="inlineStr">
        <is>
          <t>兼務</t>
        </is>
      </c>
      <c r="O42" s="4110" t="n"/>
      <c r="P42" s="4189" t="n"/>
      <c r="Q42" s="1617" t="inlineStr">
        <is>
          <t>専従</t>
        </is>
      </c>
      <c r="R42" s="4110" t="n"/>
      <c r="S42" s="4189" t="n"/>
      <c r="T42" s="1603" t="inlineStr">
        <is>
          <t>兼務</t>
        </is>
      </c>
      <c r="U42" s="4110" t="n"/>
      <c r="V42" s="4189" t="n"/>
      <c r="W42" s="1617" t="inlineStr">
        <is>
          <t>専従</t>
        </is>
      </c>
      <c r="X42" s="4110" t="n"/>
      <c r="Y42" s="4189" t="n"/>
      <c r="Z42" s="1603" t="inlineStr">
        <is>
          <t>兼務</t>
        </is>
      </c>
      <c r="AA42" s="4110" t="n"/>
      <c r="AB42" s="4189" t="n"/>
      <c r="AC42" s="1617" t="inlineStr">
        <is>
          <t>専従</t>
        </is>
      </c>
      <c r="AD42" s="4110" t="n"/>
      <c r="AE42" s="4189" t="n"/>
      <c r="AF42" s="1603" t="inlineStr">
        <is>
          <t>兼務</t>
        </is>
      </c>
      <c r="AG42" s="4110" t="n"/>
      <c r="AH42" s="4189" t="n"/>
    </row>
    <row r="43" ht="15" customHeight="1" s="4080" thickBot="1">
      <c r="A43" s="4097" t="n"/>
      <c r="B43" s="4107" t="n"/>
      <c r="C43" s="1268" t="inlineStr">
        <is>
          <t>常　　　　　勤（人）</t>
        </is>
      </c>
      <c r="D43" s="4110" t="n"/>
      <c r="E43" s="4110" t="n"/>
      <c r="F43" s="4110" t="n"/>
      <c r="G43" s="4110" t="n"/>
      <c r="H43" s="4110" t="n"/>
      <c r="I43" s="4110" t="n"/>
      <c r="J43" s="4111" t="n"/>
      <c r="K43" s="4856" t="n">
        <v>1</v>
      </c>
      <c r="L43" s="4110" t="n"/>
      <c r="M43" s="4189" t="n"/>
      <c r="N43" s="4328" t="n"/>
      <c r="O43" s="4110" t="n"/>
      <c r="P43" s="4189" t="n"/>
      <c r="Q43" s="4856" t="n">
        <v>2</v>
      </c>
      <c r="R43" s="4110" t="n"/>
      <c r="S43" s="4189" t="n"/>
      <c r="T43" s="4328" t="n"/>
      <c r="U43" s="4110" t="n"/>
      <c r="V43" s="4189" t="n"/>
      <c r="W43" s="4327" t="n"/>
      <c r="X43" s="4110" t="n"/>
      <c r="Y43" s="4189" t="n"/>
      <c r="Z43" s="4328" t="n"/>
      <c r="AA43" s="4110" t="n"/>
      <c r="AB43" s="4189" t="n"/>
      <c r="AC43" s="4327" t="n"/>
      <c r="AD43" s="4110" t="n"/>
      <c r="AE43" s="4189" t="n"/>
      <c r="AF43" s="4328" t="n"/>
      <c r="AG43" s="4110" t="n"/>
      <c r="AH43" s="4189" t="n"/>
    </row>
    <row r="44" ht="15" customHeight="1" s="4080" thickBot="1">
      <c r="A44" s="4097" t="n"/>
      <c r="B44" s="4107" t="n"/>
      <c r="C44" s="1286" t="inlineStr">
        <is>
          <t>非　　常　　勤（人）</t>
        </is>
      </c>
      <c r="D44" s="4103" t="n"/>
      <c r="E44" s="4103" t="n"/>
      <c r="F44" s="4103" t="n"/>
      <c r="G44" s="4103" t="n"/>
      <c r="H44" s="4103" t="n"/>
      <c r="I44" s="4103" t="n"/>
      <c r="J44" s="4104" t="n"/>
      <c r="K44" s="4327" t="n"/>
      <c r="L44" s="4110" t="n"/>
      <c r="M44" s="4189" t="n"/>
      <c r="N44" s="4328" t="n"/>
      <c r="O44" s="4110" t="n"/>
      <c r="P44" s="4189" t="n"/>
      <c r="Q44" s="4856" t="n">
        <v>1</v>
      </c>
      <c r="R44" s="4110" t="n"/>
      <c r="S44" s="4189" t="n"/>
      <c r="T44" s="4328" t="n"/>
      <c r="U44" s="4110" t="n"/>
      <c r="V44" s="4189" t="n"/>
      <c r="W44" s="4856" t="n">
        <v>1</v>
      </c>
      <c r="X44" s="4110" t="n"/>
      <c r="Y44" s="4189" t="n"/>
      <c r="Z44" s="4328" t="n"/>
      <c r="AA44" s="4110" t="n"/>
      <c r="AB44" s="4189" t="n"/>
      <c r="AC44" s="4327" t="n"/>
      <c r="AD44" s="4110" t="n"/>
      <c r="AE44" s="4189" t="n"/>
      <c r="AF44" s="4328" t="n"/>
      <c r="AG44" s="4110" t="n"/>
      <c r="AH44" s="4189" t="n"/>
    </row>
    <row r="45" ht="15" customHeight="1" s="4080" thickBot="1">
      <c r="A45" s="4097" t="n"/>
      <c r="B45" s="4107" t="n"/>
      <c r="C45" s="1268" t="inlineStr">
        <is>
          <t>常勤換算後の人数（人）</t>
        </is>
      </c>
      <c r="D45" s="4110" t="n"/>
      <c r="E45" s="4110" t="n"/>
      <c r="F45" s="4110" t="n"/>
      <c r="G45" s="4110" t="n"/>
      <c r="H45" s="4110" t="n"/>
      <c r="I45" s="4110" t="n"/>
      <c r="J45" s="4111" t="n"/>
      <c r="K45" s="4857" t="n">
        <v>1</v>
      </c>
      <c r="L45" s="4110" t="n"/>
      <c r="M45" s="4110" t="n"/>
      <c r="N45" s="4110" t="n"/>
      <c r="O45" s="4110" t="n"/>
      <c r="P45" s="4111" t="n"/>
      <c r="Q45" s="4857" t="n">
        <v>2.8</v>
      </c>
      <c r="R45" s="4110" t="n"/>
      <c r="S45" s="4110" t="n"/>
      <c r="T45" s="4110" t="n"/>
      <c r="U45" s="4110" t="n"/>
      <c r="V45" s="4111" t="n"/>
      <c r="W45" s="4857" t="n">
        <v>0.5</v>
      </c>
      <c r="X45" s="4110" t="n"/>
      <c r="Y45" s="4110" t="n"/>
      <c r="Z45" s="4110" t="n"/>
      <c r="AA45" s="4110" t="n"/>
      <c r="AB45" s="4111" t="n"/>
      <c r="AC45" s="4367" t="n"/>
      <c r="AD45" s="4098" t="n"/>
      <c r="AE45" s="4098" t="n"/>
      <c r="AF45" s="4098" t="n"/>
      <c r="AG45" s="4098" t="n"/>
      <c r="AH45" s="4101" t="n"/>
    </row>
    <row r="46" ht="15" customHeight="1" s="4080" thickBot="1">
      <c r="A46" s="4097" t="n"/>
      <c r="B46" s="4107" t="n"/>
      <c r="C46" s="4272" t="inlineStr">
        <is>
          <t xml:space="preserve">　　　　　　職種・勤務形態
常勤・非常勤の別</t>
        </is>
      </c>
      <c r="D46" s="4098" t="n"/>
      <c r="E46" s="4098" t="n"/>
      <c r="F46" s="4098" t="n"/>
      <c r="G46" s="4098" t="n"/>
      <c r="H46" s="4098" t="n"/>
      <c r="I46" s="4098" t="n"/>
      <c r="J46" s="4099" t="n"/>
      <c r="K46" s="4505" t="n"/>
      <c r="L46" s="4110" t="n"/>
      <c r="M46" s="4110" t="n"/>
      <c r="N46" s="4110" t="n"/>
      <c r="O46" s="4110" t="n"/>
      <c r="P46" s="4111" t="n"/>
      <c r="Q46" s="4136" t="n"/>
      <c r="R46" s="4098" t="n"/>
      <c r="S46" s="4098" t="n"/>
      <c r="T46" s="4098" t="n"/>
      <c r="U46" s="4098" t="n"/>
      <c r="V46" s="4099" t="n"/>
      <c r="W46" s="4136" t="n"/>
      <c r="X46" s="4098" t="n"/>
      <c r="Y46" s="4098" t="n"/>
      <c r="Z46" s="4098" t="n"/>
      <c r="AA46" s="4098" t="n"/>
      <c r="AB46" s="4099" t="n"/>
      <c r="AC46" s="4506" t="n"/>
      <c r="AD46" s="4098" t="n"/>
      <c r="AE46" s="4098" t="n"/>
      <c r="AF46" s="4098" t="n"/>
      <c r="AG46" s="4098" t="n"/>
      <c r="AH46" s="4101" t="n"/>
    </row>
    <row r="47" ht="15" customHeight="1" s="4080" thickBot="1">
      <c r="A47" s="4097" t="n"/>
      <c r="B47" s="4107" t="n"/>
      <c r="C47" s="4102" t="n"/>
      <c r="D47" s="4103" t="n"/>
      <c r="E47" s="4103" t="n"/>
      <c r="F47" s="4103" t="n"/>
      <c r="G47" s="4103" t="n"/>
      <c r="H47" s="4103" t="n"/>
      <c r="I47" s="4103" t="n"/>
      <c r="J47" s="4104" t="n"/>
      <c r="K47" s="1617" t="inlineStr">
        <is>
          <t>専従</t>
        </is>
      </c>
      <c r="L47" s="4110" t="n"/>
      <c r="M47" s="4189" t="n"/>
      <c r="N47" s="1603" t="inlineStr">
        <is>
          <t>兼務</t>
        </is>
      </c>
      <c r="O47" s="4110" t="n"/>
      <c r="P47" s="4189" t="n"/>
      <c r="Q47" s="1617" t="inlineStr">
        <is>
          <t>専従</t>
        </is>
      </c>
      <c r="R47" s="4110" t="n"/>
      <c r="S47" s="4189" t="n"/>
      <c r="T47" s="1603" t="inlineStr">
        <is>
          <t>兼務</t>
        </is>
      </c>
      <c r="U47" s="4110" t="n"/>
      <c r="V47" s="4189" t="n"/>
      <c r="W47" s="1617" t="inlineStr">
        <is>
          <t>専従</t>
        </is>
      </c>
      <c r="X47" s="4110" t="n"/>
      <c r="Y47" s="4189" t="n"/>
      <c r="Z47" s="1603" t="inlineStr">
        <is>
          <t>兼務</t>
        </is>
      </c>
      <c r="AA47" s="4110" t="n"/>
      <c r="AB47" s="4189" t="n"/>
      <c r="AC47" s="1617" t="inlineStr">
        <is>
          <t>専従</t>
        </is>
      </c>
      <c r="AD47" s="4110" t="n"/>
      <c r="AE47" s="4189" t="n"/>
      <c r="AF47" s="1603" t="inlineStr">
        <is>
          <t>兼務</t>
        </is>
      </c>
      <c r="AG47" s="4110" t="n"/>
      <c r="AH47" s="4189" t="n"/>
    </row>
    <row r="48" ht="15" customHeight="1" s="4080" thickBot="1">
      <c r="A48" s="4097" t="n"/>
      <c r="B48" s="4107" t="n"/>
      <c r="C48" s="1268" t="inlineStr">
        <is>
          <t>常　　　　　勤（人）</t>
        </is>
      </c>
      <c r="D48" s="4110" t="n"/>
      <c r="E48" s="4110" t="n"/>
      <c r="F48" s="4110" t="n"/>
      <c r="G48" s="4110" t="n"/>
      <c r="H48" s="4110" t="n"/>
      <c r="I48" s="4110" t="n"/>
      <c r="J48" s="4111" t="n"/>
      <c r="K48" s="4327" t="n"/>
      <c r="L48" s="4110" t="n"/>
      <c r="M48" s="4189" t="n"/>
      <c r="N48" s="4328" t="n"/>
      <c r="O48" s="4110" t="n"/>
      <c r="P48" s="4189" t="n"/>
      <c r="Q48" s="4327" t="n"/>
      <c r="R48" s="4110" t="n"/>
      <c r="S48" s="4189" t="n"/>
      <c r="T48" s="4328" t="n"/>
      <c r="U48" s="4110" t="n"/>
      <c r="V48" s="4189" t="n"/>
      <c r="W48" s="4327" t="n"/>
      <c r="X48" s="4110" t="n"/>
      <c r="Y48" s="4189" t="n"/>
      <c r="Z48" s="4328" t="n"/>
      <c r="AA48" s="4110" t="n"/>
      <c r="AB48" s="4189" t="n"/>
      <c r="AC48" s="4327" t="n"/>
      <c r="AD48" s="4110" t="n"/>
      <c r="AE48" s="4189" t="n"/>
      <c r="AF48" s="4328" t="n"/>
      <c r="AG48" s="4110" t="n"/>
      <c r="AH48" s="4189" t="n"/>
    </row>
    <row r="49" ht="15" customHeight="1" s="4080" thickBot="1">
      <c r="A49" s="4097" t="n"/>
      <c r="B49" s="4107" t="n"/>
      <c r="C49" s="1286" t="inlineStr">
        <is>
          <t>非　　常　　勤（人）</t>
        </is>
      </c>
      <c r="D49" s="4103" t="n"/>
      <c r="E49" s="4103" t="n"/>
      <c r="F49" s="4103" t="n"/>
      <c r="G49" s="4103" t="n"/>
      <c r="H49" s="4103" t="n"/>
      <c r="I49" s="4103" t="n"/>
      <c r="J49" s="4104" t="n"/>
      <c r="K49" s="4327" t="n"/>
      <c r="L49" s="4110" t="n"/>
      <c r="M49" s="4189" t="n"/>
      <c r="N49" s="4328" t="n"/>
      <c r="O49" s="4110" t="n"/>
      <c r="P49" s="4189" t="n"/>
      <c r="Q49" s="4327" t="n"/>
      <c r="R49" s="4110" t="n"/>
      <c r="S49" s="4189" t="n"/>
      <c r="T49" s="4328" t="n"/>
      <c r="U49" s="4110" t="n"/>
      <c r="V49" s="4189" t="n"/>
      <c r="W49" s="4327" t="n"/>
      <c r="X49" s="4110" t="n"/>
      <c r="Y49" s="4189" t="n"/>
      <c r="Z49" s="4328" t="n"/>
      <c r="AA49" s="4110" t="n"/>
      <c r="AB49" s="4189" t="n"/>
      <c r="AC49" s="4327" t="n"/>
      <c r="AD49" s="4110" t="n"/>
      <c r="AE49" s="4189" t="n"/>
      <c r="AF49" s="4328" t="n"/>
      <c r="AG49" s="4110" t="n"/>
      <c r="AH49" s="4189" t="n"/>
    </row>
    <row r="50" ht="15" customHeight="1" s="4080">
      <c r="A50" s="4086" t="n"/>
      <c r="B50" s="4410" t="n"/>
      <c r="C50" s="4185" t="inlineStr">
        <is>
          <t>常勤換算後の人数（人）</t>
        </is>
      </c>
      <c r="D50" s="4110" t="n"/>
      <c r="E50" s="4110" t="n"/>
      <c r="F50" s="4110" t="n"/>
      <c r="G50" s="4110" t="n"/>
      <c r="H50" s="4110" t="n"/>
      <c r="I50" s="4110" t="n"/>
      <c r="J50" s="4111" t="n"/>
      <c r="K50" s="4330" t="n"/>
      <c r="L50" s="4110" t="n"/>
      <c r="M50" s="4110" t="n"/>
      <c r="N50" s="4110" t="n"/>
      <c r="O50" s="4110" t="n"/>
      <c r="P50" s="4111" t="n"/>
      <c r="Q50" s="4330" t="n"/>
      <c r="R50" s="4110" t="n"/>
      <c r="S50" s="4110" t="n"/>
      <c r="T50" s="4110" t="n"/>
      <c r="U50" s="4110" t="n"/>
      <c r="V50" s="4111" t="n"/>
      <c r="W50" s="4330" t="n"/>
      <c r="X50" s="4110" t="n"/>
      <c r="Y50" s="4110" t="n"/>
      <c r="Z50" s="4110" t="n"/>
      <c r="AA50" s="4110" t="n"/>
      <c r="AB50" s="4111" t="n"/>
      <c r="AC50" s="4331" t="n"/>
      <c r="AD50" s="4110" t="n"/>
      <c r="AE50" s="4110" t="n"/>
      <c r="AF50" s="4110" t="n"/>
      <c r="AG50" s="4110" t="n"/>
      <c r="AH50" s="4113" t="n"/>
    </row>
    <row r="51" ht="3.95" customHeight="1" s="4080">
      <c r="A51" s="3062" t="n"/>
      <c r="J51" s="4107" t="n"/>
      <c r="K51" s="4339" t="n"/>
      <c r="L51" s="4341" t="n"/>
      <c r="M51" s="4341" t="n"/>
      <c r="N51" s="4341" t="n"/>
      <c r="O51" s="4341" t="n"/>
      <c r="P51" s="4397" t="n"/>
      <c r="Q51" s="4802" t="inlineStr">
        <is>
          <t>短期入所の利用定員</t>
        </is>
      </c>
      <c r="V51" s="4107" t="n"/>
      <c r="W51" s="4803" t="n"/>
      <c r="Y51" s="4346" t="inlineStr">
        <is>
          <t>名</t>
        </is>
      </c>
      <c r="Z51" s="4804" t="n"/>
      <c r="AH51" s="4109" t="n"/>
    </row>
    <row r="52" ht="14.1" customHeight="1" s="4080">
      <c r="A52" s="4338" t="inlineStr">
        <is>
          <t>短期入所の実施の有無</t>
        </is>
      </c>
      <c r="J52" s="4107" t="n"/>
      <c r="K52" s="4339" t="n"/>
      <c r="L52" s="4393" t="inlineStr">
        <is>
          <t>無</t>
        </is>
      </c>
      <c r="M52" s="4340" t="inlineStr">
        <is>
          <t>・</t>
        </is>
      </c>
      <c r="O52" s="4340" t="inlineStr">
        <is>
          <t>有</t>
        </is>
      </c>
      <c r="P52" s="4397" t="n"/>
      <c r="Q52" s="4106" t="n"/>
      <c r="V52" s="4107" t="n"/>
      <c r="W52" s="4106" t="n"/>
      <c r="Y52" s="4107" t="n"/>
      <c r="Z52" s="4106" t="n"/>
      <c r="AH52" s="4109" t="n"/>
    </row>
    <row r="53" ht="3.95" customHeight="1" s="4080">
      <c r="A53" s="2296" t="n"/>
      <c r="B53" s="2321" t="n"/>
      <c r="C53" s="2321" t="n"/>
      <c r="D53" s="2321" t="n"/>
      <c r="E53" s="2321" t="n"/>
      <c r="F53" s="2321" t="n"/>
      <c r="G53" s="2321" t="n"/>
      <c r="H53" s="2321" t="n"/>
      <c r="I53" s="2321" t="n"/>
      <c r="J53" s="1450" t="n"/>
      <c r="K53" s="4343" t="n"/>
      <c r="L53" s="4344" t="n"/>
      <c r="M53" s="4344" t="n"/>
      <c r="N53" s="4344" t="n"/>
      <c r="O53" s="4344" t="n"/>
      <c r="P53" s="4398" t="n"/>
      <c r="Q53" s="4102" t="n"/>
      <c r="R53" s="4103" t="n"/>
      <c r="S53" s="4103" t="n"/>
      <c r="T53" s="4103" t="n"/>
      <c r="U53" s="4103" t="n"/>
      <c r="V53" s="4104" t="n"/>
      <c r="W53" s="4102" t="n"/>
      <c r="X53" s="4103" t="n"/>
      <c r="Y53" s="4104" t="n"/>
      <c r="Z53" s="4102" t="n"/>
      <c r="AA53" s="4103" t="n"/>
      <c r="AB53" s="4103" t="n"/>
      <c r="AC53" s="4103" t="n"/>
      <c r="AD53" s="4103" t="n"/>
      <c r="AE53" s="4103" t="n"/>
      <c r="AF53" s="4103" t="n"/>
      <c r="AG53" s="4103" t="n"/>
      <c r="AH53" s="4105" t="n"/>
    </row>
    <row r="54" ht="15" customHeight="1" s="4080">
      <c r="A54" s="4402" t="inlineStr">
        <is>
          <t>前年度利用者数
（又は推定数）</t>
        </is>
      </c>
      <c r="B54" s="4098" t="n"/>
      <c r="C54" s="4098" t="n"/>
      <c r="D54" s="4098" t="n"/>
      <c r="E54" s="4098" t="n"/>
      <c r="F54" s="4098" t="n"/>
      <c r="G54" s="4098" t="n"/>
      <c r="H54" s="4098" t="n"/>
      <c r="I54" s="4098" t="n"/>
      <c r="J54" s="4099" t="n"/>
      <c r="K54" s="1990" t="inlineStr">
        <is>
          <t>利用者数</t>
        </is>
      </c>
      <c r="L54" s="4110" t="n"/>
      <c r="M54" s="4110" t="n"/>
      <c r="N54" s="4110" t="n"/>
      <c r="O54" s="4403" t="inlineStr">
        <is>
          <t>開所日数</t>
        </is>
      </c>
      <c r="P54" s="4110" t="n"/>
      <c r="Q54" s="4110" t="n"/>
      <c r="R54" s="4111" t="n"/>
      <c r="S54" s="1990" t="inlineStr">
        <is>
          <t>平均利用者数</t>
        </is>
      </c>
      <c r="T54" s="4110" t="n"/>
      <c r="U54" s="4110" t="n"/>
      <c r="V54" s="4110" t="n"/>
      <c r="W54" s="2270" t="n"/>
      <c r="X54" s="2271" t="n"/>
      <c r="Y54" s="2271" t="n"/>
      <c r="Z54" s="2271" t="n"/>
      <c r="AA54" s="2271" t="n"/>
      <c r="AB54" s="2271" t="n"/>
      <c r="AC54" s="2271" t="n"/>
      <c r="AD54" s="2271" t="n"/>
      <c r="AE54" s="2271" t="n"/>
      <c r="AF54" s="2271" t="n"/>
      <c r="AG54" s="2271" t="n"/>
      <c r="AH54" s="2272" t="n"/>
    </row>
    <row r="55" ht="15" customHeight="1" s="4080" thickBot="1">
      <c r="A55" s="4086" t="n"/>
      <c r="B55" s="4087" t="n"/>
      <c r="C55" s="4087" t="n"/>
      <c r="D55" s="4087" t="n"/>
      <c r="E55" s="4087" t="n"/>
      <c r="F55" s="4087" t="n"/>
      <c r="G55" s="4087" t="n"/>
      <c r="H55" s="4087" t="n"/>
      <c r="I55" s="4087" t="n"/>
      <c r="J55" s="4410" t="n"/>
      <c r="K55" s="4805" t="n"/>
      <c r="L55" s="4153" t="n"/>
      <c r="M55" s="4153" t="n"/>
      <c r="N55" s="4806" t="inlineStr">
        <is>
          <t>人</t>
        </is>
      </c>
      <c r="O55" s="4805" t="n"/>
      <c r="P55" s="4153" t="n"/>
      <c r="Q55" s="4153" t="n"/>
      <c r="R55" s="4807" t="inlineStr">
        <is>
          <t>日</t>
        </is>
      </c>
      <c r="S55" s="4808">
        <f>IF(O55=0," ",ROUNDUP(#REF!/O55,1))</f>
        <v/>
      </c>
      <c r="T55" s="4153" t="n"/>
      <c r="U55" s="4153" t="n"/>
      <c r="V55" s="494" t="inlineStr">
        <is>
          <t>人</t>
        </is>
      </c>
      <c r="W55" s="495" t="n"/>
      <c r="X55" s="496" t="n"/>
      <c r="Y55" s="496" t="n"/>
      <c r="Z55" s="496" t="n"/>
      <c r="AA55" s="496" t="n"/>
      <c r="AB55" s="496" t="n"/>
      <c r="AC55" s="496" t="n"/>
      <c r="AD55" s="496" t="n"/>
      <c r="AE55" s="496" t="n"/>
      <c r="AF55" s="496" t="n"/>
      <c r="AG55" s="496" t="n"/>
      <c r="AH55" s="311" t="n"/>
    </row>
    <row r="56" ht="13.5" customHeight="1" s="4080">
      <c r="A56" s="4652" t="inlineStr">
        <is>
          <t xml:space="preserve">サ　ー　ビ　ス　提　供　体　制　</t>
        </is>
      </c>
      <c r="B56" s="4356" t="n"/>
      <c r="C56" s="4809" t="inlineStr">
        <is>
          <t>①</t>
        </is>
      </c>
      <c r="D56" s="4809" t="inlineStr">
        <is>
          <t>サービス提供日</t>
        </is>
      </c>
      <c r="E56" s="4082" t="n"/>
      <c r="F56" s="4082" t="n"/>
      <c r="G56" s="4082" t="n"/>
      <c r="H56" s="4082" t="n"/>
      <c r="I56" s="4082" t="n"/>
      <c r="J56" s="4356" t="n"/>
      <c r="K56" s="2244" t="inlineStr">
        <is>
          <t>月</t>
        </is>
      </c>
      <c r="L56" s="2245" t="inlineStr">
        <is>
          <t>火</t>
        </is>
      </c>
      <c r="M56" s="2245" t="inlineStr">
        <is>
          <t>水</t>
        </is>
      </c>
      <c r="N56" s="2245" t="inlineStr">
        <is>
          <t>木</t>
        </is>
      </c>
      <c r="O56" s="2245" t="inlineStr">
        <is>
          <t>金</t>
        </is>
      </c>
      <c r="P56" s="2245" t="inlineStr">
        <is>
          <t>土</t>
        </is>
      </c>
      <c r="Q56" s="2245" t="inlineStr">
        <is>
          <t>日</t>
        </is>
      </c>
      <c r="R56" s="2249" t="inlineStr">
        <is>
          <t>祝</t>
        </is>
      </c>
      <c r="S56" s="4279" t="inlineStr">
        <is>
          <t>休業日</t>
        </is>
      </c>
      <c r="T56" s="1611" t="inlineStr">
        <is>
          <t>年末年始</t>
        </is>
      </c>
      <c r="U56" s="4098" t="n"/>
      <c r="V56" s="3453" t="inlineStr">
        <is>
          <t>12/29～1/3</t>
        </is>
      </c>
      <c r="W56" s="4098" t="n"/>
      <c r="X56" s="4098" t="n"/>
      <c r="Y56" s="4098" t="n"/>
      <c r="Z56" s="4098" t="n"/>
      <c r="AA56" s="4098" t="n"/>
      <c r="AB56" s="4099" t="n"/>
      <c r="AC56" s="4280" t="inlineStr">
        <is>
          <t>備　考</t>
        </is>
      </c>
      <c r="AD56" s="4281" t="n"/>
      <c r="AE56" s="4098" t="n"/>
      <c r="AF56" s="4098" t="n"/>
      <c r="AG56" s="4098" t="n"/>
      <c r="AH56" s="4101" t="n"/>
    </row>
    <row r="57" ht="13.5" customHeight="1" s="4080">
      <c r="A57" s="4097" t="n"/>
      <c r="B57" s="4107" t="n"/>
      <c r="C57" s="4122" t="n"/>
      <c r="D57" s="4106" t="n"/>
      <c r="J57" s="4107" t="n"/>
      <c r="K57" s="4858" t="inlineStr">
        <is>
          <t>○</t>
        </is>
      </c>
      <c r="L57" s="4859" t="inlineStr">
        <is>
          <t>○</t>
        </is>
      </c>
      <c r="M57" s="4859" t="inlineStr">
        <is>
          <t>○</t>
        </is>
      </c>
      <c r="N57" s="4859" t="inlineStr">
        <is>
          <t>○</t>
        </is>
      </c>
      <c r="O57" s="4859" t="inlineStr">
        <is>
          <t>○</t>
        </is>
      </c>
      <c r="P57" s="2245" t="n"/>
      <c r="Q57" s="2245" t="n"/>
      <c r="R57" s="2249" t="n"/>
      <c r="S57" s="4282" t="n"/>
      <c r="T57" s="1609" t="inlineStr">
        <is>
          <t>夏季</t>
        </is>
      </c>
      <c r="V57" s="937" t="n"/>
      <c r="AB57" s="4107" t="n"/>
      <c r="AC57" s="4282" t="n"/>
      <c r="AD57" s="4192" t="n"/>
      <c r="AH57" s="4109" t="n"/>
    </row>
    <row r="58" ht="13.5" customHeight="1" s="4080">
      <c r="A58" s="4097" t="n"/>
      <c r="B58" s="4107" t="n"/>
      <c r="C58" s="4122" t="n"/>
      <c r="D58" s="4102" t="n"/>
      <c r="E58" s="4103" t="n"/>
      <c r="F58" s="4103" t="n"/>
      <c r="G58" s="4103" t="n"/>
      <c r="H58" s="4103" t="n"/>
      <c r="I58" s="4103" t="n"/>
      <c r="J58" s="4104" t="n"/>
      <c r="K58" s="4283" t="n"/>
      <c r="L58" s="4284" t="n"/>
      <c r="M58" s="4284" t="n"/>
      <c r="N58" s="4284" t="n"/>
      <c r="O58" s="4284" t="n"/>
      <c r="P58" s="4284" t="n"/>
      <c r="Q58" s="4284" t="n"/>
      <c r="R58" s="4285" t="n"/>
      <c r="S58" s="4286" t="n"/>
      <c r="T58" s="1610" t="inlineStr">
        <is>
          <t>その他</t>
        </is>
      </c>
      <c r="U58" s="4103" t="n"/>
      <c r="V58" s="940" t="n"/>
      <c r="W58" s="4103" t="n"/>
      <c r="X58" s="4103" t="n"/>
      <c r="Y58" s="4103" t="n"/>
      <c r="Z58" s="4103" t="n"/>
      <c r="AA58" s="4103" t="n"/>
      <c r="AB58" s="4104" t="n"/>
      <c r="AC58" s="4286" t="n"/>
      <c r="AD58" s="4194" t="n"/>
      <c r="AE58" s="4103" t="n"/>
      <c r="AF58" s="4103" t="n"/>
      <c r="AG58" s="4103" t="n"/>
      <c r="AH58" s="4105" t="n"/>
    </row>
    <row r="59" ht="9" customHeight="1" s="4080">
      <c r="A59" s="4097" t="n"/>
      <c r="B59" s="4107" t="n"/>
      <c r="C59" s="4122" t="n"/>
      <c r="D59" s="2163" t="inlineStr">
        <is>
          <t>サービス提供時間</t>
        </is>
      </c>
      <c r="E59" s="4098" t="n"/>
      <c r="F59" s="4098" t="n"/>
      <c r="G59" s="4098" t="n"/>
      <c r="H59" s="4098" t="n"/>
      <c r="I59" s="4098" t="n"/>
      <c r="J59" s="4099" t="n"/>
      <c r="K59" s="1660" t="n"/>
      <c r="L59" s="3385" t="inlineStr">
        <is>
          <t>１０</t>
        </is>
      </c>
      <c r="M59" s="4098" t="n"/>
      <c r="N59" s="4098" t="n"/>
      <c r="O59" s="1301" t="inlineStr">
        <is>
          <t>時</t>
        </is>
      </c>
      <c r="P59" s="4860" t="inlineStr">
        <is>
          <t>００</t>
        </is>
      </c>
      <c r="Q59" s="4098" t="n"/>
      <c r="R59" s="1301" t="inlineStr">
        <is>
          <t>分～</t>
        </is>
      </c>
      <c r="S59" s="4098" t="n"/>
      <c r="T59" s="3385" t="inlineStr">
        <is>
          <t>１８</t>
        </is>
      </c>
      <c r="U59" s="4098" t="n"/>
      <c r="V59" s="4098" t="n"/>
      <c r="W59" s="1301" t="inlineStr">
        <is>
          <t>時</t>
        </is>
      </c>
      <c r="X59" s="4860" t="inlineStr">
        <is>
          <t>００</t>
        </is>
      </c>
      <c r="Y59" s="4098" t="n"/>
      <c r="Z59" s="1301" t="inlineStr">
        <is>
          <t>分</t>
        </is>
      </c>
      <c r="AA59" s="1661" t="n"/>
      <c r="AB59" s="1661" t="n"/>
      <c r="AC59" s="1661" t="n"/>
      <c r="AD59" s="1661" t="n"/>
      <c r="AE59" s="1661" t="n"/>
      <c r="AF59" s="1661" t="n"/>
      <c r="AG59" s="1661" t="n"/>
      <c r="AH59" s="1662" t="n"/>
    </row>
    <row r="60" ht="9" customHeight="1" s="4080">
      <c r="A60" s="4097" t="n"/>
      <c r="B60" s="4107" t="n"/>
      <c r="C60" s="4122" t="n"/>
      <c r="D60" s="4102" t="n"/>
      <c r="E60" s="4103" t="n"/>
      <c r="F60" s="4103" t="n"/>
      <c r="G60" s="4103" t="n"/>
      <c r="H60" s="4103" t="n"/>
      <c r="I60" s="4103" t="n"/>
      <c r="J60" s="4104" t="n"/>
      <c r="K60" s="497" t="n"/>
      <c r="L60" s="4103" t="n"/>
      <c r="M60" s="4103" t="n"/>
      <c r="N60" s="4103" t="n"/>
      <c r="O60" s="4103" t="n"/>
      <c r="P60" s="4103" t="n"/>
      <c r="Q60" s="4103" t="n"/>
      <c r="R60" s="4103" t="n"/>
      <c r="S60" s="4103" t="n"/>
      <c r="T60" s="4103" t="n"/>
      <c r="U60" s="4103" t="n"/>
      <c r="V60" s="4103" t="n"/>
      <c r="W60" s="4103" t="n"/>
      <c r="X60" s="4103" t="n"/>
      <c r="Y60" s="4103" t="n"/>
      <c r="Z60" s="4103" t="n"/>
      <c r="AA60" s="2713" t="n"/>
      <c r="AB60" s="4103" t="n"/>
      <c r="AC60" s="4103" t="n"/>
      <c r="AD60" s="4103" t="n"/>
      <c r="AE60" s="4103" t="n"/>
      <c r="AF60" s="4103" t="n"/>
      <c r="AG60" s="4103" t="n"/>
      <c r="AH60" s="4105" t="n"/>
    </row>
    <row r="61" ht="11.25" customHeight="1" s="4080">
      <c r="A61" s="4097" t="n"/>
      <c r="B61" s="4107" t="n"/>
      <c r="C61" s="4122" t="n"/>
      <c r="D61" s="4325" t="inlineStr">
        <is>
          <t>定員とサービス種別</t>
        </is>
      </c>
      <c r="E61" s="4098" t="n"/>
      <c r="F61" s="4098" t="n"/>
      <c r="G61" s="4098" t="n"/>
      <c r="H61" s="4098" t="n"/>
      <c r="I61" s="4098" t="n"/>
      <c r="J61" s="4099" t="n"/>
      <c r="K61" s="336" t="n"/>
      <c r="L61" s="336" t="n"/>
      <c r="M61" s="336" t="n"/>
      <c r="N61" s="336" t="n"/>
      <c r="O61" s="336" t="n"/>
      <c r="P61" s="4810" t="inlineStr">
        <is>
          <t>提供するサービス</t>
        </is>
      </c>
      <c r="Q61" s="4110" t="n"/>
      <c r="R61" s="4110" t="n"/>
      <c r="S61" s="4110" t="n"/>
      <c r="T61" s="4110" t="n"/>
      <c r="U61" s="4110" t="n"/>
      <c r="V61" s="4110" t="n"/>
      <c r="W61" s="4111" t="n"/>
      <c r="X61" s="4811" t="inlineStr">
        <is>
          <t>サービスごとの定員</t>
        </is>
      </c>
      <c r="Y61" s="4110" t="n"/>
      <c r="Z61" s="4110" t="n"/>
      <c r="AA61" s="4110" t="n"/>
      <c r="AB61" s="4110" t="n"/>
      <c r="AC61" s="4110" t="n"/>
      <c r="AD61" s="4812" t="n"/>
      <c r="AE61" s="4813" t="n"/>
      <c r="AF61" s="2271" t="n"/>
      <c r="AG61" s="2271" t="n"/>
      <c r="AH61" s="2272" t="n"/>
    </row>
    <row r="62" ht="3.75" customHeight="1" s="4080">
      <c r="A62" s="4097" t="n"/>
      <c r="B62" s="4107" t="n"/>
      <c r="C62" s="4122" t="n"/>
      <c r="D62" s="4106" t="n"/>
      <c r="J62" s="4107" t="n"/>
      <c r="K62" s="1658" t="n"/>
      <c r="L62" s="3456" t="inlineStr">
        <is>
          <t>１０</t>
        </is>
      </c>
      <c r="P62" s="2053" t="n"/>
      <c r="Q62" s="500" t="n"/>
      <c r="R62" s="500" t="n"/>
      <c r="S62" s="500" t="n"/>
      <c r="T62" s="4814" t="n"/>
      <c r="U62" s="4814" t="n"/>
      <c r="V62" s="4815" t="n"/>
      <c r="W62" s="4816" t="n"/>
      <c r="X62" s="4817" t="n"/>
      <c r="Y62" s="4818" t="n"/>
      <c r="AC62" s="506" t="n"/>
      <c r="AD62" s="507" t="n"/>
      <c r="AE62" s="508" t="n"/>
      <c r="AF62" s="508" t="n"/>
      <c r="AG62" s="508" t="n"/>
      <c r="AH62" s="298" t="n"/>
    </row>
    <row r="63" ht="11.25" customHeight="1" s="4080">
      <c r="A63" s="4097" t="n"/>
      <c r="B63" s="4107" t="n"/>
      <c r="C63" s="4122" t="n"/>
      <c r="D63" s="4106" t="n"/>
      <c r="J63" s="4107" t="n"/>
      <c r="K63" s="1657" t="n"/>
      <c r="P63" s="2054" t="n"/>
      <c r="Q63" s="4819" t="inlineStr">
        <is>
          <t>児童発達支援</t>
        </is>
      </c>
      <c r="W63" s="4820" t="n"/>
      <c r="X63" s="4821" t="n"/>
      <c r="Y63" s="4822" t="n"/>
      <c r="AB63" s="1667" t="inlineStr">
        <is>
          <t>人</t>
        </is>
      </c>
      <c r="AC63" s="376" t="n"/>
      <c r="AD63" s="507" t="n"/>
      <c r="AE63" s="508" t="n"/>
      <c r="AF63" s="508" t="n"/>
      <c r="AG63" s="508" t="n"/>
      <c r="AH63" s="298" t="n"/>
    </row>
    <row r="64" ht="3.75" customHeight="1" s="4080">
      <c r="A64" s="4097" t="n"/>
      <c r="B64" s="4107" t="n"/>
      <c r="C64" s="4122" t="n"/>
      <c r="D64" s="4106" t="n"/>
      <c r="J64" s="4107" t="n"/>
      <c r="K64" s="1657" t="n"/>
      <c r="P64" s="2054" t="n"/>
      <c r="Q64" s="500" t="n"/>
      <c r="R64" s="500" t="n"/>
      <c r="S64" s="500" t="n"/>
      <c r="T64" s="4823" t="n"/>
      <c r="U64" s="4823" t="n"/>
      <c r="V64" s="4815" t="n"/>
      <c r="W64" s="4816" t="n"/>
      <c r="X64" s="4817" t="n"/>
      <c r="Y64" s="4818" t="n"/>
      <c r="AC64" s="376" t="n"/>
      <c r="AD64" s="507" t="n"/>
      <c r="AE64" s="508" t="n"/>
      <c r="AF64" s="508" t="n"/>
      <c r="AG64" s="508" t="n"/>
      <c r="AH64" s="298" t="n"/>
    </row>
    <row r="65" ht="11.25" customHeight="1" s="4080">
      <c r="A65" s="4097" t="n"/>
      <c r="B65" s="4107" t="n"/>
      <c r="C65" s="4122" t="n"/>
      <c r="D65" s="4106" t="n"/>
      <c r="J65" s="4107" t="n"/>
      <c r="K65" s="1657" t="n"/>
      <c r="O65" s="1658" t="inlineStr">
        <is>
          <t>人</t>
        </is>
      </c>
      <c r="P65" s="1657" t="n"/>
      <c r="Q65" s="4861" t="inlineStr">
        <is>
          <t>放課後等デイサービス</t>
        </is>
      </c>
      <c r="R65" s="4110" t="n"/>
      <c r="S65" s="4110" t="n"/>
      <c r="T65" s="4110" t="n"/>
      <c r="U65" s="4110" t="n"/>
      <c r="V65" s="4111" t="n"/>
      <c r="W65" s="4825" t="n"/>
      <c r="X65" s="4821" t="n"/>
      <c r="Y65" s="4822" t="n"/>
      <c r="AB65" s="1667" t="inlineStr">
        <is>
          <t>人</t>
        </is>
      </c>
      <c r="AC65" s="376" t="n"/>
      <c r="AD65" s="507" t="n"/>
      <c r="AE65" s="508" t="n"/>
      <c r="AF65" s="508" t="n"/>
      <c r="AG65" s="508" t="n"/>
      <c r="AH65" s="298" t="n"/>
    </row>
    <row r="66" ht="4.5" customHeight="1" s="4080">
      <c r="A66" s="4097" t="n"/>
      <c r="B66" s="4107" t="n"/>
      <c r="C66" s="4124" t="n"/>
      <c r="D66" s="4106" t="n"/>
      <c r="J66" s="4107" t="n"/>
      <c r="K66" s="393" t="n"/>
      <c r="L66" s="393" t="n"/>
      <c r="M66" s="393" t="n"/>
      <c r="N66" s="393" t="n"/>
      <c r="O66" s="393" t="n"/>
      <c r="P66" s="2055" t="n"/>
      <c r="Q66" s="515" t="n"/>
      <c r="R66" s="515" t="n"/>
      <c r="S66" s="515" t="n"/>
      <c r="T66" s="4826" t="n"/>
      <c r="U66" s="4826" t="n"/>
      <c r="V66" s="4827" t="n"/>
      <c r="W66" s="4828" t="n"/>
      <c r="X66" s="4829" t="n"/>
      <c r="Y66" s="4830" t="n"/>
      <c r="Z66" s="393" t="n"/>
      <c r="AA66" s="393" t="n"/>
      <c r="AB66" s="393" t="n"/>
      <c r="AC66" s="521" t="n"/>
      <c r="AD66" s="522" t="n"/>
      <c r="AE66" s="523" t="n"/>
      <c r="AF66" s="523" t="n"/>
      <c r="AG66" s="523" t="n"/>
      <c r="AH66" s="300" t="n"/>
    </row>
    <row r="67" ht="13.5" customHeight="1" s="4080">
      <c r="A67" s="4097" t="n"/>
      <c r="B67" s="4107" t="n"/>
      <c r="C67" s="2163" t="inlineStr">
        <is>
          <t>②</t>
        </is>
      </c>
      <c r="D67" s="2163" t="inlineStr">
        <is>
          <t>サービス提供日</t>
        </is>
      </c>
      <c r="E67" s="4098" t="n"/>
      <c r="F67" s="4098" t="n"/>
      <c r="G67" s="4098" t="n"/>
      <c r="H67" s="4098" t="n"/>
      <c r="I67" s="4098" t="n"/>
      <c r="J67" s="4099" t="n"/>
      <c r="K67" s="2244" t="inlineStr">
        <is>
          <t>月</t>
        </is>
      </c>
      <c r="L67" s="2245" t="inlineStr">
        <is>
          <t>火</t>
        </is>
      </c>
      <c r="M67" s="2245" t="inlineStr">
        <is>
          <t>水</t>
        </is>
      </c>
      <c r="N67" s="2245" t="inlineStr">
        <is>
          <t>木</t>
        </is>
      </c>
      <c r="O67" s="2245" t="inlineStr">
        <is>
          <t>金</t>
        </is>
      </c>
      <c r="P67" s="2245" t="inlineStr">
        <is>
          <t>土</t>
        </is>
      </c>
      <c r="Q67" s="2245" t="inlineStr">
        <is>
          <t>日</t>
        </is>
      </c>
      <c r="R67" s="2249" t="inlineStr">
        <is>
          <t>祝</t>
        </is>
      </c>
      <c r="S67" s="4279" t="inlineStr">
        <is>
          <t>休業日</t>
        </is>
      </c>
      <c r="T67" s="1611" t="inlineStr">
        <is>
          <t>年末年始</t>
        </is>
      </c>
      <c r="U67" s="4098" t="n"/>
      <c r="V67" s="3453" t="inlineStr">
        <is>
          <t>12/29～1/3</t>
        </is>
      </c>
      <c r="W67" s="4098" t="n"/>
      <c r="X67" s="4098" t="n"/>
      <c r="Y67" s="4098" t="n"/>
      <c r="Z67" s="4098" t="n"/>
      <c r="AA67" s="4098" t="n"/>
      <c r="AB67" s="4099" t="n"/>
      <c r="AC67" s="4280" t="inlineStr">
        <is>
          <t>備　考</t>
        </is>
      </c>
      <c r="AD67" s="4281" t="n"/>
      <c r="AE67" s="4098" t="n"/>
      <c r="AF67" s="4098" t="n"/>
      <c r="AG67" s="4098" t="n"/>
      <c r="AH67" s="4101" t="n"/>
    </row>
    <row r="68" ht="13.5" customHeight="1" s="4080">
      <c r="A68" s="4097" t="n"/>
      <c r="B68" s="4107" t="n"/>
      <c r="C68" s="4122" t="n"/>
      <c r="D68" s="4106" t="n"/>
      <c r="J68" s="4107" t="n"/>
      <c r="K68" s="4858" t="inlineStr">
        <is>
          <t>○</t>
        </is>
      </c>
      <c r="L68" s="4859" t="inlineStr">
        <is>
          <t>○</t>
        </is>
      </c>
      <c r="M68" s="4859" t="inlineStr">
        <is>
          <t>○</t>
        </is>
      </c>
      <c r="N68" s="4859" t="inlineStr">
        <is>
          <t>○</t>
        </is>
      </c>
      <c r="O68" s="4859" t="inlineStr">
        <is>
          <t>○</t>
        </is>
      </c>
      <c r="P68" s="2245" t="n"/>
      <c r="Q68" s="2245" t="n"/>
      <c r="R68" s="2249" t="n"/>
      <c r="S68" s="4282" t="n"/>
      <c r="T68" s="1609" t="inlineStr">
        <is>
          <t>夏季</t>
        </is>
      </c>
      <c r="V68" s="937" t="n"/>
      <c r="AB68" s="4107" t="n"/>
      <c r="AC68" s="4282" t="n"/>
      <c r="AD68" s="4192" t="n"/>
      <c r="AH68" s="4109" t="n"/>
    </row>
    <row r="69" ht="13.5" customHeight="1" s="4080">
      <c r="A69" s="4097" t="n"/>
      <c r="B69" s="4107" t="n"/>
      <c r="C69" s="4122" t="n"/>
      <c r="D69" s="4102" t="n"/>
      <c r="E69" s="4103" t="n"/>
      <c r="F69" s="4103" t="n"/>
      <c r="G69" s="4103" t="n"/>
      <c r="H69" s="4103" t="n"/>
      <c r="I69" s="4103" t="n"/>
      <c r="J69" s="4104" t="n"/>
      <c r="K69" s="4283" t="n"/>
      <c r="L69" s="4284" t="n"/>
      <c r="M69" s="4284" t="n"/>
      <c r="N69" s="4284" t="n"/>
      <c r="O69" s="4284" t="n"/>
      <c r="P69" s="4284" t="n"/>
      <c r="Q69" s="4284" t="n"/>
      <c r="R69" s="4285" t="n"/>
      <c r="S69" s="4286" t="n"/>
      <c r="T69" s="1610" t="inlineStr">
        <is>
          <t>その他</t>
        </is>
      </c>
      <c r="U69" s="4103" t="n"/>
      <c r="V69" s="940" t="n"/>
      <c r="W69" s="4103" t="n"/>
      <c r="X69" s="4103" t="n"/>
      <c r="Y69" s="4103" t="n"/>
      <c r="Z69" s="4103" t="n"/>
      <c r="AA69" s="4103" t="n"/>
      <c r="AB69" s="4104" t="n"/>
      <c r="AC69" s="4286" t="n"/>
      <c r="AD69" s="4194" t="n"/>
      <c r="AE69" s="4103" t="n"/>
      <c r="AF69" s="4103" t="n"/>
      <c r="AG69" s="4103" t="n"/>
      <c r="AH69" s="4105" t="n"/>
    </row>
    <row r="70" ht="9" customHeight="1" s="4080">
      <c r="A70" s="4097" t="n"/>
      <c r="B70" s="4107" t="n"/>
      <c r="C70" s="4122" t="n"/>
      <c r="D70" s="2163" t="inlineStr">
        <is>
          <t>サービス提供時間</t>
        </is>
      </c>
      <c r="E70" s="4098" t="n"/>
      <c r="F70" s="4098" t="n"/>
      <c r="G70" s="4098" t="n"/>
      <c r="H70" s="4098" t="n"/>
      <c r="I70" s="4098" t="n"/>
      <c r="J70" s="4099" t="n"/>
      <c r="K70" s="1660" t="n"/>
      <c r="L70" s="3385" t="inlineStr">
        <is>
          <t>１０</t>
        </is>
      </c>
      <c r="M70" s="4098" t="n"/>
      <c r="N70" s="4098" t="n"/>
      <c r="O70" s="1301" t="inlineStr">
        <is>
          <t>時</t>
        </is>
      </c>
      <c r="P70" s="4860" t="inlineStr">
        <is>
          <t>００</t>
        </is>
      </c>
      <c r="Q70" s="4098" t="n"/>
      <c r="R70" s="1301" t="inlineStr">
        <is>
          <t>分～</t>
        </is>
      </c>
      <c r="S70" s="4098" t="n"/>
      <c r="T70" s="3385" t="inlineStr">
        <is>
          <t>１８</t>
        </is>
      </c>
      <c r="U70" s="4098" t="n"/>
      <c r="V70" s="4098" t="n"/>
      <c r="W70" s="1301" t="inlineStr">
        <is>
          <t>時</t>
        </is>
      </c>
      <c r="X70" s="4860" t="inlineStr">
        <is>
          <t>００</t>
        </is>
      </c>
      <c r="Y70" s="4098" t="n"/>
      <c r="Z70" s="1301" t="inlineStr">
        <is>
          <t>分</t>
        </is>
      </c>
      <c r="AA70" s="1661" t="n"/>
      <c r="AB70" s="1661" t="n"/>
      <c r="AC70" s="1661" t="n"/>
      <c r="AD70" s="1661" t="n"/>
      <c r="AE70" s="1661" t="n"/>
      <c r="AF70" s="1661" t="n"/>
      <c r="AG70" s="1661" t="n"/>
      <c r="AH70" s="1662" t="n"/>
    </row>
    <row r="71" ht="9" customHeight="1" s="4080">
      <c r="A71" s="4097" t="n"/>
      <c r="B71" s="4107" t="n"/>
      <c r="C71" s="4122" t="n"/>
      <c r="D71" s="4102" t="n"/>
      <c r="E71" s="4103" t="n"/>
      <c r="F71" s="4103" t="n"/>
      <c r="G71" s="4103" t="n"/>
      <c r="H71" s="4103" t="n"/>
      <c r="I71" s="4103" t="n"/>
      <c r="J71" s="4104" t="n"/>
      <c r="K71" s="497" t="n"/>
      <c r="L71" s="4103" t="n"/>
      <c r="M71" s="4103" t="n"/>
      <c r="N71" s="4103" t="n"/>
      <c r="O71" s="4103" t="n"/>
      <c r="P71" s="4103" t="n"/>
      <c r="Q71" s="4103" t="n"/>
      <c r="R71" s="4103" t="n"/>
      <c r="S71" s="4103" t="n"/>
      <c r="T71" s="4103" t="n"/>
      <c r="U71" s="4103" t="n"/>
      <c r="V71" s="4103" t="n"/>
      <c r="W71" s="4103" t="n"/>
      <c r="X71" s="4103" t="n"/>
      <c r="Y71" s="4103" t="n"/>
      <c r="Z71" s="4103" t="n"/>
      <c r="AA71" s="2713" t="n"/>
      <c r="AB71" s="4103" t="n"/>
      <c r="AC71" s="4103" t="n"/>
      <c r="AD71" s="4103" t="n"/>
      <c r="AE71" s="4103" t="n"/>
      <c r="AF71" s="4103" t="n"/>
      <c r="AG71" s="4103" t="n"/>
      <c r="AH71" s="4105" t="n"/>
    </row>
    <row r="72" ht="11.25" customHeight="1" s="4080">
      <c r="A72" s="4097" t="n"/>
      <c r="B72" s="4107" t="n"/>
      <c r="C72" s="4122" t="n"/>
      <c r="D72" s="4185" t="inlineStr">
        <is>
          <t>定員とサービス種別</t>
        </is>
      </c>
      <c r="E72" s="4098" t="n"/>
      <c r="F72" s="4098" t="n"/>
      <c r="G72" s="4098" t="n"/>
      <c r="H72" s="4098" t="n"/>
      <c r="I72" s="4098" t="n"/>
      <c r="J72" s="4099" t="n"/>
      <c r="K72" s="336" t="n"/>
      <c r="L72" s="336" t="n"/>
      <c r="M72" s="336" t="n"/>
      <c r="N72" s="336" t="n"/>
      <c r="O72" s="336" t="n"/>
      <c r="P72" s="4810" t="inlineStr">
        <is>
          <t>提供するサービス</t>
        </is>
      </c>
      <c r="Q72" s="4110" t="n"/>
      <c r="R72" s="4110" t="n"/>
      <c r="S72" s="4110" t="n"/>
      <c r="T72" s="4110" t="n"/>
      <c r="U72" s="4110" t="n"/>
      <c r="V72" s="4110" t="n"/>
      <c r="W72" s="4111" t="n"/>
      <c r="X72" s="4811" t="inlineStr">
        <is>
          <t>サービスごとの定員</t>
        </is>
      </c>
      <c r="Y72" s="4110" t="n"/>
      <c r="Z72" s="4110" t="n"/>
      <c r="AA72" s="4110" t="n"/>
      <c r="AB72" s="4110" t="n"/>
      <c r="AC72" s="4110" t="n"/>
      <c r="AD72" s="4812" t="n"/>
      <c r="AE72" s="4813" t="n"/>
      <c r="AF72" s="2271" t="n"/>
      <c r="AG72" s="2271" t="n"/>
      <c r="AH72" s="2272" t="n"/>
    </row>
    <row r="73" ht="2.25" customHeight="1" s="4080">
      <c r="A73" s="4097" t="n"/>
      <c r="B73" s="4107" t="n"/>
      <c r="C73" s="4122" t="n"/>
      <c r="D73" s="4106" t="n"/>
      <c r="J73" s="4107" t="n"/>
      <c r="K73" s="1658" t="n"/>
      <c r="L73" s="3456" t="inlineStr">
        <is>
          <t>１０</t>
        </is>
      </c>
      <c r="P73" s="2053" t="n"/>
      <c r="Q73" s="500" t="n"/>
      <c r="R73" s="500" t="n"/>
      <c r="S73" s="500" t="n"/>
      <c r="T73" s="4814" t="n"/>
      <c r="U73" s="4814" t="n"/>
      <c r="V73" s="4815" t="n"/>
      <c r="W73" s="4816" t="n"/>
      <c r="X73" s="4817" t="n"/>
      <c r="Y73" s="4818" t="n"/>
      <c r="AC73" s="506" t="n"/>
      <c r="AD73" s="507" t="n"/>
      <c r="AE73" s="508" t="n"/>
      <c r="AF73" s="508" t="n"/>
      <c r="AG73" s="508" t="n"/>
      <c r="AH73" s="298" t="n"/>
    </row>
    <row r="74" ht="11.25" customHeight="1" s="4080">
      <c r="A74" s="4097" t="n"/>
      <c r="B74" s="4107" t="n"/>
      <c r="C74" s="4122" t="n"/>
      <c r="D74" s="4106" t="n"/>
      <c r="J74" s="4107" t="n"/>
      <c r="K74" s="1657" t="n"/>
      <c r="P74" s="2054" t="n"/>
      <c r="Q74" s="4862" t="inlineStr">
        <is>
          <t>児童発達支援</t>
        </is>
      </c>
      <c r="R74" s="4110" t="n"/>
      <c r="S74" s="4110" t="n"/>
      <c r="T74" s="4110" t="n"/>
      <c r="U74" s="4110" t="n"/>
      <c r="V74" s="4111" t="n"/>
      <c r="W74" s="4820" t="n"/>
      <c r="X74" s="4821" t="n"/>
      <c r="Y74" s="4819" t="n">
        <v>5</v>
      </c>
      <c r="AB74" s="1667" t="inlineStr">
        <is>
          <t>人</t>
        </is>
      </c>
      <c r="AC74" s="376" t="n"/>
      <c r="AD74" s="507" t="n"/>
      <c r="AE74" s="508" t="n"/>
      <c r="AF74" s="508" t="n"/>
      <c r="AG74" s="508" t="n"/>
      <c r="AH74" s="298" t="n"/>
    </row>
    <row r="75" ht="3" customHeight="1" s="4080">
      <c r="A75" s="4097" t="n"/>
      <c r="B75" s="4107" t="n"/>
      <c r="C75" s="4122" t="n"/>
      <c r="D75" s="4106" t="n"/>
      <c r="J75" s="4107" t="n"/>
      <c r="K75" s="1657" t="n"/>
      <c r="P75" s="2054" t="n"/>
      <c r="Q75" s="500" t="n"/>
      <c r="R75" s="500" t="n"/>
      <c r="S75" s="500" t="n"/>
      <c r="T75" s="4823" t="n"/>
      <c r="U75" s="4823" t="n"/>
      <c r="V75" s="4815" t="n"/>
      <c r="W75" s="4816" t="n"/>
      <c r="X75" s="4817" t="n"/>
      <c r="Y75" s="4823" t="n"/>
      <c r="Z75" s="4863" t="n"/>
      <c r="AA75" s="4863" t="n"/>
      <c r="AC75" s="376" t="n"/>
      <c r="AD75" s="507" t="n"/>
      <c r="AE75" s="508" t="n"/>
      <c r="AF75" s="508" t="n"/>
      <c r="AG75" s="508" t="n"/>
      <c r="AH75" s="298" t="n"/>
    </row>
    <row r="76" ht="11.25" customHeight="1" s="4080">
      <c r="A76" s="4097" t="n"/>
      <c r="B76" s="4107" t="n"/>
      <c r="C76" s="4122" t="n"/>
      <c r="D76" s="4106" t="n"/>
      <c r="J76" s="4107" t="n"/>
      <c r="K76" s="1657" t="n"/>
      <c r="O76" s="1658" t="inlineStr">
        <is>
          <t>人</t>
        </is>
      </c>
      <c r="P76" s="1657" t="n"/>
      <c r="Q76" s="4861" t="inlineStr">
        <is>
          <t>放課後等デイサービス</t>
        </is>
      </c>
      <c r="R76" s="4110" t="n"/>
      <c r="S76" s="4110" t="n"/>
      <c r="T76" s="4110" t="n"/>
      <c r="U76" s="4110" t="n"/>
      <c r="V76" s="4111" t="n"/>
      <c r="W76" s="4825" t="n"/>
      <c r="X76" s="4821" t="n"/>
      <c r="Y76" s="4819" t="n">
        <v>5</v>
      </c>
      <c r="AB76" s="1667" t="inlineStr">
        <is>
          <t>人</t>
        </is>
      </c>
      <c r="AC76" s="376" t="n"/>
      <c r="AD76" s="507" t="n"/>
      <c r="AE76" s="508" t="n"/>
      <c r="AF76" s="508" t="n"/>
      <c r="AG76" s="508" t="n"/>
      <c r="AH76" s="298" t="n"/>
    </row>
    <row r="77" ht="3.95" customHeight="1" s="4080">
      <c r="A77" s="4097" t="n"/>
      <c r="B77" s="4107" t="n"/>
      <c r="C77" s="4124" t="n"/>
      <c r="D77" s="4102" t="n"/>
      <c r="E77" s="4103" t="n"/>
      <c r="F77" s="4103" t="n"/>
      <c r="G77" s="4103" t="n"/>
      <c r="H77" s="4103" t="n"/>
      <c r="I77" s="4103" t="n"/>
      <c r="J77" s="4104" t="n"/>
      <c r="K77" s="393" t="n"/>
      <c r="L77" s="393" t="n"/>
      <c r="M77" s="393" t="n"/>
      <c r="N77" s="393" t="n"/>
      <c r="O77" s="393" t="n"/>
      <c r="P77" s="2055" t="n"/>
      <c r="Q77" s="515" t="n"/>
      <c r="R77" s="515" t="n"/>
      <c r="S77" s="515" t="n"/>
      <c r="T77" s="4826" t="n"/>
      <c r="U77" s="4826" t="n"/>
      <c r="V77" s="4827" t="n"/>
      <c r="W77" s="4828" t="n"/>
      <c r="X77" s="4829" t="n"/>
      <c r="Y77" s="4830" t="n"/>
      <c r="Z77" s="393" t="n"/>
      <c r="AA77" s="393" t="n"/>
      <c r="AB77" s="393" t="n"/>
      <c r="AC77" s="521" t="n"/>
      <c r="AD77" s="522" t="n"/>
      <c r="AE77" s="523" t="n"/>
      <c r="AF77" s="523" t="n"/>
      <c r="AG77" s="523" t="n"/>
      <c r="AH77" s="300" t="n"/>
    </row>
    <row r="78" ht="13.5" customHeight="1" s="4080">
      <c r="A78" s="4097" t="n"/>
      <c r="B78" s="4107" t="n"/>
      <c r="C78" s="4503" t="inlineStr">
        <is>
          <t>③</t>
        </is>
      </c>
      <c r="D78" s="2163" t="inlineStr">
        <is>
          <t>サービス提供日</t>
        </is>
      </c>
      <c r="E78" s="4098" t="n"/>
      <c r="F78" s="4098" t="n"/>
      <c r="G78" s="4098" t="n"/>
      <c r="H78" s="4098" t="n"/>
      <c r="I78" s="4098" t="n"/>
      <c r="J78" s="4099" t="n"/>
      <c r="K78" s="2244" t="inlineStr">
        <is>
          <t>月</t>
        </is>
      </c>
      <c r="L78" s="2245" t="inlineStr">
        <is>
          <t>火</t>
        </is>
      </c>
      <c r="M78" s="2245" t="inlineStr">
        <is>
          <t>水</t>
        </is>
      </c>
      <c r="N78" s="2245" t="inlineStr">
        <is>
          <t>木</t>
        </is>
      </c>
      <c r="O78" s="2245" t="inlineStr">
        <is>
          <t>金</t>
        </is>
      </c>
      <c r="P78" s="2245" t="inlineStr">
        <is>
          <t>土</t>
        </is>
      </c>
      <c r="Q78" s="2245" t="inlineStr">
        <is>
          <t>日</t>
        </is>
      </c>
      <c r="R78" s="2249" t="inlineStr">
        <is>
          <t>祝</t>
        </is>
      </c>
      <c r="S78" s="4279" t="inlineStr">
        <is>
          <t>休業日</t>
        </is>
      </c>
      <c r="T78" s="1611" t="inlineStr">
        <is>
          <t>年末年始</t>
        </is>
      </c>
      <c r="U78" s="4098" t="n"/>
      <c r="V78" s="3453" t="inlineStr">
        <is>
          <t>12/29～1/3</t>
        </is>
      </c>
      <c r="W78" s="4098" t="n"/>
      <c r="X78" s="4098" t="n"/>
      <c r="Y78" s="4098" t="n"/>
      <c r="Z78" s="4098" t="n"/>
      <c r="AA78" s="4098" t="n"/>
      <c r="AB78" s="4099" t="n"/>
      <c r="AC78" s="4280" t="inlineStr">
        <is>
          <t>備　考</t>
        </is>
      </c>
      <c r="AD78" s="4281" t="n"/>
      <c r="AE78" s="4098" t="n"/>
      <c r="AF78" s="4098" t="n"/>
      <c r="AG78" s="4098" t="n"/>
      <c r="AH78" s="4101" t="n"/>
    </row>
    <row r="79" ht="13.5" customHeight="1" s="4080">
      <c r="A79" s="4097" t="n"/>
      <c r="B79" s="4107" t="n"/>
      <c r="C79" s="4122" t="n"/>
      <c r="D79" s="4106" t="n"/>
      <c r="J79" s="4107" t="n"/>
      <c r="K79" s="4858" t="inlineStr">
        <is>
          <t>○</t>
        </is>
      </c>
      <c r="L79" s="4859" t="inlineStr">
        <is>
          <t>○</t>
        </is>
      </c>
      <c r="M79" s="4859" t="inlineStr">
        <is>
          <t>○</t>
        </is>
      </c>
      <c r="N79" s="4859" t="inlineStr">
        <is>
          <t>○</t>
        </is>
      </c>
      <c r="O79" s="4859" t="inlineStr">
        <is>
          <t>○</t>
        </is>
      </c>
      <c r="P79" s="4859" t="n"/>
      <c r="Q79" s="2245" t="n"/>
      <c r="R79" s="2249" t="n"/>
      <c r="S79" s="4282" t="n"/>
      <c r="T79" s="1609" t="inlineStr">
        <is>
          <t>夏季</t>
        </is>
      </c>
      <c r="V79" s="937" t="n"/>
      <c r="AB79" s="4107" t="n"/>
      <c r="AC79" s="4282" t="n"/>
      <c r="AD79" s="4192" t="n"/>
      <c r="AH79" s="4109" t="n"/>
    </row>
    <row r="80" ht="13.5" customHeight="1" s="4080">
      <c r="A80" s="4097" t="n"/>
      <c r="B80" s="4107" t="n"/>
      <c r="C80" s="4122" t="n"/>
      <c r="D80" s="4102" t="n"/>
      <c r="E80" s="4103" t="n"/>
      <c r="F80" s="4103" t="n"/>
      <c r="G80" s="4103" t="n"/>
      <c r="H80" s="4103" t="n"/>
      <c r="I80" s="4103" t="n"/>
      <c r="J80" s="4104" t="n"/>
      <c r="K80" s="4283" t="n"/>
      <c r="L80" s="4284" t="n"/>
      <c r="M80" s="4284" t="n"/>
      <c r="N80" s="4284" t="n"/>
      <c r="O80" s="4284" t="n"/>
      <c r="P80" s="4284" t="n"/>
      <c r="Q80" s="4284" t="n"/>
      <c r="R80" s="4285" t="n"/>
      <c r="S80" s="4286" t="n"/>
      <c r="T80" s="1610" t="inlineStr">
        <is>
          <t>その他</t>
        </is>
      </c>
      <c r="U80" s="4103" t="n"/>
      <c r="V80" s="940" t="n"/>
      <c r="W80" s="4103" t="n"/>
      <c r="X80" s="4103" t="n"/>
      <c r="Y80" s="4103" t="n"/>
      <c r="Z80" s="4103" t="n"/>
      <c r="AA80" s="4103" t="n"/>
      <c r="AB80" s="4104" t="n"/>
      <c r="AC80" s="4286" t="n"/>
      <c r="AD80" s="4194" t="n"/>
      <c r="AE80" s="4103" t="n"/>
      <c r="AF80" s="4103" t="n"/>
      <c r="AG80" s="4103" t="n"/>
      <c r="AH80" s="4105" t="n"/>
    </row>
    <row r="81" ht="9" customHeight="1" s="4080">
      <c r="A81" s="4097" t="n"/>
      <c r="B81" s="4107" t="n"/>
      <c r="C81" s="4122" t="n"/>
      <c r="D81" s="2163" t="inlineStr">
        <is>
          <t>サービス提供時間</t>
        </is>
      </c>
      <c r="E81" s="4098" t="n"/>
      <c r="F81" s="4098" t="n"/>
      <c r="G81" s="4098" t="n"/>
      <c r="H81" s="4098" t="n"/>
      <c r="I81" s="4098" t="n"/>
      <c r="J81" s="4099" t="n"/>
      <c r="K81" s="1660" t="n"/>
      <c r="L81" s="3385" t="inlineStr">
        <is>
          <t>１０</t>
        </is>
      </c>
      <c r="M81" s="4098" t="n"/>
      <c r="N81" s="4098" t="n"/>
      <c r="O81" s="1301" t="inlineStr">
        <is>
          <t>時</t>
        </is>
      </c>
      <c r="P81" s="4860" t="inlineStr">
        <is>
          <t>００</t>
        </is>
      </c>
      <c r="Q81" s="4098" t="n"/>
      <c r="R81" s="1301" t="inlineStr">
        <is>
          <t>分～</t>
        </is>
      </c>
      <c r="S81" s="4098" t="n"/>
      <c r="T81" s="3385" t="inlineStr">
        <is>
          <t>１８</t>
        </is>
      </c>
      <c r="U81" s="4098" t="n"/>
      <c r="V81" s="4098" t="n"/>
      <c r="W81" s="1301" t="inlineStr">
        <is>
          <t>時</t>
        </is>
      </c>
      <c r="X81" s="4860" t="inlineStr">
        <is>
          <t>００</t>
        </is>
      </c>
      <c r="Y81" s="4098" t="n"/>
      <c r="Z81" s="1301" t="inlineStr">
        <is>
          <t>分</t>
        </is>
      </c>
      <c r="AA81" s="1661" t="n"/>
      <c r="AB81" s="1661" t="n"/>
      <c r="AC81" s="1661" t="n"/>
      <c r="AD81" s="1661" t="n"/>
      <c r="AE81" s="1661" t="n"/>
      <c r="AF81" s="1661" t="n"/>
      <c r="AG81" s="1661" t="n"/>
      <c r="AH81" s="1662" t="n"/>
    </row>
    <row r="82" ht="9" customHeight="1" s="4080">
      <c r="A82" s="4097" t="n"/>
      <c r="B82" s="4107" t="n"/>
      <c r="C82" s="4122" t="n"/>
      <c r="D82" s="4102" t="n"/>
      <c r="E82" s="4103" t="n"/>
      <c r="F82" s="4103" t="n"/>
      <c r="G82" s="4103" t="n"/>
      <c r="H82" s="4103" t="n"/>
      <c r="I82" s="4103" t="n"/>
      <c r="J82" s="4104" t="n"/>
      <c r="K82" s="497" t="n"/>
      <c r="L82" s="4103" t="n"/>
      <c r="M82" s="4103" t="n"/>
      <c r="N82" s="4103" t="n"/>
      <c r="O82" s="4103" t="n"/>
      <c r="P82" s="4103" t="n"/>
      <c r="Q82" s="4103" t="n"/>
      <c r="R82" s="4103" t="n"/>
      <c r="S82" s="4103" t="n"/>
      <c r="T82" s="4103" t="n"/>
      <c r="U82" s="4103" t="n"/>
      <c r="V82" s="4103" t="n"/>
      <c r="W82" s="4103" t="n"/>
      <c r="X82" s="4103" t="n"/>
      <c r="Y82" s="4103" t="n"/>
      <c r="Z82" s="4103" t="n"/>
      <c r="AA82" s="2713" t="n"/>
      <c r="AB82" s="4103" t="n"/>
      <c r="AC82" s="4103" t="n"/>
      <c r="AD82" s="4103" t="n"/>
      <c r="AE82" s="4103" t="n"/>
      <c r="AF82" s="4103" t="n"/>
      <c r="AG82" s="4103" t="n"/>
      <c r="AH82" s="4105" t="n"/>
    </row>
    <row r="83" ht="11.25" customHeight="1" s="4080">
      <c r="A83" s="4097" t="n"/>
      <c r="B83" s="4107" t="n"/>
      <c r="C83" s="4122" t="n"/>
      <c r="D83" s="4831" t="inlineStr">
        <is>
          <t>定員とサービス種別</t>
        </is>
      </c>
      <c r="E83" s="4098" t="n"/>
      <c r="F83" s="4098" t="n"/>
      <c r="G83" s="4098" t="n"/>
      <c r="H83" s="4098" t="n"/>
      <c r="I83" s="4098" t="n"/>
      <c r="J83" s="4099" t="n"/>
      <c r="K83" s="336" t="n"/>
      <c r="L83" s="336" t="n"/>
      <c r="M83" s="336" t="n"/>
      <c r="N83" s="336" t="n"/>
      <c r="O83" s="336" t="n"/>
      <c r="P83" s="4810" t="inlineStr">
        <is>
          <t>提供するサービス</t>
        </is>
      </c>
      <c r="Q83" s="4110" t="n"/>
      <c r="R83" s="4110" t="n"/>
      <c r="S83" s="4110" t="n"/>
      <c r="T83" s="4110" t="n"/>
      <c r="U83" s="4110" t="n"/>
      <c r="V83" s="4110" t="n"/>
      <c r="W83" s="4111" t="n"/>
      <c r="X83" s="4811" t="inlineStr">
        <is>
          <t>サービスごとの定員</t>
        </is>
      </c>
      <c r="Y83" s="4110" t="n"/>
      <c r="Z83" s="4110" t="n"/>
      <c r="AA83" s="4110" t="n"/>
      <c r="AB83" s="4110" t="n"/>
      <c r="AC83" s="4110" t="n"/>
      <c r="AD83" s="4812" t="n"/>
      <c r="AE83" s="4813" t="n"/>
      <c r="AF83" s="2271" t="n"/>
      <c r="AG83" s="2271" t="n"/>
      <c r="AH83" s="2272" t="n"/>
    </row>
    <row r="84" ht="2.25" customHeight="1" s="4080">
      <c r="A84" s="4097" t="n"/>
      <c r="B84" s="4107" t="n"/>
      <c r="C84" s="4122" t="n"/>
      <c r="D84" s="4106" t="n"/>
      <c r="J84" s="4107" t="n"/>
      <c r="K84" s="1658" t="n"/>
      <c r="L84" s="3456" t="inlineStr">
        <is>
          <t>１０</t>
        </is>
      </c>
      <c r="P84" s="2053" t="n"/>
      <c r="Q84" s="500" t="n"/>
      <c r="R84" s="500" t="n"/>
      <c r="S84" s="500" t="n"/>
      <c r="T84" s="4814" t="n"/>
      <c r="U84" s="4814" t="n"/>
      <c r="V84" s="4815" t="n"/>
      <c r="W84" s="4816" t="n"/>
      <c r="X84" s="4817" t="n"/>
      <c r="Y84" s="4818" t="n"/>
      <c r="AC84" s="506" t="n"/>
      <c r="AD84" s="507" t="n"/>
      <c r="AE84" s="508" t="n"/>
      <c r="AF84" s="508" t="n"/>
      <c r="AG84" s="508" t="n"/>
      <c r="AH84" s="298" t="n"/>
    </row>
    <row r="85" ht="11.25" customHeight="1" s="4080">
      <c r="A85" s="4097" t="n"/>
      <c r="B85" s="4107" t="n"/>
      <c r="C85" s="4122" t="n"/>
      <c r="D85" s="4106" t="n"/>
      <c r="J85" s="4107" t="n"/>
      <c r="K85" s="1657" t="n"/>
      <c r="P85" s="2054" t="n"/>
      <c r="Q85" s="4862" t="inlineStr">
        <is>
          <t>児童発達支援</t>
        </is>
      </c>
      <c r="R85" s="4110" t="n"/>
      <c r="S85" s="4110" t="n"/>
      <c r="T85" s="4110" t="n"/>
      <c r="U85" s="4110" t="n"/>
      <c r="V85" s="4111" t="n"/>
      <c r="W85" s="4820" t="n"/>
      <c r="X85" s="4821" t="n"/>
      <c r="Y85" s="4822" t="n"/>
      <c r="AB85" s="1667" t="inlineStr">
        <is>
          <t>人</t>
        </is>
      </c>
      <c r="AC85" s="376" t="n"/>
      <c r="AD85" s="507" t="n"/>
      <c r="AE85" s="508" t="n"/>
      <c r="AF85" s="508" t="n"/>
      <c r="AG85" s="508" t="n"/>
      <c r="AH85" s="298" t="n"/>
    </row>
    <row r="86" ht="3" customHeight="1" s="4080">
      <c r="A86" s="4097" t="n"/>
      <c r="B86" s="4107" t="n"/>
      <c r="C86" s="4122" t="n"/>
      <c r="D86" s="4106" t="n"/>
      <c r="J86" s="4107" t="n"/>
      <c r="K86" s="1657" t="n"/>
      <c r="P86" s="2054" t="n"/>
      <c r="Q86" s="500" t="n"/>
      <c r="R86" s="500" t="n"/>
      <c r="S86" s="500" t="n"/>
      <c r="T86" s="4823" t="n"/>
      <c r="U86" s="4823" t="n"/>
      <c r="V86" s="4815" t="n"/>
      <c r="W86" s="4816" t="n"/>
      <c r="X86" s="4817" t="n"/>
      <c r="Y86" s="4818" t="n"/>
      <c r="AC86" s="376" t="n"/>
      <c r="AD86" s="507" t="n"/>
      <c r="AE86" s="508" t="n"/>
      <c r="AF86" s="508" t="n"/>
      <c r="AG86" s="508" t="n"/>
      <c r="AH86" s="298" t="n"/>
    </row>
    <row r="87" ht="11.25" customHeight="1" s="4080">
      <c r="A87" s="4097" t="n"/>
      <c r="B87" s="4107" t="n"/>
      <c r="C87" s="4122" t="n"/>
      <c r="D87" s="4106" t="n"/>
      <c r="J87" s="4107" t="n"/>
      <c r="K87" s="1657" t="n"/>
      <c r="O87" s="1658" t="inlineStr">
        <is>
          <t>人</t>
        </is>
      </c>
      <c r="P87" s="1657" t="n"/>
      <c r="Q87" s="4861" t="inlineStr">
        <is>
          <t>放課後等デイサービス</t>
        </is>
      </c>
      <c r="R87" s="4110" t="n"/>
      <c r="S87" s="4110" t="n"/>
      <c r="T87" s="4110" t="n"/>
      <c r="U87" s="4110" t="n"/>
      <c r="V87" s="4111" t="n"/>
      <c r="W87" s="4825" t="n"/>
      <c r="X87" s="4821" t="n"/>
      <c r="Y87" s="4822" t="n"/>
      <c r="AB87" s="1667" t="inlineStr">
        <is>
          <t>人</t>
        </is>
      </c>
      <c r="AC87" s="376" t="n"/>
      <c r="AD87" s="507" t="n"/>
      <c r="AE87" s="508" t="n"/>
      <c r="AF87" s="508" t="n"/>
      <c r="AG87" s="508" t="n"/>
      <c r="AH87" s="298" t="n"/>
    </row>
    <row r="88" ht="3.95" customHeight="1" s="4080" thickBot="1">
      <c r="A88" s="524" t="n"/>
      <c r="B88" s="525" t="n"/>
      <c r="C88" s="4669" t="n"/>
      <c r="D88" s="4420" t="n"/>
      <c r="E88" s="4087" t="n"/>
      <c r="F88" s="4087" t="n"/>
      <c r="G88" s="4087" t="n"/>
      <c r="H88" s="4087" t="n"/>
      <c r="I88" s="4087" t="n"/>
      <c r="J88" s="4410" t="n"/>
      <c r="K88" s="197" t="n"/>
      <c r="L88" s="197" t="n"/>
      <c r="M88" s="197" t="n"/>
      <c r="N88" s="197" t="n"/>
      <c r="O88" s="197" t="n"/>
      <c r="P88" s="526" t="n"/>
      <c r="Q88" s="527" t="n"/>
      <c r="R88" s="527" t="n"/>
      <c r="S88" s="527" t="n"/>
      <c r="T88" s="4832" t="n"/>
      <c r="U88" s="4832" t="n"/>
      <c r="V88" s="4833" t="n"/>
      <c r="W88" s="4834" t="n"/>
      <c r="X88" s="4835" t="n"/>
      <c r="Y88" s="4836" t="n"/>
      <c r="Z88" s="197" t="n"/>
      <c r="AA88" s="197" t="n"/>
      <c r="AB88" s="197" t="n"/>
      <c r="AC88" s="533" t="n"/>
      <c r="AD88" s="495" t="n"/>
      <c r="AE88" s="496" t="n"/>
      <c r="AF88" s="496" t="n"/>
      <c r="AG88" s="496" t="n"/>
      <c r="AH88" s="311" t="n"/>
    </row>
    <row r="89" ht="18.75" customHeight="1" s="4080" thickBot="1">
      <c r="A89" s="4837" t="inlineStr">
        <is>
          <t>主　　な　　掲　　示　　事　　項</t>
        </is>
      </c>
      <c r="B89" s="4356" t="n"/>
      <c r="C89" s="1999" t="n"/>
      <c r="D89" s="1886" t="inlineStr">
        <is>
          <t>営業日</t>
        </is>
      </c>
      <c r="E89" s="4082" t="n"/>
      <c r="F89" s="4082" t="n"/>
      <c r="G89" s="4082" t="n"/>
      <c r="H89" s="4082" t="n"/>
      <c r="I89" s="4082" t="n"/>
      <c r="J89" s="2002" t="n"/>
      <c r="K89" s="2352" t="inlineStr">
        <is>
          <t>月</t>
        </is>
      </c>
      <c r="L89" s="2354" t="inlineStr">
        <is>
          <t>火</t>
        </is>
      </c>
      <c r="M89" s="2354" t="inlineStr">
        <is>
          <t>水</t>
        </is>
      </c>
      <c r="N89" s="2354" t="inlineStr">
        <is>
          <t>木</t>
        </is>
      </c>
      <c r="O89" s="2354" t="inlineStr">
        <is>
          <t>金</t>
        </is>
      </c>
      <c r="P89" s="2354" t="inlineStr">
        <is>
          <t>土</t>
        </is>
      </c>
      <c r="Q89" s="2354" t="inlineStr">
        <is>
          <t>日</t>
        </is>
      </c>
      <c r="R89" s="2356" t="inlineStr">
        <is>
          <t>祝</t>
        </is>
      </c>
      <c r="S89" s="2004" t="inlineStr">
        <is>
          <t>休業日</t>
        </is>
      </c>
      <c r="T89" s="2007" t="inlineStr">
        <is>
          <t>年末年始</t>
        </is>
      </c>
      <c r="U89" s="4082" t="n"/>
      <c r="V89" s="3453" t="inlineStr">
        <is>
          <t>12/29～1/3</t>
        </is>
      </c>
      <c r="W89" s="4098" t="n"/>
      <c r="X89" s="4098" t="n"/>
      <c r="Y89" s="4098" t="n"/>
      <c r="Z89" s="4098" t="n"/>
      <c r="AA89" s="4098" t="n"/>
      <c r="AB89" s="4099" t="n"/>
      <c r="AC89" s="2236" t="inlineStr">
        <is>
          <t>備　考</t>
        </is>
      </c>
      <c r="AD89" s="4479" t="n"/>
      <c r="AE89" s="4082" t="n"/>
      <c r="AF89" s="4082" t="n"/>
      <c r="AG89" s="4082" t="n"/>
      <c r="AH89" s="4083" t="n"/>
    </row>
    <row r="90" ht="12" customHeight="1" s="4080" thickBot="1">
      <c r="A90" s="4097" t="n"/>
      <c r="B90" s="4107" t="n"/>
      <c r="C90" s="4106" t="n"/>
      <c r="J90" s="4107" t="n"/>
      <c r="K90" s="4858" t="inlineStr">
        <is>
          <t>○</t>
        </is>
      </c>
      <c r="L90" s="4859" t="inlineStr">
        <is>
          <t>○</t>
        </is>
      </c>
      <c r="M90" s="4859" t="inlineStr">
        <is>
          <t>○</t>
        </is>
      </c>
      <c r="N90" s="4859" t="inlineStr">
        <is>
          <t>○</t>
        </is>
      </c>
      <c r="O90" s="4859" t="inlineStr">
        <is>
          <t>○</t>
        </is>
      </c>
      <c r="P90" s="2245" t="n"/>
      <c r="Q90" s="2245" t="n"/>
      <c r="R90" s="2249" t="n"/>
      <c r="S90" s="4282" t="n"/>
      <c r="T90" s="2008" t="inlineStr">
        <is>
          <t>夏季</t>
        </is>
      </c>
      <c r="V90" s="937" t="n"/>
      <c r="AB90" s="4107" t="n"/>
      <c r="AC90" s="4282" t="n"/>
      <c r="AD90" s="4192" t="n"/>
      <c r="AH90" s="4109" t="n"/>
    </row>
    <row r="91" ht="12" customHeight="1" s="4080">
      <c r="A91" s="4097" t="n"/>
      <c r="B91" s="4107" t="n"/>
      <c r="C91" s="4420" t="n"/>
      <c r="D91" s="4087" t="n"/>
      <c r="E91" s="4087" t="n"/>
      <c r="F91" s="4087" t="n"/>
      <c r="G91" s="4087" t="n"/>
      <c r="H91" s="4087" t="n"/>
      <c r="I91" s="4087" t="n"/>
      <c r="J91" s="4410" t="n"/>
      <c r="K91" s="4283" t="n"/>
      <c r="L91" s="4284" t="n"/>
      <c r="M91" s="4284" t="n"/>
      <c r="N91" s="4284" t="n"/>
      <c r="O91" s="4284" t="n"/>
      <c r="P91" s="4284" t="n"/>
      <c r="Q91" s="4284" t="n"/>
      <c r="R91" s="4285" t="n"/>
      <c r="S91" s="4421" t="n"/>
      <c r="T91" s="1610" t="inlineStr">
        <is>
          <t>その他</t>
        </is>
      </c>
      <c r="U91" s="4103" t="n"/>
      <c r="V91" s="940" t="n"/>
      <c r="W91" s="4103" t="n"/>
      <c r="X91" s="4103" t="n"/>
      <c r="Y91" s="4103" t="n"/>
      <c r="Z91" s="4103" t="n"/>
      <c r="AA91" s="4103" t="n"/>
      <c r="AB91" s="4104" t="n"/>
      <c r="AC91" s="4421" t="n"/>
      <c r="AD91" s="4480" t="n"/>
      <c r="AE91" s="4087" t="n"/>
      <c r="AF91" s="4087" t="n"/>
      <c r="AG91" s="4087" t="n"/>
      <c r="AH91" s="4088" t="n"/>
    </row>
    <row r="92" ht="12" customHeight="1" s="4080">
      <c r="A92" s="4097" t="n"/>
      <c r="B92" s="4107" t="n"/>
      <c r="C92" s="1393" t="n"/>
      <c r="D92" s="1264" t="inlineStr">
        <is>
          <t>営業時間</t>
        </is>
      </c>
      <c r="E92" s="4098" t="n"/>
      <c r="F92" s="4098" t="n"/>
      <c r="G92" s="4098" t="n"/>
      <c r="H92" s="4098" t="n"/>
      <c r="I92" s="4098" t="n"/>
      <c r="J92" s="4223" t="n"/>
      <c r="K92" s="4287" t="inlineStr">
        <is>
          <t>平日</t>
        </is>
      </c>
      <c r="L92" s="4098" t="n"/>
      <c r="M92" s="4190" t="n"/>
      <c r="N92" s="4864" t="inlineStr">
        <is>
          <t>１０</t>
        </is>
      </c>
      <c r="O92" s="4098" t="n"/>
      <c r="P92" s="2842" t="inlineStr">
        <is>
          <t>時</t>
        </is>
      </c>
      <c r="Q92" s="2842" t="inlineStr">
        <is>
          <t>００</t>
        </is>
      </c>
      <c r="R92" s="4098" t="n"/>
      <c r="S92" s="4288" t="inlineStr">
        <is>
          <t>分～</t>
        </is>
      </c>
      <c r="T92" s="4098" t="n"/>
      <c r="U92" s="2842" t="inlineStr">
        <is>
          <t>１８</t>
        </is>
      </c>
      <c r="V92" s="4098" t="n"/>
      <c r="W92" s="4098" t="n"/>
      <c r="X92" s="2842" t="inlineStr">
        <is>
          <t>時</t>
        </is>
      </c>
      <c r="Y92" s="1028" t="inlineStr">
        <is>
          <t>００</t>
        </is>
      </c>
      <c r="Z92" s="4098" t="n"/>
      <c r="AA92" s="2842" t="inlineStr">
        <is>
          <t>分</t>
        </is>
      </c>
      <c r="AB92" s="1323" t="n"/>
      <c r="AC92" s="4422" t="inlineStr">
        <is>
          <t>備　考</t>
        </is>
      </c>
      <c r="AD92" s="4838" t="n"/>
      <c r="AE92" s="4098" t="n"/>
      <c r="AF92" s="4098" t="n"/>
      <c r="AG92" s="4098" t="n"/>
      <c r="AH92" s="4101" t="n"/>
    </row>
    <row r="93" ht="3.95" customHeight="1" s="4080">
      <c r="A93" s="4097" t="n"/>
      <c r="B93" s="4107" t="n"/>
      <c r="C93" s="4106" t="n"/>
      <c r="J93" s="4107" t="n"/>
      <c r="K93" s="4106" t="n"/>
      <c r="M93" s="4191" t="n"/>
      <c r="N93" s="4192" t="n"/>
      <c r="AB93" s="1325" t="n"/>
      <c r="AC93" s="4419" t="n"/>
      <c r="AD93" s="4213" t="n"/>
      <c r="AH93" s="4109" t="n"/>
    </row>
    <row r="94" ht="12" customHeight="1" s="4080">
      <c r="A94" s="4097" t="n"/>
      <c r="B94" s="4107" t="n"/>
      <c r="C94" s="4106" t="n"/>
      <c r="J94" s="4107" t="n"/>
      <c r="K94" s="4145" t="n"/>
      <c r="L94" s="4146" t="n"/>
      <c r="M94" s="4201" t="n"/>
      <c r="N94" s="4865" t="n"/>
      <c r="O94" s="4146" t="n"/>
      <c r="P94" s="4146" t="n"/>
      <c r="Q94" s="4146" t="n"/>
      <c r="R94" s="4146" t="n"/>
      <c r="S94" s="4146" t="n"/>
      <c r="T94" s="4146" t="n"/>
      <c r="U94" s="4146" t="n"/>
      <c r="V94" s="4146" t="n"/>
      <c r="W94" s="4146" t="n"/>
      <c r="X94" s="4146" t="n"/>
      <c r="Y94" s="4146" t="n"/>
      <c r="Z94" s="4146" t="n"/>
      <c r="AA94" s="4146" t="n"/>
      <c r="AB94" s="1585" t="n"/>
      <c r="AC94" s="4419" t="n"/>
      <c r="AD94" s="4213" t="n"/>
      <c r="AH94" s="4109" t="n"/>
    </row>
    <row r="95" ht="3.95" customHeight="1" s="4080">
      <c r="A95" s="4097" t="n"/>
      <c r="B95" s="4107" t="n"/>
      <c r="C95" s="4106" t="n"/>
      <c r="J95" s="4107" t="n"/>
      <c r="K95" s="4289" t="inlineStr">
        <is>
          <t>土曜</t>
        </is>
      </c>
      <c r="L95" s="4290" t="n"/>
      <c r="M95" s="4291" t="n"/>
      <c r="N95" s="1581" t="n"/>
      <c r="O95" s="4290" t="n"/>
      <c r="P95" s="1514" t="inlineStr">
        <is>
          <t>時</t>
        </is>
      </c>
      <c r="Q95" s="1583" t="n"/>
      <c r="R95" s="1583" t="n"/>
      <c r="S95" s="4292" t="inlineStr">
        <is>
          <t>分～</t>
        </is>
      </c>
      <c r="T95" s="4290" t="n"/>
      <c r="U95" s="98" t="inlineStr">
        <is>
          <t xml:space="preserve">　</t>
        </is>
      </c>
      <c r="V95" s="1582" t="n"/>
      <c r="W95" s="1582" t="n"/>
      <c r="X95" s="1514" t="inlineStr">
        <is>
          <t>時</t>
        </is>
      </c>
      <c r="Y95" s="96" t="n"/>
      <c r="Z95" s="96" t="n"/>
      <c r="AA95" s="1514" t="inlineStr">
        <is>
          <t>分</t>
        </is>
      </c>
      <c r="AB95" s="1583" t="n"/>
      <c r="AC95" s="4419" t="n"/>
      <c r="AD95" s="4213" t="n"/>
      <c r="AH95" s="4109" t="n"/>
    </row>
    <row r="96" ht="3.95" customHeight="1" s="4080">
      <c r="A96" s="4097" t="n"/>
      <c r="B96" s="4107" t="n"/>
      <c r="C96" s="4106" t="n"/>
      <c r="J96" s="4107" t="n"/>
      <c r="K96" s="4106" t="n"/>
      <c r="M96" s="4191" t="n"/>
      <c r="N96" s="1589" t="n"/>
      <c r="Q96" s="1325" t="n"/>
      <c r="U96" s="1257" t="n"/>
      <c r="Y96" s="1580" t="n"/>
      <c r="AB96" s="1325" t="n"/>
      <c r="AC96" s="4419" t="n"/>
      <c r="AD96" s="4213" t="n"/>
      <c r="AH96" s="4109" t="n"/>
    </row>
    <row r="97" ht="12" customHeight="1" s="4080">
      <c r="A97" s="4097" t="n"/>
      <c r="B97" s="4107" t="n"/>
      <c r="C97" s="4106" t="n"/>
      <c r="J97" s="4107" t="n"/>
      <c r="K97" s="4145" t="n"/>
      <c r="L97" s="4146" t="n"/>
      <c r="M97" s="4201" t="n"/>
      <c r="N97" s="1586" t="n"/>
      <c r="O97" s="1587" t="n"/>
      <c r="P97" s="4146" t="n"/>
      <c r="Q97" s="1585" t="n"/>
      <c r="R97" s="1585" t="n"/>
      <c r="S97" s="4146" t="n"/>
      <c r="T97" s="4146" t="n"/>
      <c r="U97" s="103" t="n"/>
      <c r="V97" s="1587" t="n"/>
      <c r="W97" s="1587" t="n"/>
      <c r="X97" s="4146" t="n"/>
      <c r="Y97" s="101" t="n"/>
      <c r="Z97" s="101" t="n"/>
      <c r="AA97" s="4146" t="n"/>
      <c r="AB97" s="1585" t="n"/>
      <c r="AC97" s="4419" t="n"/>
      <c r="AD97" s="4213" t="n"/>
      <c r="AH97" s="4109" t="n"/>
    </row>
    <row r="98" ht="3.95" customHeight="1" s="4080">
      <c r="A98" s="4097" t="n"/>
      <c r="B98" s="4107" t="n"/>
      <c r="C98" s="4106" t="n"/>
      <c r="J98" s="4107" t="n"/>
      <c r="K98" s="4293" t="inlineStr">
        <is>
          <t>日・祝日</t>
        </is>
      </c>
      <c r="L98" s="4290" t="n"/>
      <c r="M98" s="4291" t="n"/>
      <c r="N98" s="1581" t="n"/>
      <c r="O98" s="4290" t="n"/>
      <c r="P98" s="1521" t="inlineStr">
        <is>
          <t>時</t>
        </is>
      </c>
      <c r="Q98" s="1583" t="n"/>
      <c r="R98" s="1583" t="n"/>
      <c r="S98" s="4294" t="inlineStr">
        <is>
          <t>分～</t>
        </is>
      </c>
      <c r="T98" s="4290" t="n"/>
      <c r="U98" s="98" t="inlineStr">
        <is>
          <t xml:space="preserve">　</t>
        </is>
      </c>
      <c r="V98" s="1582" t="n"/>
      <c r="W98" s="1582" t="n"/>
      <c r="X98" s="1521" t="inlineStr">
        <is>
          <t>時</t>
        </is>
      </c>
      <c r="Y98" s="96" t="n"/>
      <c r="Z98" s="96" t="n"/>
      <c r="AA98" s="1521" t="inlineStr">
        <is>
          <t>分</t>
        </is>
      </c>
      <c r="AB98" s="1583" t="n"/>
      <c r="AC98" s="4419" t="n"/>
      <c r="AD98" s="4213" t="n"/>
      <c r="AH98" s="4109" t="n"/>
    </row>
    <row r="99" ht="3.95" customHeight="1" s="4080">
      <c r="A99" s="4097" t="n"/>
      <c r="B99" s="4107" t="n"/>
      <c r="C99" s="4106" t="n"/>
      <c r="J99" s="4107" t="n"/>
      <c r="K99" s="4106" t="n"/>
      <c r="M99" s="4191" t="n"/>
      <c r="N99" s="1589" t="n"/>
      <c r="Q99" s="1325" t="n"/>
      <c r="U99" s="1257" t="n"/>
      <c r="Y99" s="1580" t="n"/>
      <c r="AB99" s="1325" t="n"/>
      <c r="AC99" s="4419" t="n"/>
      <c r="AD99" s="4213" t="n"/>
      <c r="AH99" s="4109" t="n"/>
    </row>
    <row r="100" ht="12" customHeight="1" s="4080">
      <c r="A100" s="4097" t="n"/>
      <c r="B100" s="4107" t="n"/>
      <c r="C100" s="4102" t="n"/>
      <c r="D100" s="4103" t="n"/>
      <c r="E100" s="4103" t="n"/>
      <c r="F100" s="4103" t="n"/>
      <c r="G100" s="4103" t="n"/>
      <c r="H100" s="4103" t="n"/>
      <c r="I100" s="4103" t="n"/>
      <c r="J100" s="4104" t="n"/>
      <c r="K100" s="4102" t="n"/>
      <c r="L100" s="4103" t="n"/>
      <c r="M100" s="4193" t="n"/>
      <c r="N100" s="1588" t="n"/>
      <c r="O100" s="1258" t="n"/>
      <c r="P100" s="4103" t="n"/>
      <c r="Q100" s="1327" t="n"/>
      <c r="R100" s="1327" t="n"/>
      <c r="S100" s="4103" t="n"/>
      <c r="T100" s="4103" t="n"/>
      <c r="U100" s="92" t="n"/>
      <c r="V100" s="1258" t="n"/>
      <c r="W100" s="1258" t="n"/>
      <c r="X100" s="4103" t="n"/>
      <c r="Y100" s="2836" t="n"/>
      <c r="Z100" s="2836" t="n"/>
      <c r="AA100" s="4103" t="n"/>
      <c r="AB100" s="1327" t="n"/>
      <c r="AC100" s="4283" t="n"/>
      <c r="AD100" s="4216" t="n"/>
      <c r="AE100" s="4103" t="n"/>
      <c r="AF100" s="4103" t="n"/>
      <c r="AG100" s="4103" t="n"/>
      <c r="AH100" s="4105" t="n"/>
    </row>
    <row r="101" ht="3.95" customHeight="1" s="4080">
      <c r="A101" s="4097" t="n"/>
      <c r="B101" s="4107" t="n"/>
      <c r="C101" s="1322" t="n"/>
      <c r="D101" s="4429" t="inlineStr">
        <is>
          <t>多機能型実施の有無</t>
        </is>
      </c>
      <c r="E101" s="4098" t="n"/>
      <c r="F101" s="4098" t="n"/>
      <c r="G101" s="4098" t="n"/>
      <c r="H101" s="4098" t="n"/>
      <c r="I101" s="4098" t="n"/>
      <c r="J101" s="1394" t="n"/>
      <c r="K101" s="4430" t="n"/>
      <c r="L101" s="2056" t="n"/>
      <c r="M101" s="4098" t="n"/>
      <c r="N101" s="4098" t="n"/>
      <c r="O101" s="2070" t="n"/>
      <c r="P101" s="4839" t="n"/>
      <c r="Q101" s="4098" t="n"/>
      <c r="R101" s="4098" t="n"/>
      <c r="S101" s="4098" t="n"/>
      <c r="T101" s="4098" t="n"/>
      <c r="U101" s="534" t="n"/>
      <c r="V101" s="534" t="n"/>
      <c r="W101" s="534" t="n"/>
      <c r="X101" s="534" t="n"/>
      <c r="Y101" s="534" t="n"/>
      <c r="Z101" s="534" t="n"/>
      <c r="AA101" s="534" t="n"/>
      <c r="AB101" s="2957" t="n"/>
      <c r="AC101" s="2957" t="n"/>
      <c r="AD101" s="2957" t="n"/>
      <c r="AE101" s="2957" t="n"/>
      <c r="AF101" s="2957" t="n"/>
      <c r="AG101" s="2957" t="n"/>
      <c r="AH101" s="2958" t="n"/>
    </row>
    <row r="102" ht="12" customHeight="1" s="4080">
      <c r="A102" s="4097" t="n"/>
      <c r="B102" s="4107" t="n"/>
      <c r="C102" s="4106" t="n"/>
      <c r="J102" s="4107" t="n"/>
      <c r="K102" s="4106" t="n"/>
      <c r="L102" s="2069" t="inlineStr">
        <is>
          <t>有</t>
        </is>
      </c>
      <c r="M102" s="2069" t="inlineStr">
        <is>
          <t>・</t>
        </is>
      </c>
      <c r="N102" s="2069" t="inlineStr">
        <is>
          <t>無</t>
        </is>
      </c>
      <c r="O102" s="4107" t="n"/>
      <c r="P102" s="4106" t="n"/>
      <c r="U102" s="537" t="n"/>
      <c r="V102" s="3319" t="n"/>
      <c r="AB102" s="538" t="n"/>
      <c r="AC102" s="3320" t="n"/>
      <c r="AH102" s="4109" t="n"/>
    </row>
    <row r="103" ht="3.95" customHeight="1" s="4080">
      <c r="A103" s="4097" t="n"/>
      <c r="B103" s="4107" t="n"/>
      <c r="C103" s="1326" t="n"/>
      <c r="J103" s="4107" t="n"/>
      <c r="K103" s="4106" t="n"/>
      <c r="O103" s="4107" t="n"/>
      <c r="P103" s="4106" t="n"/>
      <c r="U103" s="539" t="n"/>
      <c r="V103" s="3319" t="n"/>
      <c r="AB103" s="540" t="n"/>
      <c r="AC103" s="3320" t="n"/>
      <c r="AH103" s="4109" t="n"/>
      <c r="AJ103" s="266" t="n"/>
    </row>
    <row r="104" ht="20.1" customHeight="1" s="4080">
      <c r="A104" s="4097" t="n"/>
      <c r="B104" s="4107" t="n"/>
      <c r="C104" s="4102" t="n"/>
      <c r="D104" s="4103" t="n"/>
      <c r="E104" s="4103" t="n"/>
      <c r="F104" s="4103" t="n"/>
      <c r="G104" s="4103" t="n"/>
      <c r="H104" s="4103" t="n"/>
      <c r="I104" s="4103" t="n"/>
      <c r="J104" s="4104" t="n"/>
      <c r="K104" s="4102" t="n"/>
      <c r="L104" s="2059" t="n"/>
      <c r="M104" s="4103" t="n"/>
      <c r="N104" s="4103" t="n"/>
      <c r="O104" s="4104" t="n"/>
      <c r="P104" s="4102" t="n"/>
      <c r="Q104" s="4103" t="n"/>
      <c r="R104" s="4103" t="n"/>
      <c r="S104" s="4103" t="n"/>
      <c r="T104" s="4103" t="n"/>
      <c r="U104" s="244" t="n"/>
      <c r="V104" s="244" t="n"/>
      <c r="W104" s="244" t="n"/>
      <c r="X104" s="244" t="n"/>
      <c r="Y104" s="244" t="n"/>
      <c r="Z104" s="244" t="n"/>
      <c r="AA104" s="244" t="n"/>
      <c r="AB104" s="2963" t="n"/>
      <c r="AC104" s="2963" t="n"/>
      <c r="AD104" s="2963" t="n"/>
      <c r="AE104" s="2963" t="n"/>
      <c r="AF104" s="2963" t="n"/>
      <c r="AG104" s="2963" t="n"/>
      <c r="AH104" s="2964" t="n"/>
    </row>
    <row r="105" ht="20.1" customHeight="1" s="4080">
      <c r="A105" s="4097" t="n"/>
      <c r="B105" s="4107" t="n"/>
      <c r="C105" s="1393" t="n"/>
      <c r="D105" s="1264" t="inlineStr">
        <is>
          <t>利用料</t>
        </is>
      </c>
      <c r="E105" s="4110" t="n"/>
      <c r="F105" s="4110" t="n"/>
      <c r="G105" s="4110" t="n"/>
      <c r="H105" s="4110" t="n"/>
      <c r="I105" s="4110" t="n"/>
      <c r="J105" s="1394" t="n"/>
      <c r="K105" s="4227" t="n"/>
      <c r="L105" s="4110" t="n"/>
      <c r="M105" s="4110" t="n"/>
      <c r="N105" s="4110" t="n"/>
      <c r="O105" s="4110" t="n"/>
      <c r="P105" s="4110" t="n"/>
      <c r="Q105" s="4110" t="n"/>
      <c r="R105" s="4110" t="n"/>
      <c r="S105" s="4110" t="n"/>
      <c r="T105" s="4110" t="n"/>
      <c r="U105" s="4110" t="n"/>
      <c r="V105" s="4110" t="n"/>
      <c r="W105" s="4110" t="n"/>
      <c r="X105" s="4110" t="n"/>
      <c r="Y105" s="4110" t="n"/>
      <c r="Z105" s="4110" t="n"/>
      <c r="AA105" s="4110" t="n"/>
      <c r="AB105" s="4110" t="n"/>
      <c r="AC105" s="4110" t="n"/>
      <c r="AD105" s="4110" t="n"/>
      <c r="AE105" s="4110" t="n"/>
      <c r="AF105" s="4110" t="n"/>
      <c r="AG105" s="4110" t="n"/>
      <c r="AH105" s="4113" t="n"/>
    </row>
    <row r="106" ht="16.5" customHeight="1" s="4080">
      <c r="A106" s="4097" t="n"/>
      <c r="B106" s="4107" t="n"/>
      <c r="C106" s="1322" t="n"/>
      <c r="D106" s="1264" t="inlineStr">
        <is>
          <t>その他の費用</t>
        </is>
      </c>
      <c r="E106" s="4110" t="n"/>
      <c r="F106" s="4110" t="n"/>
      <c r="G106" s="4110" t="n"/>
      <c r="H106" s="4110" t="n"/>
      <c r="I106" s="4110" t="n"/>
      <c r="J106" s="1331" t="n"/>
      <c r="K106" s="4121" t="n"/>
      <c r="L106" s="4110" t="n"/>
      <c r="M106" s="4110" t="n"/>
      <c r="N106" s="4110" t="n"/>
      <c r="O106" s="4110" t="n"/>
      <c r="P106" s="4110" t="n"/>
      <c r="Q106" s="4110" t="n"/>
      <c r="R106" s="4110" t="n"/>
      <c r="S106" s="4110" t="n"/>
      <c r="T106" s="4110" t="n"/>
      <c r="U106" s="4110" t="n"/>
      <c r="V106" s="4110" t="n"/>
      <c r="W106" s="4110" t="n"/>
      <c r="X106" s="4110" t="n"/>
      <c r="Y106" s="4110" t="n"/>
      <c r="Z106" s="4110" t="n"/>
      <c r="AA106" s="4110" t="n"/>
      <c r="AB106" s="4110" t="n"/>
      <c r="AC106" s="4110" t="n"/>
      <c r="AD106" s="4110" t="n"/>
      <c r="AE106" s="4110" t="n"/>
      <c r="AF106" s="4110" t="n"/>
      <c r="AG106" s="4110" t="n"/>
      <c r="AH106" s="4113" t="n"/>
    </row>
    <row r="107" ht="19.5" customHeight="1" s="4080">
      <c r="A107" s="4097" t="n"/>
      <c r="B107" s="4107" t="n"/>
      <c r="C107" s="1300" t="n"/>
      <c r="D107" s="4222" t="inlineStr">
        <is>
          <t>通常の事業の
実施地域</t>
        </is>
      </c>
      <c r="E107" s="4098" t="n"/>
      <c r="F107" s="4098" t="n"/>
      <c r="G107" s="4098" t="n"/>
      <c r="H107" s="4098" t="n"/>
      <c r="I107" s="4098" t="n"/>
      <c r="J107" s="1963" t="n"/>
      <c r="K107" s="3272" t="inlineStr">
        <is>
          <t>1)</t>
        </is>
      </c>
      <c r="L107" s="1406" t="n"/>
      <c r="M107" s="4110" t="n"/>
      <c r="N107" s="4110" t="n"/>
      <c r="O107" s="2325" t="inlineStr">
        <is>
          <t>2)</t>
        </is>
      </c>
      <c r="P107" s="1406" t="n"/>
      <c r="Q107" s="4110" t="n"/>
      <c r="R107" s="4110" t="n"/>
      <c r="S107" s="2325" t="inlineStr">
        <is>
          <t>3)</t>
        </is>
      </c>
      <c r="T107" s="1406" t="n"/>
      <c r="U107" s="4110" t="n"/>
      <c r="V107" s="4110" t="n"/>
      <c r="W107" s="2325" t="inlineStr">
        <is>
          <t>4)</t>
        </is>
      </c>
      <c r="X107" s="1406" t="n"/>
      <c r="Y107" s="4110" t="n"/>
      <c r="Z107" s="4110" t="n"/>
      <c r="AA107" s="2325" t="inlineStr">
        <is>
          <t>5)</t>
        </is>
      </c>
      <c r="AB107" s="1406" t="n"/>
      <c r="AC107" s="4110" t="n"/>
      <c r="AD107" s="4110" t="n"/>
      <c r="AE107" s="4229" t="inlineStr">
        <is>
          <t>備考</t>
        </is>
      </c>
      <c r="AF107" s="4230" t="n"/>
      <c r="AG107" s="4098" t="n"/>
      <c r="AH107" s="4101" t="n"/>
    </row>
    <row r="108" ht="16.5" customHeight="1" s="4080">
      <c r="A108" s="4097" t="n"/>
      <c r="B108" s="4107" t="n"/>
      <c r="C108" s="4102" t="n"/>
      <c r="D108" s="4103" t="n"/>
      <c r="E108" s="4103" t="n"/>
      <c r="F108" s="4103" t="n"/>
      <c r="G108" s="4103" t="n"/>
      <c r="H108" s="4103" t="n"/>
      <c r="I108" s="4103" t="n"/>
      <c r="J108" s="4104" t="n"/>
      <c r="K108" s="3272" t="inlineStr">
        <is>
          <t>6)</t>
        </is>
      </c>
      <c r="L108" s="1406" t="n"/>
      <c r="M108" s="4110" t="n"/>
      <c r="N108" s="4110" t="n"/>
      <c r="O108" s="2325" t="inlineStr">
        <is>
          <t>7)</t>
        </is>
      </c>
      <c r="P108" s="1406" t="n"/>
      <c r="Q108" s="4110" t="n"/>
      <c r="R108" s="4110" t="n"/>
      <c r="S108" s="2325" t="inlineStr">
        <is>
          <t>8)</t>
        </is>
      </c>
      <c r="T108" s="1406" t="n"/>
      <c r="U108" s="4110" t="n"/>
      <c r="V108" s="4110" t="n"/>
      <c r="W108" s="2325" t="inlineStr">
        <is>
          <t>9)</t>
        </is>
      </c>
      <c r="X108" s="1406" t="n"/>
      <c r="Y108" s="4110" t="n"/>
      <c r="Z108" s="4110" t="n"/>
      <c r="AA108" s="71" t="inlineStr">
        <is>
          <t>10)</t>
        </is>
      </c>
      <c r="AB108" s="1406" t="n"/>
      <c r="AC108" s="4110" t="n"/>
      <c r="AD108" s="4110" t="n"/>
      <c r="AE108" s="4124" t="n"/>
      <c r="AF108" s="4102" t="n"/>
      <c r="AG108" s="4103" t="n"/>
      <c r="AH108" s="4105" t="n"/>
    </row>
    <row r="109" ht="3.95" customHeight="1" s="4080">
      <c r="A109" s="4097" t="n"/>
      <c r="B109" s="4107" t="n"/>
      <c r="C109" s="1795" t="n"/>
      <c r="D109" s="1402" t="n"/>
      <c r="E109" s="3328" t="n"/>
      <c r="F109" s="3328" t="n"/>
      <c r="G109" s="3328" t="n"/>
      <c r="H109" s="3328" t="n"/>
      <c r="I109" s="3328" t="n"/>
      <c r="J109" s="3329" t="n"/>
      <c r="K109" s="541" t="n"/>
      <c r="L109" s="1852" t="n"/>
      <c r="M109" s="4098" t="n"/>
      <c r="N109" s="4098" t="n"/>
      <c r="O109" s="3371" t="n"/>
      <c r="P109" s="4488" t="n"/>
      <c r="Q109" s="4098" t="n"/>
      <c r="R109" s="4098" t="n"/>
      <c r="S109" s="4098" t="n"/>
      <c r="T109" s="4098" t="n"/>
      <c r="U109" s="4098" t="n"/>
      <c r="V109" s="4098" t="n"/>
      <c r="W109" s="4098" t="n"/>
      <c r="X109" s="4098" t="n"/>
      <c r="Y109" s="4098" t="n"/>
      <c r="Z109" s="4098" t="n"/>
      <c r="AA109" s="4098" t="n"/>
      <c r="AB109" s="4098" t="n"/>
      <c r="AC109" s="4098" t="n"/>
      <c r="AD109" s="4098" t="n"/>
      <c r="AE109" s="4098" t="n"/>
      <c r="AF109" s="4098" t="n"/>
      <c r="AG109" s="4098" t="n"/>
      <c r="AH109" s="4101" t="n"/>
    </row>
    <row r="110" ht="12" customHeight="1" s="4080">
      <c r="A110" s="4097" t="n"/>
      <c r="B110" s="4107" t="n"/>
      <c r="C110" s="1241" t="n"/>
      <c r="D110" s="2284" t="inlineStr">
        <is>
          <t>食事提供の有無</t>
        </is>
      </c>
      <c r="J110" s="1243" t="n"/>
      <c r="K110" s="4106" t="n"/>
      <c r="L110" s="1829" t="inlineStr">
        <is>
          <t>有</t>
        </is>
      </c>
      <c r="M110" s="1829" t="inlineStr">
        <is>
          <t>・</t>
        </is>
      </c>
      <c r="N110" s="1829" t="inlineStr">
        <is>
          <t>無</t>
        </is>
      </c>
      <c r="O110" s="4107" t="n"/>
      <c r="P110" s="4106" t="n"/>
      <c r="AH110" s="4109" t="n"/>
    </row>
    <row r="111" ht="3.95" customHeight="1" s="4080">
      <c r="A111" s="4097" t="n"/>
      <c r="B111" s="4107" t="n"/>
      <c r="C111" s="1795" t="n"/>
      <c r="D111" s="1413" t="n"/>
      <c r="E111" s="3334" t="n"/>
      <c r="F111" s="3334" t="n"/>
      <c r="G111" s="3334" t="n"/>
      <c r="H111" s="3334" t="n"/>
      <c r="I111" s="3334" t="n"/>
      <c r="J111" s="3335" t="n"/>
      <c r="K111" s="4102" t="n"/>
      <c r="L111" s="2285" t="n"/>
      <c r="M111" s="4103" t="n"/>
      <c r="N111" s="4103" t="n"/>
      <c r="O111" s="4104" t="n"/>
      <c r="P111" s="4102" t="n"/>
      <c r="Q111" s="4103" t="n"/>
      <c r="R111" s="4103" t="n"/>
      <c r="S111" s="4103" t="n"/>
      <c r="T111" s="4103" t="n"/>
      <c r="U111" s="4103" t="n"/>
      <c r="V111" s="4103" t="n"/>
      <c r="W111" s="4103" t="n"/>
      <c r="X111" s="4103" t="n"/>
      <c r="Y111" s="4103" t="n"/>
      <c r="Z111" s="4103" t="n"/>
      <c r="AA111" s="4103" t="n"/>
      <c r="AB111" s="4103" t="n"/>
      <c r="AC111" s="4103" t="n"/>
      <c r="AD111" s="4103" t="n"/>
      <c r="AE111" s="4103" t="n"/>
      <c r="AF111" s="4103" t="n"/>
      <c r="AG111" s="4103" t="n"/>
      <c r="AH111" s="4105" t="n"/>
    </row>
    <row r="112" ht="14.1" customHeight="1" s="4080">
      <c r="A112" s="4097" t="n"/>
      <c r="B112" s="4107" t="n"/>
      <c r="C112" s="4840" t="inlineStr">
        <is>
          <t>送迎サービス</t>
        </is>
      </c>
      <c r="D112" s="4099" t="n"/>
      <c r="E112" s="4841" t="inlineStr">
        <is>
          <t>実施の有無</t>
        </is>
      </c>
      <c r="F112" s="4098" t="n"/>
      <c r="G112" s="4098" t="n"/>
      <c r="H112" s="4098" t="n"/>
      <c r="I112" s="4098" t="n"/>
      <c r="J112" s="4099" t="n"/>
      <c r="K112" s="541" t="n"/>
      <c r="L112" s="1852" t="n"/>
      <c r="M112" s="4098" t="n"/>
      <c r="N112" s="4098" t="n"/>
      <c r="O112" s="3371" t="n"/>
      <c r="P112" s="4488" t="n"/>
      <c r="Q112" s="4098" t="n"/>
      <c r="R112" s="4098" t="n"/>
      <c r="S112" s="4098" t="n"/>
      <c r="T112" s="4098" t="n"/>
      <c r="U112" s="4098" t="n"/>
      <c r="V112" s="4098" t="n"/>
      <c r="W112" s="4098" t="n"/>
      <c r="X112" s="4098" t="n"/>
      <c r="Y112" s="4098" t="n"/>
      <c r="Z112" s="4098" t="n"/>
      <c r="AA112" s="4098" t="n"/>
      <c r="AB112" s="4098" t="n"/>
      <c r="AC112" s="4098" t="n"/>
      <c r="AD112" s="4098" t="n"/>
      <c r="AE112" s="4098" t="n"/>
      <c r="AF112" s="4098" t="n"/>
      <c r="AG112" s="4098" t="n"/>
      <c r="AH112" s="4101" t="n"/>
    </row>
    <row r="113" ht="14.1" customHeight="1" s="4080">
      <c r="A113" s="4097" t="n"/>
      <c r="B113" s="4107" t="n"/>
      <c r="C113" s="4106" t="n"/>
      <c r="D113" s="4107" t="n"/>
      <c r="E113" s="4106" t="n"/>
      <c r="J113" s="4107" t="n"/>
      <c r="K113" s="4106" t="n"/>
      <c r="L113" s="1829" t="inlineStr">
        <is>
          <t>有</t>
        </is>
      </c>
      <c r="M113" s="1829" t="inlineStr">
        <is>
          <t>・</t>
        </is>
      </c>
      <c r="N113" s="1829" t="inlineStr">
        <is>
          <t>無</t>
        </is>
      </c>
      <c r="O113" s="4107" t="n"/>
      <c r="P113" s="4106" t="n"/>
      <c r="AH113" s="4109" t="n"/>
    </row>
    <row r="114" ht="14.1" customHeight="1" s="4080">
      <c r="A114" s="4097" t="n"/>
      <c r="B114" s="4107" t="n"/>
      <c r="C114" s="4106" t="n"/>
      <c r="D114" s="4107" t="n"/>
      <c r="E114" s="4102" t="n"/>
      <c r="F114" s="4103" t="n"/>
      <c r="G114" s="4103" t="n"/>
      <c r="H114" s="4103" t="n"/>
      <c r="I114" s="4103" t="n"/>
      <c r="J114" s="4104" t="n"/>
      <c r="K114" s="4102" t="n"/>
      <c r="L114" s="2285" t="n"/>
      <c r="M114" s="4103" t="n"/>
      <c r="N114" s="4103" t="n"/>
      <c r="O114" s="4104" t="n"/>
      <c r="P114" s="4102" t="n"/>
      <c r="Q114" s="4103" t="n"/>
      <c r="R114" s="4103" t="n"/>
      <c r="S114" s="4103" t="n"/>
      <c r="T114" s="4103" t="n"/>
      <c r="U114" s="4103" t="n"/>
      <c r="V114" s="4103" t="n"/>
      <c r="W114" s="4103" t="n"/>
      <c r="X114" s="4103" t="n"/>
      <c r="Y114" s="4103" t="n"/>
      <c r="Z114" s="4103" t="n"/>
      <c r="AA114" s="4103" t="n"/>
      <c r="AB114" s="4103" t="n"/>
      <c r="AC114" s="4103" t="n"/>
      <c r="AD114" s="4103" t="n"/>
      <c r="AE114" s="4103" t="n"/>
      <c r="AF114" s="4103" t="n"/>
      <c r="AG114" s="4103" t="n"/>
      <c r="AH114" s="4105" t="n"/>
    </row>
    <row r="115" ht="19.5" customHeight="1" s="4080">
      <c r="A115" s="4097" t="n"/>
      <c r="B115" s="4107" t="n"/>
      <c r="C115" s="4106" t="n"/>
      <c r="D115" s="4107" t="n"/>
      <c r="E115" s="4842" t="inlineStr">
        <is>
          <t>送迎サービスの
実施地域</t>
        </is>
      </c>
      <c r="F115" s="4098" t="n"/>
      <c r="G115" s="4098" t="n"/>
      <c r="H115" s="4098" t="n"/>
      <c r="I115" s="4098" t="n"/>
      <c r="J115" s="4099" t="n"/>
      <c r="K115" s="541" t="inlineStr">
        <is>
          <t>1)</t>
        </is>
      </c>
      <c r="L115" s="1406" t="n"/>
      <c r="M115" s="4110" t="n"/>
      <c r="N115" s="4110" t="n"/>
      <c r="O115" s="2325" t="inlineStr">
        <is>
          <t>2)</t>
        </is>
      </c>
      <c r="P115" s="1406" t="n"/>
      <c r="Q115" s="4110" t="n"/>
      <c r="R115" s="4110" t="n"/>
      <c r="S115" s="2325" t="inlineStr">
        <is>
          <t>3)</t>
        </is>
      </c>
      <c r="T115" s="1406" t="n"/>
      <c r="U115" s="4110" t="n"/>
      <c r="V115" s="4110" t="n"/>
      <c r="W115" s="2325" t="inlineStr">
        <is>
          <t>4)</t>
        </is>
      </c>
      <c r="X115" s="1406" t="n"/>
      <c r="Y115" s="4110" t="n"/>
      <c r="Z115" s="4110" t="n"/>
      <c r="AA115" s="2325" t="inlineStr">
        <is>
          <t>5)</t>
        </is>
      </c>
      <c r="AB115" s="1406" t="n"/>
      <c r="AC115" s="4110" t="n"/>
      <c r="AD115" s="4110" t="n"/>
      <c r="AE115" s="4843" t="inlineStr">
        <is>
          <t>備考</t>
        </is>
      </c>
      <c r="AF115" s="4844" t="n"/>
      <c r="AG115" s="4098" t="n"/>
      <c r="AH115" s="4101" t="n"/>
    </row>
    <row r="116" ht="18.75" customHeight="1" s="4080">
      <c r="A116" s="4097" t="n"/>
      <c r="B116" s="4107" t="n"/>
      <c r="C116" s="4102" t="n"/>
      <c r="D116" s="4104" t="n"/>
      <c r="E116" s="4102" t="n"/>
      <c r="F116" s="4103" t="n"/>
      <c r="G116" s="4103" t="n"/>
      <c r="H116" s="4103" t="n"/>
      <c r="I116" s="4103" t="n"/>
      <c r="J116" s="4104" t="n"/>
      <c r="K116" s="541" t="inlineStr">
        <is>
          <t>6)</t>
        </is>
      </c>
      <c r="L116" s="1406" t="n"/>
      <c r="M116" s="4110" t="n"/>
      <c r="N116" s="4110" t="n"/>
      <c r="O116" s="2325" t="inlineStr">
        <is>
          <t>7)</t>
        </is>
      </c>
      <c r="P116" s="1406" t="n"/>
      <c r="Q116" s="4110" t="n"/>
      <c r="R116" s="4110" t="n"/>
      <c r="S116" s="2325" t="inlineStr">
        <is>
          <t>8)</t>
        </is>
      </c>
      <c r="T116" s="1406" t="n"/>
      <c r="U116" s="4110" t="n"/>
      <c r="V116" s="4110" t="n"/>
      <c r="W116" s="2325" t="inlineStr">
        <is>
          <t>9)</t>
        </is>
      </c>
      <c r="X116" s="1406" t="n"/>
      <c r="Y116" s="4110" t="n"/>
      <c r="Z116" s="4110" t="n"/>
      <c r="AA116" s="71" t="inlineStr">
        <is>
          <t>10)</t>
        </is>
      </c>
      <c r="AB116" s="1406" t="n"/>
      <c r="AC116" s="4110" t="n"/>
      <c r="AD116" s="4110" t="n"/>
      <c r="AE116" s="4124" t="n"/>
      <c r="AF116" s="4103" t="n"/>
      <c r="AG116" s="4103" t="n"/>
      <c r="AH116" s="4105" t="n"/>
    </row>
    <row r="117">
      <c r="A117" s="4097" t="n"/>
      <c r="B117" s="4107" t="n"/>
      <c r="C117" s="2163" t="inlineStr">
        <is>
          <t>指導訓練室の有無等</t>
        </is>
      </c>
      <c r="D117" s="4098" t="n"/>
      <c r="E117" s="4098" t="n"/>
      <c r="F117" s="4098" t="n"/>
      <c r="G117" s="4098" t="n"/>
      <c r="H117" s="4098" t="n"/>
      <c r="I117" s="4098" t="n"/>
      <c r="J117" s="4099" t="n"/>
      <c r="K117" s="541" t="n"/>
      <c r="L117" s="1852" t="n"/>
      <c r="M117" s="4098" t="n"/>
      <c r="N117" s="4098" t="n"/>
      <c r="O117" s="3371" t="n"/>
      <c r="P117" s="4274" t="inlineStr">
        <is>
          <t>設置形態</t>
        </is>
      </c>
      <c r="Q117" s="4098" t="n"/>
      <c r="R117" s="4098" t="n"/>
      <c r="S117" s="4099" t="n"/>
      <c r="T117" s="1457" t="n"/>
      <c r="U117" s="1457" t="n"/>
      <c r="V117" s="1457" t="n"/>
      <c r="W117" s="1457" t="n"/>
      <c r="X117" s="1457" t="n"/>
      <c r="Y117" s="1457" t="n"/>
      <c r="Z117" s="1457" t="n"/>
      <c r="AA117" s="1052" t="n"/>
      <c r="AB117" s="4098" t="n"/>
      <c r="AC117" s="4098" t="n"/>
      <c r="AD117" s="4098" t="n"/>
      <c r="AE117" s="4098" t="n"/>
      <c r="AF117" s="4098" t="n"/>
      <c r="AG117" s="4098" t="n"/>
      <c r="AH117" s="1659" t="n"/>
    </row>
    <row r="118">
      <c r="A118" s="4097" t="n"/>
      <c r="B118" s="4107" t="n"/>
      <c r="C118" s="4106" t="n"/>
      <c r="J118" s="4107" t="n"/>
      <c r="K118" s="4106" t="n"/>
      <c r="L118" s="1829" t="inlineStr">
        <is>
          <t>有</t>
        </is>
      </c>
      <c r="M118" s="1829" t="inlineStr">
        <is>
          <t>・</t>
        </is>
      </c>
      <c r="N118" s="1829" t="inlineStr">
        <is>
          <t>無</t>
        </is>
      </c>
      <c r="O118" s="4107" t="n"/>
      <c r="P118" s="4106" t="n"/>
      <c r="S118" s="4107" t="n"/>
      <c r="T118" s="1457" t="n"/>
      <c r="U118" s="1391" t="inlineStr">
        <is>
          <t>専用</t>
        </is>
      </c>
      <c r="W118" s="2295" t="inlineStr">
        <is>
          <t>・</t>
        </is>
      </c>
      <c r="X118" s="1391" t="inlineStr">
        <is>
          <t>共用</t>
        </is>
      </c>
      <c r="Z118" s="187" t="inlineStr">
        <is>
          <t>（</t>
        </is>
      </c>
      <c r="AH118" s="188" t="inlineStr">
        <is>
          <t>）</t>
        </is>
      </c>
    </row>
    <row r="119">
      <c r="A119" s="4097" t="n"/>
      <c r="B119" s="4107" t="n"/>
      <c r="C119" s="4102" t="n"/>
      <c r="D119" s="4103" t="n"/>
      <c r="E119" s="4103" t="n"/>
      <c r="F119" s="4103" t="n"/>
      <c r="G119" s="4103" t="n"/>
      <c r="H119" s="4103" t="n"/>
      <c r="I119" s="4103" t="n"/>
      <c r="J119" s="4104" t="n"/>
      <c r="K119" s="4102" t="n"/>
      <c r="L119" s="2285" t="n"/>
      <c r="M119" s="4103" t="n"/>
      <c r="N119" s="4103" t="n"/>
      <c r="O119" s="4104" t="n"/>
      <c r="P119" s="4102" t="n"/>
      <c r="Q119" s="4103" t="n"/>
      <c r="R119" s="4103" t="n"/>
      <c r="S119" s="4104" t="n"/>
      <c r="T119" s="929" t="n"/>
      <c r="U119" s="930" t="n"/>
      <c r="V119" s="930" t="n"/>
      <c r="W119" s="930" t="n"/>
      <c r="X119" s="1457" t="n"/>
      <c r="Y119" s="1457" t="n"/>
      <c r="Z119" s="1457" t="n"/>
      <c r="AA119" s="4103" t="n"/>
      <c r="AB119" s="4103" t="n"/>
      <c r="AC119" s="4103" t="n"/>
      <c r="AD119" s="4103" t="n"/>
      <c r="AE119" s="4103" t="n"/>
      <c r="AF119" s="4103" t="n"/>
      <c r="AG119" s="4103" t="n"/>
      <c r="AH119" s="1659" t="n"/>
    </row>
    <row r="120" ht="18.75" customHeight="1" s="4080">
      <c r="A120" s="4097" t="n"/>
      <c r="B120" s="4107" t="n"/>
      <c r="C120" s="2163" t="inlineStr">
        <is>
          <t>協 力 医 療 機 関</t>
        </is>
      </c>
      <c r="D120" s="4110" t="n"/>
      <c r="E120" s="4110" t="n"/>
      <c r="F120" s="4110" t="n"/>
      <c r="G120" s="4110" t="n"/>
      <c r="H120" s="4110" t="n"/>
      <c r="I120" s="4110" t="n"/>
      <c r="J120" s="4111" t="n"/>
      <c r="K120" s="4845" t="inlineStr">
        <is>
          <t>名 称</t>
        </is>
      </c>
      <c r="L120" s="4110" t="n"/>
      <c r="M120" s="4111" t="n"/>
      <c r="N120" s="3369" t="n"/>
      <c r="O120" s="1829" t="n"/>
      <c r="P120" s="1432" t="n"/>
      <c r="Q120" s="1432" t="n"/>
      <c r="R120" s="1432" t="n"/>
      <c r="S120" s="1432" t="n"/>
      <c r="T120" s="1457" t="n"/>
      <c r="U120" s="1457" t="n"/>
      <c r="V120" s="1457" t="n"/>
      <c r="W120" s="1457" t="n"/>
      <c r="X120" s="844" t="inlineStr">
        <is>
          <t>主な診療科名</t>
        </is>
      </c>
      <c r="Y120" s="4110" t="n"/>
      <c r="Z120" s="4110" t="n"/>
      <c r="AA120" s="4111" t="n"/>
      <c r="AB120" s="3349" t="n"/>
      <c r="AC120" s="3349" t="n"/>
      <c r="AD120" s="3349" t="n"/>
      <c r="AE120" s="3349" t="n"/>
      <c r="AF120" s="3349" t="n"/>
      <c r="AG120" s="3349" t="n"/>
      <c r="AH120" s="422" t="n"/>
    </row>
    <row r="121" ht="5.25" customHeight="1" s="4080">
      <c r="A121" s="4097" t="n"/>
      <c r="B121" s="4107" t="n"/>
      <c r="C121" s="4846" t="inlineStr">
        <is>
          <t>その他参考
となる事項</t>
        </is>
      </c>
      <c r="D121" s="4107" t="n"/>
      <c r="E121" s="1456" t="inlineStr">
        <is>
          <t>第三者評価の実施状況</t>
        </is>
      </c>
      <c r="J121" s="4107" t="n"/>
      <c r="K121" s="1660" t="n"/>
      <c r="L121" s="1661" t="n"/>
      <c r="M121" s="1661" t="n"/>
      <c r="N121" s="1661" t="n"/>
      <c r="O121" s="1661" t="n"/>
      <c r="P121" s="1661" t="n"/>
      <c r="Q121" s="1661" t="n"/>
      <c r="R121" s="4232" t="n"/>
      <c r="S121" s="4098" t="n"/>
      <c r="T121" s="4098" t="n"/>
      <c r="U121" s="4098" t="n"/>
      <c r="V121" s="4098" t="n"/>
      <c r="W121" s="4098" t="n"/>
      <c r="X121" s="4098" t="n"/>
      <c r="Y121" s="4098" t="n"/>
      <c r="Z121" s="4098" t="n"/>
      <c r="AA121" s="4098" t="n"/>
      <c r="AB121" s="1661" t="n"/>
      <c r="AC121" s="1661" t="n"/>
      <c r="AD121" s="1661" t="n"/>
      <c r="AE121" s="1661" t="n"/>
      <c r="AF121" s="1661" t="n"/>
      <c r="AG121" s="1661" t="n"/>
      <c r="AH121" s="1662" t="n"/>
    </row>
    <row r="122" ht="16.5" customHeight="1" s="4080">
      <c r="A122" s="4097" t="n"/>
      <c r="B122" s="4107" t="n"/>
      <c r="C122" s="4106" t="n"/>
      <c r="D122" s="4107" t="n"/>
      <c r="J122" s="4107" t="n"/>
      <c r="K122" s="1372" t="n"/>
      <c r="L122" s="1432" t="inlineStr">
        <is>
          <t>している</t>
        </is>
      </c>
      <c r="O122" s="3376" t="inlineStr">
        <is>
          <t>(実施先：</t>
        </is>
      </c>
      <c r="AB122" s="1889" t="inlineStr">
        <is>
          <t>)・</t>
        </is>
      </c>
      <c r="AC122" s="1290" t="inlineStr">
        <is>
          <t>していない</t>
        </is>
      </c>
      <c r="AH122" s="1668" t="n"/>
    </row>
    <row r="123" ht="8.25" customHeight="1" s="4080">
      <c r="A123" s="4097" t="n"/>
      <c r="B123" s="4107" t="n"/>
      <c r="C123" s="4106" t="n"/>
      <c r="D123" s="4107" t="n"/>
      <c r="E123" s="4103" t="n"/>
      <c r="F123" s="4103" t="n"/>
      <c r="G123" s="4103" t="n"/>
      <c r="H123" s="4103" t="n"/>
      <c r="I123" s="4103" t="n"/>
      <c r="J123" s="4104" t="n"/>
      <c r="K123" s="438" t="n"/>
      <c r="L123" s="389" t="n"/>
      <c r="M123" s="389" t="n"/>
      <c r="N123" s="389" t="n"/>
      <c r="O123" s="389" t="n"/>
      <c r="P123" s="389" t="n"/>
      <c r="Q123" s="389" t="n"/>
      <c r="R123" s="4103" t="n"/>
      <c r="S123" s="4103" t="n"/>
      <c r="T123" s="4103" t="n"/>
      <c r="U123" s="4103" t="n"/>
      <c r="V123" s="4103" t="n"/>
      <c r="W123" s="4103" t="n"/>
      <c r="X123" s="4103" t="n"/>
      <c r="Y123" s="4103" t="n"/>
      <c r="Z123" s="4103" t="n"/>
      <c r="AA123" s="4103" t="n"/>
      <c r="AB123" s="389" t="n"/>
      <c r="AC123" s="389" t="n"/>
      <c r="AD123" s="389" t="n"/>
      <c r="AE123" s="389" t="n"/>
      <c r="AF123" s="389" t="n"/>
      <c r="AG123" s="389" t="n"/>
      <c r="AH123" s="390" t="n"/>
    </row>
    <row r="124" ht="15.75" customHeight="1" s="4080">
      <c r="A124" s="4097" t="n"/>
      <c r="B124" s="4107" t="n"/>
      <c r="C124" s="4106" t="n"/>
      <c r="D124" s="4107" t="n"/>
      <c r="E124" s="4847" t="inlineStr">
        <is>
          <t>苦情解決の措置概要</t>
        </is>
      </c>
      <c r="F124" s="4098" t="n"/>
      <c r="G124" s="4098" t="n"/>
      <c r="H124" s="4098" t="n"/>
      <c r="I124" s="4098" t="n"/>
      <c r="J124" s="4099" t="n"/>
      <c r="K124" s="4848" t="inlineStr">
        <is>
          <t>窓　口</t>
        </is>
      </c>
      <c r="L124" s="4110" t="n"/>
      <c r="M124" s="4111" t="n"/>
      <c r="N124" s="4121" t="n"/>
      <c r="O124" s="4110" t="n"/>
      <c r="P124" s="4110" t="n"/>
      <c r="Q124" s="4110" t="n"/>
      <c r="R124" s="4110" t="n"/>
      <c r="S124" s="4110" t="n"/>
      <c r="T124" s="4110" t="n"/>
      <c r="U124" s="4110" t="n"/>
      <c r="V124" s="4110" t="n"/>
      <c r="W124" s="4110" t="n"/>
      <c r="X124" s="4110" t="n"/>
      <c r="Y124" s="4110" t="n"/>
      <c r="Z124" s="4110" t="n"/>
      <c r="AA124" s="4110" t="n"/>
      <c r="AB124" s="4110" t="n"/>
      <c r="AC124" s="4110" t="n"/>
      <c r="AD124" s="4110" t="n"/>
      <c r="AE124" s="4110" t="n"/>
      <c r="AF124" s="4110" t="n"/>
      <c r="AG124" s="4110" t="n"/>
      <c r="AH124" s="4113" t="n"/>
    </row>
    <row r="125" ht="19.5" customHeight="1" s="4080">
      <c r="A125" s="4097" t="n"/>
      <c r="B125" s="4107" t="n"/>
      <c r="C125" s="4106" t="n"/>
      <c r="D125" s="4107" t="n"/>
      <c r="E125" s="4102" t="n"/>
      <c r="F125" s="4103" t="n"/>
      <c r="G125" s="4103" t="n"/>
      <c r="H125" s="4103" t="n"/>
      <c r="I125" s="4103" t="n"/>
      <c r="J125" s="4104" t="n"/>
      <c r="K125" s="2542" t="inlineStr">
        <is>
          <t>担当者</t>
        </is>
      </c>
      <c r="L125" s="4110" t="n"/>
      <c r="M125" s="4111" t="n"/>
      <c r="N125" s="4123" t="n"/>
      <c r="O125" s="4110" t="n"/>
      <c r="P125" s="4110" t="n"/>
      <c r="Q125" s="4110" t="n"/>
      <c r="R125" s="4110" t="n"/>
      <c r="S125" s="4110" t="n"/>
      <c r="T125" s="4110" t="n"/>
      <c r="U125" s="4111" t="n"/>
      <c r="V125" s="2163" t="inlineStr">
        <is>
          <t>電話</t>
        </is>
      </c>
      <c r="W125" s="4111" t="n"/>
      <c r="X125" s="882" t="n"/>
      <c r="Y125" s="4110" t="n"/>
      <c r="Z125" s="4110" t="n"/>
      <c r="AA125" s="1492" t="inlineStr">
        <is>
          <t>－</t>
        </is>
      </c>
      <c r="AB125" s="920" t="n"/>
      <c r="AC125" s="4110" t="n"/>
      <c r="AD125" s="4110" t="n"/>
      <c r="AE125" s="1492" t="inlineStr">
        <is>
          <t>－</t>
        </is>
      </c>
      <c r="AF125" s="955" t="n"/>
      <c r="AG125" s="4110" t="n"/>
      <c r="AH125" s="4113" t="n"/>
    </row>
    <row r="126" ht="14.25" customHeight="1" s="4080">
      <c r="A126" s="4114" t="n"/>
      <c r="B126" s="4104" t="n"/>
      <c r="C126" s="4102" t="n"/>
      <c r="D126" s="4104" t="n"/>
      <c r="E126" s="2070" t="inlineStr">
        <is>
          <t>そ　　　 の 　　　他</t>
        </is>
      </c>
      <c r="F126" s="4110" t="n"/>
      <c r="G126" s="4110" t="n"/>
      <c r="H126" s="4110" t="n"/>
      <c r="I126" s="4110" t="n"/>
      <c r="J126" s="4111" t="n"/>
      <c r="K126" s="4121" t="n"/>
      <c r="L126" s="4110" t="n"/>
      <c r="M126" s="4110" t="n"/>
      <c r="N126" s="4110" t="n"/>
      <c r="O126" s="4110" t="n"/>
      <c r="P126" s="4110" t="n"/>
      <c r="Q126" s="4110" t="n"/>
      <c r="R126" s="4110" t="n"/>
      <c r="S126" s="4110" t="n"/>
      <c r="T126" s="4110" t="n"/>
      <c r="U126" s="4110" t="n"/>
      <c r="V126" s="4110" t="n"/>
      <c r="W126" s="4110" t="n"/>
      <c r="X126" s="4110" t="n"/>
      <c r="Y126" s="4110" t="n"/>
      <c r="Z126" s="4110" t="n"/>
      <c r="AA126" s="4110" t="n"/>
      <c r="AB126" s="4110" t="n"/>
      <c r="AC126" s="4110" t="n"/>
      <c r="AD126" s="4110" t="n"/>
      <c r="AE126" s="4110" t="n"/>
      <c r="AF126" s="4110" t="n"/>
      <c r="AG126" s="4110" t="n"/>
      <c r="AH126" s="4113" t="n"/>
    </row>
    <row r="127" ht="12.75" customHeight="1" s="4080" thickBot="1">
      <c r="A127" s="4849" t="inlineStr">
        <is>
          <t>添　　付　　書　　類</t>
        </is>
      </c>
      <c r="B127" s="4153" t="n"/>
      <c r="C127" s="4153" t="n"/>
      <c r="D127" s="4153" t="n"/>
      <c r="E127" s="4153" t="n"/>
      <c r="F127" s="4153" t="n"/>
      <c r="G127" s="4153" t="n"/>
      <c r="H127" s="4153" t="n"/>
      <c r="I127" s="4153" t="n"/>
      <c r="J127" s="4154" t="n"/>
      <c r="K127" s="4235" t="inlineStr">
        <is>
          <t xml:space="preserve">　別紙「添付書類一覧表」のとおり</t>
        </is>
      </c>
      <c r="L127" s="4153" t="n"/>
      <c r="M127" s="4153" t="n"/>
      <c r="N127" s="4153" t="n"/>
      <c r="O127" s="4153" t="n"/>
      <c r="P127" s="4153" t="n"/>
      <c r="Q127" s="4153" t="n"/>
      <c r="R127" s="4153" t="n"/>
      <c r="S127" s="4153" t="n"/>
      <c r="T127" s="4153" t="n"/>
      <c r="U127" s="4153" t="n"/>
      <c r="V127" s="4153" t="n"/>
      <c r="W127" s="4153" t="n"/>
      <c r="X127" s="4153" t="n"/>
      <c r="Y127" s="4153" t="n"/>
      <c r="Z127" s="4153" t="n"/>
      <c r="AA127" s="4153" t="n"/>
      <c r="AB127" s="4153" t="n"/>
      <c r="AC127" s="4153" t="n"/>
      <c r="AD127" s="4153" t="n"/>
      <c r="AE127" s="4153" t="n"/>
      <c r="AF127" s="4153" t="n"/>
      <c r="AG127" s="4153" t="n"/>
      <c r="AH127" s="4155" t="n"/>
    </row>
  </sheetData>
  <mergeCells count="460">
    <mergeCell ref="Z43:AB43"/>
    <mergeCell ref="W47:Y47"/>
    <mergeCell ref="C41:J42"/>
    <mergeCell ref="N42:P42"/>
    <mergeCell ref="AA82:AH82"/>
    <mergeCell ref="C13:E14"/>
    <mergeCell ref="M90:M91"/>
    <mergeCell ref="N44:P44"/>
    <mergeCell ref="K120:M120"/>
    <mergeCell ref="N33:R33"/>
    <mergeCell ref="J17:M19"/>
    <mergeCell ref="AB125:AD125"/>
    <mergeCell ref="S56:S58"/>
    <mergeCell ref="N92:O94"/>
    <mergeCell ref="V79:AB79"/>
    <mergeCell ref="Q45:V45"/>
    <mergeCell ref="T59:V60"/>
    <mergeCell ref="D110:I110"/>
    <mergeCell ref="L108:N108"/>
    <mergeCell ref="C34:E34"/>
    <mergeCell ref="O54:R54"/>
    <mergeCell ref="T67:U67"/>
    <mergeCell ref="P83:W83"/>
    <mergeCell ref="K44:M44"/>
    <mergeCell ref="Q63:V63"/>
    <mergeCell ref="W50:AB50"/>
    <mergeCell ref="C24:J24"/>
    <mergeCell ref="Q50:V50"/>
    <mergeCell ref="L68:L69"/>
    <mergeCell ref="Q51:V53"/>
    <mergeCell ref="N68:N69"/>
    <mergeCell ref="C26:J26"/>
    <mergeCell ref="A41:B50"/>
    <mergeCell ref="AC103:AH103"/>
    <mergeCell ref="AB107:AD107"/>
    <mergeCell ref="W48:Y48"/>
    <mergeCell ref="N11:O12"/>
    <mergeCell ref="Q48:S48"/>
    <mergeCell ref="AF107:AH108"/>
    <mergeCell ref="C112:D116"/>
    <mergeCell ref="P108:R108"/>
    <mergeCell ref="N124:AH124"/>
    <mergeCell ref="D72:J77"/>
    <mergeCell ref="K49:M49"/>
    <mergeCell ref="O70:O71"/>
    <mergeCell ref="O57:O58"/>
    <mergeCell ref="T49:V49"/>
    <mergeCell ref="K127:AH127"/>
    <mergeCell ref="Q57:Q58"/>
    <mergeCell ref="N47:P47"/>
    <mergeCell ref="V89:AB89"/>
    <mergeCell ref="T42:V42"/>
    <mergeCell ref="L116:N116"/>
    <mergeCell ref="C92:C100"/>
    <mergeCell ref="Y74:AA74"/>
    <mergeCell ref="F14:J14"/>
    <mergeCell ref="T57:U57"/>
    <mergeCell ref="T44:V44"/>
    <mergeCell ref="Z25:AH25"/>
    <mergeCell ref="K41:P41"/>
    <mergeCell ref="L70:N71"/>
    <mergeCell ref="L117:N117"/>
    <mergeCell ref="P101:T104"/>
    <mergeCell ref="X108:Z108"/>
    <mergeCell ref="AA5:AA6"/>
    <mergeCell ref="AC5:AC6"/>
    <mergeCell ref="N96:O96"/>
    <mergeCell ref="T58:U58"/>
    <mergeCell ref="V103:AA103"/>
    <mergeCell ref="L119:N119"/>
    <mergeCell ref="Q49:S49"/>
    <mergeCell ref="F13:H13"/>
    <mergeCell ref="Z81:Z82"/>
    <mergeCell ref="X81:Y82"/>
    <mergeCell ref="N98:O98"/>
    <mergeCell ref="C17:E19"/>
    <mergeCell ref="O117:O119"/>
    <mergeCell ref="AD78:AH80"/>
    <mergeCell ref="P61:W61"/>
    <mergeCell ref="P34:S34"/>
    <mergeCell ref="L90:L91"/>
    <mergeCell ref="P17:Q19"/>
    <mergeCell ref="O112:O114"/>
    <mergeCell ref="K25:Y25"/>
    <mergeCell ref="Y87:AA87"/>
    <mergeCell ref="D92:I100"/>
    <mergeCell ref="A16:B26"/>
    <mergeCell ref="T70:V71"/>
    <mergeCell ref="K68:K69"/>
    <mergeCell ref="J16:M16"/>
    <mergeCell ref="M68:M69"/>
    <mergeCell ref="K95:M97"/>
    <mergeCell ref="P70:Q71"/>
    <mergeCell ref="J35:M37"/>
    <mergeCell ref="R70:S71"/>
    <mergeCell ref="D56:J58"/>
    <mergeCell ref="N48:P48"/>
    <mergeCell ref="C45:J45"/>
    <mergeCell ref="AC56:AC58"/>
    <mergeCell ref="V57:AB57"/>
    <mergeCell ref="C27:E27"/>
    <mergeCell ref="Q46:V46"/>
    <mergeCell ref="P117:S119"/>
    <mergeCell ref="W42:Y42"/>
    <mergeCell ref="A56:B87"/>
    <mergeCell ref="F7:AH7"/>
    <mergeCell ref="AB13:AD13"/>
    <mergeCell ref="N57:N58"/>
    <mergeCell ref="T79:U79"/>
    <mergeCell ref="P57:P58"/>
    <mergeCell ref="Q41:V41"/>
    <mergeCell ref="K101:K104"/>
    <mergeCell ref="E126:J126"/>
    <mergeCell ref="O109:O111"/>
    <mergeCell ref="K55:M55"/>
    <mergeCell ref="N43:P43"/>
    <mergeCell ref="K2:Q2"/>
    <mergeCell ref="AB5:AB6"/>
    <mergeCell ref="AD5:AD6"/>
    <mergeCell ref="S78:S80"/>
    <mergeCell ref="E115:J116"/>
    <mergeCell ref="P107:R107"/>
    <mergeCell ref="X17:AH19"/>
    <mergeCell ref="AA15:AB15"/>
    <mergeCell ref="AC15:AD15"/>
    <mergeCell ref="AF42:AH42"/>
    <mergeCell ref="D61:J66"/>
    <mergeCell ref="Y65:AA65"/>
    <mergeCell ref="K90:K91"/>
    <mergeCell ref="K14:AH14"/>
    <mergeCell ref="X118:Y118"/>
    <mergeCell ref="C89:C91"/>
    <mergeCell ref="AF47:AH47"/>
    <mergeCell ref="K98:M100"/>
    <mergeCell ref="AC122:AG122"/>
    <mergeCell ref="Z24:AH24"/>
    <mergeCell ref="K124:M124"/>
    <mergeCell ref="W44:Y44"/>
    <mergeCell ref="N90:N91"/>
    <mergeCell ref="D107:I108"/>
    <mergeCell ref="AF48:AH48"/>
    <mergeCell ref="Q87:V87"/>
    <mergeCell ref="C48:J48"/>
    <mergeCell ref="T56:U56"/>
    <mergeCell ref="P98:P100"/>
    <mergeCell ref="L81:N82"/>
    <mergeCell ref="C10:E12"/>
    <mergeCell ref="W20:AH20"/>
    <mergeCell ref="Y85:AA85"/>
    <mergeCell ref="F8:AH9"/>
    <mergeCell ref="D70:J71"/>
    <mergeCell ref="AC42:AE42"/>
    <mergeCell ref="W22:AH22"/>
    <mergeCell ref="P35:Q37"/>
    <mergeCell ref="Q79:Q80"/>
    <mergeCell ref="C20:M22"/>
    <mergeCell ref="AC44:AE44"/>
    <mergeCell ref="P72:W72"/>
    <mergeCell ref="F34:I34"/>
    <mergeCell ref="X120:AA120"/>
    <mergeCell ref="S55:U55"/>
    <mergeCell ref="T115:V115"/>
    <mergeCell ref="L115:N115"/>
    <mergeCell ref="W38:AH38"/>
    <mergeCell ref="D89:I91"/>
    <mergeCell ref="AC78:AC80"/>
    <mergeCell ref="Q13:S13"/>
    <mergeCell ref="P109:AH111"/>
    <mergeCell ref="W40:AH40"/>
    <mergeCell ref="J27:M27"/>
    <mergeCell ref="S95:T97"/>
    <mergeCell ref="N79:N80"/>
    <mergeCell ref="P79:P80"/>
    <mergeCell ref="W33:AH33"/>
    <mergeCell ref="C38:M40"/>
    <mergeCell ref="R79:R80"/>
    <mergeCell ref="C8:E9"/>
    <mergeCell ref="Z70:Z71"/>
    <mergeCell ref="T35:V37"/>
    <mergeCell ref="Z26:AH26"/>
    <mergeCell ref="T47:V47"/>
    <mergeCell ref="C107:C108"/>
    <mergeCell ref="V102:AA102"/>
    <mergeCell ref="C101:C102"/>
    <mergeCell ref="AF125:AH125"/>
    <mergeCell ref="F17:I19"/>
    <mergeCell ref="X125:Z125"/>
    <mergeCell ref="C16:E16"/>
    <mergeCell ref="C35:E37"/>
    <mergeCell ref="A127:J127"/>
    <mergeCell ref="Q65:V65"/>
    <mergeCell ref="V68:AB68"/>
    <mergeCell ref="V67:AB67"/>
    <mergeCell ref="A51:J51"/>
    <mergeCell ref="A15:S15"/>
    <mergeCell ref="O122:Q122"/>
    <mergeCell ref="U5:X6"/>
    <mergeCell ref="E2:I2"/>
    <mergeCell ref="V69:AB69"/>
    <mergeCell ref="T116:V116"/>
    <mergeCell ref="S20:U22"/>
    <mergeCell ref="C28:E30"/>
    <mergeCell ref="Y96:Z96"/>
    <mergeCell ref="Z49:AB49"/>
    <mergeCell ref="X107:Z107"/>
    <mergeCell ref="X35:AH37"/>
    <mergeCell ref="Y51:Y53"/>
    <mergeCell ref="AC47:AE47"/>
    <mergeCell ref="W45:AB45"/>
    <mergeCell ref="N95:O95"/>
    <mergeCell ref="Q85:V85"/>
    <mergeCell ref="AB115:AD115"/>
    <mergeCell ref="L102:L103"/>
    <mergeCell ref="N102:N103"/>
    <mergeCell ref="K106:AH106"/>
    <mergeCell ref="W43:Y43"/>
    <mergeCell ref="P112:AH114"/>
    <mergeCell ref="L109:N109"/>
    <mergeCell ref="K42:M42"/>
    <mergeCell ref="K105:AH105"/>
    <mergeCell ref="L122:N122"/>
    <mergeCell ref="S98:T100"/>
    <mergeCell ref="AE107:AE108"/>
    <mergeCell ref="O79:O80"/>
    <mergeCell ref="W70:W71"/>
    <mergeCell ref="X98:X100"/>
    <mergeCell ref="O81:O82"/>
    <mergeCell ref="N31:R31"/>
    <mergeCell ref="N16:O19"/>
    <mergeCell ref="X61:AC61"/>
    <mergeCell ref="D83:J88"/>
    <mergeCell ref="AC67:AC69"/>
    <mergeCell ref="AA71:AH71"/>
    <mergeCell ref="P16:S16"/>
    <mergeCell ref="D81:J82"/>
    <mergeCell ref="F27:I27"/>
    <mergeCell ref="AF115:AH116"/>
    <mergeCell ref="B34:B40"/>
    <mergeCell ref="A52:J52"/>
    <mergeCell ref="T78:U78"/>
    <mergeCell ref="W46:AB46"/>
    <mergeCell ref="C25:J25"/>
    <mergeCell ref="F16:I16"/>
    <mergeCell ref="T17:V19"/>
    <mergeCell ref="T80:U80"/>
    <mergeCell ref="C7:E7"/>
    <mergeCell ref="C67:C77"/>
    <mergeCell ref="AB116:AD116"/>
    <mergeCell ref="L111:N111"/>
    <mergeCell ref="Q99:R99"/>
    <mergeCell ref="T48:V48"/>
    <mergeCell ref="J28:M30"/>
    <mergeCell ref="E112:J114"/>
    <mergeCell ref="L112:N112"/>
    <mergeCell ref="T34:X34"/>
    <mergeCell ref="Q42:S42"/>
    <mergeCell ref="T81:V82"/>
    <mergeCell ref="J89:J91"/>
    <mergeCell ref="X13:Z13"/>
    <mergeCell ref="M102:M103"/>
    <mergeCell ref="L57:L58"/>
    <mergeCell ref="K47:M47"/>
    <mergeCell ref="AC43:AE43"/>
    <mergeCell ref="E124:J125"/>
    <mergeCell ref="C46:J47"/>
    <mergeCell ref="AD67:AH69"/>
    <mergeCell ref="A54:J55"/>
    <mergeCell ref="L114:N114"/>
    <mergeCell ref="Q44:S44"/>
    <mergeCell ref="Y92:Z94"/>
    <mergeCell ref="Q92:R94"/>
    <mergeCell ref="N125:U125"/>
    <mergeCell ref="T68:U68"/>
    <mergeCell ref="Z48:AB48"/>
    <mergeCell ref="Z5:Z6"/>
    <mergeCell ref="N27:O30"/>
    <mergeCell ref="X72:AC72"/>
    <mergeCell ref="N49:P49"/>
    <mergeCell ref="K57:K58"/>
    <mergeCell ref="M57:M58"/>
    <mergeCell ref="AC48:AE48"/>
    <mergeCell ref="Q47:S47"/>
    <mergeCell ref="V39:AH39"/>
    <mergeCell ref="O68:O69"/>
    <mergeCell ref="Q68:Q69"/>
    <mergeCell ref="N20:R20"/>
    <mergeCell ref="L84:N87"/>
    <mergeCell ref="Y5:Y6"/>
    <mergeCell ref="AC92:AC100"/>
    <mergeCell ref="K50:P50"/>
    <mergeCell ref="R81:S82"/>
    <mergeCell ref="X83:AC83"/>
    <mergeCell ref="N22:R22"/>
    <mergeCell ref="R121:AA123"/>
    <mergeCell ref="J107:J108"/>
    <mergeCell ref="AC102:AH102"/>
    <mergeCell ref="K48:M48"/>
    <mergeCell ref="W81:W82"/>
    <mergeCell ref="AA60:AH60"/>
    <mergeCell ref="F10:I10"/>
    <mergeCell ref="K125:M125"/>
    <mergeCell ref="K54:N54"/>
    <mergeCell ref="C43:J43"/>
    <mergeCell ref="C120:J120"/>
    <mergeCell ref="AD89:AH91"/>
    <mergeCell ref="T69:U69"/>
    <mergeCell ref="P27:S27"/>
    <mergeCell ref="A27:A40"/>
    <mergeCell ref="P59:Q60"/>
    <mergeCell ref="K45:P45"/>
    <mergeCell ref="F35:I37"/>
    <mergeCell ref="R59:S60"/>
    <mergeCell ref="P28:Q30"/>
    <mergeCell ref="U96:W96"/>
    <mergeCell ref="P115:R115"/>
    <mergeCell ref="K126:AH126"/>
    <mergeCell ref="Q96:R96"/>
    <mergeCell ref="AH5:AH6"/>
    <mergeCell ref="K46:P46"/>
    <mergeCell ref="F11:H12"/>
    <mergeCell ref="M13:O13"/>
    <mergeCell ref="J10:N10"/>
    <mergeCell ref="K43:M43"/>
    <mergeCell ref="S54:V54"/>
    <mergeCell ref="P116:R116"/>
    <mergeCell ref="L79:L80"/>
    <mergeCell ref="C44:J44"/>
    <mergeCell ref="T89:U89"/>
    <mergeCell ref="Z51:AH53"/>
    <mergeCell ref="S67:S69"/>
    <mergeCell ref="T28:V30"/>
    <mergeCell ref="J92:J100"/>
    <mergeCell ref="C78:C88"/>
    <mergeCell ref="L62:N65"/>
    <mergeCell ref="AF13:AH13"/>
    <mergeCell ref="P68:P69"/>
    <mergeCell ref="AF43:AH43"/>
    <mergeCell ref="U118:V118"/>
    <mergeCell ref="R68:R69"/>
    <mergeCell ref="P10:AH12"/>
    <mergeCell ref="E121:J123"/>
    <mergeCell ref="K92:M94"/>
    <mergeCell ref="C49:J49"/>
    <mergeCell ref="V32:AH32"/>
    <mergeCell ref="T108:V108"/>
    <mergeCell ref="U15:V15"/>
    <mergeCell ref="D78:J80"/>
    <mergeCell ref="W15:X15"/>
    <mergeCell ref="Y15:Z15"/>
    <mergeCell ref="AA95:AA97"/>
    <mergeCell ref="S89:S91"/>
    <mergeCell ref="V90:AB90"/>
    <mergeCell ref="S38:U40"/>
    <mergeCell ref="N34:O37"/>
    <mergeCell ref="V56:AB56"/>
    <mergeCell ref="D106:I106"/>
    <mergeCell ref="P92:P94"/>
    <mergeCell ref="X59:Y60"/>
    <mergeCell ref="V91:AB91"/>
    <mergeCell ref="X28:AH30"/>
    <mergeCell ref="J101:J104"/>
    <mergeCell ref="Y76:AA76"/>
    <mergeCell ref="X115:Z115"/>
    <mergeCell ref="Q90:Q91"/>
    <mergeCell ref="Q43:S43"/>
    <mergeCell ref="AE5:AE6"/>
    <mergeCell ref="AG5:AG6"/>
    <mergeCell ref="U99:W99"/>
    <mergeCell ref="Y63:AA63"/>
    <mergeCell ref="V125:W125"/>
    <mergeCell ref="T90:U90"/>
    <mergeCell ref="K109:K111"/>
    <mergeCell ref="R57:R58"/>
    <mergeCell ref="D59:J60"/>
    <mergeCell ref="K79:K80"/>
    <mergeCell ref="T91:U91"/>
    <mergeCell ref="M79:M80"/>
    <mergeCell ref="T13:W13"/>
    <mergeCell ref="P90:P91"/>
    <mergeCell ref="W31:AH31"/>
    <mergeCell ref="V80:AB80"/>
    <mergeCell ref="Z42:AB42"/>
    <mergeCell ref="AA92:AA94"/>
    <mergeCell ref="AF5:AF6"/>
    <mergeCell ref="AD92:AH100"/>
    <mergeCell ref="C50:J50"/>
    <mergeCell ref="Z44:AB44"/>
    <mergeCell ref="U92:W94"/>
    <mergeCell ref="C31:M33"/>
    <mergeCell ref="C117:J119"/>
    <mergeCell ref="AB108:AD108"/>
    <mergeCell ref="J34:M34"/>
    <mergeCell ref="Y99:Z99"/>
    <mergeCell ref="AA117:AG119"/>
    <mergeCell ref="AA98:AA100"/>
    <mergeCell ref="Z59:Z60"/>
    <mergeCell ref="W49:Y49"/>
    <mergeCell ref="AC45:AH45"/>
    <mergeCell ref="AC89:AC91"/>
    <mergeCell ref="L101:N101"/>
    <mergeCell ref="AF49:AH49"/>
    <mergeCell ref="K24:Y24"/>
    <mergeCell ref="C23:AH23"/>
    <mergeCell ref="P95:P97"/>
    <mergeCell ref="X116:Z116"/>
    <mergeCell ref="K26:Y26"/>
    <mergeCell ref="C103:C104"/>
    <mergeCell ref="AE115:AE116"/>
    <mergeCell ref="C121:D126"/>
    <mergeCell ref="AF44:AH44"/>
    <mergeCell ref="K117:K119"/>
    <mergeCell ref="W41:AB41"/>
    <mergeCell ref="M52:N52"/>
    <mergeCell ref="Z47:AB47"/>
    <mergeCell ref="F28:I30"/>
    <mergeCell ref="O101:O104"/>
    <mergeCell ref="A7:B14"/>
    <mergeCell ref="L104:N104"/>
    <mergeCell ref="C56:C66"/>
    <mergeCell ref="AC50:AH50"/>
    <mergeCell ref="Q74:V74"/>
    <mergeCell ref="K112:K114"/>
    <mergeCell ref="V58:AB58"/>
    <mergeCell ref="T43:V43"/>
    <mergeCell ref="Q76:V76"/>
    <mergeCell ref="I13:K13"/>
    <mergeCell ref="T107:V107"/>
    <mergeCell ref="A89:B126"/>
    <mergeCell ref="V78:AB78"/>
    <mergeCell ref="S92:T94"/>
    <mergeCell ref="L73:N76"/>
    <mergeCell ref="T16:X16"/>
    <mergeCell ref="AE15:AF15"/>
    <mergeCell ref="S31:U33"/>
    <mergeCell ref="O90:O91"/>
    <mergeCell ref="D105:I105"/>
    <mergeCell ref="T27:X27"/>
    <mergeCell ref="B27:B33"/>
    <mergeCell ref="AD56:AH58"/>
    <mergeCell ref="L59:N60"/>
    <mergeCell ref="X92:X94"/>
    <mergeCell ref="R90:R91"/>
    <mergeCell ref="D67:J69"/>
    <mergeCell ref="O55:Q55"/>
    <mergeCell ref="W51:X53"/>
    <mergeCell ref="AC46:AH46"/>
    <mergeCell ref="V21:AH21"/>
    <mergeCell ref="W59:W60"/>
    <mergeCell ref="X95:X97"/>
    <mergeCell ref="O59:O60"/>
    <mergeCell ref="X70:Y71"/>
    <mergeCell ref="AC49:AE49"/>
    <mergeCell ref="N38:R38"/>
    <mergeCell ref="P81:Q82"/>
    <mergeCell ref="AC41:AH41"/>
    <mergeCell ref="I11:M12"/>
    <mergeCell ref="N40:R40"/>
    <mergeCell ref="L107:N107"/>
    <mergeCell ref="D101:I104"/>
    <mergeCell ref="N99:O99"/>
  </mergeCells>
  <conditionalFormatting sqref="O55">
    <cfRule type="cellIs" priority="1" operator="equal" dxfId="6" stopIfTrue="1">
      <formula>0</formula>
    </cfRule>
  </conditionalFormatting>
  <dataValidations count="13">
    <dataValidation sqref="V21:AH21"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M13:O13 Q13:S13 X13:Z13 AB13:AD13 AF13:AH13" showDropDown="0" showInputMessage="1" showErrorMessage="1" allowBlank="1" error="全角数字で入力してください" imeMode="fullAlpha"/>
    <dataValidation sqref="V32:AH32 V39:AH39" showDropDown="0" showInputMessage="1" showErrorMessage="1" allowBlank="1" prompt="サービス管理責任者は、サービス提供職員との兼務はできません。" type="list" errorStyle="warning">
      <formula1>"　,管理者,事務職員,管理者、事務職員"</formula1>
    </dataValidation>
    <dataValidation sqref="F7:AH7 F16:M16 F27:M27 F34:M34" showDropDown="0" showInputMessage="1" showErrorMessage="1" allowBlank="1" imeMode="halfKatakana"/>
    <dataValidation sqref="K46:AH46 AC41:AH41" showDropDown="0" showInputMessage="1" showErrorMessage="1" allowBlank="1" type="list" errorStyle="information">
      <formula1>"　,職業指導員,あん摩マッサージ指圧師,介護職員,保育士,事務職員,調理員,栄養士,運転手"</formula1>
    </dataValidation>
    <dataValidation sqref="K43:AH45 K48:AH50 K51:P53 K55 O55 R55:S55 W51:X53 W62 W64 W66 W73 W75 W77 W84 W86 W88" showDropDown="0" showInputMessage="1" showErrorMessage="1" allowBlank="1" imeMode="halfAlpha"/>
    <dataValidation sqref="K57:R58 K68:R69 K79:R80 K90:R91" showDropDown="0" showInputMessage="1" showErrorMessage="1" allowBlank="1" type="list">
      <formula1>"　,○"</formula1>
    </dataValidation>
    <dataValidation sqref="K106:AH106" showDropDown="0" showInputMessage="1" showErrorMessage="1" allowBlank="1" type="list">
      <formula1>"　,運営規程に定めるとおり"</formula1>
    </dataValidation>
    <dataValidation sqref="AB101:AH101 AB104:AH104" showDropDown="0" showInputMessage="1" showErrorMessage="1" allowBlank="1" type="list">
      <formula1>"　,サービス提供責任者,事務職員,サービス提供責任者、事務職員"</formula1>
    </dataValidation>
    <dataValidation sqref="V102:AA103 AC102:AH103" showDropDown="0" showInputMessage="1" showErrorMessage="1" allowBlank="1" error="このサービスの組み合わせは、多機能型では選択できません" type="list">
      <formula1>"　,生活介護,自立訓練(生活訓練),自立訓練(機能訓練),就労移行支援,就労継続支援(A型),就労継続支援(B型)"</formula1>
    </dataValidation>
    <dataValidation sqref="K105:AH105" showDropDown="0" showInputMessage="1" showErrorMessage="1" allowBlank="1" type="list" errorStyle="warning">
      <formula1>"　,法定代理受領分：厚生労働大臣が定める基準の10/100、法定代理受領分以外：厚生労働大臣が定める基準"</formula1>
    </dataValidation>
    <dataValidation sqref="I13:K13 J10:N10 T16:X16 T27:X27 T34:X34 U15:V15 X125 Y5:AH6 Y15:Z15 AB125:AD125 AC15:AD15 AF125" showDropDown="0" showInputMessage="1" showErrorMessage="1" allowBlank="1" imeMode="fullAlpha"/>
    <dataValidation sqref="L59:L60 L70:L71 L81:L82 N92 N96 N99 T59:T60 T70:T71 T81:T82 U96:V96 U99:V99" showDropDown="0" showInputMessage="1" showErrorMessage="1" allowBlank="1" type="list">
      <formula1>"　,１,２,３,４,５,６,７,８,９,１０,１１,１２,１３,１４,１５,１６,１７,１８,１９,２０,２１,２２,２３,２４"</formula1>
    </dataValidation>
  </dataValidations>
  <printOptions horizontalCentered="1"/>
  <pageMargins left="0.7086614173228347" right="0.5905511811023623" top="0.26" bottom="0.16" header="0.4" footer="0.5118110236220472"/>
  <pageSetup orientation="portrait" paperSize="9" scale="98"/>
  <rowBreaks count="1" manualBreakCount="1">
    <brk id="88" min="0" max="33" man="1"/>
  </rowBreaks>
  <legacyDrawing xmlns:r="http://schemas.openxmlformats.org/officeDocument/2006/relationships" r:id="anysvml"/>
</worksheet>
</file>

<file path=xl/worksheets/sheet34.xml><?xml version="1.0" encoding="utf-8"?>
<worksheet xmlns="http://schemas.openxmlformats.org/spreadsheetml/2006/main">
  <sheetPr codeName="Sheet33">
    <outlinePr summaryBelow="1" summaryRight="1"/>
    <pageSetUpPr/>
  </sheetPr>
  <dimension ref="A1:Z69"/>
  <sheetViews>
    <sheetView view="pageBreakPreview" zoomScaleNormal="100" zoomScaleSheetLayoutView="100" workbookViewId="0">
      <selection activeCell="G15" sqref="G15"/>
    </sheetView>
  </sheetViews>
  <sheetFormatPr baseColWidth="8" defaultColWidth="4.625" defaultRowHeight="12.75" customHeight="1"/>
  <cols>
    <col width="4.625" customWidth="1" style="545" min="1" max="4"/>
    <col width="4.875" customWidth="1" style="545" min="5" max="5"/>
    <col width="4.625" customWidth="1" style="545" min="6" max="16384"/>
  </cols>
  <sheetData>
    <row r="1" ht="12.75" customHeight="1" s="4080">
      <c r="A1" s="3465" t="inlineStr">
        <is>
          <t>付表17　児童発達支援事業所（福祉型児童発達支援センターであるものに限る）の指定に係る記載事項</t>
        </is>
      </c>
    </row>
    <row r="2" ht="16.9" customHeight="1" s="4080" thickBot="1">
      <c r="A2" s="3657" t="n"/>
      <c r="B2" s="3466" t="inlineStr">
        <is>
          <t xml:space="preserve">　主として通わせる児童の障害の種別
（　　　　　　　　　　　　　　　　　　　　　　　　　　　）　　</t>
        </is>
      </c>
      <c r="I2" s="3531" t="n"/>
      <c r="K2" s="3467" t="n"/>
      <c r="L2" s="4087" t="n"/>
      <c r="M2" s="3468" t="n"/>
      <c r="N2" s="4087" t="n"/>
      <c r="O2" s="4087" t="n"/>
      <c r="P2" s="4087" t="n"/>
      <c r="Q2" s="4087" t="n"/>
      <c r="Z2" s="719">
        <f>HYPERLINK("#目次!A1","目次へ戻る")</f>
        <v/>
      </c>
    </row>
    <row r="3" ht="12.75" customHeight="1" s="4080" thickBot="1">
      <c r="K3" s="3469" t="inlineStr">
        <is>
          <t>事業所番号</t>
        </is>
      </c>
      <c r="L3" s="4866" t="n"/>
      <c r="M3" s="3471" t="n"/>
      <c r="N3" s="4359" t="n"/>
      <c r="O3" s="4359" t="n"/>
      <c r="P3" s="4359" t="n"/>
      <c r="Q3" s="4866" t="n"/>
    </row>
    <row r="4" ht="12.75" customHeight="1" s="4080">
      <c r="A4" s="4867" t="inlineStr">
        <is>
          <t>施　設</t>
        </is>
      </c>
      <c r="B4" s="3488" t="inlineStr">
        <is>
          <t>フリガナ</t>
        </is>
      </c>
      <c r="C4" s="4094" t="n"/>
      <c r="D4" s="3490" t="n"/>
      <c r="E4" s="4082" t="n"/>
      <c r="F4" s="4082" t="n"/>
      <c r="G4" s="4082" t="n"/>
      <c r="H4" s="4082" t="n"/>
      <c r="I4" s="4082" t="n"/>
      <c r="J4" s="4082" t="n"/>
      <c r="K4" s="4082" t="n"/>
      <c r="L4" s="4082" t="n"/>
      <c r="M4" s="4082" t="n"/>
      <c r="N4" s="4082" t="n"/>
      <c r="O4" s="4082" t="n"/>
      <c r="P4" s="4082" t="n"/>
      <c r="Q4" s="4356" t="n"/>
    </row>
    <row r="5" ht="25.5" customHeight="1" s="4080">
      <c r="A5" s="4208" t="n"/>
      <c r="B5" s="3484" t="inlineStr">
        <is>
          <t>名　　称</t>
        </is>
      </c>
      <c r="C5" s="4111" t="n"/>
      <c r="D5" s="4868" t="n"/>
      <c r="E5" s="4459" t="n"/>
      <c r="F5" s="4459" t="n"/>
      <c r="G5" s="4459" t="n"/>
      <c r="H5" s="4459" t="n"/>
      <c r="I5" s="4459" t="n"/>
      <c r="J5" s="4459" t="n"/>
      <c r="K5" s="4459" t="n"/>
      <c r="L5" s="4459" t="n"/>
      <c r="M5" s="4459" t="n"/>
      <c r="N5" s="4459" t="n"/>
      <c r="O5" s="4459" t="n"/>
      <c r="P5" s="4459" t="n"/>
      <c r="Q5" s="4462" t="n"/>
    </row>
    <row r="6" ht="12.75" customHeight="1" s="4080">
      <c r="A6" s="4208" t="n"/>
      <c r="B6" s="3484" t="inlineStr">
        <is>
          <t>所在地</t>
        </is>
      </c>
      <c r="C6" s="4099" t="n"/>
      <c r="D6" s="548" t="inlineStr">
        <is>
          <t>（郵便番号　　　　　－　　　　　）</t>
        </is>
      </c>
      <c r="E6" s="549" t="n"/>
      <c r="F6" s="549" t="n"/>
      <c r="G6" s="549" t="n"/>
      <c r="H6" s="549" t="n"/>
      <c r="I6" s="549" t="n"/>
      <c r="J6" s="549" t="n"/>
      <c r="K6" s="549" t="n"/>
      <c r="L6" s="549" t="n"/>
      <c r="M6" s="549" t="n"/>
      <c r="N6" s="549" t="n"/>
      <c r="O6" s="549" t="n"/>
      <c r="P6" s="549" t="n"/>
      <c r="Q6" s="550" t="n"/>
    </row>
    <row r="7" ht="12.75" customHeight="1" s="4080">
      <c r="A7" s="4208" t="n"/>
      <c r="C7" s="4107" t="n"/>
      <c r="D7" s="3501" t="inlineStr">
        <is>
          <t>大阪市</t>
        </is>
      </c>
      <c r="G7" s="3498" t="n"/>
      <c r="I7" s="3502" t="inlineStr">
        <is>
          <t>区</t>
        </is>
      </c>
      <c r="J7" s="3504" t="n"/>
      <c r="Q7" s="4109" t="n"/>
    </row>
    <row r="8" ht="12.75" customHeight="1" s="4080">
      <c r="A8" s="4208" t="n"/>
      <c r="B8" s="4103" t="n"/>
      <c r="C8" s="4104" t="n"/>
      <c r="D8" s="4102" t="n"/>
      <c r="E8" s="4103" t="n"/>
      <c r="F8" s="4103" t="n"/>
      <c r="G8" s="4103" t="n"/>
      <c r="H8" s="4103" t="n"/>
      <c r="I8" s="4103" t="n"/>
      <c r="J8" s="4103" t="n"/>
      <c r="K8" s="4103" t="n"/>
      <c r="L8" s="4103" t="n"/>
      <c r="M8" s="4103" t="n"/>
      <c r="N8" s="4103" t="n"/>
      <c r="O8" s="4103" t="n"/>
      <c r="P8" s="4103" t="n"/>
      <c r="Q8" s="4105" t="n"/>
    </row>
    <row r="9" ht="15" customHeight="1" s="4080">
      <c r="A9" s="4208" t="n"/>
      <c r="B9" s="3477" t="inlineStr">
        <is>
          <t>連 絡 先</t>
        </is>
      </c>
      <c r="C9" s="4099" t="n"/>
      <c r="D9" s="3477" t="inlineStr">
        <is>
          <t>電話番号</t>
        </is>
      </c>
      <c r="E9" s="4111" t="n"/>
      <c r="F9" s="3478" t="n"/>
      <c r="G9" s="4110" t="n"/>
      <c r="H9" s="4110" t="n"/>
      <c r="I9" s="4110" t="n"/>
      <c r="J9" s="4111" t="n"/>
      <c r="K9" s="3480" t="inlineStr">
        <is>
          <t>ＦＡＸ番号</t>
        </is>
      </c>
      <c r="L9" s="4099" t="n"/>
      <c r="M9" s="3479" t="n"/>
      <c r="N9" s="4098" t="n"/>
      <c r="O9" s="4098" t="n"/>
      <c r="P9" s="4098" t="n"/>
      <c r="Q9" s="4099" t="n"/>
    </row>
    <row r="10" ht="15" customHeight="1" s="4080">
      <c r="A10" s="4737" t="n"/>
      <c r="B10" s="4102" t="n"/>
      <c r="C10" s="4104" t="n"/>
      <c r="D10" s="3477" t="inlineStr">
        <is>
          <t>メールアドレス</t>
        </is>
      </c>
      <c r="E10" s="4110" t="n"/>
      <c r="F10" s="4111" t="n"/>
      <c r="G10" s="4186" t="n"/>
      <c r="H10" s="4110" t="n"/>
      <c r="I10" s="4110" t="n"/>
      <c r="J10" s="4110" t="n"/>
      <c r="K10" s="4110" t="n"/>
      <c r="L10" s="4110" t="n"/>
      <c r="M10" s="4110" t="n"/>
      <c r="N10" s="4110" t="n"/>
      <c r="O10" s="4110" t="n"/>
      <c r="P10" s="4110" t="n"/>
      <c r="Q10" s="4113" t="n"/>
    </row>
    <row r="11" ht="13.5" customHeight="1" s="4080">
      <c r="A11" s="4869" t="inlineStr">
        <is>
          <t>管理者</t>
        </is>
      </c>
      <c r="B11" s="3477" t="inlineStr">
        <is>
          <t>フリガナ</t>
        </is>
      </c>
      <c r="C11" s="4111" t="n"/>
      <c r="D11" s="3525" t="n"/>
      <c r="E11" s="4138" t="n"/>
      <c r="F11" s="4138" t="n"/>
      <c r="G11" s="4139" t="n"/>
      <c r="H11" s="3477" t="inlineStr">
        <is>
          <t>住　所</t>
        </is>
      </c>
      <c r="I11" s="4099" t="n"/>
      <c r="J11" s="4870" t="inlineStr">
        <is>
          <t>（郵便番号　　　　　－　　　　　）</t>
        </is>
      </c>
      <c r="K11" s="4098" t="n"/>
      <c r="L11" s="4098" t="n"/>
      <c r="M11" s="4098" t="n"/>
      <c r="N11" s="4098" t="n"/>
      <c r="O11" s="4098" t="n"/>
      <c r="P11" s="4098" t="n"/>
      <c r="Q11" s="4101" t="n"/>
    </row>
    <row r="12" ht="18" customHeight="1" s="4080">
      <c r="A12" s="4208" t="n"/>
      <c r="B12" s="3477" t="inlineStr">
        <is>
          <t>氏　名</t>
        </is>
      </c>
      <c r="C12" s="4099" t="n"/>
      <c r="D12" s="4871" t="n"/>
      <c r="G12" s="4107" t="n"/>
      <c r="H12" s="4106" t="n"/>
      <c r="I12" s="4107" t="n"/>
      <c r="J12" s="4872" t="n"/>
      <c r="Q12" s="4109" t="n"/>
    </row>
    <row r="13" ht="13.5" customHeight="1" s="4080">
      <c r="A13" s="4208" t="n"/>
      <c r="B13" s="4102" t="n"/>
      <c r="C13" s="4104" t="n"/>
      <c r="D13" s="4102" t="n"/>
      <c r="E13" s="4103" t="n"/>
      <c r="F13" s="4103" t="n"/>
      <c r="G13" s="4104" t="n"/>
      <c r="H13" s="4102" t="n"/>
      <c r="I13" s="4104" t="n"/>
      <c r="J13" s="4102" t="n"/>
      <c r="K13" s="4103" t="n"/>
      <c r="L13" s="4103" t="n"/>
      <c r="M13" s="4103" t="n"/>
      <c r="N13" s="4103" t="n"/>
      <c r="O13" s="4103" t="n"/>
      <c r="P13" s="4103" t="n"/>
      <c r="Q13" s="4105" t="n"/>
    </row>
    <row r="14" ht="13.5" customHeight="1" s="4080">
      <c r="A14" s="4208" t="n"/>
      <c r="B14" s="4873" t="inlineStr">
        <is>
          <t>当該事業所の他の職務又は同一敷地内の他の事業所又は施設の従業者との兼務（兼務の場合記入）</t>
        </is>
      </c>
      <c r="C14" s="4098" t="n"/>
      <c r="D14" s="4098" t="n"/>
      <c r="E14" s="4099" t="n"/>
      <c r="F14" s="3612" t="inlineStr">
        <is>
          <t>事業所等の名称</t>
        </is>
      </c>
      <c r="G14" s="4110" t="n"/>
      <c r="H14" s="4111" t="n"/>
      <c r="I14" s="4874" t="n"/>
      <c r="J14" s="4110" t="n"/>
      <c r="K14" s="4110" t="n"/>
      <c r="L14" s="4110" t="n"/>
      <c r="M14" s="4110" t="n"/>
      <c r="N14" s="4110" t="n"/>
      <c r="O14" s="4110" t="n"/>
      <c r="P14" s="4110" t="n"/>
      <c r="Q14" s="4113" t="n"/>
    </row>
    <row r="15" ht="13.5" customHeight="1" s="4080">
      <c r="A15" s="4208" t="n"/>
      <c r="B15" s="4106" t="n"/>
      <c r="E15" s="4107" t="n"/>
      <c r="F15" s="4875" t="inlineStr">
        <is>
          <t>兼務する職種及び勤務時間等</t>
        </is>
      </c>
      <c r="G15" s="4098" t="n"/>
      <c r="H15" s="4099" t="n"/>
      <c r="I15" s="4876" t="n"/>
      <c r="J15" s="4486" t="n"/>
      <c r="K15" s="4486" t="n"/>
      <c r="L15" s="4486" t="n"/>
      <c r="M15" s="4486" t="n"/>
      <c r="N15" s="4486" t="n"/>
      <c r="O15" s="4486" t="n"/>
      <c r="P15" s="4486" t="n"/>
      <c r="Q15" s="4877" t="n"/>
    </row>
    <row r="16" ht="13.5" customHeight="1" s="4080">
      <c r="A16" s="4737" t="n"/>
      <c r="B16" s="4102" t="n"/>
      <c r="C16" s="4103" t="n"/>
      <c r="D16" s="4103" t="n"/>
      <c r="E16" s="4104" t="n"/>
      <c r="F16" s="4102" t="n"/>
      <c r="G16" s="4103" t="n"/>
      <c r="H16" s="4104" t="n"/>
      <c r="I16" s="4878" t="n"/>
      <c r="J16" s="4459" t="n"/>
      <c r="K16" s="4459" t="n"/>
      <c r="L16" s="4459" t="n"/>
      <c r="M16" s="4459" t="n"/>
      <c r="N16" s="4459" t="n"/>
      <c r="O16" s="4459" t="n"/>
      <c r="P16" s="4459" t="n"/>
      <c r="Q16" s="4462" t="n"/>
    </row>
    <row r="17" ht="12.75" customHeight="1" s="4080">
      <c r="A17" s="4879" t="inlineStr">
        <is>
          <t>当該支援の実施について定めてある定款又は条例等</t>
        </is>
      </c>
      <c r="B17" s="4110" t="n"/>
      <c r="C17" s="4110" t="n"/>
      <c r="D17" s="4110" t="n"/>
      <c r="E17" s="4110" t="n"/>
      <c r="F17" s="4110" t="n"/>
      <c r="G17" s="4110" t="n"/>
      <c r="H17" s="4110" t="n"/>
      <c r="I17" s="4111" t="n"/>
      <c r="J17" s="3477" t="inlineStr">
        <is>
          <t>第　　条第　　項第　　号</t>
        </is>
      </c>
      <c r="K17" s="4110" t="n"/>
      <c r="L17" s="4110" t="n"/>
      <c r="M17" s="4110" t="n"/>
      <c r="N17" s="4110" t="n"/>
      <c r="O17" s="4110" t="n"/>
      <c r="P17" s="4110" t="n"/>
      <c r="Q17" s="4111" t="n"/>
    </row>
    <row r="18" ht="12.75" customHeight="1" s="4080">
      <c r="A18" s="4880" t="inlineStr">
        <is>
          <t>併設する施設の名称及び概要</t>
        </is>
      </c>
      <c r="B18" s="4098" t="n"/>
      <c r="C18" s="4098" t="n"/>
      <c r="D18" s="4099" t="n"/>
      <c r="E18" s="3477" t="inlineStr">
        <is>
          <t>名　称</t>
        </is>
      </c>
      <c r="F18" s="4111" t="n"/>
      <c r="G18" s="4881" t="n"/>
      <c r="H18" s="4110" t="n"/>
      <c r="I18" s="4110" t="n"/>
      <c r="J18" s="4110" t="n"/>
      <c r="K18" s="4110" t="n"/>
      <c r="L18" s="4110" t="n"/>
      <c r="M18" s="4110" t="n"/>
      <c r="N18" s="4110" t="n"/>
      <c r="O18" s="4110" t="n"/>
      <c r="P18" s="4110" t="n"/>
      <c r="Q18" s="4113" t="n"/>
    </row>
    <row r="19" ht="12.75" customHeight="1" s="4080">
      <c r="A19" s="4097" t="n"/>
      <c r="D19" s="4107" t="n"/>
      <c r="E19" s="3477" t="inlineStr">
        <is>
          <t>概　要</t>
        </is>
      </c>
      <c r="F19" s="4099" t="n"/>
      <c r="G19" s="4881" t="n"/>
      <c r="H19" s="4098" t="n"/>
      <c r="I19" s="4098" t="n"/>
      <c r="J19" s="4098" t="n"/>
      <c r="K19" s="4098" t="n"/>
      <c r="L19" s="4098" t="n"/>
      <c r="M19" s="4098" t="n"/>
      <c r="N19" s="4098" t="n"/>
      <c r="O19" s="4098" t="n"/>
      <c r="P19" s="4098" t="n"/>
      <c r="Q19" s="4101" t="n"/>
    </row>
    <row r="20" ht="12.75" customHeight="1" s="4080">
      <c r="A20" s="4114" t="n"/>
      <c r="B20" s="4103" t="n"/>
      <c r="C20" s="4103" t="n"/>
      <c r="D20" s="4104" t="n"/>
      <c r="E20" s="4102" t="n"/>
      <c r="F20" s="4104" t="n"/>
      <c r="G20" s="4102" t="n"/>
      <c r="H20" s="4103" t="n"/>
      <c r="I20" s="4103" t="n"/>
      <c r="J20" s="4103" t="n"/>
      <c r="K20" s="4103" t="n"/>
      <c r="L20" s="4103" t="n"/>
      <c r="M20" s="4103" t="n"/>
      <c r="N20" s="4103" t="n"/>
      <c r="O20" s="4103" t="n"/>
      <c r="P20" s="4103" t="n"/>
      <c r="Q20" s="4105" t="n"/>
    </row>
    <row r="21" ht="13.5" customHeight="1" s="4080">
      <c r="A21" s="4882" t="inlineStr">
        <is>
          <t>児童発達支援管理責任者</t>
        </is>
      </c>
      <c r="B21" s="4099" t="n"/>
      <c r="C21" s="3477" t="inlineStr">
        <is>
          <t>フリガナ</t>
        </is>
      </c>
      <c r="D21" s="4111" t="n"/>
      <c r="E21" s="4883" t="n"/>
      <c r="F21" s="4486" t="n"/>
      <c r="G21" s="4486" t="n"/>
      <c r="H21" s="4486" t="n"/>
      <c r="I21" s="4494" t="n"/>
      <c r="J21" s="3482" t="inlineStr">
        <is>
          <t>住 所</t>
        </is>
      </c>
      <c r="K21" s="4098" t="n"/>
      <c r="L21" s="4884" t="inlineStr">
        <is>
          <t>（郵便番号　　　　　－　　　　　）</t>
        </is>
      </c>
      <c r="M21" s="4098" t="n"/>
      <c r="N21" s="4098" t="n"/>
      <c r="O21" s="4098" t="n"/>
      <c r="P21" s="4098" t="n"/>
      <c r="Q21" s="4101" t="n"/>
    </row>
    <row r="22" ht="20.25" customHeight="1" s="4080">
      <c r="A22" s="4114" t="n"/>
      <c r="B22" s="4104" t="n"/>
      <c r="C22" s="3477" t="inlineStr">
        <is>
          <t>氏　名</t>
        </is>
      </c>
      <c r="D22" s="4111" t="n"/>
      <c r="E22" s="4885" t="n"/>
      <c r="F22" s="4103" t="n"/>
      <c r="G22" s="4103" t="n"/>
      <c r="H22" s="4103" t="n"/>
      <c r="I22" s="4104" t="n"/>
      <c r="J22" s="4102" t="n"/>
      <c r="K22" s="4103" t="n"/>
      <c r="L22" s="4886" t="n"/>
      <c r="M22" s="4103" t="n"/>
      <c r="N22" s="4103" t="n"/>
      <c r="O22" s="4103" t="n"/>
      <c r="P22" s="4103" t="n"/>
      <c r="Q22" s="4105" t="n"/>
    </row>
    <row r="23" ht="12.75" customHeight="1" s="4080">
      <c r="A23" s="4887" t="inlineStr">
        <is>
          <t>従業者の職種・員数</t>
        </is>
      </c>
      <c r="B23" s="4098" t="n"/>
      <c r="C23" s="4098" t="n"/>
      <c r="D23" s="4098" t="n"/>
      <c r="E23" s="4099" t="n"/>
      <c r="F23" s="3480" t="inlineStr">
        <is>
          <t>嘱託医</t>
        </is>
      </c>
      <c r="G23" s="4098" t="n"/>
      <c r="H23" s="4099" t="n"/>
      <c r="I23" s="3480" t="inlineStr">
        <is>
          <t>児童指導員</t>
        </is>
      </c>
      <c r="J23" s="4098" t="n"/>
      <c r="K23" s="4099" t="n"/>
      <c r="L23" s="4888" t="inlineStr">
        <is>
          <t>保育士</t>
        </is>
      </c>
      <c r="M23" s="4098" t="n"/>
      <c r="N23" s="4099" t="n"/>
      <c r="O23" s="4889" t="inlineStr">
        <is>
          <t>栄養士</t>
        </is>
      </c>
      <c r="P23" s="4098" t="n"/>
      <c r="Q23" s="4101" t="n"/>
    </row>
    <row r="24" ht="12.75" customHeight="1" s="4080">
      <c r="A24" s="4114" t="n"/>
      <c r="B24" s="4103" t="n"/>
      <c r="C24" s="4103" t="n"/>
      <c r="D24" s="4103" t="n"/>
      <c r="E24" s="4104" t="n"/>
      <c r="F24" s="3477" t="inlineStr">
        <is>
          <t>専従</t>
        </is>
      </c>
      <c r="G24" s="3484" t="inlineStr">
        <is>
          <t>兼務</t>
        </is>
      </c>
      <c r="H24" s="4111" t="n"/>
      <c r="I24" s="3477" t="inlineStr">
        <is>
          <t>専従</t>
        </is>
      </c>
      <c r="J24" s="3484" t="inlineStr">
        <is>
          <t>兼務</t>
        </is>
      </c>
      <c r="K24" s="4111" t="n"/>
      <c r="L24" s="3477" t="inlineStr">
        <is>
          <t>専従</t>
        </is>
      </c>
      <c r="M24" s="3522" t="inlineStr">
        <is>
          <t>兼務</t>
        </is>
      </c>
      <c r="N24" s="4111" t="n"/>
      <c r="O24" s="3477" t="inlineStr">
        <is>
          <t>専従</t>
        </is>
      </c>
      <c r="P24" s="4890" t="inlineStr">
        <is>
          <t>兼務</t>
        </is>
      </c>
      <c r="Q24" s="4113" t="n"/>
    </row>
    <row r="25" ht="12.75" customHeight="1" s="4080">
      <c r="A25" s="3588" t="n"/>
      <c r="B25" s="3477" t="inlineStr">
        <is>
          <t>従業者数</t>
        </is>
      </c>
      <c r="C25" s="4099" t="n"/>
      <c r="D25" s="3638" t="inlineStr">
        <is>
          <t>常勤（人）</t>
        </is>
      </c>
      <c r="E25" s="4111" t="n"/>
      <c r="F25" s="3477" t="n"/>
      <c r="G25" s="3484" t="n"/>
      <c r="H25" s="4111" t="n"/>
      <c r="I25" s="3477" t="n"/>
      <c r="J25" s="3484" t="n"/>
      <c r="K25" s="4111" t="n"/>
      <c r="L25" s="3477" t="n"/>
      <c r="M25" s="3484" t="n"/>
      <c r="N25" s="4111" t="n"/>
      <c r="O25" s="3477" t="n"/>
      <c r="P25" s="3523" t="n"/>
      <c r="Q25" s="4113" t="n"/>
    </row>
    <row r="26" ht="12.75" customHeight="1" s="4080">
      <c r="A26" s="3588" t="n"/>
      <c r="B26" s="4102" t="n"/>
      <c r="C26" s="4104" t="n"/>
      <c r="D26" s="3638" t="inlineStr">
        <is>
          <t>非常勤（人）</t>
        </is>
      </c>
      <c r="E26" s="4111" t="n"/>
      <c r="F26" s="3477" t="n"/>
      <c r="G26" s="3484" t="n"/>
      <c r="H26" s="4111" t="n"/>
      <c r="I26" s="3477" t="n"/>
      <c r="J26" s="3484" t="n"/>
      <c r="K26" s="4111" t="n"/>
      <c r="L26" s="3477" t="n"/>
      <c r="M26" s="3484" t="n"/>
      <c r="N26" s="4111" t="n"/>
      <c r="O26" s="3477" t="n"/>
      <c r="P26" s="3553" t="n"/>
      <c r="Q26" s="4113" t="n"/>
    </row>
    <row r="27" ht="12.75" customHeight="1" s="4080">
      <c r="A27" s="3588" t="n"/>
      <c r="B27" s="3638" t="inlineStr">
        <is>
          <t>備　　　　　　　　　　　考</t>
        </is>
      </c>
      <c r="C27" s="4110" t="n"/>
      <c r="D27" s="4110" t="n"/>
      <c r="E27" s="4111" t="n"/>
      <c r="F27" s="3477" t="n"/>
      <c r="G27" s="4110" t="n"/>
      <c r="H27" s="4111" t="n"/>
      <c r="I27" s="3477" t="n"/>
      <c r="J27" s="4110" t="n"/>
      <c r="K27" s="4111" t="n"/>
      <c r="L27" s="3477" t="n"/>
      <c r="M27" s="4110" t="n"/>
      <c r="N27" s="4111" t="n"/>
      <c r="O27" s="3523" t="n"/>
      <c r="P27" s="4110" t="n"/>
      <c r="Q27" s="4113" t="n"/>
    </row>
    <row r="28" ht="12.75" customHeight="1" s="4080">
      <c r="A28" s="3588" t="n"/>
      <c r="B28" s="3638" t="inlineStr">
        <is>
          <t>基準上の必要人数（人）</t>
        </is>
      </c>
      <c r="C28" s="4110" t="n"/>
      <c r="D28" s="4110" t="n"/>
      <c r="E28" s="4111" t="n"/>
      <c r="F28" s="3639" t="n"/>
      <c r="G28" s="4110" t="n"/>
      <c r="H28" s="4111" t="n"/>
      <c r="I28" s="3639" t="n"/>
      <c r="J28" s="4110" t="n"/>
      <c r="K28" s="4111" t="n"/>
      <c r="L28" s="3639" t="n"/>
      <c r="M28" s="4110" t="n"/>
      <c r="N28" s="4111" t="n"/>
      <c r="O28" s="3640" t="n"/>
      <c r="P28" s="4110" t="n"/>
      <c r="Q28" s="4113" t="n"/>
    </row>
    <row r="29" ht="12.75" customHeight="1" s="4080">
      <c r="A29" s="3588" t="n"/>
      <c r="B29" s="3484" t="n"/>
      <c r="C29" s="4098" t="n"/>
      <c r="D29" s="4098" t="n"/>
      <c r="E29" s="4099" t="n"/>
      <c r="F29" s="3477" t="inlineStr">
        <is>
          <t>調理員</t>
        </is>
      </c>
      <c r="G29" s="4110" t="n"/>
      <c r="H29" s="4111" t="n"/>
      <c r="I29" s="3638" t="inlineStr">
        <is>
          <t>児童発達支援管理責任者</t>
        </is>
      </c>
      <c r="J29" s="4110" t="n"/>
      <c r="K29" s="4111" t="n"/>
      <c r="L29" s="3477" t="inlineStr">
        <is>
          <t>機能訓練担当職員</t>
        </is>
      </c>
      <c r="M29" s="4110" t="n"/>
      <c r="N29" s="4111" t="n"/>
      <c r="O29" s="3523" t="inlineStr">
        <is>
          <t>言語聴覚士</t>
        </is>
      </c>
      <c r="P29" s="4110" t="n"/>
      <c r="Q29" s="4113" t="n"/>
    </row>
    <row r="30" ht="12.75" customHeight="1" s="4080">
      <c r="A30" s="3588" t="n"/>
      <c r="B30" s="4103" t="n"/>
      <c r="C30" s="4103" t="n"/>
      <c r="D30" s="4103" t="n"/>
      <c r="E30" s="4104" t="n"/>
      <c r="F30" s="3477" t="inlineStr">
        <is>
          <t>専従</t>
        </is>
      </c>
      <c r="G30" s="3476" t="inlineStr">
        <is>
          <t>兼務</t>
        </is>
      </c>
      <c r="H30" s="4104" t="n"/>
      <c r="I30" s="3477" t="inlineStr">
        <is>
          <t>専従</t>
        </is>
      </c>
      <c r="J30" s="3476" t="inlineStr">
        <is>
          <t>兼務</t>
        </is>
      </c>
      <c r="K30" s="4104" t="n"/>
      <c r="L30" s="3477" t="inlineStr">
        <is>
          <t>専従</t>
        </is>
      </c>
      <c r="M30" s="3476" t="inlineStr">
        <is>
          <t>兼務</t>
        </is>
      </c>
      <c r="N30" s="4104" t="n"/>
      <c r="O30" s="3477" t="inlineStr">
        <is>
          <t>専従</t>
        </is>
      </c>
      <c r="P30" s="3504" t="inlineStr">
        <is>
          <t>兼務</t>
        </is>
      </c>
      <c r="Q30" s="4105" t="n"/>
    </row>
    <row r="31" ht="12.75" customHeight="1" s="4080">
      <c r="A31" s="3588" t="n"/>
      <c r="B31" s="3477" t="inlineStr">
        <is>
          <t>従業者数</t>
        </is>
      </c>
      <c r="C31" s="4099" t="n"/>
      <c r="D31" s="3638" t="inlineStr">
        <is>
          <t>常勤（人）</t>
        </is>
      </c>
      <c r="E31" s="4111" t="n"/>
      <c r="F31" s="3477" t="n"/>
      <c r="G31" s="553" t="n"/>
      <c r="H31" s="554" t="n"/>
      <c r="I31" s="3477" t="n"/>
      <c r="J31" s="553" t="n"/>
      <c r="K31" s="554" t="n"/>
      <c r="L31" s="3477" t="n"/>
      <c r="M31" s="553" t="n"/>
      <c r="N31" s="554" t="n"/>
      <c r="O31" s="3477" t="n"/>
      <c r="P31" s="553" t="n"/>
      <c r="Q31" s="555" t="n"/>
    </row>
    <row r="32" ht="12.75" customHeight="1" s="4080">
      <c r="A32" s="3588" t="n"/>
      <c r="B32" s="4102" t="n"/>
      <c r="C32" s="4104" t="n"/>
      <c r="D32" s="3638" t="inlineStr">
        <is>
          <t>非常勤（人）</t>
        </is>
      </c>
      <c r="E32" s="4111" t="n"/>
      <c r="F32" s="3477" t="n"/>
      <c r="G32" s="553" t="n"/>
      <c r="H32" s="554" t="n"/>
      <c r="I32" s="3477" t="n"/>
      <c r="J32" s="553" t="n"/>
      <c r="K32" s="554" t="n"/>
      <c r="L32" s="3477" t="n"/>
      <c r="M32" s="553" t="n"/>
      <c r="N32" s="554" t="n"/>
      <c r="O32" s="3477" t="n"/>
      <c r="P32" s="553" t="n"/>
      <c r="Q32" s="555" t="n"/>
    </row>
    <row r="33" ht="12.75" customHeight="1" s="4080">
      <c r="A33" s="3588" t="n"/>
      <c r="B33" s="3638" t="inlineStr">
        <is>
          <t>備　　　　　　　　　　　考</t>
        </is>
      </c>
      <c r="C33" s="4110" t="n"/>
      <c r="D33" s="4110" t="n"/>
      <c r="E33" s="4111" t="n"/>
      <c r="F33" s="3477" t="n"/>
      <c r="G33" s="4110" t="n"/>
      <c r="H33" s="4111" t="n"/>
      <c r="I33" s="3477" t="n"/>
      <c r="J33" s="4110" t="n"/>
      <c r="K33" s="4111" t="n"/>
      <c r="L33" s="3477" t="n"/>
      <c r="M33" s="4110" t="n"/>
      <c r="N33" s="4111" t="n"/>
      <c r="O33" s="3523" t="n"/>
      <c r="P33" s="4110" t="n"/>
      <c r="Q33" s="4113" t="n"/>
    </row>
    <row r="34" ht="12.75" customHeight="1" s="4080">
      <c r="A34" s="3588" t="n"/>
      <c r="B34" s="3638" t="inlineStr">
        <is>
          <t>基準上の必要人数（人）</t>
        </is>
      </c>
      <c r="C34" s="4110" t="n"/>
      <c r="D34" s="4110" t="n"/>
      <c r="E34" s="4111" t="n"/>
      <c r="F34" s="3639" t="n"/>
      <c r="G34" s="4110" t="n"/>
      <c r="H34" s="4111" t="n"/>
      <c r="I34" s="3639" t="n"/>
      <c r="J34" s="4110" t="n"/>
      <c r="K34" s="4111" t="n"/>
      <c r="L34" s="3639" t="n"/>
      <c r="M34" s="4110" t="n"/>
      <c r="N34" s="4111" t="n"/>
      <c r="O34" s="3640" t="n"/>
      <c r="P34" s="4110" t="n"/>
      <c r="Q34" s="4113" t="n"/>
    </row>
    <row r="35" ht="12.75" customHeight="1" s="4080">
      <c r="A35" s="3588" t="n"/>
      <c r="B35" s="3484" t="n"/>
      <c r="C35" s="4098" t="n"/>
      <c r="D35" s="4098" t="n"/>
      <c r="E35" s="4099" t="n"/>
      <c r="F35" s="3477" t="inlineStr">
        <is>
          <t>看護師</t>
        </is>
      </c>
      <c r="G35" s="4110" t="n"/>
      <c r="H35" s="4111" t="n"/>
      <c r="I35" s="3473" t="n"/>
      <c r="J35" s="4098" t="n"/>
      <c r="K35" s="4098" t="n"/>
      <c r="L35" s="556" t="n"/>
      <c r="M35" s="556" t="n"/>
      <c r="N35" s="556" t="n"/>
      <c r="O35" s="556" t="n"/>
      <c r="P35" s="556" t="n"/>
      <c r="Q35" s="557" t="n"/>
    </row>
    <row r="36" ht="12.75" customHeight="1" s="4080">
      <c r="A36" s="3588" t="n"/>
      <c r="B36" s="4103" t="n"/>
      <c r="C36" s="4103" t="n"/>
      <c r="D36" s="4103" t="n"/>
      <c r="E36" s="4104" t="n"/>
      <c r="F36" s="3477" t="inlineStr">
        <is>
          <t>専従</t>
        </is>
      </c>
      <c r="G36" s="3476" t="inlineStr">
        <is>
          <t>兼務</t>
        </is>
      </c>
      <c r="H36" s="4104" t="n"/>
      <c r="I36" s="3526" t="n"/>
      <c r="J36" s="3496" t="n"/>
      <c r="L36" s="3496" t="n"/>
      <c r="M36" s="560" t="n"/>
      <c r="N36" s="560" t="n"/>
      <c r="O36" s="3496" t="n"/>
      <c r="P36" s="560" t="n"/>
      <c r="Q36" s="561" t="n"/>
    </row>
    <row r="37" ht="12.75" customHeight="1" s="4080">
      <c r="A37" s="3588" t="n"/>
      <c r="B37" s="3477" t="inlineStr">
        <is>
          <t>従業者数</t>
        </is>
      </c>
      <c r="C37" s="4099" t="n"/>
      <c r="D37" s="3638" t="inlineStr">
        <is>
          <t>常勤（人）</t>
        </is>
      </c>
      <c r="E37" s="4111" t="n"/>
      <c r="F37" s="3477" t="n"/>
      <c r="G37" s="553" t="n"/>
      <c r="H37" s="554" t="n"/>
      <c r="I37" s="3526" t="n"/>
      <c r="J37" s="560" t="n"/>
      <c r="K37" s="560" t="n"/>
      <c r="L37" s="3496" t="n"/>
      <c r="M37" s="560" t="n"/>
      <c r="N37" s="560" t="n"/>
      <c r="O37" s="3496" t="n"/>
      <c r="P37" s="560" t="n"/>
      <c r="Q37" s="561" t="n"/>
    </row>
    <row r="38" ht="12.75" customHeight="1" s="4080">
      <c r="A38" s="3588" t="n"/>
      <c r="B38" s="4102" t="n"/>
      <c r="C38" s="4104" t="n"/>
      <c r="D38" s="3638" t="inlineStr">
        <is>
          <t>非常勤（人）</t>
        </is>
      </c>
      <c r="E38" s="4111" t="n"/>
      <c r="F38" s="3477" t="n"/>
      <c r="G38" s="553" t="n"/>
      <c r="H38" s="554" t="n"/>
      <c r="I38" s="3475" t="n"/>
      <c r="J38" s="3608" t="n"/>
      <c r="K38" s="3608" t="n"/>
      <c r="L38" s="3498" t="n"/>
      <c r="M38" s="3608" t="n"/>
      <c r="N38" s="3608" t="n"/>
      <c r="O38" s="3498" t="n"/>
      <c r="P38" s="3608" t="n"/>
      <c r="Q38" s="3609" t="n"/>
    </row>
    <row r="39" ht="12.75" customHeight="1" s="4080">
      <c r="A39" s="3588" t="n"/>
      <c r="B39" s="3638" t="inlineStr">
        <is>
          <t>備　　　　　　　　　　　考</t>
        </is>
      </c>
      <c r="C39" s="4110" t="n"/>
      <c r="D39" s="4110" t="n"/>
      <c r="E39" s="4111" t="n"/>
      <c r="F39" s="3477" t="n"/>
      <c r="G39" s="4110" t="n"/>
      <c r="H39" s="4111" t="n"/>
      <c r="I39" s="566" t="n"/>
      <c r="J39" s="553" t="n"/>
      <c r="K39" s="554" t="n"/>
      <c r="L39" s="566" t="n"/>
      <c r="M39" s="553" t="n"/>
      <c r="N39" s="554" t="n"/>
      <c r="O39" s="566" t="n"/>
      <c r="P39" s="553" t="n"/>
      <c r="Q39" s="555" t="n"/>
    </row>
    <row r="40" ht="12.75" customHeight="1" s="4080">
      <c r="A40" s="3588" t="n"/>
      <c r="B40" s="3638" t="inlineStr">
        <is>
          <t>基準上の必要人数（人）</t>
        </is>
      </c>
      <c r="C40" s="4110" t="n"/>
      <c r="D40" s="4110" t="n"/>
      <c r="E40" s="4111" t="n"/>
      <c r="F40" s="3639" t="n"/>
      <c r="G40" s="4110" t="n"/>
      <c r="H40" s="4111" t="n"/>
      <c r="I40" s="3639" t="n"/>
      <c r="J40" s="4110" t="n"/>
      <c r="K40" s="4111" t="n"/>
      <c r="L40" s="3639" t="n"/>
      <c r="M40" s="4110" t="n"/>
      <c r="N40" s="4111" t="n"/>
      <c r="O40" s="3640" t="n"/>
      <c r="P40" s="4110" t="n"/>
      <c r="Q40" s="4113" t="n"/>
    </row>
    <row r="41" ht="12.75" customHeight="1" s="4080">
      <c r="A41" s="4879" t="inlineStr">
        <is>
          <t>設備基準上の数値記載項目等</t>
        </is>
      </c>
      <c r="B41" s="4098" t="n"/>
      <c r="C41" s="4098" t="n"/>
      <c r="D41" s="4098" t="n"/>
      <c r="E41" s="4099" t="n"/>
      <c r="F41" s="3477" t="n"/>
      <c r="G41" s="4110" t="n"/>
      <c r="H41" s="4110" t="n"/>
      <c r="I41" s="4110" t="n"/>
      <c r="J41" s="4110" t="n"/>
      <c r="K41" s="4111" t="n"/>
      <c r="L41" s="4870" t="inlineStr">
        <is>
          <t xml:space="preserve">指導訓練室　遊戯室　屋外遊戯場　</t>
        </is>
      </c>
      <c r="M41" s="4098" t="n"/>
      <c r="N41" s="4098" t="n"/>
      <c r="O41" s="4098" t="n"/>
      <c r="P41" s="4098" t="n"/>
      <c r="Q41" s="4101" t="n"/>
    </row>
    <row r="42" ht="12.75" customHeight="1" s="4080">
      <c r="A42" s="4114" t="n"/>
      <c r="B42" s="4103" t="n"/>
      <c r="C42" s="4103" t="n"/>
      <c r="D42" s="4103" t="n"/>
      <c r="E42" s="4104" t="n"/>
      <c r="F42" s="4891" t="n"/>
      <c r="H42" s="4107" t="n"/>
      <c r="I42" s="3477" t="inlineStr">
        <is>
          <t>基準上の必要値</t>
        </is>
      </c>
      <c r="J42" s="4110" t="n"/>
      <c r="K42" s="4111" t="n"/>
      <c r="L42" s="4892" t="inlineStr">
        <is>
          <t>医務室　　相談室　　調理室　　便所</t>
        </is>
      </c>
      <c r="Q42" s="4109" t="n"/>
    </row>
    <row r="43" ht="12.75" customHeight="1" s="4080">
      <c r="A43" s="3588" t="n"/>
      <c r="B43" s="3476" t="n"/>
      <c r="C43" s="3484" t="inlineStr">
        <is>
          <t>指導訓練室</t>
        </is>
      </c>
      <c r="D43" s="4110" t="n"/>
      <c r="E43" s="4111" t="n"/>
      <c r="F43" s="4893" t="inlineStr">
        <is>
          <t xml:space="preserve">　　　　　　㎡(児童１人当たり）</t>
        </is>
      </c>
      <c r="G43" s="4110" t="n"/>
      <c r="H43" s="4111" t="n"/>
      <c r="I43" s="4893" t="inlineStr">
        <is>
          <t xml:space="preserve">　　　㎡(児童１人当たり）以上</t>
        </is>
      </c>
      <c r="J43" s="4110" t="n"/>
      <c r="K43" s="4111" t="n"/>
      <c r="L43" s="4892" t="inlineStr">
        <is>
          <t>静養室　　聴力検査室</t>
        </is>
      </c>
      <c r="Q43" s="4109" t="n"/>
    </row>
    <row r="44" ht="12.75" customHeight="1" s="4080">
      <c r="A44" s="3588" t="n"/>
      <c r="B44" s="4104" t="n"/>
      <c r="C44" s="3522" t="inlineStr">
        <is>
          <t>遊戯室</t>
        </is>
      </c>
      <c r="D44" s="4110" t="n"/>
      <c r="E44" s="4111" t="n"/>
      <c r="F44" s="4893" t="inlineStr">
        <is>
          <t xml:space="preserve">　　　　　　㎡(児童１人当たり）</t>
        </is>
      </c>
      <c r="G44" s="4110" t="n"/>
      <c r="H44" s="4111" t="n"/>
      <c r="I44" s="4893" t="inlineStr">
        <is>
          <t xml:space="preserve">　　　㎡(児童１人当たり）以上</t>
        </is>
      </c>
      <c r="J44" s="4110" t="n"/>
      <c r="K44" s="4111" t="n"/>
      <c r="L44" s="4894" t="inlineStr">
        <is>
          <t xml:space="preserve">　　　　　（設置部分を○でかこむ）</t>
        </is>
      </c>
      <c r="M44" s="4103" t="n"/>
      <c r="N44" s="4103" t="n"/>
      <c r="O44" s="4103" t="n"/>
      <c r="P44" s="4103" t="n"/>
      <c r="Q44" s="4105" t="n"/>
    </row>
    <row r="45" ht="12.75" customHeight="1" s="4080">
      <c r="A45" s="4887" t="inlineStr">
        <is>
          <t>主な掲示事項</t>
        </is>
      </c>
      <c r="B45" s="4110" t="n"/>
      <c r="C45" s="4110" t="n"/>
      <c r="D45" s="4110" t="n"/>
      <c r="E45" s="4111" t="n"/>
      <c r="F45" s="4895" t="n"/>
      <c r="G45" s="4098" t="n"/>
      <c r="H45" s="4098" t="n"/>
      <c r="I45" s="4098" t="n"/>
      <c r="J45" s="4098" t="n"/>
      <c r="K45" s="4098" t="n"/>
      <c r="L45" s="4098" t="n"/>
      <c r="M45" s="4098" t="n"/>
      <c r="N45" s="4098" t="n"/>
      <c r="O45" s="4098" t="n"/>
      <c r="P45" s="4098" t="n"/>
      <c r="Q45" s="4101" t="n"/>
    </row>
    <row r="46" ht="13.5" customHeight="1" s="4080">
      <c r="A46" s="3611" t="n"/>
      <c r="B46" s="3612" t="inlineStr">
        <is>
          <t>営業日</t>
        </is>
      </c>
      <c r="C46" s="4110" t="n"/>
      <c r="D46" s="4110" t="n"/>
      <c r="E46" s="4111" t="n"/>
      <c r="F46" s="3612" t="n"/>
      <c r="G46" s="4110" t="n"/>
      <c r="H46" s="4110" t="n"/>
      <c r="I46" s="4110" t="n"/>
      <c r="J46" s="4110" t="n"/>
      <c r="K46" s="4110" t="n"/>
      <c r="L46" s="4110" t="n"/>
      <c r="M46" s="4110" t="n"/>
      <c r="N46" s="4110" t="n"/>
      <c r="O46" s="4110" t="n"/>
      <c r="P46" s="4110" t="n"/>
      <c r="Q46" s="4111" t="n"/>
    </row>
    <row r="47" ht="13.5" customHeight="1" s="4080">
      <c r="A47" s="4097" t="n"/>
      <c r="B47" s="3612" t="inlineStr">
        <is>
          <t>営業時間</t>
        </is>
      </c>
      <c r="C47" s="4110" t="n"/>
      <c r="D47" s="4110" t="n"/>
      <c r="E47" s="4111" t="n"/>
      <c r="F47" s="3614" t="inlineStr">
        <is>
          <t>サービス提供時間（送迎時間を除く）（①　　：　　～　　：　　②　　：　　～　　：　　）</t>
        </is>
      </c>
      <c r="G47" s="4110" t="n"/>
      <c r="H47" s="4110" t="n"/>
      <c r="I47" s="4110" t="n"/>
      <c r="J47" s="4110" t="n"/>
      <c r="K47" s="4110" t="n"/>
      <c r="L47" s="4110" t="n"/>
      <c r="M47" s="4110" t="n"/>
      <c r="N47" s="4110" t="n"/>
      <c r="O47" s="4110" t="n"/>
      <c r="P47" s="4110" t="n"/>
      <c r="Q47" s="4111" t="n"/>
    </row>
    <row r="48" ht="13.5" customHeight="1" s="4080">
      <c r="A48" s="4097" t="n"/>
      <c r="B48" s="4896" t="inlineStr">
        <is>
          <t>利用定員</t>
        </is>
      </c>
      <c r="C48" s="4098" t="n"/>
      <c r="D48" s="4098" t="n"/>
      <c r="E48" s="4099" t="n"/>
      <c r="F48" s="4895" t="inlineStr">
        <is>
          <t xml:space="preserve">　　人</t>
        </is>
      </c>
      <c r="G48" s="4098" t="n"/>
      <c r="H48" s="4098" t="n"/>
      <c r="I48" s="4098" t="n"/>
      <c r="J48" s="4098" t="n"/>
      <c r="K48" s="4098" t="n"/>
      <c r="L48" s="4098" t="n"/>
      <c r="M48" s="4098" t="n"/>
      <c r="N48" s="4098" t="n"/>
      <c r="O48" s="4098" t="n"/>
      <c r="P48" s="4098" t="n"/>
      <c r="Q48" s="4101" t="n"/>
    </row>
    <row r="49" ht="13.5" customHeight="1" s="4080">
      <c r="A49" s="4097" t="n"/>
      <c r="B49" s="3612" t="inlineStr">
        <is>
          <t>利用料</t>
        </is>
      </c>
      <c r="C49" s="4110" t="n"/>
      <c r="D49" s="4110" t="n"/>
      <c r="E49" s="4111" t="n"/>
      <c r="F49" s="3477" t="n"/>
      <c r="G49" s="4110" t="n"/>
      <c r="H49" s="4110" t="n"/>
      <c r="I49" s="4110" t="n"/>
      <c r="J49" s="4110" t="n"/>
      <c r="K49" s="4110" t="n"/>
      <c r="L49" s="4110" t="n"/>
      <c r="M49" s="4110" t="n"/>
      <c r="N49" s="4110" t="n"/>
      <c r="O49" s="4110" t="n"/>
      <c r="P49" s="4110" t="n"/>
      <c r="Q49" s="4111" t="n"/>
    </row>
    <row r="50" ht="13.5" customHeight="1" s="4080">
      <c r="A50" s="4097" t="n"/>
      <c r="B50" s="3612" t="inlineStr">
        <is>
          <t>その他の費用</t>
        </is>
      </c>
      <c r="C50" s="4110" t="n"/>
      <c r="D50" s="4110" t="n"/>
      <c r="E50" s="4111" t="n"/>
      <c r="F50" s="3477" t="n"/>
      <c r="G50" s="4110" t="n"/>
      <c r="H50" s="4110" t="n"/>
      <c r="I50" s="4110" t="n"/>
      <c r="J50" s="4110" t="n"/>
      <c r="K50" s="4110" t="n"/>
      <c r="L50" s="4110" t="n"/>
      <c r="M50" s="4110" t="n"/>
      <c r="N50" s="4110" t="n"/>
      <c r="O50" s="4110" t="n"/>
      <c r="P50" s="4110" t="n"/>
      <c r="Q50" s="4111" t="n"/>
    </row>
    <row r="51" ht="13.5" customHeight="1" s="4080">
      <c r="A51" s="4097" t="n"/>
      <c r="B51" s="3612" t="inlineStr">
        <is>
          <t>その他参考となる事項</t>
        </is>
      </c>
      <c r="C51" s="4098" t="n"/>
      <c r="D51" s="4098" t="n"/>
      <c r="E51" s="4099" t="n"/>
      <c r="F51" s="3477" t="inlineStr">
        <is>
          <t>第三者評価の実施状況</t>
        </is>
      </c>
      <c r="G51" s="4110" t="n"/>
      <c r="H51" s="4110" t="n"/>
      <c r="I51" s="4111" t="n"/>
      <c r="J51" s="3477" t="inlineStr">
        <is>
          <t>している　・　していない</t>
        </is>
      </c>
      <c r="K51" s="4110" t="n"/>
      <c r="L51" s="4110" t="n"/>
      <c r="M51" s="4111" t="n"/>
      <c r="N51" s="3523" t="n"/>
      <c r="O51" s="4110" t="n"/>
      <c r="P51" s="4110" t="n"/>
      <c r="Q51" s="4113" t="n"/>
    </row>
    <row r="52" ht="13.5" customHeight="1" s="4080">
      <c r="A52" s="4097" t="n"/>
      <c r="B52" s="4106" t="n"/>
      <c r="E52" s="4107" t="n"/>
      <c r="F52" s="3477" t="inlineStr">
        <is>
          <t>苦情解決の措置概要</t>
        </is>
      </c>
      <c r="G52" s="4110" t="n"/>
      <c r="H52" s="4110" t="n"/>
      <c r="I52" s="4111" t="n"/>
      <c r="J52" s="3638" t="inlineStr">
        <is>
          <t>窓口（連絡先）</t>
        </is>
      </c>
      <c r="K52" s="4111" t="n"/>
      <c r="L52" s="3483" t="n"/>
      <c r="M52" s="3484" t="n"/>
      <c r="N52" s="3638" t="inlineStr">
        <is>
          <t>担当者</t>
        </is>
      </c>
      <c r="O52" s="3523" t="n"/>
      <c r="P52" s="4110" t="n"/>
      <c r="Q52" s="4113" t="n"/>
    </row>
    <row r="53" ht="13.5" customHeight="1" s="4080">
      <c r="A53" s="4114" t="n"/>
      <c r="B53" s="4102" t="n"/>
      <c r="C53" s="4103" t="n"/>
      <c r="D53" s="4103" t="n"/>
      <c r="E53" s="4104" t="n"/>
      <c r="F53" s="3477" t="inlineStr">
        <is>
          <t>その他</t>
        </is>
      </c>
      <c r="G53" s="4110" t="n"/>
      <c r="H53" s="4110" t="n"/>
      <c r="I53" s="4111" t="n"/>
      <c r="J53" s="3523" t="n"/>
      <c r="K53" s="4110" t="n"/>
      <c r="L53" s="4110" t="n"/>
      <c r="M53" s="4110" t="n"/>
      <c r="N53" s="4110" t="n"/>
      <c r="O53" s="4110" t="n"/>
      <c r="P53" s="4110" t="n"/>
      <c r="Q53" s="4113" t="n"/>
    </row>
    <row r="54" ht="13.5" customHeight="1" s="4080">
      <c r="A54" s="4887" t="inlineStr">
        <is>
          <t>協力医療機関</t>
        </is>
      </c>
      <c r="B54" s="4110" t="n"/>
      <c r="C54" s="4110" t="n"/>
      <c r="D54" s="4110" t="n"/>
      <c r="E54" s="4111" t="n"/>
      <c r="F54" s="3477" t="inlineStr">
        <is>
          <t>名　称</t>
        </is>
      </c>
      <c r="G54" s="4111" t="n"/>
      <c r="H54" s="553" t="n"/>
      <c r="I54" s="553" t="n"/>
      <c r="J54" s="553" t="n"/>
      <c r="K54" s="554" t="n"/>
      <c r="L54" s="3477" t="inlineStr">
        <is>
          <t>主な診療科名</t>
        </is>
      </c>
      <c r="M54" s="4110" t="n"/>
      <c r="N54" s="4111" t="n"/>
      <c r="O54" s="3567" t="n"/>
      <c r="P54" s="3567" t="n"/>
      <c r="Q54" s="3568" t="n"/>
    </row>
    <row r="55" ht="13.5" customHeight="1" s="4080">
      <c r="A55" s="4897" t="inlineStr">
        <is>
          <t>地域の障害児への援助の実施状況</t>
        </is>
      </c>
      <c r="B55" s="4110" t="n"/>
      <c r="C55" s="4110" t="n"/>
      <c r="D55" s="4110" t="n"/>
      <c r="E55" s="4111" t="n"/>
      <c r="F55" s="3523" t="inlineStr">
        <is>
          <t>有　　　・　　　無</t>
        </is>
      </c>
      <c r="G55" s="4110" t="n"/>
      <c r="H55" s="4110" t="n"/>
      <c r="I55" s="4110" t="n"/>
      <c r="J55" s="4110" t="n"/>
      <c r="K55" s="4110" t="n"/>
      <c r="L55" s="4110" t="n"/>
      <c r="M55" s="4110" t="n"/>
      <c r="N55" s="4110" t="n"/>
      <c r="O55" s="4110" t="n"/>
      <c r="P55" s="4110" t="n"/>
      <c r="Q55" s="4113" t="n"/>
    </row>
    <row r="56" ht="12.75" customHeight="1" s="4080">
      <c r="A56" s="4887" t="inlineStr">
        <is>
          <t>多機能型実施の有無</t>
        </is>
      </c>
      <c r="B56" s="4110" t="n"/>
      <c r="C56" s="4110" t="n"/>
      <c r="D56" s="4110" t="n"/>
      <c r="E56" s="4111" t="n"/>
      <c r="F56" s="3523" t="inlineStr">
        <is>
          <t>有　　　・　　　無</t>
        </is>
      </c>
      <c r="G56" s="4110" t="n"/>
      <c r="H56" s="4110" t="n"/>
      <c r="I56" s="4110" t="n"/>
      <c r="J56" s="4110" t="n"/>
      <c r="K56" s="4110" t="n"/>
      <c r="L56" s="4110" t="n"/>
      <c r="M56" s="4110" t="n"/>
      <c r="N56" s="4110" t="n"/>
      <c r="O56" s="4110" t="n"/>
      <c r="P56" s="4110" t="n"/>
      <c r="Q56" s="4113" t="n"/>
    </row>
    <row r="57" ht="61.5" customHeight="1" s="4080" thickBot="1">
      <c r="A57" s="3626" t="inlineStr">
        <is>
          <t>添付書類</t>
        </is>
      </c>
      <c r="B57" s="4153" t="n"/>
      <c r="C57" s="4153" t="n"/>
      <c r="D57" s="4153" t="n"/>
      <c r="E57" s="4154" t="n"/>
      <c r="F57" s="4898" t="inlineStr">
        <is>
          <t>別添のとおり（定款及び登記簿謄本又は条例等、事業所平面図、経歴書、運営規程、障害児等からの苦情を解決するために講ずる措置の概要、勤務体制・形態一覧表、資産状況（貸借対照表・財産目録等）、設備・備品等一覧表、協力医療機関との契約内容がわかるもの）
利用者負担の受領等に関する保護者向け資料、内規他参考になるもの　障害児通所給付費の請求に関する事項</t>
        </is>
      </c>
      <c r="G57" s="4153" t="n"/>
      <c r="H57" s="4153" t="n"/>
      <c r="I57" s="4153" t="n"/>
      <c r="J57" s="4153" t="n"/>
      <c r="K57" s="4153" t="n"/>
      <c r="L57" s="4153" t="n"/>
      <c r="M57" s="4153" t="n"/>
      <c r="N57" s="4153" t="n"/>
      <c r="O57" s="4153" t="n"/>
      <c r="P57" s="4153" t="n"/>
      <c r="Q57" s="4155" t="n"/>
    </row>
    <row r="58" ht="12.75" customHeight="1" s="4080">
      <c r="A58" s="572" t="inlineStr">
        <is>
          <t>（備考）</t>
        </is>
      </c>
    </row>
    <row r="59" ht="12.75" customHeight="1" s="4080">
      <c r="A59" s="3603" t="inlineStr">
        <is>
          <t>１．「受付番号」「基準上の必要人数」「基準上の必要値」欄には、記載しないでください.</t>
        </is>
      </c>
    </row>
    <row r="60" ht="12.75" customHeight="1" s="4080">
      <c r="A60" s="3623" t="inlineStr">
        <is>
          <t>２．記入欄が不足する場合は、適宜欄を設けて記載するか又は別葉に記載した書類を添付してください。</t>
        </is>
      </c>
    </row>
    <row r="61" ht="12.75" customHeight="1" s="4080">
      <c r="A61" s="3623" t="inlineStr">
        <is>
          <t>３．「併設する施設の名称及び概要」欄には、施設の目的及び提供するサービスの内容等を記載してください。</t>
        </is>
      </c>
    </row>
    <row r="62" ht="12.75" customHeight="1" s="4080">
      <c r="A62" s="3603" t="inlineStr">
        <is>
          <t>４．「主な掲示事項」欄には、その内容を簡潔に記載してください。</t>
        </is>
      </c>
    </row>
    <row r="63" ht="29.25" customHeight="1" s="4080">
      <c r="A63" s="3623" t="inlineStr">
        <is>
          <t>５．「その他の費用」欄には、入所児又は保護者等に直接金銭の負担を求める場合のサービス内容について記載してください。</t>
        </is>
      </c>
    </row>
    <row r="64" ht="12.75" customHeight="1" s="4080">
      <c r="A64" s="3603" t="n"/>
    </row>
    <row r="65" ht="12.75" customHeight="1" s="4080">
      <c r="A65" s="3603" t="n"/>
      <c r="B65" s="3625" t="n"/>
      <c r="C65" s="3625" t="n"/>
      <c r="D65" s="3625" t="n"/>
      <c r="E65" s="3625" t="n"/>
      <c r="F65" s="3625" t="n"/>
      <c r="G65" s="3625" t="n"/>
      <c r="H65" s="3625" t="n"/>
      <c r="I65" s="3625" t="n"/>
      <c r="J65" s="3625" t="n"/>
      <c r="K65" s="3625" t="n"/>
      <c r="L65" s="3625" t="n"/>
      <c r="M65" s="3625" t="n"/>
      <c r="N65" s="3625" t="n"/>
      <c r="O65" s="3625" t="n"/>
      <c r="P65" s="3625" t="n"/>
      <c r="Q65" s="3625" t="n"/>
    </row>
    <row r="66" ht="12.75" customHeight="1" s="4080">
      <c r="A66" s="3603" t="n"/>
      <c r="B66" s="3625" t="n"/>
      <c r="C66" s="3625" t="n"/>
      <c r="D66" s="3625" t="n"/>
      <c r="E66" s="3625" t="n"/>
      <c r="F66" s="3625" t="n"/>
      <c r="G66" s="3625" t="n"/>
      <c r="H66" s="3625" t="n"/>
      <c r="I66" s="3625" t="n"/>
      <c r="J66" s="3625" t="n"/>
      <c r="K66" s="3625" t="n"/>
      <c r="L66" s="3625" t="n"/>
      <c r="M66" s="3625" t="n"/>
      <c r="N66" s="3625" t="n"/>
      <c r="O66" s="3625" t="n"/>
      <c r="P66" s="3625" t="n"/>
      <c r="Q66" s="3625" t="n"/>
    </row>
    <row r="67" ht="12.75" customHeight="1" s="4080">
      <c r="A67" s="3603" t="n"/>
      <c r="B67" s="3625" t="n"/>
      <c r="C67" s="3625" t="n"/>
      <c r="D67" s="3625" t="n"/>
      <c r="E67" s="3625" t="n"/>
      <c r="F67" s="3625" t="n"/>
      <c r="G67" s="3625" t="n"/>
      <c r="H67" s="3625" t="n"/>
      <c r="I67" s="3625" t="n"/>
      <c r="J67" s="3625" t="n"/>
      <c r="K67" s="3625" t="n"/>
      <c r="L67" s="3625" t="n"/>
      <c r="M67" s="3625" t="n"/>
      <c r="N67" s="3625" t="n"/>
      <c r="O67" s="3625" t="n"/>
      <c r="P67" s="3625" t="n"/>
      <c r="Q67" s="3625" t="n"/>
    </row>
    <row r="68" ht="12.75" customHeight="1" s="4080">
      <c r="A68" s="3603" t="n"/>
      <c r="B68" s="3625" t="n"/>
      <c r="C68" s="3625" t="n"/>
      <c r="D68" s="3625" t="n"/>
      <c r="E68" s="3625" t="n"/>
      <c r="F68" s="3625" t="n"/>
      <c r="G68" s="3625" t="n"/>
      <c r="H68" s="3625" t="n"/>
      <c r="I68" s="3625" t="n"/>
      <c r="J68" s="3625" t="n"/>
      <c r="K68" s="3625" t="n"/>
      <c r="L68" s="3625" t="n"/>
      <c r="M68" s="3625" t="n"/>
      <c r="N68" s="3625" t="n"/>
      <c r="O68" s="3625" t="n"/>
      <c r="P68" s="3625" t="n"/>
      <c r="Q68" s="3625" t="n"/>
    </row>
    <row r="69" ht="12.75" customHeight="1" s="4080">
      <c r="A69" s="3603" t="n"/>
      <c r="B69" s="3625" t="n"/>
      <c r="C69" s="3625" t="n"/>
      <c r="D69" s="3625" t="n"/>
      <c r="E69" s="3625" t="n"/>
      <c r="F69" s="3625" t="n"/>
      <c r="G69" s="3625" t="n"/>
      <c r="H69" s="3625" t="n"/>
      <c r="I69" s="3625" t="n"/>
      <c r="J69" s="3625" t="n"/>
      <c r="K69" s="3625" t="n"/>
      <c r="L69" s="3625" t="n"/>
      <c r="M69" s="3625" t="n"/>
      <c r="N69" s="3625" t="n"/>
      <c r="O69" s="3625" t="n"/>
      <c r="P69" s="3625" t="n"/>
      <c r="Q69" s="3625" t="n"/>
    </row>
  </sheetData>
  <mergeCells count="171">
    <mergeCell ref="O29:Q29"/>
    <mergeCell ref="I16:Q16"/>
    <mergeCell ref="L33:N33"/>
    <mergeCell ref="C44:E44"/>
    <mergeCell ref="B43:B44"/>
    <mergeCell ref="F33:H33"/>
    <mergeCell ref="F45:Q45"/>
    <mergeCell ref="F41:K41"/>
    <mergeCell ref="A45:E45"/>
    <mergeCell ref="A21:B22"/>
    <mergeCell ref="D31:E31"/>
    <mergeCell ref="F47:Q47"/>
    <mergeCell ref="F53:I53"/>
    <mergeCell ref="L41:Q41"/>
    <mergeCell ref="A4:A10"/>
    <mergeCell ref="F46:Q46"/>
    <mergeCell ref="A17:I17"/>
    <mergeCell ref="B47:E47"/>
    <mergeCell ref="G10:Q10"/>
    <mergeCell ref="D12:G13"/>
    <mergeCell ref="F39:H39"/>
    <mergeCell ref="G18:Q18"/>
    <mergeCell ref="M25:N25"/>
    <mergeCell ref="F48:Q48"/>
    <mergeCell ref="A57:E57"/>
    <mergeCell ref="H11:I13"/>
    <mergeCell ref="F14:H14"/>
    <mergeCell ref="K2:L2"/>
    <mergeCell ref="B39:E39"/>
    <mergeCell ref="I34:K34"/>
    <mergeCell ref="D7:F8"/>
    <mergeCell ref="F9:J9"/>
    <mergeCell ref="I15:Q15"/>
    <mergeCell ref="O33:Q33"/>
    <mergeCell ref="P24:Q24"/>
    <mergeCell ref="B14:E16"/>
    <mergeCell ref="D26:E26"/>
    <mergeCell ref="J17:Q17"/>
    <mergeCell ref="A18:D20"/>
    <mergeCell ref="B40:E40"/>
    <mergeCell ref="P26:Q26"/>
    <mergeCell ref="B49:E49"/>
    <mergeCell ref="F54:G54"/>
    <mergeCell ref="I28:K28"/>
    <mergeCell ref="F52:I52"/>
    <mergeCell ref="F35:H35"/>
    <mergeCell ref="B33:E33"/>
    <mergeCell ref="P25:Q25"/>
    <mergeCell ref="F50:Q50"/>
    <mergeCell ref="A60:Q60"/>
    <mergeCell ref="M9:Q9"/>
    <mergeCell ref="I7:I8"/>
    <mergeCell ref="A11:A16"/>
    <mergeCell ref="B9:C10"/>
    <mergeCell ref="B50:E50"/>
    <mergeCell ref="B11:C11"/>
    <mergeCell ref="M2:Q2"/>
    <mergeCell ref="J12:Q13"/>
    <mergeCell ref="F27:H27"/>
    <mergeCell ref="B51:E53"/>
    <mergeCell ref="J53:Q53"/>
    <mergeCell ref="I23:K23"/>
    <mergeCell ref="O52:Q52"/>
    <mergeCell ref="L34:N34"/>
    <mergeCell ref="J36:K36"/>
    <mergeCell ref="A55:E55"/>
    <mergeCell ref="N51:Q51"/>
    <mergeCell ref="B27:E27"/>
    <mergeCell ref="O23:Q23"/>
    <mergeCell ref="G24:H24"/>
    <mergeCell ref="F49:Q49"/>
    <mergeCell ref="D37:E37"/>
    <mergeCell ref="A46:A53"/>
    <mergeCell ref="D11:G11"/>
    <mergeCell ref="B6:C8"/>
    <mergeCell ref="F29:H29"/>
    <mergeCell ref="D9:E9"/>
    <mergeCell ref="G26:H26"/>
    <mergeCell ref="M24:N24"/>
    <mergeCell ref="P30:Q30"/>
    <mergeCell ref="L28:N28"/>
    <mergeCell ref="I27:K27"/>
    <mergeCell ref="G25:H25"/>
    <mergeCell ref="D38:E38"/>
    <mergeCell ref="E19:F20"/>
    <mergeCell ref="F40:H40"/>
    <mergeCell ref="D5:Q5"/>
    <mergeCell ref="G19:Q20"/>
    <mergeCell ref="E18:F18"/>
    <mergeCell ref="K3:L3"/>
    <mergeCell ref="F55:Q55"/>
    <mergeCell ref="A59:Q59"/>
    <mergeCell ref="B37:C38"/>
    <mergeCell ref="L23:N23"/>
    <mergeCell ref="K9:L9"/>
    <mergeCell ref="A64:Q64"/>
    <mergeCell ref="J51:M51"/>
    <mergeCell ref="F23:H23"/>
    <mergeCell ref="A61:Q61"/>
    <mergeCell ref="L54:N54"/>
    <mergeCell ref="O27:Q27"/>
    <mergeCell ref="A23:E24"/>
    <mergeCell ref="J24:K24"/>
    <mergeCell ref="L40:N40"/>
    <mergeCell ref="L44:Q44"/>
    <mergeCell ref="F43:H43"/>
    <mergeCell ref="L22:Q22"/>
    <mergeCell ref="C22:D22"/>
    <mergeCell ref="I29:K29"/>
    <mergeCell ref="J26:K26"/>
    <mergeCell ref="L21:Q21"/>
    <mergeCell ref="C21:D21"/>
    <mergeCell ref="L27:N27"/>
    <mergeCell ref="J25:K25"/>
    <mergeCell ref="F57:Q57"/>
    <mergeCell ref="I40:K40"/>
    <mergeCell ref="F44:H44"/>
    <mergeCell ref="M3:Q3"/>
    <mergeCell ref="M26:N26"/>
    <mergeCell ref="F34:H34"/>
    <mergeCell ref="D25:E25"/>
    <mergeCell ref="B12:C13"/>
    <mergeCell ref="G7:H8"/>
    <mergeCell ref="B5:C5"/>
    <mergeCell ref="A62:Q62"/>
    <mergeCell ref="B34:E34"/>
    <mergeCell ref="L43:Q43"/>
    <mergeCell ref="B35:E36"/>
    <mergeCell ref="J52:K52"/>
    <mergeCell ref="B28:E28"/>
    <mergeCell ref="B4:C4"/>
    <mergeCell ref="E21:I21"/>
    <mergeCell ref="F42:H42"/>
    <mergeCell ref="L42:Q42"/>
    <mergeCell ref="J7:Q8"/>
    <mergeCell ref="G36:H36"/>
    <mergeCell ref="I43:K43"/>
    <mergeCell ref="B2:H3"/>
    <mergeCell ref="C43:E43"/>
    <mergeCell ref="A1:Q1"/>
    <mergeCell ref="L29:N29"/>
    <mergeCell ref="I33:K33"/>
    <mergeCell ref="B29:E30"/>
    <mergeCell ref="J30:K30"/>
    <mergeCell ref="I42:K42"/>
    <mergeCell ref="F28:H28"/>
    <mergeCell ref="J21:K22"/>
    <mergeCell ref="A54:E54"/>
    <mergeCell ref="O40:Q40"/>
    <mergeCell ref="F15:H16"/>
    <mergeCell ref="I14:Q14"/>
    <mergeCell ref="D32:E32"/>
    <mergeCell ref="I35:K35"/>
    <mergeCell ref="F56:Q56"/>
    <mergeCell ref="I44:K44"/>
    <mergeCell ref="B46:E46"/>
    <mergeCell ref="A56:E56"/>
    <mergeCell ref="M30:N30"/>
    <mergeCell ref="G30:H30"/>
    <mergeCell ref="B25:C26"/>
    <mergeCell ref="J11:Q11"/>
    <mergeCell ref="B48:E48"/>
    <mergeCell ref="B31:C32"/>
    <mergeCell ref="F51:I51"/>
    <mergeCell ref="O34:Q34"/>
    <mergeCell ref="D4:Q4"/>
    <mergeCell ref="O28:Q28"/>
    <mergeCell ref="D10:F10"/>
    <mergeCell ref="A41:E42"/>
    <mergeCell ref="E22:I22"/>
    <mergeCell ref="A63:Q63"/>
  </mergeCells>
  <pageMargins left="0.984251968503937" right="0.1968503937007874" top="0.1968503937007874" bottom="0.1968503937007874" header="0.3149606299212598" footer="0.1968503937007874"/>
  <pageSetup orientation="portrait" paperSize="9" scale="96"/>
  <legacyDrawing xmlns:r="http://schemas.openxmlformats.org/officeDocument/2006/relationships" r:id="anysvml"/>
</worksheet>
</file>

<file path=xl/worksheets/sheet35.xml><?xml version="1.0" encoding="utf-8"?>
<worksheet xmlns="http://schemas.openxmlformats.org/spreadsheetml/2006/main">
  <sheetPr codeName="Sheet34">
    <outlinePr summaryBelow="1" summaryRight="1"/>
    <pageSetUpPr/>
  </sheetPr>
  <dimension ref="A1:Z68"/>
  <sheetViews>
    <sheetView view="pageBreakPreview" zoomScaleNormal="100" zoomScaleSheetLayoutView="100" workbookViewId="0">
      <selection activeCell="G15" sqref="G15"/>
    </sheetView>
  </sheetViews>
  <sheetFormatPr baseColWidth="8" defaultColWidth="4.625" defaultRowHeight="12.75" customHeight="1"/>
  <cols>
    <col width="4.625" customWidth="1" style="545" min="1" max="16384"/>
  </cols>
  <sheetData>
    <row r="1" ht="12.75" customHeight="1" s="4080">
      <c r="A1" s="3531" t="inlineStr">
        <is>
          <t>付表18　　　医療型児童発達支援事業所の指定に係る記載事項</t>
        </is>
      </c>
    </row>
    <row r="2" ht="15.6" customHeight="1" s="4080" thickBot="1">
      <c r="A2" s="3657" t="n"/>
      <c r="B2" s="575" t="n"/>
      <c r="C2" s="575" t="n"/>
      <c r="D2" s="575" t="n"/>
      <c r="E2" s="575" t="n"/>
      <c r="F2" s="575" t="n"/>
      <c r="G2" s="575" t="n"/>
      <c r="H2" s="575" t="n"/>
      <c r="I2" s="3531" t="n"/>
      <c r="K2" s="3467" t="n"/>
      <c r="L2" s="4087" t="n"/>
      <c r="M2" s="3468" t="n"/>
      <c r="N2" s="4087" t="n"/>
      <c r="O2" s="4087" t="n"/>
      <c r="P2" s="4087" t="n"/>
      <c r="Q2" s="4087" t="n"/>
      <c r="Z2" s="719">
        <f>HYPERLINK("#目次!A1","目次へ戻る")</f>
        <v/>
      </c>
    </row>
    <row r="3" ht="12.75" customHeight="1" s="4080" thickBot="1">
      <c r="B3" s="3631" t="n"/>
      <c r="C3" s="4087" t="n"/>
      <c r="D3" s="4087" t="n"/>
      <c r="E3" s="4087" t="n"/>
      <c r="F3" s="4087" t="n"/>
      <c r="G3" s="4087" t="n"/>
      <c r="H3" s="4087" t="n"/>
      <c r="K3" s="3469" t="inlineStr">
        <is>
          <t>受付番号</t>
        </is>
      </c>
      <c r="L3" s="4866" t="n"/>
      <c r="M3" s="3471" t="n"/>
      <c r="N3" s="4359" t="n"/>
      <c r="O3" s="4359" t="n"/>
      <c r="P3" s="4359" t="n"/>
      <c r="Q3" s="4866" t="n"/>
    </row>
    <row r="4" ht="12.75" customHeight="1" s="4080">
      <c r="A4" s="4867" t="inlineStr">
        <is>
          <t>施　設</t>
        </is>
      </c>
      <c r="B4" s="3488" t="inlineStr">
        <is>
          <t>フリガナ</t>
        </is>
      </c>
      <c r="C4" s="4094" t="n"/>
      <c r="D4" s="3490" t="n"/>
      <c r="E4" s="4082" t="n"/>
      <c r="F4" s="4082" t="n"/>
      <c r="G4" s="4082" t="n"/>
      <c r="H4" s="4082" t="n"/>
      <c r="I4" s="4082" t="n"/>
      <c r="J4" s="4082" t="n"/>
      <c r="K4" s="4082" t="n"/>
      <c r="L4" s="4082" t="n"/>
      <c r="M4" s="4082" t="n"/>
      <c r="N4" s="4082" t="n"/>
      <c r="O4" s="4082" t="n"/>
      <c r="P4" s="4082" t="n"/>
      <c r="Q4" s="4356" t="n"/>
    </row>
    <row r="5" ht="25.5" customHeight="1" s="4080">
      <c r="A5" s="4208" t="n"/>
      <c r="B5" s="3484" t="inlineStr">
        <is>
          <t>名　　称</t>
        </is>
      </c>
      <c r="C5" s="4111" t="n"/>
      <c r="D5" s="4868" t="n"/>
      <c r="E5" s="4459" t="n"/>
      <c r="F5" s="4459" t="n"/>
      <c r="G5" s="4459" t="n"/>
      <c r="H5" s="4459" t="n"/>
      <c r="I5" s="4459" t="n"/>
      <c r="J5" s="4459" t="n"/>
      <c r="K5" s="4459" t="n"/>
      <c r="L5" s="4459" t="n"/>
      <c r="M5" s="4459" t="n"/>
      <c r="N5" s="4459" t="n"/>
      <c r="O5" s="4459" t="n"/>
      <c r="P5" s="4459" t="n"/>
      <c r="Q5" s="4462" t="n"/>
    </row>
    <row r="6" ht="12.75" customHeight="1" s="4080">
      <c r="A6" s="4208" t="n"/>
      <c r="B6" s="3484" t="inlineStr">
        <is>
          <t>所在地</t>
        </is>
      </c>
      <c r="C6" s="4099" t="n"/>
      <c r="D6" s="548" t="inlineStr">
        <is>
          <t>（郵便番号　　　　　－　　　　　）</t>
        </is>
      </c>
      <c r="E6" s="549" t="n"/>
      <c r="F6" s="549" t="n"/>
      <c r="G6" s="549" t="n"/>
      <c r="H6" s="549" t="n"/>
      <c r="I6" s="549" t="n"/>
      <c r="J6" s="549" t="n"/>
      <c r="K6" s="549" t="n"/>
      <c r="L6" s="549" t="n"/>
      <c r="M6" s="549" t="n"/>
      <c r="N6" s="549" t="n"/>
      <c r="O6" s="549" t="n"/>
      <c r="P6" s="549" t="n"/>
      <c r="Q6" s="550" t="n"/>
    </row>
    <row r="7" ht="12.75" customHeight="1" s="4080">
      <c r="A7" s="4208" t="n"/>
      <c r="C7" s="4107" t="n"/>
      <c r="D7" s="3501" t="inlineStr">
        <is>
          <t>大阪市</t>
        </is>
      </c>
      <c r="G7" s="3498" t="n"/>
      <c r="I7" s="3502" t="inlineStr">
        <is>
          <t>区</t>
        </is>
      </c>
      <c r="J7" s="3504" t="n"/>
      <c r="Q7" s="4109" t="n"/>
    </row>
    <row r="8" ht="12.75" customHeight="1" s="4080">
      <c r="A8" s="4208" t="n"/>
      <c r="B8" s="4103" t="n"/>
      <c r="C8" s="4104" t="n"/>
      <c r="D8" s="4102" t="n"/>
      <c r="E8" s="4103" t="n"/>
      <c r="F8" s="4103" t="n"/>
      <c r="G8" s="4103" t="n"/>
      <c r="H8" s="4103" t="n"/>
      <c r="I8" s="4103" t="n"/>
      <c r="J8" s="4103" t="n"/>
      <c r="K8" s="4103" t="n"/>
      <c r="L8" s="4103" t="n"/>
      <c r="M8" s="4103" t="n"/>
      <c r="N8" s="4103" t="n"/>
      <c r="O8" s="4103" t="n"/>
      <c r="P8" s="4103" t="n"/>
      <c r="Q8" s="4105" t="n"/>
    </row>
    <row r="9" ht="15" customHeight="1" s="4080">
      <c r="A9" s="4208" t="n"/>
      <c r="B9" s="3477" t="inlineStr">
        <is>
          <t>連 絡 先</t>
        </is>
      </c>
      <c r="C9" s="4099" t="n"/>
      <c r="D9" s="3477" t="inlineStr">
        <is>
          <t>電話番号</t>
        </is>
      </c>
      <c r="E9" s="4111" t="n"/>
      <c r="F9" s="3478" t="n"/>
      <c r="G9" s="4110" t="n"/>
      <c r="H9" s="4110" t="n"/>
      <c r="I9" s="4110" t="n"/>
      <c r="J9" s="4111" t="n"/>
      <c r="K9" s="3480" t="inlineStr">
        <is>
          <t>ＦＡＸ番号</t>
        </is>
      </c>
      <c r="L9" s="4099" t="n"/>
      <c r="M9" s="3479" t="n"/>
      <c r="N9" s="4098" t="n"/>
      <c r="O9" s="4098" t="n"/>
      <c r="P9" s="4098" t="n"/>
      <c r="Q9" s="4099" t="n"/>
    </row>
    <row r="10" ht="15" customHeight="1" s="4080">
      <c r="A10" s="4737" t="n"/>
      <c r="B10" s="4102" t="n"/>
      <c r="C10" s="4104" t="n"/>
      <c r="D10" s="3477" t="inlineStr">
        <is>
          <t>メールアドレス</t>
        </is>
      </c>
      <c r="E10" s="4110" t="n"/>
      <c r="F10" s="4111" t="n"/>
      <c r="G10" s="4186" t="n"/>
      <c r="H10" s="4110" t="n"/>
      <c r="I10" s="4110" t="n"/>
      <c r="J10" s="4110" t="n"/>
      <c r="K10" s="4110" t="n"/>
      <c r="L10" s="4110" t="n"/>
      <c r="M10" s="4110" t="n"/>
      <c r="N10" s="4110" t="n"/>
      <c r="O10" s="4110" t="n"/>
      <c r="P10" s="4110" t="n"/>
      <c r="Q10" s="4113" t="n"/>
    </row>
    <row r="11" ht="13.5" customHeight="1" s="4080">
      <c r="A11" s="4869" t="inlineStr">
        <is>
          <t>管理者</t>
        </is>
      </c>
      <c r="B11" s="3477" t="inlineStr">
        <is>
          <t>フリガナ</t>
        </is>
      </c>
      <c r="C11" s="4111" t="n"/>
      <c r="D11" s="3525" t="n"/>
      <c r="E11" s="4138" t="n"/>
      <c r="F11" s="4138" t="n"/>
      <c r="G11" s="4139" t="n"/>
      <c r="H11" s="3477" t="inlineStr">
        <is>
          <t>住　所</t>
        </is>
      </c>
      <c r="I11" s="4099" t="n"/>
      <c r="J11" s="4870" t="inlineStr">
        <is>
          <t>（郵便番号　　　　　－　　　　　）</t>
        </is>
      </c>
      <c r="K11" s="4098" t="n"/>
      <c r="L11" s="4098" t="n"/>
      <c r="M11" s="4098" t="n"/>
      <c r="N11" s="4098" t="n"/>
      <c r="O11" s="4098" t="n"/>
      <c r="P11" s="4098" t="n"/>
      <c r="Q11" s="4101" t="n"/>
    </row>
    <row r="12" ht="18" customHeight="1" s="4080">
      <c r="A12" s="4208" t="n"/>
      <c r="B12" s="3477" t="inlineStr">
        <is>
          <t>氏　名</t>
        </is>
      </c>
      <c r="C12" s="4099" t="n"/>
      <c r="D12" s="4871" t="n"/>
      <c r="G12" s="4107" t="n"/>
      <c r="H12" s="4106" t="n"/>
      <c r="I12" s="4107" t="n"/>
      <c r="J12" s="4872" t="n"/>
      <c r="Q12" s="4109" t="n"/>
    </row>
    <row r="13" ht="13.5" customHeight="1" s="4080">
      <c r="A13" s="4208" t="n"/>
      <c r="B13" s="4102" t="n"/>
      <c r="C13" s="4104" t="n"/>
      <c r="D13" s="4102" t="n"/>
      <c r="E13" s="4103" t="n"/>
      <c r="F13" s="4103" t="n"/>
      <c r="G13" s="4104" t="n"/>
      <c r="H13" s="4102" t="n"/>
      <c r="I13" s="4104" t="n"/>
      <c r="J13" s="4102" t="n"/>
      <c r="K13" s="4103" t="n"/>
      <c r="L13" s="4103" t="n"/>
      <c r="M13" s="4103" t="n"/>
      <c r="N13" s="4103" t="n"/>
      <c r="O13" s="4103" t="n"/>
      <c r="P13" s="4103" t="n"/>
      <c r="Q13" s="4105" t="n"/>
    </row>
    <row r="14" ht="13.5" customHeight="1" s="4080">
      <c r="A14" s="4208" t="n"/>
      <c r="B14" s="4873" t="inlineStr">
        <is>
          <t>当該事業所の他の職務又は同一敷地内の他の事業所又は施設の従業者との兼務（兼務の場合記入）</t>
        </is>
      </c>
      <c r="C14" s="4098" t="n"/>
      <c r="D14" s="4098" t="n"/>
      <c r="E14" s="4099" t="n"/>
      <c r="F14" s="3612" t="inlineStr">
        <is>
          <t>事業所等の名称</t>
        </is>
      </c>
      <c r="G14" s="4110" t="n"/>
      <c r="H14" s="4111" t="n"/>
      <c r="I14" s="4874" t="n"/>
      <c r="J14" s="4110" t="n"/>
      <c r="K14" s="4110" t="n"/>
      <c r="L14" s="4110" t="n"/>
      <c r="M14" s="4110" t="n"/>
      <c r="N14" s="4110" t="n"/>
      <c r="O14" s="4110" t="n"/>
      <c r="P14" s="4110" t="n"/>
      <c r="Q14" s="4113" t="n"/>
    </row>
    <row r="15" ht="13.5" customHeight="1" s="4080">
      <c r="A15" s="4208" t="n"/>
      <c r="B15" s="4106" t="n"/>
      <c r="E15" s="4107" t="n"/>
      <c r="F15" s="4875" t="inlineStr">
        <is>
          <t>兼務する職種及び勤務時間等</t>
        </is>
      </c>
      <c r="G15" s="4098" t="n"/>
      <c r="H15" s="4099" t="n"/>
      <c r="I15" s="4876" t="n"/>
      <c r="J15" s="4486" t="n"/>
      <c r="K15" s="4486" t="n"/>
      <c r="L15" s="4486" t="n"/>
      <c r="M15" s="4486" t="n"/>
      <c r="N15" s="4486" t="n"/>
      <c r="O15" s="4486" t="n"/>
      <c r="P15" s="4486" t="n"/>
      <c r="Q15" s="4877" t="n"/>
    </row>
    <row r="16" ht="13.5" customHeight="1" s="4080">
      <c r="A16" s="4737" t="n"/>
      <c r="B16" s="4102" t="n"/>
      <c r="C16" s="4103" t="n"/>
      <c r="D16" s="4103" t="n"/>
      <c r="E16" s="4104" t="n"/>
      <c r="F16" s="4102" t="n"/>
      <c r="G16" s="4103" t="n"/>
      <c r="H16" s="4104" t="n"/>
      <c r="I16" s="4878" t="n"/>
      <c r="J16" s="4459" t="n"/>
      <c r="K16" s="4459" t="n"/>
      <c r="L16" s="4459" t="n"/>
      <c r="M16" s="4459" t="n"/>
      <c r="N16" s="4459" t="n"/>
      <c r="O16" s="4459" t="n"/>
      <c r="P16" s="4459" t="n"/>
      <c r="Q16" s="4462" t="n"/>
    </row>
    <row r="17" ht="12.75" customHeight="1" s="4080">
      <c r="A17" s="4879" t="inlineStr">
        <is>
          <t>当該支援の実施について定めてある定款又は条例等</t>
        </is>
      </c>
      <c r="B17" s="4110" t="n"/>
      <c r="C17" s="4110" t="n"/>
      <c r="D17" s="4110" t="n"/>
      <c r="E17" s="4110" t="n"/>
      <c r="F17" s="4110" t="n"/>
      <c r="G17" s="4110" t="n"/>
      <c r="H17" s="4110" t="n"/>
      <c r="I17" s="4111" t="n"/>
      <c r="J17" s="3477" t="inlineStr">
        <is>
          <t>第　　条第　　項第　　号</t>
        </is>
      </c>
      <c r="K17" s="4110" t="n"/>
      <c r="L17" s="4110" t="n"/>
      <c r="M17" s="4110" t="n"/>
      <c r="N17" s="4110" t="n"/>
      <c r="O17" s="4110" t="n"/>
      <c r="P17" s="4110" t="n"/>
      <c r="Q17" s="4111" t="n"/>
    </row>
    <row r="18" ht="12.75" customHeight="1" s="4080">
      <c r="A18" s="4880" t="inlineStr">
        <is>
          <t>併設する施設の名称及び概要</t>
        </is>
      </c>
      <c r="B18" s="4098" t="n"/>
      <c r="C18" s="4098" t="n"/>
      <c r="D18" s="4099" t="n"/>
      <c r="E18" s="3477" t="inlineStr">
        <is>
          <t>名　称</t>
        </is>
      </c>
      <c r="F18" s="4111" t="n"/>
      <c r="G18" s="4881" t="n"/>
      <c r="H18" s="4110" t="n"/>
      <c r="I18" s="4110" t="n"/>
      <c r="J18" s="4110" t="n"/>
      <c r="K18" s="4110" t="n"/>
      <c r="L18" s="4110" t="n"/>
      <c r="M18" s="4110" t="n"/>
      <c r="N18" s="4110" t="n"/>
      <c r="O18" s="4110" t="n"/>
      <c r="P18" s="4110" t="n"/>
      <c r="Q18" s="4113" t="n"/>
    </row>
    <row r="19" ht="12.75" customHeight="1" s="4080">
      <c r="A19" s="4097" t="n"/>
      <c r="D19" s="4107" t="n"/>
      <c r="E19" s="3477" t="inlineStr">
        <is>
          <t>概　要</t>
        </is>
      </c>
      <c r="F19" s="4099" t="n"/>
      <c r="G19" s="4881" t="n"/>
      <c r="H19" s="4098" t="n"/>
      <c r="I19" s="4098" t="n"/>
      <c r="J19" s="4098" t="n"/>
      <c r="K19" s="4098" t="n"/>
      <c r="L19" s="4098" t="n"/>
      <c r="M19" s="4098" t="n"/>
      <c r="N19" s="4098" t="n"/>
      <c r="O19" s="4098" t="n"/>
      <c r="P19" s="4098" t="n"/>
      <c r="Q19" s="4101" t="n"/>
    </row>
    <row r="20" ht="12.75" customHeight="1" s="4080">
      <c r="A20" s="4114" t="n"/>
      <c r="B20" s="4103" t="n"/>
      <c r="C20" s="4103" t="n"/>
      <c r="D20" s="4104" t="n"/>
      <c r="E20" s="4102" t="n"/>
      <c r="F20" s="4104" t="n"/>
      <c r="G20" s="4102" t="n"/>
      <c r="H20" s="4103" t="n"/>
      <c r="I20" s="4103" t="n"/>
      <c r="J20" s="4103" t="n"/>
      <c r="K20" s="4103" t="n"/>
      <c r="L20" s="4103" t="n"/>
      <c r="M20" s="4103" t="n"/>
      <c r="N20" s="4103" t="n"/>
      <c r="O20" s="4103" t="n"/>
      <c r="P20" s="4103" t="n"/>
      <c r="Q20" s="4105" t="n"/>
    </row>
    <row r="21" ht="13.5" customHeight="1" s="4080">
      <c r="A21" s="4882" t="inlineStr">
        <is>
          <t>児童発達支援管理責任者</t>
        </is>
      </c>
      <c r="B21" s="4099" t="n"/>
      <c r="C21" s="3477" t="inlineStr">
        <is>
          <t>フリガナ</t>
        </is>
      </c>
      <c r="D21" s="4111" t="n"/>
      <c r="E21" s="4883" t="n"/>
      <c r="F21" s="4486" t="n"/>
      <c r="G21" s="4486" t="n"/>
      <c r="H21" s="4486" t="n"/>
      <c r="I21" s="4494" t="n"/>
      <c r="J21" s="3482" t="inlineStr">
        <is>
          <t>住 所</t>
        </is>
      </c>
      <c r="K21" s="4098" t="n"/>
      <c r="L21" s="4884" t="inlineStr">
        <is>
          <t>（郵便番号　　　　　－　　　　　）</t>
        </is>
      </c>
      <c r="M21" s="4098" t="n"/>
      <c r="N21" s="4098" t="n"/>
      <c r="O21" s="4098" t="n"/>
      <c r="P21" s="4098" t="n"/>
      <c r="Q21" s="4101" t="n"/>
    </row>
    <row r="22" ht="20.25" customHeight="1" s="4080">
      <c r="A22" s="4114" t="n"/>
      <c r="B22" s="4104" t="n"/>
      <c r="C22" s="3477" t="inlineStr">
        <is>
          <t>氏　名</t>
        </is>
      </c>
      <c r="D22" s="4111" t="n"/>
      <c r="E22" s="4885" t="n"/>
      <c r="F22" s="4103" t="n"/>
      <c r="G22" s="4103" t="n"/>
      <c r="H22" s="4103" t="n"/>
      <c r="I22" s="4104" t="n"/>
      <c r="J22" s="4102" t="n"/>
      <c r="K22" s="4103" t="n"/>
      <c r="L22" s="4886" t="n"/>
      <c r="M22" s="4103" t="n"/>
      <c r="N22" s="4103" t="n"/>
      <c r="O22" s="4103" t="n"/>
      <c r="P22" s="4103" t="n"/>
      <c r="Q22" s="4105" t="n"/>
    </row>
    <row r="23" ht="12.75" customHeight="1" s="4080">
      <c r="A23" s="4887" t="inlineStr">
        <is>
          <t>従業者の職種・員数</t>
        </is>
      </c>
      <c r="B23" s="4098" t="n"/>
      <c r="C23" s="4098" t="n"/>
      <c r="D23" s="4098" t="n"/>
      <c r="E23" s="4099" t="n"/>
      <c r="F23" s="3477" t="inlineStr">
        <is>
          <t>医師</t>
        </is>
      </c>
      <c r="G23" s="4110" t="n"/>
      <c r="H23" s="4111" t="n"/>
      <c r="I23" s="3477" t="inlineStr">
        <is>
          <t>看護師</t>
        </is>
      </c>
      <c r="J23" s="4110" t="n"/>
      <c r="K23" s="4111" t="n"/>
      <c r="L23" s="3477" t="inlineStr">
        <is>
          <t>児童指導員</t>
        </is>
      </c>
      <c r="M23" s="4110" t="n"/>
      <c r="N23" s="4111" t="n"/>
      <c r="O23" s="4899" t="inlineStr">
        <is>
          <t>保育士</t>
        </is>
      </c>
      <c r="P23" s="4110" t="n"/>
      <c r="Q23" s="4113" t="n"/>
    </row>
    <row r="24" ht="12.75" customHeight="1" s="4080">
      <c r="A24" s="4114" t="n"/>
      <c r="B24" s="4103" t="n"/>
      <c r="C24" s="4103" t="n"/>
      <c r="D24" s="4103" t="n"/>
      <c r="E24" s="4104" t="n"/>
      <c r="F24" s="3477" t="inlineStr">
        <is>
          <t>専従</t>
        </is>
      </c>
      <c r="G24" s="3484" t="inlineStr">
        <is>
          <t>兼務</t>
        </is>
      </c>
      <c r="H24" s="4111" t="n"/>
      <c r="I24" s="3477" t="inlineStr">
        <is>
          <t>専従</t>
        </is>
      </c>
      <c r="J24" s="3484" t="inlineStr">
        <is>
          <t>兼務</t>
        </is>
      </c>
      <c r="K24" s="4111" t="n"/>
      <c r="L24" s="3477" t="inlineStr">
        <is>
          <t>専従</t>
        </is>
      </c>
      <c r="M24" s="3484" t="inlineStr">
        <is>
          <t>兼務</t>
        </is>
      </c>
      <c r="N24" s="4111" t="n"/>
      <c r="O24" s="3638" t="inlineStr">
        <is>
          <t>専従</t>
        </is>
      </c>
      <c r="P24" s="3586" t="inlineStr">
        <is>
          <t>兼務</t>
        </is>
      </c>
      <c r="Q24" s="4113" t="n"/>
    </row>
    <row r="25" ht="12.75" customHeight="1" s="4080">
      <c r="A25" s="3588" t="n"/>
      <c r="B25" s="3477" t="inlineStr">
        <is>
          <t>従業者数</t>
        </is>
      </c>
      <c r="C25" s="4099" t="n"/>
      <c r="D25" s="3638" t="inlineStr">
        <is>
          <t>常勤（人）</t>
        </is>
      </c>
      <c r="E25" s="4111" t="n"/>
      <c r="F25" s="3477" t="n"/>
      <c r="G25" s="3484" t="n"/>
      <c r="H25" s="4111" t="n"/>
      <c r="I25" s="3477" t="n"/>
      <c r="J25" s="3484" t="n"/>
      <c r="K25" s="4111" t="n"/>
      <c r="L25" s="3477" t="n"/>
      <c r="M25" s="3484" t="n"/>
      <c r="N25" s="4111" t="n"/>
      <c r="O25" s="3477" t="n"/>
      <c r="P25" s="3553" t="n"/>
      <c r="Q25" s="4113" t="n"/>
    </row>
    <row r="26" ht="12.75" customHeight="1" s="4080">
      <c r="A26" s="3588" t="n"/>
      <c r="B26" s="4102" t="n"/>
      <c r="C26" s="4104" t="n"/>
      <c r="D26" s="3638" t="inlineStr">
        <is>
          <t>非常勤（人）</t>
        </is>
      </c>
      <c r="E26" s="4111" t="n"/>
      <c r="F26" s="3477" t="n"/>
      <c r="G26" s="3484" t="n"/>
      <c r="H26" s="4111" t="n"/>
      <c r="I26" s="3477" t="n"/>
      <c r="J26" s="3484" t="n"/>
      <c r="K26" s="4111" t="n"/>
      <c r="L26" s="3477" t="n"/>
      <c r="M26" s="3484" t="n"/>
      <c r="N26" s="4111" t="n"/>
      <c r="O26" s="3477" t="n"/>
      <c r="P26" s="3553" t="n"/>
      <c r="Q26" s="4113" t="n"/>
    </row>
    <row r="27" ht="12.75" customHeight="1" s="4080">
      <c r="A27" s="3588" t="n"/>
      <c r="B27" s="3638" t="inlineStr">
        <is>
          <t>備　　　　　　　　　　　考</t>
        </is>
      </c>
      <c r="C27" s="4110" t="n"/>
      <c r="D27" s="4110" t="n"/>
      <c r="E27" s="4111" t="n"/>
      <c r="F27" s="3477" t="n"/>
      <c r="G27" s="4110" t="n"/>
      <c r="H27" s="4111" t="n"/>
      <c r="I27" s="3477" t="n"/>
      <c r="J27" s="4110" t="n"/>
      <c r="K27" s="4111" t="n"/>
      <c r="L27" s="3477" t="n"/>
      <c r="M27" s="4110" t="n"/>
      <c r="N27" s="4111" t="n"/>
      <c r="O27" s="3523" t="n"/>
      <c r="P27" s="4110" t="n"/>
      <c r="Q27" s="4113" t="n"/>
    </row>
    <row r="28" ht="12.75" customHeight="1" s="4080">
      <c r="A28" s="3588" t="n"/>
      <c r="B28" s="3638" t="inlineStr">
        <is>
          <t>基準上の必要人数（人）</t>
        </is>
      </c>
      <c r="C28" s="4110" t="n"/>
      <c r="D28" s="4110" t="n"/>
      <c r="E28" s="4111" t="n"/>
      <c r="F28" s="3639" t="n"/>
      <c r="G28" s="4110" t="n"/>
      <c r="H28" s="4111" t="n"/>
      <c r="I28" s="3639" t="n"/>
      <c r="J28" s="4110" t="n"/>
      <c r="K28" s="4111" t="n"/>
      <c r="L28" s="3639" t="n"/>
      <c r="M28" s="4110" t="n"/>
      <c r="N28" s="4111" t="n"/>
      <c r="O28" s="3640" t="n"/>
      <c r="P28" s="4110" t="n"/>
      <c r="Q28" s="4113" t="n"/>
    </row>
    <row r="29" ht="12.75" customHeight="1" s="4080">
      <c r="A29" s="3588" t="n"/>
      <c r="B29" s="3484" t="n"/>
      <c r="C29" s="4098" t="n"/>
      <c r="D29" s="4098" t="n"/>
      <c r="E29" s="4099" t="n"/>
      <c r="F29" s="3477" t="inlineStr">
        <is>
          <t>栄養士</t>
        </is>
      </c>
      <c r="G29" s="4110" t="n"/>
      <c r="H29" s="4111" t="n"/>
      <c r="I29" s="3477" t="inlineStr">
        <is>
          <t>調理員</t>
        </is>
      </c>
      <c r="J29" s="4110" t="n"/>
      <c r="K29" s="4111" t="n"/>
      <c r="L29" s="4890" t="inlineStr">
        <is>
          <t>理学療法士又は作業療法士</t>
        </is>
      </c>
      <c r="M29" s="4110" t="n"/>
      <c r="N29" s="4110" t="n"/>
      <c r="O29" s="4110" t="n"/>
      <c r="P29" s="4110" t="n"/>
      <c r="Q29" s="4113" t="n"/>
    </row>
    <row r="30" ht="12.75" customHeight="1" s="4080">
      <c r="A30" s="3588" t="n"/>
      <c r="B30" s="4103" t="n"/>
      <c r="C30" s="4103" t="n"/>
      <c r="D30" s="4103" t="n"/>
      <c r="E30" s="4104" t="n"/>
      <c r="F30" s="3477" t="inlineStr">
        <is>
          <t>専従</t>
        </is>
      </c>
      <c r="G30" s="3484" t="inlineStr">
        <is>
          <t>兼務</t>
        </is>
      </c>
      <c r="H30" s="4111" t="n"/>
      <c r="I30" s="3477" t="inlineStr">
        <is>
          <t>専従</t>
        </is>
      </c>
      <c r="J30" s="3484" t="inlineStr">
        <is>
          <t>兼務</t>
        </is>
      </c>
      <c r="K30" s="4111" t="n"/>
      <c r="L30" s="3638" t="inlineStr">
        <is>
          <t>専従</t>
        </is>
      </c>
      <c r="M30" s="4111" t="n"/>
      <c r="N30" s="3586" t="inlineStr">
        <is>
          <t>兼務</t>
        </is>
      </c>
      <c r="O30" s="4110" t="n"/>
      <c r="P30" s="4110" t="n"/>
      <c r="Q30" s="4113" t="n"/>
    </row>
    <row r="31" ht="12.75" customHeight="1" s="4080">
      <c r="A31" s="3588" t="n"/>
      <c r="B31" s="3477" t="inlineStr">
        <is>
          <t>従業者数</t>
        </is>
      </c>
      <c r="C31" s="4099" t="n"/>
      <c r="D31" s="3638" t="inlineStr">
        <is>
          <t>常勤（人）</t>
        </is>
      </c>
      <c r="E31" s="4111" t="n"/>
      <c r="F31" s="3477" t="n"/>
      <c r="G31" s="3484" t="n"/>
      <c r="H31" s="4111" t="n"/>
      <c r="I31" s="3477" t="n"/>
      <c r="J31" s="3484" t="n"/>
      <c r="K31" s="4111" t="n"/>
      <c r="L31" s="566" t="n"/>
      <c r="M31" s="554" t="n"/>
      <c r="N31" s="553" t="n"/>
      <c r="O31" s="553" t="n"/>
      <c r="P31" s="553" t="n"/>
      <c r="Q31" s="555" t="n"/>
    </row>
    <row r="32" ht="12.75" customHeight="1" s="4080">
      <c r="A32" s="3588" t="n"/>
      <c r="B32" s="4102" t="n"/>
      <c r="C32" s="4104" t="n"/>
      <c r="D32" s="3638" t="inlineStr">
        <is>
          <t>非常勤（人）</t>
        </is>
      </c>
      <c r="E32" s="4111" t="n"/>
      <c r="F32" s="3477" t="n"/>
      <c r="G32" s="3484" t="n"/>
      <c r="H32" s="4111" t="n"/>
      <c r="I32" s="3477" t="n"/>
      <c r="J32" s="3484" t="n"/>
      <c r="K32" s="4111" t="n"/>
      <c r="L32" s="3482" t="n"/>
      <c r="M32" s="554" t="n"/>
      <c r="N32" s="553" t="n"/>
      <c r="O32" s="3483" t="n"/>
      <c r="P32" s="553" t="n"/>
      <c r="Q32" s="555" t="n"/>
    </row>
    <row r="33" ht="12.75" customHeight="1" s="4080">
      <c r="A33" s="3588" t="n"/>
      <c r="B33" s="3638" t="inlineStr">
        <is>
          <t>備　　　　　　　　　　　考</t>
        </is>
      </c>
      <c r="C33" s="4110" t="n"/>
      <c r="D33" s="4110" t="n"/>
      <c r="E33" s="4111" t="n"/>
      <c r="F33" s="3477" t="n"/>
      <c r="G33" s="4110" t="n"/>
      <c r="H33" s="4111" t="n"/>
      <c r="I33" s="3477" t="n"/>
      <c r="J33" s="4110" t="n"/>
      <c r="K33" s="4111" t="n"/>
      <c r="L33" s="566" t="n"/>
      <c r="M33" s="553" t="n"/>
      <c r="N33" s="553" t="n"/>
      <c r="O33" s="553" t="n"/>
      <c r="P33" s="553" t="n"/>
      <c r="Q33" s="555" t="n"/>
    </row>
    <row r="34" ht="12.75" customHeight="1" s="4080">
      <c r="A34" s="3588" t="n"/>
      <c r="B34" s="3638" t="inlineStr">
        <is>
          <t>基準上の必要人数（人）</t>
        </is>
      </c>
      <c r="C34" s="4110" t="n"/>
      <c r="D34" s="4110" t="n"/>
      <c r="E34" s="4111" t="n"/>
      <c r="F34" s="3639" t="n"/>
      <c r="G34" s="4110" t="n"/>
      <c r="H34" s="4111" t="n"/>
      <c r="I34" s="3639" t="n"/>
      <c r="J34" s="4110" t="n"/>
      <c r="K34" s="4111" t="n"/>
      <c r="L34" s="3593" t="n"/>
      <c r="M34" s="4110" t="n"/>
      <c r="N34" s="4110" t="n"/>
      <c r="O34" s="3596" t="n"/>
      <c r="P34" s="4110" t="n"/>
      <c r="Q34" s="4113" t="n"/>
    </row>
    <row r="35" ht="12.75" customHeight="1" s="4080">
      <c r="A35" s="3588" t="n"/>
      <c r="B35" s="3484" t="n"/>
      <c r="C35" s="4098" t="n"/>
      <c r="D35" s="4098" t="n"/>
      <c r="E35" s="4099" t="n"/>
      <c r="F35" s="3638" t="inlineStr">
        <is>
          <t>児童発達支援管理責任者</t>
        </is>
      </c>
      <c r="G35" s="4110" t="n"/>
      <c r="H35" s="4111" t="n"/>
      <c r="I35" s="3477" t="inlineStr">
        <is>
          <t>機能訓練担当職員</t>
        </is>
      </c>
      <c r="J35" s="4110" t="n"/>
      <c r="K35" s="4111" t="n"/>
      <c r="L35" s="3477" t="n"/>
      <c r="M35" s="4110" t="n"/>
      <c r="N35" s="4111" t="n"/>
      <c r="O35" s="4899" t="n"/>
      <c r="P35" s="4110" t="n"/>
      <c r="Q35" s="4113" t="n"/>
    </row>
    <row r="36" ht="12.75" customHeight="1" s="4080">
      <c r="A36" s="3588" t="n"/>
      <c r="B36" s="4103" t="n"/>
      <c r="C36" s="4103" t="n"/>
      <c r="D36" s="4103" t="n"/>
      <c r="E36" s="4104" t="n"/>
      <c r="F36" s="3477" t="inlineStr">
        <is>
          <t>専従</t>
        </is>
      </c>
      <c r="G36" s="3484" t="inlineStr">
        <is>
          <t>兼務</t>
        </is>
      </c>
      <c r="H36" s="4111" t="n"/>
      <c r="I36" s="3477" t="inlineStr">
        <is>
          <t>専従</t>
        </is>
      </c>
      <c r="J36" s="3484" t="inlineStr">
        <is>
          <t>兼務</t>
        </is>
      </c>
      <c r="K36" s="4111" t="n"/>
      <c r="L36" s="3477" t="n"/>
      <c r="M36" s="3484" t="n"/>
      <c r="N36" s="4111" t="n"/>
      <c r="O36" s="3638" t="n"/>
      <c r="P36" s="3586" t="n"/>
      <c r="Q36" s="4113" t="n"/>
    </row>
    <row r="37" ht="12.75" customHeight="1" s="4080">
      <c r="A37" s="3588" t="n"/>
      <c r="B37" s="3477" t="inlineStr">
        <is>
          <t>従業者数</t>
        </is>
      </c>
      <c r="C37" s="4099" t="n"/>
      <c r="D37" s="3638" t="inlineStr">
        <is>
          <t>常勤（人）</t>
        </is>
      </c>
      <c r="E37" s="4111" t="n"/>
      <c r="F37" s="3477" t="n"/>
      <c r="G37" s="3484" t="n"/>
      <c r="H37" s="4111" t="n"/>
      <c r="I37" s="3477" t="n"/>
      <c r="J37" s="3484" t="n"/>
      <c r="K37" s="4111" t="n"/>
      <c r="L37" s="3477" t="n"/>
      <c r="M37" s="3484" t="n"/>
      <c r="N37" s="4111" t="n"/>
      <c r="O37" s="3477" t="n"/>
      <c r="P37" s="3553" t="n"/>
      <c r="Q37" s="4113" t="n"/>
    </row>
    <row r="38" ht="12.75" customHeight="1" s="4080">
      <c r="A38" s="3588" t="n"/>
      <c r="B38" s="4102" t="n"/>
      <c r="C38" s="4104" t="n"/>
      <c r="D38" s="3638" t="inlineStr">
        <is>
          <t>非常勤（人）</t>
        </is>
      </c>
      <c r="E38" s="4111" t="n"/>
      <c r="F38" s="3477" t="n"/>
      <c r="G38" s="3484" t="n"/>
      <c r="H38" s="4111" t="n"/>
      <c r="I38" s="3477" t="n"/>
      <c r="J38" s="3484" t="n"/>
      <c r="K38" s="4111" t="n"/>
      <c r="L38" s="3477" t="n"/>
      <c r="M38" s="3484" t="n"/>
      <c r="N38" s="4111" t="n"/>
      <c r="O38" s="3477" t="n"/>
      <c r="P38" s="3553" t="n"/>
      <c r="Q38" s="4113" t="n"/>
    </row>
    <row r="39" ht="12.75" customHeight="1" s="4080">
      <c r="A39" s="3675" t="n"/>
      <c r="B39" s="3638" t="inlineStr">
        <is>
          <t>備　　　　　　　　　　　　考</t>
        </is>
      </c>
      <c r="C39" s="4110" t="n"/>
      <c r="D39" s="4110" t="n"/>
      <c r="E39" s="4111" t="n"/>
      <c r="F39" s="3477" t="n"/>
      <c r="G39" s="4110" t="n"/>
      <c r="H39" s="4111" t="n"/>
      <c r="I39" s="3477" t="n"/>
      <c r="J39" s="4110" t="n"/>
      <c r="K39" s="4111" t="n"/>
      <c r="L39" s="3477" t="n"/>
      <c r="M39" s="4110" t="n"/>
      <c r="N39" s="4111" t="n"/>
      <c r="O39" s="3523" t="n"/>
      <c r="P39" s="4110" t="n"/>
      <c r="Q39" s="4113" t="n"/>
    </row>
    <row r="40" ht="12.75" customHeight="1" s="4080">
      <c r="A40" s="578" t="n"/>
      <c r="B40" s="3638" t="inlineStr">
        <is>
          <t>基準上の必要人数（人）</t>
        </is>
      </c>
      <c r="C40" s="4110" t="n"/>
      <c r="D40" s="4110" t="n"/>
      <c r="E40" s="4111" t="n"/>
      <c r="F40" s="3639" t="n"/>
      <c r="G40" s="4110" t="n"/>
      <c r="H40" s="4111" t="n"/>
      <c r="I40" s="3639" t="n"/>
      <c r="J40" s="4110" t="n"/>
      <c r="K40" s="4111" t="n"/>
      <c r="L40" s="3639" t="n"/>
      <c r="M40" s="4110" t="n"/>
      <c r="N40" s="4111" t="n"/>
      <c r="O40" s="3639" t="n"/>
      <c r="P40" s="4110" t="n"/>
      <c r="Q40" s="4111" t="n"/>
    </row>
    <row r="41" ht="12.75" customHeight="1" s="4080">
      <c r="A41" s="4887" t="inlineStr">
        <is>
          <t>設備上の配慮点</t>
        </is>
      </c>
      <c r="B41" s="4110" t="n"/>
      <c r="C41" s="4110" t="n"/>
      <c r="D41" s="4110" t="n"/>
      <c r="E41" s="4111" t="n"/>
      <c r="F41" s="3523" t="n"/>
      <c r="G41" s="4110" t="n"/>
      <c r="H41" s="4110" t="n"/>
      <c r="I41" s="4110" t="n"/>
      <c r="J41" s="4110" t="n"/>
      <c r="K41" s="4110" t="n"/>
      <c r="L41" s="4110" t="n"/>
      <c r="M41" s="4110" t="n"/>
      <c r="N41" s="4110" t="n"/>
      <c r="O41" s="4110" t="n"/>
      <c r="P41" s="4110" t="n"/>
      <c r="Q41" s="4113" t="n"/>
    </row>
    <row r="42" ht="12.75" customHeight="1" s="4080">
      <c r="A42" s="4900" t="inlineStr">
        <is>
          <t>設　置　部　分　等
（設置部分を○でかこむ）</t>
        </is>
      </c>
      <c r="B42" s="4098" t="n"/>
      <c r="C42" s="4098" t="n"/>
      <c r="D42" s="4098" t="n"/>
      <c r="E42" s="4098" t="n"/>
      <c r="F42" s="4870" t="inlineStr">
        <is>
          <t>指導訓練室　　　　屋外訓練場　　　　相談室　　　　調理室</t>
        </is>
      </c>
      <c r="G42" s="4098" t="n"/>
      <c r="H42" s="4098" t="n"/>
      <c r="I42" s="4098" t="n"/>
      <c r="J42" s="4098" t="n"/>
      <c r="K42" s="4098" t="n"/>
      <c r="L42" s="4098" t="n"/>
      <c r="M42" s="4098" t="n"/>
      <c r="N42" s="4098" t="n"/>
      <c r="O42" s="4098" t="n"/>
      <c r="P42" s="4098" t="n"/>
      <c r="Q42" s="4101" t="n"/>
    </row>
    <row r="43" ht="12.75" customHeight="1" s="4080">
      <c r="A43" s="4097" t="n"/>
      <c r="F43" s="4892" t="inlineStr">
        <is>
          <t>浴室及び便所の手すり等身体の機能の不自由を助ける設備</t>
        </is>
      </c>
      <c r="Q43" s="4109" t="n"/>
    </row>
    <row r="44" ht="12.75" customHeight="1" s="4080">
      <c r="A44" s="4114" t="n"/>
      <c r="B44" s="4103" t="n"/>
      <c r="C44" s="4103" t="n"/>
      <c r="D44" s="4103" t="n"/>
      <c r="E44" s="4103" t="n"/>
      <c r="F44" s="4894" t="inlineStr">
        <is>
          <t>＊医療法に規定する診療所として必要な設備を満たしていること</t>
        </is>
      </c>
      <c r="G44" s="4103" t="n"/>
      <c r="H44" s="4103" t="n"/>
      <c r="I44" s="4103" t="n"/>
      <c r="J44" s="4103" t="n"/>
      <c r="K44" s="4103" t="n"/>
      <c r="L44" s="4103" t="n"/>
      <c r="M44" s="4103" t="n"/>
      <c r="N44" s="4103" t="n"/>
      <c r="O44" s="4103" t="n"/>
      <c r="P44" s="4103" t="n"/>
      <c r="Q44" s="4105" t="n"/>
    </row>
    <row r="45" ht="12.75" customHeight="1" s="4080">
      <c r="A45" s="4887" t="inlineStr">
        <is>
          <t>主な掲示事項</t>
        </is>
      </c>
      <c r="B45" s="4110" t="n"/>
      <c r="C45" s="4110" t="n"/>
      <c r="D45" s="4110" t="n"/>
      <c r="E45" s="4111" t="n"/>
      <c r="F45" s="4895" t="n"/>
      <c r="G45" s="4098" t="n"/>
      <c r="H45" s="4098" t="n"/>
      <c r="I45" s="4098" t="n"/>
      <c r="J45" s="4098" t="n"/>
      <c r="K45" s="4098" t="n"/>
      <c r="L45" s="4098" t="n"/>
      <c r="M45" s="4098" t="n"/>
      <c r="N45" s="4098" t="n"/>
      <c r="O45" s="4098" t="n"/>
      <c r="P45" s="4098" t="n"/>
      <c r="Q45" s="4101" t="n"/>
    </row>
    <row r="46" ht="13.5" customHeight="1" s="4080">
      <c r="A46" s="3611" t="n"/>
      <c r="B46" s="3612" t="inlineStr">
        <is>
          <t>営業日</t>
        </is>
      </c>
      <c r="C46" s="4110" t="n"/>
      <c r="D46" s="4110" t="n"/>
      <c r="E46" s="4111" t="n"/>
      <c r="F46" s="3612" t="n"/>
      <c r="G46" s="4110" t="n"/>
      <c r="H46" s="4110" t="n"/>
      <c r="I46" s="4110" t="n"/>
      <c r="J46" s="4110" t="n"/>
      <c r="K46" s="4110" t="n"/>
      <c r="L46" s="4110" t="n"/>
      <c r="M46" s="4110" t="n"/>
      <c r="N46" s="4110" t="n"/>
      <c r="O46" s="4110" t="n"/>
      <c r="P46" s="4110" t="n"/>
      <c r="Q46" s="4111" t="n"/>
    </row>
    <row r="47" ht="13.5" customHeight="1" s="4080">
      <c r="A47" s="4097" t="n"/>
      <c r="B47" s="3612" t="inlineStr">
        <is>
          <t>営業時間</t>
        </is>
      </c>
      <c r="C47" s="4110" t="n"/>
      <c r="D47" s="4110" t="n"/>
      <c r="E47" s="4111" t="n"/>
      <c r="F47" s="3614" t="inlineStr">
        <is>
          <t>サービス提供時間（送迎時間を除く）</t>
        </is>
      </c>
      <c r="G47" s="4110" t="n"/>
      <c r="H47" s="4110" t="n"/>
      <c r="I47" s="4110" t="n"/>
      <c r="J47" s="4110" t="n"/>
      <c r="K47" s="4110" t="n"/>
      <c r="L47" s="4110" t="n"/>
      <c r="M47" s="4110" t="n"/>
      <c r="N47" s="4110" t="n"/>
      <c r="O47" s="4110" t="n"/>
      <c r="P47" s="4110" t="n"/>
      <c r="Q47" s="4111" t="n"/>
    </row>
    <row r="48" ht="13.5" customHeight="1" s="4080">
      <c r="A48" s="4097" t="n"/>
      <c r="B48" s="4896" t="inlineStr">
        <is>
          <t>利用定員</t>
        </is>
      </c>
      <c r="C48" s="4098" t="n"/>
      <c r="D48" s="4098" t="n"/>
      <c r="E48" s="4099" t="n"/>
      <c r="F48" s="4895" t="inlineStr">
        <is>
          <t xml:space="preserve">　　人</t>
        </is>
      </c>
      <c r="G48" s="4098" t="n"/>
      <c r="H48" s="4098" t="n"/>
      <c r="I48" s="4098" t="n"/>
      <c r="J48" s="4098" t="n"/>
      <c r="K48" s="4098" t="n"/>
      <c r="L48" s="4098" t="n"/>
      <c r="M48" s="4098" t="n"/>
      <c r="N48" s="4098" t="n"/>
      <c r="O48" s="4098" t="n"/>
      <c r="P48" s="4098" t="n"/>
      <c r="Q48" s="4101" t="n"/>
    </row>
    <row r="49" ht="13.5" customHeight="1" s="4080">
      <c r="A49" s="4097" t="n"/>
      <c r="B49" s="3612" t="inlineStr">
        <is>
          <t>利用料</t>
        </is>
      </c>
      <c r="C49" s="4110" t="n"/>
      <c r="D49" s="4110" t="n"/>
      <c r="E49" s="4111" t="n"/>
      <c r="F49" s="3477" t="n"/>
      <c r="G49" s="4110" t="n"/>
      <c r="H49" s="4110" t="n"/>
      <c r="I49" s="4110" t="n"/>
      <c r="J49" s="4110" t="n"/>
      <c r="K49" s="4110" t="n"/>
      <c r="L49" s="4110" t="n"/>
      <c r="M49" s="4110" t="n"/>
      <c r="N49" s="4110" t="n"/>
      <c r="O49" s="4110" t="n"/>
      <c r="P49" s="4110" t="n"/>
      <c r="Q49" s="4111" t="n"/>
    </row>
    <row r="50" ht="13.5" customHeight="1" s="4080">
      <c r="A50" s="4097" t="n"/>
      <c r="B50" s="3612" t="inlineStr">
        <is>
          <t>その他の費用</t>
        </is>
      </c>
      <c r="C50" s="4110" t="n"/>
      <c r="D50" s="4110" t="n"/>
      <c r="E50" s="4111" t="n"/>
      <c r="F50" s="3477" t="n"/>
      <c r="G50" s="4110" t="n"/>
      <c r="H50" s="4110" t="n"/>
      <c r="I50" s="4110" t="n"/>
      <c r="J50" s="4110" t="n"/>
      <c r="K50" s="4110" t="n"/>
      <c r="L50" s="4110" t="n"/>
      <c r="M50" s="4110" t="n"/>
      <c r="N50" s="4110" t="n"/>
      <c r="O50" s="4110" t="n"/>
      <c r="P50" s="4110" t="n"/>
      <c r="Q50" s="4111" t="n"/>
    </row>
    <row r="51" ht="13.5" customHeight="1" s="4080">
      <c r="A51" s="4097" t="n"/>
      <c r="B51" s="3612" t="inlineStr">
        <is>
          <t>その他参考となる事項</t>
        </is>
      </c>
      <c r="C51" s="4098" t="n"/>
      <c r="D51" s="4098" t="n"/>
      <c r="E51" s="4099" t="n"/>
      <c r="F51" s="3477" t="inlineStr">
        <is>
          <t>第三者評価の実施状況</t>
        </is>
      </c>
      <c r="G51" s="4110" t="n"/>
      <c r="H51" s="4110" t="n"/>
      <c r="I51" s="4111" t="n"/>
      <c r="J51" s="3477" t="inlineStr">
        <is>
          <t>している　・　していない</t>
        </is>
      </c>
      <c r="K51" s="4110" t="n"/>
      <c r="L51" s="4110" t="n"/>
      <c r="M51" s="4111" t="n"/>
      <c r="N51" s="3523" t="n"/>
      <c r="O51" s="4110" t="n"/>
      <c r="P51" s="4110" t="n"/>
      <c r="Q51" s="4113" t="n"/>
    </row>
    <row r="52" ht="13.5" customHeight="1" s="4080">
      <c r="A52" s="4097" t="n"/>
      <c r="B52" s="4106" t="n"/>
      <c r="E52" s="4107" t="n"/>
      <c r="F52" s="3477" t="inlineStr">
        <is>
          <t>苦情解決の措置概要</t>
        </is>
      </c>
      <c r="G52" s="4110" t="n"/>
      <c r="H52" s="4110" t="n"/>
      <c r="I52" s="4111" t="n"/>
      <c r="J52" s="3638" t="inlineStr">
        <is>
          <t>窓口（連絡先）</t>
        </is>
      </c>
      <c r="K52" s="4111" t="n"/>
      <c r="L52" s="3483" t="n"/>
      <c r="M52" s="3484" t="n"/>
      <c r="N52" s="3638" t="inlineStr">
        <is>
          <t>担当者</t>
        </is>
      </c>
      <c r="O52" s="3523" t="n"/>
      <c r="P52" s="4110" t="n"/>
      <c r="Q52" s="4113" t="n"/>
    </row>
    <row r="53" ht="13.5" customHeight="1" s="4080">
      <c r="A53" s="4114" t="n"/>
      <c r="B53" s="4102" t="n"/>
      <c r="C53" s="4103" t="n"/>
      <c r="D53" s="4103" t="n"/>
      <c r="E53" s="4104" t="n"/>
      <c r="F53" s="3477" t="inlineStr">
        <is>
          <t>その他</t>
        </is>
      </c>
      <c r="G53" s="4110" t="n"/>
      <c r="H53" s="4110" t="n"/>
      <c r="I53" s="4111" t="n"/>
      <c r="J53" s="3523" t="n"/>
      <c r="K53" s="4110" t="n"/>
      <c r="L53" s="4110" t="n"/>
      <c r="M53" s="4110" t="n"/>
      <c r="N53" s="4110" t="n"/>
      <c r="O53" s="4110" t="n"/>
      <c r="P53" s="4110" t="n"/>
      <c r="Q53" s="4113" t="n"/>
    </row>
    <row r="54" ht="13.5" customHeight="1" s="4080">
      <c r="A54" s="4901" t="inlineStr">
        <is>
          <t>地域の障害児への援助の実施状況</t>
        </is>
      </c>
      <c r="B54" s="4110" t="n"/>
      <c r="C54" s="4110" t="n"/>
      <c r="D54" s="4110" t="n"/>
      <c r="E54" s="4111" t="n"/>
      <c r="F54" s="3523" t="inlineStr">
        <is>
          <t>有　　　・　　　無</t>
        </is>
      </c>
      <c r="G54" s="4110" t="n"/>
      <c r="H54" s="4110" t="n"/>
      <c r="I54" s="4110" t="n"/>
      <c r="J54" s="4110" t="n"/>
      <c r="K54" s="4110" t="n"/>
      <c r="L54" s="4110" t="n"/>
      <c r="M54" s="4110" t="n"/>
      <c r="N54" s="4110" t="n"/>
      <c r="O54" s="4110" t="n"/>
      <c r="P54" s="4110" t="n"/>
      <c r="Q54" s="4113" t="n"/>
    </row>
    <row r="55" ht="12.75" customHeight="1" s="4080">
      <c r="A55" s="4887" t="inlineStr">
        <is>
          <t>多機能型実施の有無</t>
        </is>
      </c>
      <c r="B55" s="4110" t="n"/>
      <c r="C55" s="4110" t="n"/>
      <c r="D55" s="4110" t="n"/>
      <c r="E55" s="4111" t="n"/>
      <c r="F55" s="3523" t="inlineStr">
        <is>
          <t>有　　　・　　　無</t>
        </is>
      </c>
      <c r="G55" s="4110" t="n"/>
      <c r="H55" s="4110" t="n"/>
      <c r="I55" s="4110" t="n"/>
      <c r="J55" s="4110" t="n"/>
      <c r="K55" s="4110" t="n"/>
      <c r="L55" s="4110" t="n"/>
      <c r="M55" s="4110" t="n"/>
      <c r="N55" s="4110" t="n"/>
      <c r="O55" s="4110" t="n"/>
      <c r="P55" s="4110" t="n"/>
      <c r="Q55" s="4113" t="n"/>
    </row>
    <row r="56" ht="73.5" customHeight="1" s="4080" thickBot="1">
      <c r="A56" s="3626" t="inlineStr">
        <is>
          <t>添付書類</t>
        </is>
      </c>
      <c r="B56" s="4153" t="n"/>
      <c r="C56" s="4153" t="n"/>
      <c r="D56" s="4153" t="n"/>
      <c r="E56" s="4154" t="n"/>
      <c r="F56" s="4898" t="inlineStr">
        <is>
          <t>別添のとおり（定款及び登記簿謄本又は条例等、医療法第７条の許可を受けた診療所であることを証する書類、事業所平面図、経歴書、運営規程、障害児等からの苦情を解決するために講ずる措置の概要、勤務体制・形態一覧表、資産状況（貸借対照表・財産目録等）、設備・備品等一覧表、協力医療機関との契約内容がわかるもの）
利用者負担の受領等に関する保護者向け資料、内規他参考になるもの　障害児通所給付費の請求に関する事項</t>
        </is>
      </c>
      <c r="G56" s="4153" t="n"/>
      <c r="H56" s="4153" t="n"/>
      <c r="I56" s="4153" t="n"/>
      <c r="J56" s="4153" t="n"/>
      <c r="K56" s="4153" t="n"/>
      <c r="L56" s="4153" t="n"/>
      <c r="M56" s="4153" t="n"/>
      <c r="N56" s="4153" t="n"/>
      <c r="O56" s="4153" t="n"/>
      <c r="P56" s="4153" t="n"/>
      <c r="Q56" s="4155" t="n"/>
    </row>
    <row r="57" ht="12.75" customHeight="1" s="4080">
      <c r="A57" s="572" t="inlineStr">
        <is>
          <t>（備考）</t>
        </is>
      </c>
    </row>
    <row r="58" ht="12.75" customHeight="1" s="4080">
      <c r="A58" s="3603" t="inlineStr">
        <is>
          <t>１．「受付番号」「基準上の必要人数」「基準上の必要値」欄には、記載しないでください。</t>
        </is>
      </c>
    </row>
    <row r="59" ht="12.75" customHeight="1" s="4080">
      <c r="A59" s="3623" t="inlineStr">
        <is>
          <t>２．記入欄が不足する場合は、適宜欄を設けて記載するか又は別葉に記載した書類を添付してください。</t>
        </is>
      </c>
    </row>
    <row r="60" ht="12.75" customHeight="1" s="4080">
      <c r="A60" s="3641" t="inlineStr">
        <is>
          <t>３．「併設する施設の名称及び概要」欄には、施設の目的及び提供するサービスの内容等を記載してください。（裏面につづく）</t>
        </is>
      </c>
    </row>
    <row r="61" ht="12.75" customHeight="1" s="4080">
      <c r="A61" s="3603" t="inlineStr">
        <is>
          <t>４．「主な掲示事項」欄には、その内容を簡潔に記載してください。</t>
        </is>
      </c>
    </row>
    <row r="62" ht="12.75" customHeight="1" s="4080">
      <c r="A62" s="3603" t="inlineStr">
        <is>
          <t>５．「その他の費用」欄には、入所児又は保護者等に直接金銭の負担を求める場合のサービス内容について記載し</t>
        </is>
      </c>
    </row>
    <row r="63" ht="12.75" customHeight="1" s="4080">
      <c r="A63" s="3603" t="inlineStr">
        <is>
          <t xml:space="preserve">　　てください。</t>
        </is>
      </c>
      <c r="B63" s="3625" t="n"/>
      <c r="C63" s="3625" t="n"/>
      <c r="D63" s="3625" t="n"/>
      <c r="E63" s="3625" t="n"/>
      <c r="F63" s="3625" t="n"/>
      <c r="G63" s="3625" t="n"/>
      <c r="H63" s="3625" t="n"/>
      <c r="I63" s="3625" t="n"/>
      <c r="J63" s="3625" t="n"/>
      <c r="K63" s="3625" t="n"/>
      <c r="L63" s="3625" t="n"/>
      <c r="M63" s="3625" t="n"/>
      <c r="N63" s="3625" t="n"/>
      <c r="O63" s="3625" t="n"/>
      <c r="P63" s="3625" t="n"/>
      <c r="Q63" s="3625" t="n"/>
    </row>
    <row r="64" ht="12.75" customHeight="1" s="4080">
      <c r="A64" s="3603" t="n"/>
      <c r="B64" s="3625" t="n"/>
      <c r="C64" s="3625" t="n"/>
      <c r="D64" s="3625" t="n"/>
      <c r="E64" s="3625" t="n"/>
      <c r="F64" s="3625" t="n"/>
      <c r="G64" s="3625" t="n"/>
      <c r="H64" s="3625" t="n"/>
      <c r="I64" s="3625" t="n"/>
      <c r="J64" s="3625" t="n"/>
      <c r="K64" s="3625" t="n"/>
      <c r="L64" s="3625" t="n"/>
      <c r="M64" s="3625" t="n"/>
      <c r="N64" s="3625" t="n"/>
      <c r="O64" s="3625" t="n"/>
      <c r="P64" s="3625" t="n"/>
      <c r="Q64" s="3625" t="n"/>
    </row>
    <row r="65" ht="12.75" customHeight="1" s="4080">
      <c r="A65" s="3603" t="n"/>
      <c r="B65" s="3625" t="n"/>
      <c r="C65" s="3625" t="n"/>
      <c r="D65" s="3625" t="n"/>
      <c r="E65" s="3625" t="n"/>
      <c r="F65" s="3625" t="n"/>
      <c r="G65" s="3625" t="n"/>
      <c r="H65" s="3625" t="n"/>
      <c r="I65" s="3625" t="n"/>
      <c r="J65" s="3625" t="n"/>
      <c r="K65" s="3625" t="n"/>
      <c r="L65" s="3625" t="n"/>
      <c r="M65" s="3625" t="n"/>
      <c r="N65" s="3625" t="n"/>
      <c r="O65" s="3625" t="n"/>
      <c r="P65" s="3625" t="n"/>
      <c r="Q65" s="3625" t="n"/>
    </row>
    <row r="66" ht="12.75" customHeight="1" s="4080">
      <c r="A66" s="3603" t="n"/>
      <c r="B66" s="3625" t="n"/>
      <c r="C66" s="3625" t="n"/>
      <c r="D66" s="3625" t="n"/>
      <c r="E66" s="3625" t="n"/>
      <c r="F66" s="3625" t="n"/>
      <c r="G66" s="3625" t="n"/>
      <c r="H66" s="3625" t="n"/>
      <c r="I66" s="3625" t="n"/>
      <c r="J66" s="3625" t="n"/>
      <c r="K66" s="3625" t="n"/>
      <c r="L66" s="3625" t="n"/>
      <c r="M66" s="3625" t="n"/>
      <c r="N66" s="3625" t="n"/>
      <c r="O66" s="3625" t="n"/>
      <c r="P66" s="3625" t="n"/>
      <c r="Q66" s="3625" t="n"/>
    </row>
    <row r="67" ht="12.75" customHeight="1" s="4080">
      <c r="A67" s="3603" t="n"/>
      <c r="B67" s="3625" t="n"/>
      <c r="C67" s="3625" t="n"/>
      <c r="D67" s="3625" t="n"/>
      <c r="E67" s="3625" t="n"/>
      <c r="F67" s="3625" t="n"/>
      <c r="G67" s="3625" t="n"/>
      <c r="H67" s="3625" t="n"/>
      <c r="I67" s="3625" t="n"/>
      <c r="J67" s="3625" t="n"/>
      <c r="K67" s="3625" t="n"/>
      <c r="L67" s="3625" t="n"/>
      <c r="M67" s="3625" t="n"/>
      <c r="N67" s="3625" t="n"/>
      <c r="O67" s="3625" t="n"/>
      <c r="P67" s="3625" t="n"/>
      <c r="Q67" s="3625" t="n"/>
    </row>
    <row r="68" ht="12.75" customHeight="1" s="4080">
      <c r="A68" s="3603" t="n"/>
      <c r="B68" s="3625" t="n"/>
      <c r="C68" s="3625" t="n"/>
      <c r="D68" s="3625" t="n"/>
      <c r="E68" s="3625" t="n"/>
      <c r="F68" s="3625" t="n"/>
      <c r="G68" s="3625" t="n"/>
      <c r="H68" s="3625" t="n"/>
      <c r="I68" s="3625" t="n"/>
      <c r="J68" s="3625" t="n"/>
      <c r="K68" s="3625" t="n"/>
      <c r="L68" s="3625" t="n"/>
      <c r="M68" s="3625" t="n"/>
      <c r="N68" s="3625" t="n"/>
      <c r="O68" s="3625" t="n"/>
      <c r="P68" s="3625" t="n"/>
      <c r="Q68" s="3625" t="n"/>
    </row>
  </sheetData>
  <mergeCells count="173">
    <mergeCell ref="I16:Q16"/>
    <mergeCell ref="F33:H33"/>
    <mergeCell ref="F45:Q45"/>
    <mergeCell ref="A45:E45"/>
    <mergeCell ref="A21:B22"/>
    <mergeCell ref="L35:N35"/>
    <mergeCell ref="D31:E31"/>
    <mergeCell ref="F47:Q47"/>
    <mergeCell ref="F53:I53"/>
    <mergeCell ref="A4:A10"/>
    <mergeCell ref="F46:Q46"/>
    <mergeCell ref="A17:I17"/>
    <mergeCell ref="B47:E47"/>
    <mergeCell ref="G10:Q10"/>
    <mergeCell ref="B3:H3"/>
    <mergeCell ref="D12:G13"/>
    <mergeCell ref="F39:H39"/>
    <mergeCell ref="G18:Q18"/>
    <mergeCell ref="M25:N25"/>
    <mergeCell ref="F48:Q48"/>
    <mergeCell ref="F14:H14"/>
    <mergeCell ref="H11:I13"/>
    <mergeCell ref="K2:L2"/>
    <mergeCell ref="M36:N36"/>
    <mergeCell ref="B39:E39"/>
    <mergeCell ref="I34:K34"/>
    <mergeCell ref="J31:K31"/>
    <mergeCell ref="D7:F8"/>
    <mergeCell ref="F9:J9"/>
    <mergeCell ref="I15:Q15"/>
    <mergeCell ref="P24:Q24"/>
    <mergeCell ref="O39:Q39"/>
    <mergeCell ref="B14:E16"/>
    <mergeCell ref="D26:E26"/>
    <mergeCell ref="J17:Q17"/>
    <mergeCell ref="A18:D20"/>
    <mergeCell ref="A58:Q58"/>
    <mergeCell ref="B40:E40"/>
    <mergeCell ref="P26:Q26"/>
    <mergeCell ref="B49:E49"/>
    <mergeCell ref="I28:K28"/>
    <mergeCell ref="F52:I52"/>
    <mergeCell ref="F35:H35"/>
    <mergeCell ref="F41:Q41"/>
    <mergeCell ref="B33:E33"/>
    <mergeCell ref="P25:Q25"/>
    <mergeCell ref="F50:Q50"/>
    <mergeCell ref="A60:Q60"/>
    <mergeCell ref="I7:I8"/>
    <mergeCell ref="M9:Q9"/>
    <mergeCell ref="A11:A16"/>
    <mergeCell ref="B9:C10"/>
    <mergeCell ref="B50:E50"/>
    <mergeCell ref="G38:H38"/>
    <mergeCell ref="B11:C11"/>
    <mergeCell ref="J12:Q13"/>
    <mergeCell ref="M2:Q2"/>
    <mergeCell ref="F27:H27"/>
    <mergeCell ref="B51:E53"/>
    <mergeCell ref="J53:Q53"/>
    <mergeCell ref="I23:K23"/>
    <mergeCell ref="O52:Q52"/>
    <mergeCell ref="P36:Q36"/>
    <mergeCell ref="L34:N34"/>
    <mergeCell ref="J36:K36"/>
    <mergeCell ref="L30:M30"/>
    <mergeCell ref="A55:E55"/>
    <mergeCell ref="N51:Q51"/>
    <mergeCell ref="B27:E27"/>
    <mergeCell ref="O23:Q23"/>
    <mergeCell ref="G24:H24"/>
    <mergeCell ref="F49:Q49"/>
    <mergeCell ref="D37:E37"/>
    <mergeCell ref="A42:E44"/>
    <mergeCell ref="A46:A53"/>
    <mergeCell ref="D11:G11"/>
    <mergeCell ref="B6:C8"/>
    <mergeCell ref="P37:Q37"/>
    <mergeCell ref="F29:H29"/>
    <mergeCell ref="D9:E9"/>
    <mergeCell ref="G26:H26"/>
    <mergeCell ref="M24:N24"/>
    <mergeCell ref="L28:N28"/>
    <mergeCell ref="I27:K27"/>
    <mergeCell ref="G25:H25"/>
    <mergeCell ref="D38:E38"/>
    <mergeCell ref="E19:F20"/>
    <mergeCell ref="F40:H40"/>
    <mergeCell ref="D5:Q5"/>
    <mergeCell ref="G19:Q20"/>
    <mergeCell ref="E18:F18"/>
    <mergeCell ref="K3:L3"/>
    <mergeCell ref="F55:Q55"/>
    <mergeCell ref="J38:K38"/>
    <mergeCell ref="O35:Q35"/>
    <mergeCell ref="A59:Q59"/>
    <mergeCell ref="B37:C38"/>
    <mergeCell ref="L23:N23"/>
    <mergeCell ref="K9:L9"/>
    <mergeCell ref="J51:M51"/>
    <mergeCell ref="F23:H23"/>
    <mergeCell ref="A61:Q61"/>
    <mergeCell ref="L29:Q29"/>
    <mergeCell ref="O27:Q27"/>
    <mergeCell ref="A23:E24"/>
    <mergeCell ref="J24:K24"/>
    <mergeCell ref="L40:N40"/>
    <mergeCell ref="I39:K39"/>
    <mergeCell ref="G37:H37"/>
    <mergeCell ref="L22:Q22"/>
    <mergeCell ref="C22:D22"/>
    <mergeCell ref="I29:K29"/>
    <mergeCell ref="J26:K26"/>
    <mergeCell ref="L21:Q21"/>
    <mergeCell ref="C21:D21"/>
    <mergeCell ref="M37:N37"/>
    <mergeCell ref="L27:N27"/>
    <mergeCell ref="J25:K25"/>
    <mergeCell ref="I40:K40"/>
    <mergeCell ref="M3:Q3"/>
    <mergeCell ref="F44:Q44"/>
    <mergeCell ref="M26:N26"/>
    <mergeCell ref="F34:H34"/>
    <mergeCell ref="D25:E25"/>
    <mergeCell ref="B12:C13"/>
    <mergeCell ref="G7:H8"/>
    <mergeCell ref="G32:H32"/>
    <mergeCell ref="M38:N38"/>
    <mergeCell ref="B5:C5"/>
    <mergeCell ref="A62:Q62"/>
    <mergeCell ref="B34:E34"/>
    <mergeCell ref="B35:E36"/>
    <mergeCell ref="J52:K52"/>
    <mergeCell ref="B28:E28"/>
    <mergeCell ref="B4:C4"/>
    <mergeCell ref="E21:I21"/>
    <mergeCell ref="F42:Q42"/>
    <mergeCell ref="P38:Q38"/>
    <mergeCell ref="L39:N39"/>
    <mergeCell ref="J7:Q8"/>
    <mergeCell ref="J37:K37"/>
    <mergeCell ref="G36:H36"/>
    <mergeCell ref="N30:Q30"/>
    <mergeCell ref="I33:K33"/>
    <mergeCell ref="B29:E30"/>
    <mergeCell ref="J30:K30"/>
    <mergeCell ref="F28:H28"/>
    <mergeCell ref="J21:K22"/>
    <mergeCell ref="A54:E54"/>
    <mergeCell ref="O40:Q40"/>
    <mergeCell ref="F15:H16"/>
    <mergeCell ref="A41:E41"/>
    <mergeCell ref="I14:Q14"/>
    <mergeCell ref="D32:E32"/>
    <mergeCell ref="I35:K35"/>
    <mergeCell ref="F56:Q56"/>
    <mergeCell ref="B46:E46"/>
    <mergeCell ref="A56:E56"/>
    <mergeCell ref="F43:Q43"/>
    <mergeCell ref="G30:H30"/>
    <mergeCell ref="B25:C26"/>
    <mergeCell ref="J32:K32"/>
    <mergeCell ref="J11:Q11"/>
    <mergeCell ref="B48:E48"/>
    <mergeCell ref="B31:C32"/>
    <mergeCell ref="F51:I51"/>
    <mergeCell ref="O34:Q34"/>
    <mergeCell ref="D4:Q4"/>
    <mergeCell ref="O28:Q28"/>
    <mergeCell ref="D10:F10"/>
    <mergeCell ref="F54:Q54"/>
    <mergeCell ref="G31:H31"/>
    <mergeCell ref="E22:I22"/>
  </mergeCells>
  <pageMargins left="0.984251968503937" right="0.1968503937007874" top="0.4724409448818898" bottom="0.2755905511811024" header="0.3149606299212598" footer="0.1968503937007874"/>
  <pageSetup orientation="portrait" paperSize="9" scale="107"/>
  <rowBreaks count="1" manualBreakCount="1">
    <brk id="53" min="0" max="16" man="1"/>
  </rowBreaks>
  <legacyDrawing xmlns:r="http://schemas.openxmlformats.org/officeDocument/2006/relationships" r:id="anysvml"/>
</worksheet>
</file>

<file path=xl/worksheets/sheet36.xml><?xml version="1.0" encoding="utf-8"?>
<worksheet xmlns="http://schemas.openxmlformats.org/spreadsheetml/2006/main">
  <sheetPr codeName="Sheet35">
    <outlinePr summaryBelow="1" summaryRight="1"/>
    <pageSetUpPr/>
  </sheetPr>
  <dimension ref="A1:Z49"/>
  <sheetViews>
    <sheetView view="pageBreakPreview" zoomScaleNormal="100" zoomScaleSheetLayoutView="100" workbookViewId="0">
      <selection activeCell="G15" sqref="G15"/>
    </sheetView>
  </sheetViews>
  <sheetFormatPr baseColWidth="8" defaultColWidth="4.625" defaultRowHeight="12.75" customHeight="1"/>
  <cols>
    <col width="4.625" customWidth="1" style="545" min="1" max="4"/>
    <col width="4.875" customWidth="1" style="545" min="5" max="5"/>
    <col width="4.625" customWidth="1" style="545" min="6" max="16384"/>
  </cols>
  <sheetData>
    <row r="1" ht="12.75" customHeight="1" s="4080">
      <c r="A1" s="3531" t="inlineStr">
        <is>
          <t>付表19　保育所等訪問支援事業所の指定に係る記載事項</t>
        </is>
      </c>
    </row>
    <row r="2" ht="19.15" customHeight="1" s="4080">
      <c r="Z2" s="719">
        <f>HYPERLINK("#目次!A1","目次へ戻る")</f>
        <v/>
      </c>
    </row>
    <row r="3" ht="12.75" customHeight="1" s="4080" thickBot="1">
      <c r="A3" s="3657" t="n"/>
      <c r="B3" s="3466" t="n"/>
      <c r="I3" s="3531" t="n"/>
      <c r="K3" s="3467" t="n"/>
      <c r="L3" s="4087" t="n"/>
      <c r="M3" s="3468" t="n"/>
      <c r="N3" s="4087" t="n"/>
      <c r="O3" s="4087" t="n"/>
      <c r="P3" s="4087" t="n"/>
      <c r="Q3" s="4087" t="n"/>
    </row>
    <row r="4" ht="12.75" customHeight="1" s="4080" thickBot="1">
      <c r="K4" s="3469" t="inlineStr">
        <is>
          <t>事業所番号</t>
        </is>
      </c>
      <c r="L4" s="4866" t="n"/>
      <c r="M4" s="3471" t="n"/>
      <c r="N4" s="4359" t="n"/>
      <c r="O4" s="4359" t="n"/>
      <c r="P4" s="4359" t="n"/>
      <c r="Q4" s="4866" t="n"/>
    </row>
    <row r="5" ht="12.75" customHeight="1" s="4080">
      <c r="A5" s="4867" t="inlineStr">
        <is>
          <t>事業所</t>
        </is>
      </c>
      <c r="B5" s="3488" t="inlineStr">
        <is>
          <t>フリガナ</t>
        </is>
      </c>
      <c r="C5" s="4094" t="n"/>
      <c r="D5" s="3490" t="n"/>
      <c r="E5" s="4082" t="n"/>
      <c r="F5" s="4082" t="n"/>
      <c r="G5" s="4082" t="n"/>
      <c r="H5" s="4082" t="n"/>
      <c r="I5" s="4082" t="n"/>
      <c r="J5" s="4082" t="n"/>
      <c r="K5" s="4082" t="n"/>
      <c r="L5" s="4082" t="n"/>
      <c r="M5" s="4082" t="n"/>
      <c r="N5" s="4082" t="n"/>
      <c r="O5" s="4082" t="n"/>
      <c r="P5" s="4082" t="n"/>
      <c r="Q5" s="4356" t="n"/>
    </row>
    <row r="6" ht="25.5" customHeight="1" s="4080">
      <c r="A6" s="4208" t="n"/>
      <c r="B6" s="3484" t="inlineStr">
        <is>
          <t>名　　称</t>
        </is>
      </c>
      <c r="C6" s="4111" t="n"/>
      <c r="D6" s="4868" t="n"/>
      <c r="E6" s="4459" t="n"/>
      <c r="F6" s="4459" t="n"/>
      <c r="G6" s="4459" t="n"/>
      <c r="H6" s="4459" t="n"/>
      <c r="I6" s="4459" t="n"/>
      <c r="J6" s="4459" t="n"/>
      <c r="K6" s="4459" t="n"/>
      <c r="L6" s="4459" t="n"/>
      <c r="M6" s="4459" t="n"/>
      <c r="N6" s="4459" t="n"/>
      <c r="O6" s="4459" t="n"/>
      <c r="P6" s="4459" t="n"/>
      <c r="Q6" s="4462" t="n"/>
    </row>
    <row r="7" ht="12.75" customHeight="1" s="4080">
      <c r="A7" s="4208" t="n"/>
      <c r="B7" s="3484" t="inlineStr">
        <is>
          <t>所在地</t>
        </is>
      </c>
      <c r="C7" s="4099" t="n"/>
      <c r="D7" s="548" t="inlineStr">
        <is>
          <t>（郵便番号　　　　　－　　　　　）</t>
        </is>
      </c>
      <c r="E7" s="549" t="n"/>
      <c r="F7" s="549" t="n"/>
      <c r="G7" s="549" t="n"/>
      <c r="H7" s="549" t="n"/>
      <c r="I7" s="549" t="n"/>
      <c r="J7" s="549" t="n"/>
      <c r="K7" s="549" t="n"/>
      <c r="L7" s="549" t="n"/>
      <c r="M7" s="549" t="n"/>
      <c r="N7" s="549" t="n"/>
      <c r="O7" s="549" t="n"/>
      <c r="P7" s="549" t="n"/>
      <c r="Q7" s="550" t="n"/>
    </row>
    <row r="8" ht="12.75" customHeight="1" s="4080">
      <c r="A8" s="4208" t="n"/>
      <c r="C8" s="4107" t="n"/>
      <c r="D8" s="3501" t="inlineStr">
        <is>
          <t>大阪市</t>
        </is>
      </c>
      <c r="G8" s="3498" t="n"/>
      <c r="I8" s="3502" t="inlineStr">
        <is>
          <t>区</t>
        </is>
      </c>
      <c r="J8" s="3504" t="n"/>
      <c r="Q8" s="4109" t="n"/>
    </row>
    <row r="9" ht="12.75" customHeight="1" s="4080">
      <c r="A9" s="4208" t="n"/>
      <c r="B9" s="4103" t="n"/>
      <c r="C9" s="4104" t="n"/>
      <c r="D9" s="4102" t="n"/>
      <c r="E9" s="4103" t="n"/>
      <c r="F9" s="4103" t="n"/>
      <c r="G9" s="4103" t="n"/>
      <c r="H9" s="4103" t="n"/>
      <c r="I9" s="4103" t="n"/>
      <c r="J9" s="4103" t="n"/>
      <c r="K9" s="4103" t="n"/>
      <c r="L9" s="4103" t="n"/>
      <c r="M9" s="4103" t="n"/>
      <c r="N9" s="4103" t="n"/>
      <c r="O9" s="4103" t="n"/>
      <c r="P9" s="4103" t="n"/>
      <c r="Q9" s="4105" t="n"/>
    </row>
    <row r="10" ht="15" customHeight="1" s="4080">
      <c r="A10" s="4208" t="n"/>
      <c r="B10" s="3477" t="inlineStr">
        <is>
          <t>連 絡 先</t>
        </is>
      </c>
      <c r="C10" s="4099" t="n"/>
      <c r="D10" s="3477" t="inlineStr">
        <is>
          <t>電話番号</t>
        </is>
      </c>
      <c r="E10" s="4111" t="n"/>
      <c r="F10" s="3478" t="n"/>
      <c r="G10" s="4110" t="n"/>
      <c r="H10" s="4110" t="n"/>
      <c r="I10" s="4110" t="n"/>
      <c r="J10" s="4111" t="n"/>
      <c r="K10" s="3480" t="inlineStr">
        <is>
          <t>ＦＡＸ番号</t>
        </is>
      </c>
      <c r="L10" s="4099" t="n"/>
      <c r="M10" s="3479" t="n"/>
      <c r="N10" s="4098" t="n"/>
      <c r="O10" s="4098" t="n"/>
      <c r="P10" s="4098" t="n"/>
      <c r="Q10" s="4099" t="n"/>
    </row>
    <row r="11" ht="15" customHeight="1" s="4080">
      <c r="A11" s="4737" t="n"/>
      <c r="B11" s="4102" t="n"/>
      <c r="C11" s="4104" t="n"/>
      <c r="D11" s="3477" t="inlineStr">
        <is>
          <t>メールアドレス</t>
        </is>
      </c>
      <c r="E11" s="4110" t="n"/>
      <c r="F11" s="4111" t="n"/>
      <c r="G11" s="4186" t="n"/>
      <c r="H11" s="4110" t="n"/>
      <c r="I11" s="4110" t="n"/>
      <c r="J11" s="4110" t="n"/>
      <c r="K11" s="4110" t="n"/>
      <c r="L11" s="4110" t="n"/>
      <c r="M11" s="4110" t="n"/>
      <c r="N11" s="4110" t="n"/>
      <c r="O11" s="4110" t="n"/>
      <c r="P11" s="4110" t="n"/>
      <c r="Q11" s="4113" t="n"/>
    </row>
    <row r="12" ht="13.5" customHeight="1" s="4080">
      <c r="A12" s="4869" t="inlineStr">
        <is>
          <t>管理者</t>
        </is>
      </c>
      <c r="B12" s="3477" t="inlineStr">
        <is>
          <t>フリガナ</t>
        </is>
      </c>
      <c r="C12" s="4111" t="n"/>
      <c r="D12" s="3525" t="n"/>
      <c r="E12" s="4138" t="n"/>
      <c r="F12" s="4138" t="n"/>
      <c r="G12" s="4139" t="n"/>
      <c r="H12" s="3477" t="inlineStr">
        <is>
          <t>住　所</t>
        </is>
      </c>
      <c r="I12" s="4099" t="n"/>
      <c r="J12" s="4870" t="inlineStr">
        <is>
          <t>（郵便番号　　　　　－　　　　　）</t>
        </is>
      </c>
      <c r="K12" s="4098" t="n"/>
      <c r="L12" s="4098" t="n"/>
      <c r="M12" s="4098" t="n"/>
      <c r="N12" s="4098" t="n"/>
      <c r="O12" s="4098" t="n"/>
      <c r="P12" s="4098" t="n"/>
      <c r="Q12" s="4101" t="n"/>
    </row>
    <row r="13" ht="18" customHeight="1" s="4080">
      <c r="A13" s="4208" t="n"/>
      <c r="B13" s="3477" t="inlineStr">
        <is>
          <t>氏　名</t>
        </is>
      </c>
      <c r="C13" s="4099" t="n"/>
      <c r="D13" s="4871" t="n"/>
      <c r="G13" s="4107" t="n"/>
      <c r="H13" s="4106" t="n"/>
      <c r="I13" s="4107" t="n"/>
      <c r="J13" s="4872" t="n"/>
      <c r="Q13" s="4109" t="n"/>
    </row>
    <row r="14" ht="13.5" customHeight="1" s="4080">
      <c r="A14" s="4208" t="n"/>
      <c r="B14" s="4102" t="n"/>
      <c r="C14" s="4104" t="n"/>
      <c r="D14" s="4102" t="n"/>
      <c r="E14" s="4103" t="n"/>
      <c r="F14" s="4103" t="n"/>
      <c r="G14" s="4104" t="n"/>
      <c r="H14" s="4102" t="n"/>
      <c r="I14" s="4104" t="n"/>
      <c r="J14" s="4102" t="n"/>
      <c r="K14" s="4103" t="n"/>
      <c r="L14" s="4103" t="n"/>
      <c r="M14" s="4103" t="n"/>
      <c r="N14" s="4103" t="n"/>
      <c r="O14" s="4103" t="n"/>
      <c r="P14" s="4103" t="n"/>
      <c r="Q14" s="4105" t="n"/>
    </row>
    <row r="15" ht="13.5" customHeight="1" s="4080">
      <c r="A15" s="4208" t="n"/>
      <c r="B15" s="4873" t="inlineStr">
        <is>
          <t>当該事業所の他の職務又は同一敷地内の他の事業所又は施設の従業者との兼務（兼務の場合記入）</t>
        </is>
      </c>
      <c r="C15" s="4098" t="n"/>
      <c r="D15" s="4098" t="n"/>
      <c r="E15" s="4099" t="n"/>
      <c r="F15" s="3612" t="inlineStr">
        <is>
          <t>事業所等の名称</t>
        </is>
      </c>
      <c r="G15" s="4110" t="n"/>
      <c r="H15" s="4111" t="n"/>
      <c r="I15" s="4874" t="n"/>
      <c r="J15" s="4110" t="n"/>
      <c r="K15" s="4110" t="n"/>
      <c r="L15" s="4110" t="n"/>
      <c r="M15" s="4110" t="n"/>
      <c r="N15" s="4110" t="n"/>
      <c r="O15" s="4110" t="n"/>
      <c r="P15" s="4110" t="n"/>
      <c r="Q15" s="4113" t="n"/>
    </row>
    <row r="16" ht="13.5" customHeight="1" s="4080">
      <c r="A16" s="4208" t="n"/>
      <c r="B16" s="4106" t="n"/>
      <c r="E16" s="4107" t="n"/>
      <c r="F16" s="4875" t="inlineStr">
        <is>
          <t>兼務する職種及び勤務時間等</t>
        </is>
      </c>
      <c r="G16" s="4098" t="n"/>
      <c r="H16" s="4099" t="n"/>
      <c r="I16" s="4876" t="n"/>
      <c r="J16" s="4486" t="n"/>
      <c r="K16" s="4486" t="n"/>
      <c r="L16" s="4486" t="n"/>
      <c r="M16" s="4486" t="n"/>
      <c r="N16" s="4486" t="n"/>
      <c r="O16" s="4486" t="n"/>
      <c r="P16" s="4486" t="n"/>
      <c r="Q16" s="4877" t="n"/>
    </row>
    <row r="17" ht="13.5" customHeight="1" s="4080">
      <c r="A17" s="4737" t="n"/>
      <c r="B17" s="4102" t="n"/>
      <c r="C17" s="4103" t="n"/>
      <c r="D17" s="4103" t="n"/>
      <c r="E17" s="4104" t="n"/>
      <c r="F17" s="4102" t="n"/>
      <c r="G17" s="4103" t="n"/>
      <c r="H17" s="4104" t="n"/>
      <c r="I17" s="4878" t="n"/>
      <c r="J17" s="4459" t="n"/>
      <c r="K17" s="4459" t="n"/>
      <c r="L17" s="4459" t="n"/>
      <c r="M17" s="4459" t="n"/>
      <c r="N17" s="4459" t="n"/>
      <c r="O17" s="4459" t="n"/>
      <c r="P17" s="4459" t="n"/>
      <c r="Q17" s="4462" t="n"/>
    </row>
    <row r="18" ht="12.75" customHeight="1" s="4080">
      <c r="A18" s="4879" t="inlineStr">
        <is>
          <t>当該支援の実施について定めてある定款又は条例等</t>
        </is>
      </c>
      <c r="B18" s="4110" t="n"/>
      <c r="C18" s="4110" t="n"/>
      <c r="D18" s="4110" t="n"/>
      <c r="E18" s="4110" t="n"/>
      <c r="F18" s="4110" t="n"/>
      <c r="G18" s="4110" t="n"/>
      <c r="H18" s="4110" t="n"/>
      <c r="I18" s="4111" t="n"/>
      <c r="J18" s="3477" t="inlineStr">
        <is>
          <t>第　　条第　　項第　　号</t>
        </is>
      </c>
      <c r="K18" s="4110" t="n"/>
      <c r="L18" s="4110" t="n"/>
      <c r="M18" s="4110" t="n"/>
      <c r="N18" s="4110" t="n"/>
      <c r="O18" s="4110" t="n"/>
      <c r="P18" s="4110" t="n"/>
      <c r="Q18" s="4111" t="n"/>
    </row>
    <row r="19" ht="13.5" customHeight="1" s="4080">
      <c r="A19" s="4882" t="inlineStr">
        <is>
          <t>児童発達支援管理責任者</t>
        </is>
      </c>
      <c r="B19" s="4099" t="n"/>
      <c r="C19" s="3477" t="inlineStr">
        <is>
          <t>フリガナ</t>
        </is>
      </c>
      <c r="D19" s="4111" t="n"/>
      <c r="E19" s="4883" t="n"/>
      <c r="F19" s="4486" t="n"/>
      <c r="G19" s="4486" t="n"/>
      <c r="H19" s="4486" t="n"/>
      <c r="I19" s="4494" t="n"/>
      <c r="J19" s="3482" t="inlineStr">
        <is>
          <t>住 所</t>
        </is>
      </c>
      <c r="K19" s="4098" t="n"/>
      <c r="L19" s="4884" t="inlineStr">
        <is>
          <t>（郵便番号　　　　　－　　　　　）</t>
        </is>
      </c>
      <c r="M19" s="4098" t="n"/>
      <c r="N19" s="4098" t="n"/>
      <c r="O19" s="4098" t="n"/>
      <c r="P19" s="4098" t="n"/>
      <c r="Q19" s="4101" t="n"/>
    </row>
    <row r="20" ht="20.25" customHeight="1" s="4080">
      <c r="A20" s="4114" t="n"/>
      <c r="B20" s="4104" t="n"/>
      <c r="C20" s="3477" t="inlineStr">
        <is>
          <t>氏　名</t>
        </is>
      </c>
      <c r="D20" s="4111" t="n"/>
      <c r="E20" s="4885" t="n"/>
      <c r="F20" s="4103" t="n"/>
      <c r="G20" s="4103" t="n"/>
      <c r="H20" s="4103" t="n"/>
      <c r="I20" s="4104" t="n"/>
      <c r="J20" s="4102" t="n"/>
      <c r="K20" s="4103" t="n"/>
      <c r="L20" s="4886" t="n"/>
      <c r="M20" s="4103" t="n"/>
      <c r="N20" s="4103" t="n"/>
      <c r="O20" s="4103" t="n"/>
      <c r="P20" s="4103" t="n"/>
      <c r="Q20" s="4105" t="n"/>
    </row>
    <row r="21" ht="12.75" customHeight="1" s="4080">
      <c r="A21" s="4887" t="inlineStr">
        <is>
          <t>従業者の職種・員数</t>
        </is>
      </c>
      <c r="B21" s="4098" t="n"/>
      <c r="C21" s="4098" t="n"/>
      <c r="D21" s="4098" t="n"/>
      <c r="E21" s="4099" t="n"/>
      <c r="F21" s="3480" t="inlineStr">
        <is>
          <t>訪問支援員</t>
        </is>
      </c>
      <c r="G21" s="4098" t="n"/>
      <c r="H21" s="4099" t="n"/>
      <c r="I21" s="4888" t="inlineStr">
        <is>
          <t>児童発達支援管理責任者</t>
        </is>
      </c>
      <c r="J21" s="4098" t="n"/>
      <c r="K21" s="4099" t="n"/>
      <c r="L21" s="3589" t="n"/>
      <c r="M21" s="4098" t="n"/>
      <c r="N21" s="4098" t="n"/>
      <c r="O21" s="3592" t="n"/>
      <c r="P21" s="4098" t="n"/>
      <c r="Q21" s="4101" t="n"/>
    </row>
    <row r="22" ht="12.75" customHeight="1" s="4080">
      <c r="A22" s="4114" t="n"/>
      <c r="B22" s="4103" t="n"/>
      <c r="C22" s="4103" t="n"/>
      <c r="D22" s="4103" t="n"/>
      <c r="E22" s="4104" t="n"/>
      <c r="F22" s="3477" t="inlineStr">
        <is>
          <t>専従</t>
        </is>
      </c>
      <c r="G22" s="3484" t="inlineStr">
        <is>
          <t>兼務</t>
        </is>
      </c>
      <c r="H22" s="4111" t="n"/>
      <c r="I22" s="3477" t="inlineStr">
        <is>
          <t>専従</t>
        </is>
      </c>
      <c r="J22" s="3484" t="inlineStr">
        <is>
          <t>兼務</t>
        </is>
      </c>
      <c r="K22" s="4111" t="n"/>
      <c r="L22" s="3526" t="n"/>
      <c r="M22" s="3599" t="n"/>
      <c r="O22" s="3496" t="n"/>
      <c r="P22" s="3646" t="n"/>
      <c r="Q22" s="4109" t="n"/>
    </row>
    <row r="23" ht="12.75" customHeight="1" s="4080">
      <c r="A23" s="3588" t="n"/>
      <c r="B23" s="3477" t="inlineStr">
        <is>
          <t>従業者数</t>
        </is>
      </c>
      <c r="C23" s="4099" t="n"/>
      <c r="D23" s="3638" t="inlineStr">
        <is>
          <t>常勤（人）</t>
        </is>
      </c>
      <c r="E23" s="4111" t="n"/>
      <c r="F23" s="3477" t="n"/>
      <c r="G23" s="3484" t="n"/>
      <c r="H23" s="4111" t="n"/>
      <c r="I23" s="3477" t="n"/>
      <c r="J23" s="3484" t="n"/>
      <c r="K23" s="4111" t="n"/>
      <c r="L23" s="3526" t="n"/>
      <c r="M23" s="3496" t="n"/>
      <c r="O23" s="3496" t="n"/>
      <c r="P23" s="3503" t="n"/>
      <c r="Q23" s="4109" t="n"/>
    </row>
    <row r="24" ht="12.75" customHeight="1" s="4080">
      <c r="A24" s="3588" t="n"/>
      <c r="B24" s="4102" t="n"/>
      <c r="C24" s="4104" t="n"/>
      <c r="D24" s="3638" t="inlineStr">
        <is>
          <t>非常勤（人）</t>
        </is>
      </c>
      <c r="E24" s="4111" t="n"/>
      <c r="F24" s="3477" t="n"/>
      <c r="G24" s="3484" t="n"/>
      <c r="H24" s="4111" t="n"/>
      <c r="I24" s="3477" t="n"/>
      <c r="J24" s="3484" t="n"/>
      <c r="K24" s="4111" t="n"/>
      <c r="L24" s="3526" t="n"/>
      <c r="M24" s="3496" t="n"/>
      <c r="O24" s="3496" t="n"/>
      <c r="P24" s="3503" t="n"/>
      <c r="Q24" s="4109" t="n"/>
    </row>
    <row r="25" ht="12.75" customHeight="1" s="4080">
      <c r="A25" s="3588" t="n"/>
      <c r="B25" s="3638" t="inlineStr">
        <is>
          <t>備　　　　　　　　　　　考</t>
        </is>
      </c>
      <c r="C25" s="4110" t="n"/>
      <c r="D25" s="4110" t="n"/>
      <c r="E25" s="4111" t="n"/>
      <c r="F25" s="3477" t="n"/>
      <c r="G25" s="4110" t="n"/>
      <c r="H25" s="4111" t="n"/>
      <c r="I25" s="3477" t="n"/>
      <c r="J25" s="4110" t="n"/>
      <c r="K25" s="4111" t="n"/>
      <c r="L25" s="3526" t="n"/>
      <c r="O25" s="3503" t="n"/>
      <c r="Q25" s="4109" t="n"/>
    </row>
    <row r="26" ht="12.75" customHeight="1" s="4080">
      <c r="A26" s="3588" t="n"/>
      <c r="B26" s="3638" t="inlineStr">
        <is>
          <t>基準上の必要人数（人）</t>
        </is>
      </c>
      <c r="C26" s="4110" t="n"/>
      <c r="D26" s="4110" t="n"/>
      <c r="E26" s="4111" t="n"/>
      <c r="F26" s="3639" t="n"/>
      <c r="G26" s="4110" t="n"/>
      <c r="H26" s="4111" t="n"/>
      <c r="I26" s="3639" t="n"/>
      <c r="J26" s="4110" t="n"/>
      <c r="K26" s="4111" t="n"/>
      <c r="L26" s="3647" t="n"/>
      <c r="M26" s="4103" t="n"/>
      <c r="N26" s="4103" t="n"/>
      <c r="O26" s="3649" t="n"/>
      <c r="P26" s="4103" t="n"/>
      <c r="Q26" s="4105" t="n"/>
    </row>
    <row r="27" ht="12.75" customHeight="1" s="4080" thickBot="1">
      <c r="A27" s="3650" t="inlineStr">
        <is>
          <t>設備</t>
        </is>
      </c>
      <c r="B27" s="4153" t="n"/>
      <c r="C27" s="4153" t="n"/>
      <c r="D27" s="4153" t="n"/>
      <c r="E27" s="4155" t="n"/>
      <c r="F27" s="3610" t="inlineStr">
        <is>
          <t>専用の区画</t>
        </is>
      </c>
      <c r="G27" s="4098" t="n"/>
      <c r="H27" s="4098" t="n"/>
      <c r="I27" s="4098" t="n"/>
      <c r="J27" s="4098" t="n"/>
      <c r="K27" s="4101" t="n"/>
      <c r="L27" s="4895" t="inlineStr">
        <is>
          <t>有　　　・　　　無</t>
        </is>
      </c>
      <c r="M27" s="4098" t="n"/>
      <c r="N27" s="4098" t="n"/>
      <c r="O27" s="4098" t="n"/>
      <c r="P27" s="4098" t="n"/>
      <c r="Q27" s="4101" t="n"/>
    </row>
    <row r="28" ht="12.75" customHeight="1" s="4080">
      <c r="A28" s="4887" t="inlineStr">
        <is>
          <t>主な掲示事項</t>
        </is>
      </c>
      <c r="B28" s="4110" t="n"/>
      <c r="C28" s="4110" t="n"/>
      <c r="D28" s="4110" t="n"/>
      <c r="E28" s="4111" t="n"/>
      <c r="F28" s="4902" t="n"/>
      <c r="G28" s="4093" t="n"/>
      <c r="H28" s="4093" t="n"/>
      <c r="I28" s="4093" t="n"/>
      <c r="J28" s="4093" t="n"/>
      <c r="K28" s="4093" t="n"/>
      <c r="L28" s="4093" t="n"/>
      <c r="M28" s="4093" t="n"/>
      <c r="N28" s="4093" t="n"/>
      <c r="O28" s="4093" t="n"/>
      <c r="P28" s="4093" t="n"/>
      <c r="Q28" s="4096" t="n"/>
    </row>
    <row r="29" ht="13.5" customHeight="1" s="4080">
      <c r="A29" s="3611" t="n"/>
      <c r="B29" s="3612" t="inlineStr">
        <is>
          <t>営業日</t>
        </is>
      </c>
      <c r="C29" s="4110" t="n"/>
      <c r="D29" s="4110" t="n"/>
      <c r="E29" s="4111" t="n"/>
      <c r="F29" s="3612" t="n"/>
      <c r="G29" s="4110" t="n"/>
      <c r="H29" s="4110" t="n"/>
      <c r="I29" s="4110" t="n"/>
      <c r="J29" s="4110" t="n"/>
      <c r="K29" s="4110" t="n"/>
      <c r="L29" s="4110" t="n"/>
      <c r="M29" s="4110" t="n"/>
      <c r="N29" s="4110" t="n"/>
      <c r="O29" s="4110" t="n"/>
      <c r="P29" s="4110" t="n"/>
      <c r="Q29" s="4111" t="n"/>
    </row>
    <row r="30" ht="13.5" customHeight="1" s="4080">
      <c r="A30" s="4097" t="n"/>
      <c r="B30" s="3612" t="inlineStr">
        <is>
          <t>営業時間</t>
        </is>
      </c>
      <c r="C30" s="4110" t="n"/>
      <c r="D30" s="4110" t="n"/>
      <c r="E30" s="4111" t="n"/>
      <c r="F30" s="3614" t="inlineStr">
        <is>
          <t>サービス提供時間</t>
        </is>
      </c>
      <c r="G30" s="4110" t="n"/>
      <c r="H30" s="4110" t="n"/>
      <c r="I30" s="4110" t="n"/>
      <c r="J30" s="4110" t="n"/>
      <c r="K30" s="4110" t="n"/>
      <c r="L30" s="4110" t="n"/>
      <c r="M30" s="4110" t="n"/>
      <c r="N30" s="4110" t="n"/>
      <c r="O30" s="4110" t="n"/>
      <c r="P30" s="4110" t="n"/>
      <c r="Q30" s="4111" t="n"/>
    </row>
    <row r="31" ht="13.5" customHeight="1" s="4080">
      <c r="A31" s="4097" t="n"/>
      <c r="B31" s="3612" t="inlineStr">
        <is>
          <t>利用料</t>
        </is>
      </c>
      <c r="C31" s="4110" t="n"/>
      <c r="D31" s="4110" t="n"/>
      <c r="E31" s="4111" t="n"/>
      <c r="F31" s="3477" t="n"/>
      <c r="G31" s="4110" t="n"/>
      <c r="H31" s="4110" t="n"/>
      <c r="I31" s="4110" t="n"/>
      <c r="J31" s="4110" t="n"/>
      <c r="K31" s="4110" t="n"/>
      <c r="L31" s="4110" t="n"/>
      <c r="M31" s="4110" t="n"/>
      <c r="N31" s="4110" t="n"/>
      <c r="O31" s="4110" t="n"/>
      <c r="P31" s="4110" t="n"/>
      <c r="Q31" s="4111" t="n"/>
    </row>
    <row r="32" ht="13.5" customHeight="1" s="4080">
      <c r="A32" s="4097" t="n"/>
      <c r="B32" s="3612" t="inlineStr">
        <is>
          <t>その他の費用</t>
        </is>
      </c>
      <c r="C32" s="4110" t="n"/>
      <c r="D32" s="4110" t="n"/>
      <c r="E32" s="4111" t="n"/>
      <c r="F32" s="3477" t="n"/>
      <c r="G32" s="4110" t="n"/>
      <c r="H32" s="4110" t="n"/>
      <c r="I32" s="4110" t="n"/>
      <c r="J32" s="4110" t="n"/>
      <c r="K32" s="4110" t="n"/>
      <c r="L32" s="4110" t="n"/>
      <c r="M32" s="4110" t="n"/>
      <c r="N32" s="4110" t="n"/>
      <c r="O32" s="4110" t="n"/>
      <c r="P32" s="4110" t="n"/>
      <c r="Q32" s="4111" t="n"/>
    </row>
    <row r="33" ht="13.5" customHeight="1" s="4080">
      <c r="A33" s="4097" t="n"/>
      <c r="B33" s="3612" t="inlineStr">
        <is>
          <t>通常の事業の実施地域</t>
        </is>
      </c>
      <c r="C33" s="4110" t="n"/>
      <c r="D33" s="4110" t="n"/>
      <c r="E33" s="4111" t="n"/>
      <c r="F33" s="3482" t="n"/>
      <c r="G33" s="3483" t="n"/>
      <c r="H33" s="3483" t="n"/>
      <c r="I33" s="3484" t="n"/>
      <c r="J33" s="3482" t="n"/>
      <c r="K33" s="3483" t="n"/>
      <c r="L33" s="3483" t="n"/>
      <c r="M33" s="3484" t="n"/>
      <c r="N33" s="3482" t="n"/>
      <c r="O33" s="3483" t="n"/>
      <c r="P33" s="3483" t="n"/>
      <c r="Q33" s="3553" t="n"/>
    </row>
    <row r="34" ht="13.5" customHeight="1" s="4080">
      <c r="A34" s="4097" t="n"/>
      <c r="B34" s="3612" t="inlineStr">
        <is>
          <t>その他参考となる事項</t>
        </is>
      </c>
      <c r="C34" s="4098" t="n"/>
      <c r="D34" s="4098" t="n"/>
      <c r="E34" s="4099" t="n"/>
      <c r="F34" s="3477" t="inlineStr">
        <is>
          <t>第三者評価の実施状況</t>
        </is>
      </c>
      <c r="G34" s="4110" t="n"/>
      <c r="H34" s="4110" t="n"/>
      <c r="I34" s="4111" t="n"/>
      <c r="J34" s="3477" t="inlineStr">
        <is>
          <t>している　・　していない</t>
        </is>
      </c>
      <c r="K34" s="4110" t="n"/>
      <c r="L34" s="4110" t="n"/>
      <c r="M34" s="4111" t="n"/>
      <c r="N34" s="3523" t="n"/>
      <c r="O34" s="4110" t="n"/>
      <c r="P34" s="4110" t="n"/>
      <c r="Q34" s="4113" t="n"/>
    </row>
    <row r="35" ht="13.5" customHeight="1" s="4080">
      <c r="A35" s="4097" t="n"/>
      <c r="B35" s="4106" t="n"/>
      <c r="E35" s="4107" t="n"/>
      <c r="F35" s="3477" t="inlineStr">
        <is>
          <t>苦情解決の措置概要</t>
        </is>
      </c>
      <c r="G35" s="4110" t="n"/>
      <c r="H35" s="4110" t="n"/>
      <c r="I35" s="4111" t="n"/>
      <c r="J35" s="3638" t="inlineStr">
        <is>
          <t>窓口（連絡先）</t>
        </is>
      </c>
      <c r="K35" s="4111" t="n"/>
      <c r="L35" s="3483" t="n"/>
      <c r="M35" s="3484" t="n"/>
      <c r="N35" s="3638" t="inlineStr">
        <is>
          <t>担当者</t>
        </is>
      </c>
      <c r="O35" s="3523" t="n"/>
      <c r="P35" s="4110" t="n"/>
      <c r="Q35" s="4113" t="n"/>
    </row>
    <row r="36" ht="13.5" customHeight="1" s="4080">
      <c r="A36" s="4114" t="n"/>
      <c r="B36" s="4102" t="n"/>
      <c r="C36" s="4103" t="n"/>
      <c r="D36" s="4103" t="n"/>
      <c r="E36" s="4104" t="n"/>
      <c r="F36" s="3477" t="inlineStr">
        <is>
          <t>その他</t>
        </is>
      </c>
      <c r="G36" s="4110" t="n"/>
      <c r="H36" s="4110" t="n"/>
      <c r="I36" s="4111" t="n"/>
      <c r="J36" s="3523" t="n"/>
      <c r="K36" s="4110" t="n"/>
      <c r="L36" s="4110" t="n"/>
      <c r="M36" s="4110" t="n"/>
      <c r="N36" s="4110" t="n"/>
      <c r="O36" s="4110" t="n"/>
      <c r="P36" s="4110" t="n"/>
      <c r="Q36" s="4113" t="n"/>
    </row>
    <row r="37" ht="12.75" customHeight="1" s="4080">
      <c r="A37" s="4887" t="inlineStr">
        <is>
          <t>多機能型実施の有無</t>
        </is>
      </c>
      <c r="B37" s="4110" t="n"/>
      <c r="C37" s="4110" t="n"/>
      <c r="D37" s="4110" t="n"/>
      <c r="E37" s="4111" t="n"/>
      <c r="F37" s="3523" t="inlineStr">
        <is>
          <t>有　　　・　　　無</t>
        </is>
      </c>
      <c r="G37" s="4110" t="n"/>
      <c r="H37" s="4110" t="n"/>
      <c r="I37" s="4110" t="n"/>
      <c r="J37" s="4110" t="n"/>
      <c r="K37" s="4110" t="n"/>
      <c r="L37" s="4110" t="n"/>
      <c r="M37" s="4110" t="n"/>
      <c r="N37" s="4110" t="n"/>
      <c r="O37" s="4110" t="n"/>
      <c r="P37" s="4110" t="n"/>
      <c r="Q37" s="4113" t="n"/>
    </row>
    <row r="38" ht="61.5" customHeight="1" s="4080" thickBot="1">
      <c r="A38" s="3626" t="inlineStr">
        <is>
          <t>添付書類</t>
        </is>
      </c>
      <c r="B38" s="4153" t="n"/>
      <c r="C38" s="4153" t="n"/>
      <c r="D38" s="4153" t="n"/>
      <c r="E38" s="4154" t="n"/>
      <c r="F38" s="4898" t="inlineStr">
        <is>
          <t>別添のとおり（定款及び登記簿謄本又は条例等、事業所平面図、経歴書、運営規程、障害児等からの苦情を解決するために講ずる措置の概要、勤務体制・形態一覧表、資産状況（貸借対照表・財産目録等）、設備・備品等一覧表、協力医療機関との契約内容がわかるもの）
利用者負担の受領等に関する保護者向け資料、内規他参考になるもの　障害児通所給付費の請求に関する事項</t>
        </is>
      </c>
      <c r="G38" s="4153" t="n"/>
      <c r="H38" s="4153" t="n"/>
      <c r="I38" s="4153" t="n"/>
      <c r="J38" s="4153" t="n"/>
      <c r="K38" s="4153" t="n"/>
      <c r="L38" s="4153" t="n"/>
      <c r="M38" s="4153" t="n"/>
      <c r="N38" s="4153" t="n"/>
      <c r="O38" s="4153" t="n"/>
      <c r="P38" s="4153" t="n"/>
      <c r="Q38" s="4155" t="n"/>
    </row>
    <row r="39" ht="12.75" customHeight="1" s="4080">
      <c r="A39" s="572" t="inlineStr">
        <is>
          <t>（備考）</t>
        </is>
      </c>
    </row>
    <row r="40" ht="12.75" customHeight="1" s="4080">
      <c r="A40" s="3603" t="inlineStr">
        <is>
          <t>１．「受付番号」「基準上の必要人数」欄には、記載しないでください。</t>
        </is>
      </c>
    </row>
    <row r="41" ht="12.75" customHeight="1" s="4080">
      <c r="A41" s="3623" t="inlineStr">
        <is>
          <t>２．記入欄が不足する場合は、適宜欄を設けて記載するか又は別葉に記載した書類を添付してください。</t>
        </is>
      </c>
    </row>
    <row r="42" ht="12.75" customHeight="1" s="4080">
      <c r="A42" s="3603" t="inlineStr">
        <is>
          <t>３．「主な掲示事項」欄には、その内容を簡潔に記載してください。</t>
        </is>
      </c>
    </row>
    <row r="43" ht="29.25" customHeight="1" s="4080">
      <c r="A43" s="3623" t="inlineStr">
        <is>
          <t>４．「その他の費用」欄には、保護者等に直接金銭の負担を求める場合のサービス内容について記載し
    てください。</t>
        </is>
      </c>
    </row>
    <row r="44" ht="29.25" customHeight="1" s="4080">
      <c r="A44" s="3623" t="n"/>
    </row>
    <row r="45" ht="12.75" customHeight="1" s="4080">
      <c r="A45" s="3603" t="n"/>
      <c r="B45" s="3625" t="n"/>
      <c r="C45" s="3625" t="n"/>
      <c r="D45" s="3625" t="n"/>
      <c r="E45" s="3625" t="n"/>
      <c r="F45" s="3625" t="n"/>
      <c r="G45" s="3625" t="n"/>
      <c r="H45" s="3625" t="n"/>
      <c r="I45" s="3625" t="n"/>
      <c r="J45" s="3625" t="n"/>
      <c r="K45" s="3625" t="n"/>
      <c r="L45" s="3625" t="n"/>
      <c r="M45" s="3625" t="n"/>
      <c r="N45" s="3625" t="n"/>
      <c r="O45" s="3625" t="n"/>
      <c r="P45" s="3625" t="n"/>
      <c r="Q45" s="3625" t="n"/>
    </row>
    <row r="46" ht="12.75" customHeight="1" s="4080">
      <c r="A46" s="3603" t="n"/>
      <c r="B46" s="3625" t="n"/>
      <c r="C46" s="3625" t="n"/>
      <c r="D46" s="3625" t="n"/>
      <c r="E46" s="3625" t="n"/>
      <c r="F46" s="3625" t="n"/>
      <c r="G46" s="3625" t="n"/>
      <c r="H46" s="3625" t="n"/>
      <c r="I46" s="3625" t="n"/>
      <c r="J46" s="3625" t="n"/>
      <c r="K46" s="3625" t="n"/>
      <c r="L46" s="3625" t="n"/>
      <c r="M46" s="3625" t="n"/>
      <c r="N46" s="3625" t="n"/>
      <c r="O46" s="3625" t="n"/>
      <c r="P46" s="3625" t="n"/>
      <c r="Q46" s="3625" t="n"/>
    </row>
    <row r="47" ht="12.75" customHeight="1" s="4080">
      <c r="A47" s="3603" t="n"/>
      <c r="B47" s="3625" t="n"/>
      <c r="C47" s="3625" t="n"/>
      <c r="D47" s="3625" t="n"/>
      <c r="E47" s="3625" t="n"/>
      <c r="F47" s="3625" t="n"/>
      <c r="G47" s="3625" t="n"/>
      <c r="H47" s="3625" t="n"/>
      <c r="I47" s="3625" t="n"/>
      <c r="J47" s="3625" t="n"/>
      <c r="K47" s="3625" t="n"/>
      <c r="L47" s="3625" t="n"/>
      <c r="M47" s="3625" t="n"/>
      <c r="N47" s="3625" t="n"/>
      <c r="O47" s="3625" t="n"/>
      <c r="P47" s="3625" t="n"/>
      <c r="Q47" s="3625" t="n"/>
    </row>
    <row r="48" ht="12.75" customHeight="1" s="4080">
      <c r="A48" s="3603" t="n"/>
      <c r="B48" s="3625" t="n"/>
      <c r="C48" s="3625" t="n"/>
      <c r="D48" s="3625" t="n"/>
      <c r="E48" s="3625" t="n"/>
      <c r="F48" s="3625" t="n"/>
      <c r="G48" s="3625" t="n"/>
      <c r="H48" s="3625" t="n"/>
      <c r="I48" s="3625" t="n"/>
      <c r="J48" s="3625" t="n"/>
      <c r="K48" s="3625" t="n"/>
      <c r="L48" s="3625" t="n"/>
      <c r="M48" s="3625" t="n"/>
      <c r="N48" s="3625" t="n"/>
      <c r="O48" s="3625" t="n"/>
      <c r="P48" s="3625" t="n"/>
      <c r="Q48" s="3625" t="n"/>
    </row>
    <row r="49" ht="12.75" customHeight="1" s="4080">
      <c r="A49" s="3603" t="n"/>
      <c r="B49" s="3625" t="n"/>
      <c r="C49" s="3625" t="n"/>
      <c r="D49" s="3625" t="n"/>
      <c r="E49" s="3625" t="n"/>
      <c r="F49" s="3625" t="n"/>
      <c r="G49" s="3625" t="n"/>
      <c r="H49" s="3625" t="n"/>
      <c r="I49" s="3625" t="n"/>
      <c r="J49" s="3625" t="n"/>
      <c r="K49" s="3625" t="n"/>
      <c r="L49" s="3625" t="n"/>
      <c r="M49" s="3625" t="n"/>
      <c r="N49" s="3625" t="n"/>
      <c r="O49" s="3625" t="n"/>
      <c r="P49" s="3625" t="n"/>
      <c r="Q49" s="3625" t="n"/>
    </row>
  </sheetData>
  <mergeCells count="109">
    <mergeCell ref="I16:Q16"/>
    <mergeCell ref="D11:F11"/>
    <mergeCell ref="F10:J10"/>
    <mergeCell ref="N34:Q34"/>
    <mergeCell ref="G23:H23"/>
    <mergeCell ref="P22:Q22"/>
    <mergeCell ref="B12:C12"/>
    <mergeCell ref="O21:Q21"/>
    <mergeCell ref="L25:N25"/>
    <mergeCell ref="F31:Q31"/>
    <mergeCell ref="F27:K27"/>
    <mergeCell ref="A37:E37"/>
    <mergeCell ref="B31:E31"/>
    <mergeCell ref="J8:Q9"/>
    <mergeCell ref="L27:Q27"/>
    <mergeCell ref="I15:Q15"/>
    <mergeCell ref="D24:E24"/>
    <mergeCell ref="L19:Q19"/>
    <mergeCell ref="C19:D19"/>
    <mergeCell ref="P24:Q24"/>
    <mergeCell ref="J23:K23"/>
    <mergeCell ref="G22:H22"/>
    <mergeCell ref="F21:H21"/>
    <mergeCell ref="D8:F9"/>
    <mergeCell ref="A40:Q40"/>
    <mergeCell ref="D10:E10"/>
    <mergeCell ref="B33:E33"/>
    <mergeCell ref="B15:E17"/>
    <mergeCell ref="I21:K21"/>
    <mergeCell ref="L26:N26"/>
    <mergeCell ref="B32:E32"/>
    <mergeCell ref="A5:A11"/>
    <mergeCell ref="B26:E26"/>
    <mergeCell ref="F16:H17"/>
    <mergeCell ref="E20:I20"/>
    <mergeCell ref="B25:E25"/>
    <mergeCell ref="I17:Q17"/>
    <mergeCell ref="F34:I34"/>
    <mergeCell ref="A12:A17"/>
    <mergeCell ref="G24:H24"/>
    <mergeCell ref="J34:M34"/>
    <mergeCell ref="A42:Q42"/>
    <mergeCell ref="J22:K22"/>
    <mergeCell ref="G8:H9"/>
    <mergeCell ref="F29:Q29"/>
    <mergeCell ref="F25:H25"/>
    <mergeCell ref="M24:N24"/>
    <mergeCell ref="B6:C6"/>
    <mergeCell ref="A38:E38"/>
    <mergeCell ref="K10:L10"/>
    <mergeCell ref="D23:E23"/>
    <mergeCell ref="A29:A36"/>
    <mergeCell ref="B29:E29"/>
    <mergeCell ref="B23:C24"/>
    <mergeCell ref="D5:Q5"/>
    <mergeCell ref="J18:Q18"/>
    <mergeCell ref="H12:I14"/>
    <mergeCell ref="F15:H15"/>
    <mergeCell ref="K3:L3"/>
    <mergeCell ref="I25:K25"/>
    <mergeCell ref="A44:Q44"/>
    <mergeCell ref="O35:Q35"/>
    <mergeCell ref="B3:H4"/>
    <mergeCell ref="B10:C11"/>
    <mergeCell ref="F26:H26"/>
    <mergeCell ref="G11:Q11"/>
    <mergeCell ref="F32:Q32"/>
    <mergeCell ref="O25:Q25"/>
    <mergeCell ref="L20:Q20"/>
    <mergeCell ref="C20:D20"/>
    <mergeCell ref="F38:Q38"/>
    <mergeCell ref="J24:K24"/>
    <mergeCell ref="E19:I19"/>
    <mergeCell ref="A41:Q41"/>
    <mergeCell ref="J36:Q36"/>
    <mergeCell ref="F37:Q37"/>
    <mergeCell ref="J35:K35"/>
    <mergeCell ref="I8:I9"/>
    <mergeCell ref="J19:K20"/>
    <mergeCell ref="M3:Q3"/>
    <mergeCell ref="J13:Q14"/>
    <mergeCell ref="F36:I36"/>
    <mergeCell ref="J12:Q12"/>
    <mergeCell ref="M23:N23"/>
    <mergeCell ref="A28:E28"/>
    <mergeCell ref="B5:C5"/>
    <mergeCell ref="I26:K26"/>
    <mergeCell ref="F30:Q30"/>
    <mergeCell ref="M4:Q4"/>
    <mergeCell ref="B13:C14"/>
    <mergeCell ref="D12:G12"/>
    <mergeCell ref="B7:C9"/>
    <mergeCell ref="B30:E30"/>
    <mergeCell ref="B34:E36"/>
    <mergeCell ref="O26:Q26"/>
    <mergeCell ref="A18:I18"/>
    <mergeCell ref="A21:E22"/>
    <mergeCell ref="D6:Q6"/>
    <mergeCell ref="F28:Q28"/>
    <mergeCell ref="A19:B20"/>
    <mergeCell ref="D13:G14"/>
    <mergeCell ref="M10:Q10"/>
    <mergeCell ref="P23:Q23"/>
    <mergeCell ref="A27:E27"/>
    <mergeCell ref="M22:N22"/>
    <mergeCell ref="L21:N21"/>
    <mergeCell ref="F35:I35"/>
    <mergeCell ref="A43:Q43"/>
    <mergeCell ref="K4:L4"/>
  </mergeCells>
  <pageMargins left="0.984251968503937" right="0.1968503937007874" top="0.4724409448818898" bottom="0.2755905511811024" header="0.3149606299212598" footer="0.1968503937007874"/>
  <pageSetup orientation="portrait" paperSize="9" scale="110"/>
  <legacyDrawing xmlns:r="http://schemas.openxmlformats.org/officeDocument/2006/relationships" r:id="anysvml"/>
</worksheet>
</file>

<file path=xl/worksheets/sheet37.xml><?xml version="1.0" encoding="utf-8"?>
<worksheet xmlns="http://schemas.openxmlformats.org/spreadsheetml/2006/main">
  <sheetPr codeName="Sheet36">
    <outlinePr summaryBelow="1" summaryRight="1"/>
    <pageSetUpPr/>
  </sheetPr>
  <dimension ref="A1:Y70"/>
  <sheetViews>
    <sheetView view="pageBreakPreview" zoomScaleNormal="100" zoomScaleSheetLayoutView="100" workbookViewId="0">
      <selection activeCell="G15" sqref="G15"/>
    </sheetView>
  </sheetViews>
  <sheetFormatPr baseColWidth="8" defaultColWidth="4.625" defaultRowHeight="12.75" customHeight="1"/>
  <cols>
    <col width="4.625" customWidth="1" style="545" min="1" max="16384"/>
  </cols>
  <sheetData>
    <row r="1" ht="12.75" customHeight="1" s="4080">
      <c r="A1" s="3531" t="inlineStr">
        <is>
          <t>付表20　　障害児入所支援（福祉型障害児入所施設）の指定に係る記載事項</t>
        </is>
      </c>
    </row>
    <row r="2" ht="16.15" customHeight="1" s="4080">
      <c r="Y2" s="719">
        <f>HYPERLINK("#目次!A1","目次へ戻る")</f>
        <v/>
      </c>
    </row>
    <row r="3" ht="12.75" customHeight="1" s="4080">
      <c r="A3" s="3657" t="n"/>
      <c r="B3" s="3466" t="inlineStr">
        <is>
          <t xml:space="preserve">　主として入所させる児童の障害の種別
（　　　　　　　　　　　　　　　　　　　　　　　　　　　）　　</t>
        </is>
      </c>
      <c r="I3" s="3531" t="n"/>
    </row>
    <row r="4" ht="12.75" customHeight="1" s="4080" thickBot="1">
      <c r="K4" s="3467" t="n"/>
      <c r="L4" s="4087" t="n"/>
      <c r="M4" s="3468" t="n"/>
      <c r="N4" s="4087" t="n"/>
      <c r="O4" s="4087" t="n"/>
      <c r="P4" s="4087" t="n"/>
      <c r="Q4" s="4087" t="n"/>
    </row>
    <row r="5" ht="12.75" customHeight="1" s="4080" thickBot="1">
      <c r="B5" s="3631" t="n"/>
      <c r="C5" s="4087" t="n"/>
      <c r="D5" s="4087" t="n"/>
      <c r="E5" s="4087" t="n"/>
      <c r="F5" s="4087" t="n"/>
      <c r="G5" s="4087" t="n"/>
      <c r="H5" s="4087" t="n"/>
      <c r="K5" s="3469" t="inlineStr">
        <is>
          <t>事業所番号</t>
        </is>
      </c>
      <c r="L5" s="4866" t="n"/>
      <c r="M5" s="3471" t="n"/>
      <c r="N5" s="4359" t="n"/>
      <c r="O5" s="4359" t="n"/>
      <c r="P5" s="4359" t="n"/>
      <c r="Q5" s="4866" t="n"/>
    </row>
    <row r="6" ht="12.75" customHeight="1" s="4080">
      <c r="A6" s="4867" t="inlineStr">
        <is>
          <t>施　設</t>
        </is>
      </c>
      <c r="B6" s="3488" t="inlineStr">
        <is>
          <t>フリガナ</t>
        </is>
      </c>
      <c r="C6" s="4094" t="n"/>
      <c r="D6" s="3490" t="n"/>
      <c r="E6" s="4082" t="n"/>
      <c r="F6" s="4082" t="n"/>
      <c r="G6" s="4082" t="n"/>
      <c r="H6" s="4082" t="n"/>
      <c r="I6" s="4082" t="n"/>
      <c r="J6" s="4082" t="n"/>
      <c r="K6" s="4082" t="n"/>
      <c r="L6" s="4082" t="n"/>
      <c r="M6" s="4082" t="n"/>
      <c r="N6" s="4082" t="n"/>
      <c r="O6" s="4082" t="n"/>
      <c r="P6" s="4082" t="n"/>
      <c r="Q6" s="4356" t="n"/>
    </row>
    <row r="7" ht="25.5" customHeight="1" s="4080">
      <c r="A7" s="4208" t="n"/>
      <c r="B7" s="3484" t="inlineStr">
        <is>
          <t>名　　称</t>
        </is>
      </c>
      <c r="C7" s="4111" t="n"/>
      <c r="D7" s="4868" t="n"/>
      <c r="E7" s="4459" t="n"/>
      <c r="F7" s="4459" t="n"/>
      <c r="G7" s="4459" t="n"/>
      <c r="H7" s="4459" t="n"/>
      <c r="I7" s="4459" t="n"/>
      <c r="J7" s="4459" t="n"/>
      <c r="K7" s="4459" t="n"/>
      <c r="L7" s="4459" t="n"/>
      <c r="M7" s="4459" t="n"/>
      <c r="N7" s="4459" t="n"/>
      <c r="O7" s="4459" t="n"/>
      <c r="P7" s="4459" t="n"/>
      <c r="Q7" s="4462" t="n"/>
    </row>
    <row r="8" ht="12.75" customHeight="1" s="4080">
      <c r="A8" s="4208" t="n"/>
      <c r="B8" s="3484" t="inlineStr">
        <is>
          <t>所在地</t>
        </is>
      </c>
      <c r="C8" s="4099" t="n"/>
      <c r="D8" s="548" t="inlineStr">
        <is>
          <t>（郵便番号　　　　　－　　　　　）</t>
        </is>
      </c>
      <c r="E8" s="549" t="n"/>
      <c r="F8" s="549" t="n"/>
      <c r="G8" s="549" t="n"/>
      <c r="H8" s="549" t="n"/>
      <c r="I8" s="549" t="n"/>
      <c r="J8" s="549" t="n"/>
      <c r="K8" s="549" t="n"/>
      <c r="L8" s="549" t="n"/>
      <c r="M8" s="549" t="n"/>
      <c r="N8" s="549" t="n"/>
      <c r="O8" s="549" t="n"/>
      <c r="P8" s="549" t="n"/>
      <c r="Q8" s="550" t="n"/>
    </row>
    <row r="9" ht="12.75" customHeight="1" s="4080">
      <c r="A9" s="4208" t="n"/>
      <c r="C9" s="4107" t="n"/>
      <c r="D9" s="3501" t="inlineStr">
        <is>
          <t>大阪市</t>
        </is>
      </c>
      <c r="G9" s="3498" t="n"/>
      <c r="I9" s="3502" t="inlineStr">
        <is>
          <t>区</t>
        </is>
      </c>
      <c r="J9" s="3504" t="n"/>
      <c r="Q9" s="4109" t="n"/>
    </row>
    <row r="10" ht="12.75" customHeight="1" s="4080">
      <c r="A10" s="4208" t="n"/>
      <c r="B10" s="4103" t="n"/>
      <c r="C10" s="4104" t="n"/>
      <c r="D10" s="4102" t="n"/>
      <c r="E10" s="4103" t="n"/>
      <c r="F10" s="4103" t="n"/>
      <c r="G10" s="4103" t="n"/>
      <c r="H10" s="4103" t="n"/>
      <c r="I10" s="4103" t="n"/>
      <c r="J10" s="4103" t="n"/>
      <c r="K10" s="4103" t="n"/>
      <c r="L10" s="4103" t="n"/>
      <c r="M10" s="4103" t="n"/>
      <c r="N10" s="4103" t="n"/>
      <c r="O10" s="4103" t="n"/>
      <c r="P10" s="4103" t="n"/>
      <c r="Q10" s="4105" t="n"/>
    </row>
    <row r="11" ht="15" customHeight="1" s="4080">
      <c r="A11" s="4208" t="n"/>
      <c r="B11" s="3477" t="inlineStr">
        <is>
          <t>連 絡 先</t>
        </is>
      </c>
      <c r="C11" s="4099" t="n"/>
      <c r="D11" s="3477" t="inlineStr">
        <is>
          <t>電話番号</t>
        </is>
      </c>
      <c r="E11" s="4111" t="n"/>
      <c r="F11" s="3478" t="n"/>
      <c r="G11" s="4110" t="n"/>
      <c r="H11" s="4110" t="n"/>
      <c r="I11" s="4110" t="n"/>
      <c r="J11" s="4111" t="n"/>
      <c r="K11" s="3480" t="inlineStr">
        <is>
          <t>ＦＡＸ番号</t>
        </is>
      </c>
      <c r="L11" s="4099" t="n"/>
      <c r="M11" s="3479" t="n"/>
      <c r="N11" s="4098" t="n"/>
      <c r="O11" s="4098" t="n"/>
      <c r="P11" s="4098" t="n"/>
      <c r="Q11" s="4099" t="n"/>
    </row>
    <row r="12" ht="15" customHeight="1" s="4080">
      <c r="A12" s="4737" t="n"/>
      <c r="B12" s="4102" t="n"/>
      <c r="C12" s="4104" t="n"/>
      <c r="D12" s="3477" t="inlineStr">
        <is>
          <t>メールアドレス</t>
        </is>
      </c>
      <c r="E12" s="4110" t="n"/>
      <c r="F12" s="4111" t="n"/>
      <c r="G12" s="4186" t="n"/>
      <c r="H12" s="4110" t="n"/>
      <c r="I12" s="4110" t="n"/>
      <c r="J12" s="4110" t="n"/>
      <c r="K12" s="4110" t="n"/>
      <c r="L12" s="4110" t="n"/>
      <c r="M12" s="4110" t="n"/>
      <c r="N12" s="4110" t="n"/>
      <c r="O12" s="4110" t="n"/>
      <c r="P12" s="4110" t="n"/>
      <c r="Q12" s="4113" t="n"/>
    </row>
    <row r="13" ht="13.5" customHeight="1" s="4080">
      <c r="A13" s="3524" t="inlineStr">
        <is>
          <t>管理者</t>
        </is>
      </c>
      <c r="B13" s="3477" t="inlineStr">
        <is>
          <t>フリガナ</t>
        </is>
      </c>
      <c r="C13" s="4111" t="n"/>
      <c r="D13" s="3525" t="n"/>
      <c r="E13" s="4138" t="n"/>
      <c r="F13" s="4138" t="n"/>
      <c r="G13" s="4139" t="n"/>
      <c r="H13" s="3477" t="inlineStr">
        <is>
          <t>住　所</t>
        </is>
      </c>
      <c r="I13" s="4099" t="n"/>
      <c r="J13" s="4870" t="inlineStr">
        <is>
          <t>（郵便番号　　　　　－　　　　　）</t>
        </is>
      </c>
      <c r="K13" s="4098" t="n"/>
      <c r="L13" s="4098" t="n"/>
      <c r="M13" s="4098" t="n"/>
      <c r="N13" s="4098" t="n"/>
      <c r="O13" s="4098" t="n"/>
      <c r="P13" s="4098" t="n"/>
      <c r="Q13" s="4101" t="n"/>
    </row>
    <row r="14" ht="18" customHeight="1" s="4080">
      <c r="A14" s="4208" t="n"/>
      <c r="B14" s="3477" t="inlineStr">
        <is>
          <t>氏　名</t>
        </is>
      </c>
      <c r="C14" s="4099" t="n"/>
      <c r="D14" s="4871" t="n"/>
      <c r="G14" s="4107" t="n"/>
      <c r="H14" s="4106" t="n"/>
      <c r="I14" s="4107" t="n"/>
      <c r="J14" s="4872" t="n"/>
      <c r="Q14" s="4109" t="n"/>
    </row>
    <row r="15" ht="13.5" customHeight="1" s="4080">
      <c r="A15" s="4208" t="n"/>
      <c r="B15" s="4102" t="n"/>
      <c r="C15" s="4104" t="n"/>
      <c r="D15" s="4102" t="n"/>
      <c r="E15" s="4103" t="n"/>
      <c r="F15" s="4103" t="n"/>
      <c r="G15" s="4104" t="n"/>
      <c r="H15" s="4102" t="n"/>
      <c r="I15" s="4104" t="n"/>
      <c r="J15" s="4102" t="n"/>
      <c r="K15" s="4103" t="n"/>
      <c r="L15" s="4103" t="n"/>
      <c r="M15" s="4103" t="n"/>
      <c r="N15" s="4103" t="n"/>
      <c r="O15" s="4103" t="n"/>
      <c r="P15" s="4103" t="n"/>
      <c r="Q15" s="4105" t="n"/>
    </row>
    <row r="16" ht="12.75" customHeight="1" s="4080">
      <c r="A16" s="4879" t="inlineStr">
        <is>
          <t>当該支援の実施について定めてある定款又は条例等</t>
        </is>
      </c>
      <c r="B16" s="4110" t="n"/>
      <c r="C16" s="4110" t="n"/>
      <c r="D16" s="4110" t="n"/>
      <c r="E16" s="4110" t="n"/>
      <c r="F16" s="4110" t="n"/>
      <c r="G16" s="4110" t="n"/>
      <c r="H16" s="4110" t="n"/>
      <c r="I16" s="4111" t="n"/>
      <c r="J16" s="3477" t="inlineStr">
        <is>
          <t>第　　条第　　項第　　号</t>
        </is>
      </c>
      <c r="K16" s="4110" t="n"/>
      <c r="L16" s="4110" t="n"/>
      <c r="M16" s="4110" t="n"/>
      <c r="N16" s="4110" t="n"/>
      <c r="O16" s="4110" t="n"/>
      <c r="P16" s="4110" t="n"/>
      <c r="Q16" s="4111" t="n"/>
    </row>
    <row r="17" ht="12.75" customHeight="1" s="4080">
      <c r="A17" s="4880" t="inlineStr">
        <is>
          <t>併設する施設の名称及び概要</t>
        </is>
      </c>
      <c r="B17" s="4098" t="n"/>
      <c r="C17" s="4098" t="n"/>
      <c r="D17" s="4099" t="n"/>
      <c r="E17" s="3477" t="inlineStr">
        <is>
          <t>名　称</t>
        </is>
      </c>
      <c r="F17" s="4111" t="n"/>
      <c r="G17" s="4881" t="n"/>
      <c r="H17" s="4110" t="n"/>
      <c r="I17" s="4110" t="n"/>
      <c r="J17" s="4110" t="n"/>
      <c r="K17" s="4110" t="n"/>
      <c r="L17" s="4110" t="n"/>
      <c r="M17" s="4110" t="n"/>
      <c r="N17" s="4110" t="n"/>
      <c r="O17" s="4110" t="n"/>
      <c r="P17" s="4110" t="n"/>
      <c r="Q17" s="4113" t="n"/>
    </row>
    <row r="18" ht="12.75" customHeight="1" s="4080">
      <c r="A18" s="4097" t="n"/>
      <c r="D18" s="4107" t="n"/>
      <c r="E18" s="3477" t="inlineStr">
        <is>
          <t>概　要</t>
        </is>
      </c>
      <c r="F18" s="4099" t="n"/>
      <c r="G18" s="4881" t="n"/>
      <c r="H18" s="4098" t="n"/>
      <c r="I18" s="4098" t="n"/>
      <c r="J18" s="4098" t="n"/>
      <c r="K18" s="4098" t="n"/>
      <c r="L18" s="4098" t="n"/>
      <c r="M18" s="4098" t="n"/>
      <c r="N18" s="4098" t="n"/>
      <c r="O18" s="4098" t="n"/>
      <c r="P18" s="4098" t="n"/>
      <c r="Q18" s="4101" t="n"/>
    </row>
    <row r="19" ht="12.75" customHeight="1" s="4080">
      <c r="A19" s="4114" t="n"/>
      <c r="B19" s="4103" t="n"/>
      <c r="C19" s="4103" t="n"/>
      <c r="D19" s="4104" t="n"/>
      <c r="E19" s="4102" t="n"/>
      <c r="F19" s="4104" t="n"/>
      <c r="G19" s="4102" t="n"/>
      <c r="H19" s="4103" t="n"/>
      <c r="I19" s="4103" t="n"/>
      <c r="J19" s="4103" t="n"/>
      <c r="K19" s="4103" t="n"/>
      <c r="L19" s="4103" t="n"/>
      <c r="M19" s="4103" t="n"/>
      <c r="N19" s="4103" t="n"/>
      <c r="O19" s="4103" t="n"/>
      <c r="P19" s="4103" t="n"/>
      <c r="Q19" s="4105" t="n"/>
    </row>
    <row r="20" ht="13.5" customHeight="1" s="4080">
      <c r="A20" s="4882" t="inlineStr">
        <is>
          <t>児童発達支援管理責任者</t>
        </is>
      </c>
      <c r="B20" s="4099" t="n"/>
      <c r="C20" s="3477" t="inlineStr">
        <is>
          <t>フリガナ</t>
        </is>
      </c>
      <c r="D20" s="4111" t="n"/>
      <c r="E20" s="4883" t="n"/>
      <c r="F20" s="4486" t="n"/>
      <c r="G20" s="4486" t="n"/>
      <c r="H20" s="4486" t="n"/>
      <c r="I20" s="4494" t="n"/>
      <c r="J20" s="3482" t="inlineStr">
        <is>
          <t>住 所</t>
        </is>
      </c>
      <c r="K20" s="4098" t="n"/>
      <c r="L20" s="4884" t="inlineStr">
        <is>
          <t>（郵便番号　　　　　－　　　　　）</t>
        </is>
      </c>
      <c r="M20" s="4098" t="n"/>
      <c r="N20" s="4098" t="n"/>
      <c r="O20" s="4098" t="n"/>
      <c r="P20" s="4098" t="n"/>
      <c r="Q20" s="4101" t="n"/>
    </row>
    <row r="21" ht="20.25" customHeight="1" s="4080">
      <c r="A21" s="4114" t="n"/>
      <c r="B21" s="4104" t="n"/>
      <c r="C21" s="3477" t="inlineStr">
        <is>
          <t>氏　名</t>
        </is>
      </c>
      <c r="D21" s="4111" t="n"/>
      <c r="E21" s="4885" t="n"/>
      <c r="F21" s="4103" t="n"/>
      <c r="G21" s="4103" t="n"/>
      <c r="H21" s="4103" t="n"/>
      <c r="I21" s="4104" t="n"/>
      <c r="J21" s="4102" t="n"/>
      <c r="K21" s="4103" t="n"/>
      <c r="L21" s="4886" t="n"/>
      <c r="M21" s="4103" t="n"/>
      <c r="N21" s="4103" t="n"/>
      <c r="O21" s="4103" t="n"/>
      <c r="P21" s="4103" t="n"/>
      <c r="Q21" s="4105" t="n"/>
    </row>
    <row r="22" ht="12.75" customHeight="1" s="4080">
      <c r="A22" s="4887" t="inlineStr">
        <is>
          <t>従業者の職種・員数</t>
        </is>
      </c>
      <c r="B22" s="4098" t="n"/>
      <c r="C22" s="4098" t="n"/>
      <c r="D22" s="4098" t="n"/>
      <c r="E22" s="4099" t="n"/>
      <c r="F22" s="3477" t="inlineStr">
        <is>
          <t>医　師</t>
        </is>
      </c>
      <c r="G22" s="4110" t="n"/>
      <c r="H22" s="4111" t="n"/>
      <c r="I22" s="3477" t="inlineStr">
        <is>
          <t>看護師</t>
        </is>
      </c>
      <c r="J22" s="4110" t="n"/>
      <c r="K22" s="4111" t="n"/>
      <c r="L22" s="3477" t="inlineStr">
        <is>
          <t>児童指導員</t>
        </is>
      </c>
      <c r="M22" s="4110" t="n"/>
      <c r="N22" s="4111" t="n"/>
      <c r="O22" s="4890" t="inlineStr">
        <is>
          <t>保育士</t>
        </is>
      </c>
      <c r="P22" s="4110" t="n"/>
      <c r="Q22" s="4113" t="n"/>
    </row>
    <row r="23" ht="12.75" customHeight="1" s="4080">
      <c r="A23" s="4114" t="n"/>
      <c r="B23" s="4103" t="n"/>
      <c r="C23" s="4103" t="n"/>
      <c r="D23" s="4103" t="n"/>
      <c r="E23" s="4104" t="n"/>
      <c r="F23" s="3477" t="inlineStr">
        <is>
          <t>専従</t>
        </is>
      </c>
      <c r="G23" s="3484" t="inlineStr">
        <is>
          <t>兼務</t>
        </is>
      </c>
      <c r="H23" s="4111" t="n"/>
      <c r="I23" s="3477" t="inlineStr">
        <is>
          <t>専従</t>
        </is>
      </c>
      <c r="J23" s="3484" t="inlineStr">
        <is>
          <t>兼務</t>
        </is>
      </c>
      <c r="K23" s="4111" t="n"/>
      <c r="L23" s="3477" t="inlineStr">
        <is>
          <t>専従</t>
        </is>
      </c>
      <c r="M23" s="3484" t="inlineStr">
        <is>
          <t>兼務</t>
        </is>
      </c>
      <c r="N23" s="4111" t="n"/>
      <c r="O23" s="3638" t="inlineStr">
        <is>
          <t>専従</t>
        </is>
      </c>
      <c r="P23" s="3586" t="inlineStr">
        <is>
          <t>兼務</t>
        </is>
      </c>
      <c r="Q23" s="4113" t="n"/>
    </row>
    <row r="24" ht="12.75" customHeight="1" s="4080">
      <c r="A24" s="3588" t="n"/>
      <c r="B24" s="3477" t="inlineStr">
        <is>
          <t>従業者数</t>
        </is>
      </c>
      <c r="C24" s="4099" t="n"/>
      <c r="D24" s="3638" t="inlineStr">
        <is>
          <t>常勤（人）</t>
        </is>
      </c>
      <c r="E24" s="4111" t="n"/>
      <c r="F24" s="3477" t="n"/>
      <c r="G24" s="3484" t="n"/>
      <c r="H24" s="4111" t="n"/>
      <c r="I24" s="3477" t="n"/>
      <c r="J24" s="3484" t="n"/>
      <c r="K24" s="4111" t="n"/>
      <c r="L24" s="3477" t="n"/>
      <c r="M24" s="3484" t="n"/>
      <c r="N24" s="4111" t="n"/>
      <c r="O24" s="3477" t="n"/>
      <c r="P24" s="3553" t="n"/>
      <c r="Q24" s="4113" t="n"/>
    </row>
    <row r="25" ht="12.75" customHeight="1" s="4080">
      <c r="A25" s="3588" t="n"/>
      <c r="B25" s="4102" t="n"/>
      <c r="C25" s="4104" t="n"/>
      <c r="D25" s="3638" t="inlineStr">
        <is>
          <t>非常勤（人）</t>
        </is>
      </c>
      <c r="E25" s="4111" t="n"/>
      <c r="F25" s="3477" t="n"/>
      <c r="G25" s="3484" t="n"/>
      <c r="H25" s="4111" t="n"/>
      <c r="I25" s="3477" t="n"/>
      <c r="J25" s="3484" t="n"/>
      <c r="K25" s="4111" t="n"/>
      <c r="L25" s="3477" t="n"/>
      <c r="M25" s="3484" t="n"/>
      <c r="N25" s="4111" t="n"/>
      <c r="O25" s="3477" t="n"/>
      <c r="P25" s="3553" t="n"/>
      <c r="Q25" s="4113" t="n"/>
    </row>
    <row r="26" ht="12.75" customHeight="1" s="4080">
      <c r="A26" s="3588" t="n"/>
      <c r="B26" s="3638" t="inlineStr">
        <is>
          <t>備　　　　　　　　　　　考</t>
        </is>
      </c>
      <c r="C26" s="4110" t="n"/>
      <c r="D26" s="4110" t="n"/>
      <c r="E26" s="4111" t="n"/>
      <c r="F26" s="3477" t="n"/>
      <c r="G26" s="4110" t="n"/>
      <c r="H26" s="4111" t="n"/>
      <c r="I26" s="3477" t="n"/>
      <c r="J26" s="4110" t="n"/>
      <c r="K26" s="4111" t="n"/>
      <c r="L26" s="3477" t="n"/>
      <c r="M26" s="4110" t="n"/>
      <c r="N26" s="4111" t="n"/>
      <c r="O26" s="3523" t="n"/>
      <c r="P26" s="4110" t="n"/>
      <c r="Q26" s="4113" t="n"/>
    </row>
    <row r="27" ht="12.75" customHeight="1" s="4080">
      <c r="A27" s="3588" t="n"/>
      <c r="B27" s="3638" t="inlineStr">
        <is>
          <t>基準上の必要人数（人）</t>
        </is>
      </c>
      <c r="C27" s="4110" t="n"/>
      <c r="D27" s="4110" t="n"/>
      <c r="E27" s="4111" t="n"/>
      <c r="F27" s="3639" t="n"/>
      <c r="G27" s="4110" t="n"/>
      <c r="H27" s="4111" t="n"/>
      <c r="I27" s="3639" t="n"/>
      <c r="J27" s="4110" t="n"/>
      <c r="K27" s="4111" t="n"/>
      <c r="L27" s="3639" t="n"/>
      <c r="M27" s="4110" t="n"/>
      <c r="N27" s="4111" t="n"/>
      <c r="O27" s="3640" t="n"/>
      <c r="P27" s="4110" t="n"/>
      <c r="Q27" s="4113" t="n"/>
    </row>
    <row r="28" ht="12.75" customHeight="1" s="4080">
      <c r="A28" s="3588" t="n"/>
      <c r="B28" s="3484" t="n"/>
      <c r="C28" s="4098" t="n"/>
      <c r="D28" s="4098" t="n"/>
      <c r="E28" s="4099" t="n"/>
      <c r="F28" s="3477" t="inlineStr">
        <is>
          <t>栄養士</t>
        </is>
      </c>
      <c r="G28" s="4110" t="n"/>
      <c r="H28" s="4111" t="n"/>
      <c r="I28" s="3477" t="inlineStr">
        <is>
          <t>調理員</t>
        </is>
      </c>
      <c r="J28" s="4110" t="n"/>
      <c r="K28" s="4111" t="n"/>
      <c r="L28" s="3638" t="inlineStr">
        <is>
          <t>児童発達支援管理責任者</t>
        </is>
      </c>
      <c r="M28" s="4110" t="n"/>
      <c r="N28" s="4111" t="n"/>
      <c r="O28" s="4890" t="inlineStr">
        <is>
          <t>心理指導担当職員</t>
        </is>
      </c>
      <c r="P28" s="4110" t="n"/>
      <c r="Q28" s="4113" t="n"/>
    </row>
    <row r="29" ht="12.75" customHeight="1" s="4080">
      <c r="A29" s="3588" t="n"/>
      <c r="B29" s="4103" t="n"/>
      <c r="C29" s="4103" t="n"/>
      <c r="D29" s="4103" t="n"/>
      <c r="E29" s="4104" t="n"/>
      <c r="F29" s="3477" t="inlineStr">
        <is>
          <t>専従</t>
        </is>
      </c>
      <c r="G29" s="3484" t="inlineStr">
        <is>
          <t>兼務</t>
        </is>
      </c>
      <c r="H29" s="4111" t="n"/>
      <c r="I29" s="3477" t="inlineStr">
        <is>
          <t>専従</t>
        </is>
      </c>
      <c r="J29" s="3484" t="inlineStr">
        <is>
          <t>兼務</t>
        </is>
      </c>
      <c r="K29" s="4111" t="n"/>
      <c r="L29" s="3638" t="inlineStr">
        <is>
          <t>専従</t>
        </is>
      </c>
      <c r="M29" s="3522" t="inlineStr">
        <is>
          <t>兼務</t>
        </is>
      </c>
      <c r="N29" s="4111" t="n"/>
      <c r="O29" s="3638" t="inlineStr">
        <is>
          <t>専従</t>
        </is>
      </c>
      <c r="P29" s="3522" t="inlineStr">
        <is>
          <t>兼務</t>
        </is>
      </c>
      <c r="Q29" s="4111" t="n"/>
    </row>
    <row r="30" ht="12.75" customHeight="1" s="4080">
      <c r="A30" s="3588" t="n"/>
      <c r="B30" s="3477" t="inlineStr">
        <is>
          <t>従業者数</t>
        </is>
      </c>
      <c r="C30" s="4099" t="n"/>
      <c r="D30" s="3638" t="inlineStr">
        <is>
          <t>常勤（人）</t>
        </is>
      </c>
      <c r="E30" s="4111" t="n"/>
      <c r="F30" s="3477" t="n"/>
      <c r="G30" s="3484" t="n"/>
      <c r="H30" s="4111" t="n"/>
      <c r="I30" s="3477" t="n"/>
      <c r="J30" s="3484" t="n"/>
      <c r="K30" s="4111" t="n"/>
      <c r="L30" s="3477" t="n"/>
      <c r="M30" s="3484" t="n"/>
      <c r="N30" s="4111" t="n"/>
      <c r="O30" s="3477" t="n"/>
      <c r="P30" s="3553" t="n"/>
      <c r="Q30" s="4113" t="n"/>
    </row>
    <row r="31" ht="12.75" customHeight="1" s="4080">
      <c r="A31" s="3588" t="n"/>
      <c r="B31" s="4102" t="n"/>
      <c r="C31" s="4104" t="n"/>
      <c r="D31" s="3638" t="inlineStr">
        <is>
          <t>非常勤（人）</t>
        </is>
      </c>
      <c r="E31" s="4111" t="n"/>
      <c r="F31" s="3477" t="n"/>
      <c r="G31" s="3484" t="n"/>
      <c r="H31" s="4111" t="n"/>
      <c r="I31" s="3477" t="n"/>
      <c r="J31" s="3484" t="n"/>
      <c r="K31" s="4111" t="n"/>
      <c r="L31" s="3477" t="n"/>
      <c r="M31" s="3484" t="n"/>
      <c r="N31" s="4111" t="n"/>
      <c r="O31" s="3477" t="n"/>
      <c r="P31" s="3553" t="n"/>
      <c r="Q31" s="4113" t="n"/>
    </row>
    <row r="32" ht="12.75" customHeight="1" s="4080">
      <c r="A32" s="3588" t="n"/>
      <c r="B32" s="3638" t="inlineStr">
        <is>
          <t>備　　　　　　　　　　　考</t>
        </is>
      </c>
      <c r="C32" s="4110" t="n"/>
      <c r="D32" s="4110" t="n"/>
      <c r="E32" s="4111" t="n"/>
      <c r="F32" s="3477" t="n"/>
      <c r="G32" s="4110" t="n"/>
      <c r="H32" s="4111" t="n"/>
      <c r="I32" s="3477" t="n"/>
      <c r="J32" s="4110" t="n"/>
      <c r="K32" s="4111" t="n"/>
      <c r="L32" s="3477" t="n"/>
      <c r="M32" s="4110" t="n"/>
      <c r="N32" s="4111" t="n"/>
      <c r="O32" s="3523" t="n"/>
      <c r="P32" s="4110" t="n"/>
      <c r="Q32" s="4113" t="n"/>
    </row>
    <row r="33" ht="12.75" customHeight="1" s="4080">
      <c r="A33" s="3588" t="n"/>
      <c r="B33" s="3638" t="inlineStr">
        <is>
          <t>基準上の必要人数（人）</t>
        </is>
      </c>
      <c r="C33" s="4110" t="n"/>
      <c r="D33" s="4110" t="n"/>
      <c r="E33" s="4111" t="n"/>
      <c r="F33" s="3639" t="n"/>
      <c r="G33" s="4110" t="n"/>
      <c r="H33" s="4111" t="n"/>
      <c r="I33" s="3639" t="n"/>
      <c r="J33" s="4110" t="n"/>
      <c r="K33" s="4111" t="n"/>
      <c r="L33" s="3639" t="n"/>
      <c r="M33" s="4110" t="n"/>
      <c r="N33" s="4111" t="n"/>
      <c r="O33" s="3640" t="n"/>
      <c r="P33" s="4110" t="n"/>
      <c r="Q33" s="4113" t="n"/>
    </row>
    <row r="34" ht="12.75" customHeight="1" s="4080">
      <c r="A34" s="3588" t="n"/>
      <c r="B34" s="3484" t="n"/>
      <c r="C34" s="4098" t="n"/>
      <c r="D34" s="4098" t="n"/>
      <c r="E34" s="4099" t="n"/>
      <c r="F34" s="3638" t="inlineStr">
        <is>
          <t>職業指導員</t>
        </is>
      </c>
      <c r="G34" s="4110" t="n"/>
      <c r="H34" s="4111" t="n"/>
      <c r="I34" s="3480" t="n"/>
      <c r="J34" s="4098" t="n"/>
      <c r="K34" s="4099" t="n"/>
      <c r="L34" s="3480" t="n"/>
      <c r="M34" s="4098" t="n"/>
      <c r="N34" s="4099" t="n"/>
      <c r="O34" s="4895" t="n"/>
      <c r="P34" s="4098" t="n"/>
      <c r="Q34" s="4101" t="n"/>
    </row>
    <row r="35" ht="12.75" customHeight="1" s="4080">
      <c r="A35" s="3588" t="n"/>
      <c r="B35" s="4103" t="n"/>
      <c r="C35" s="4103" t="n"/>
      <c r="D35" s="4103" t="n"/>
      <c r="E35" s="4104" t="n"/>
      <c r="F35" s="3477" t="inlineStr">
        <is>
          <t>専従</t>
        </is>
      </c>
      <c r="G35" s="3484" t="inlineStr">
        <is>
          <t>兼務</t>
        </is>
      </c>
      <c r="H35" s="4111" t="n"/>
      <c r="I35" s="3475" t="n"/>
      <c r="J35" s="3476" t="n"/>
      <c r="K35" s="4104" t="n"/>
      <c r="L35" s="3475" t="n"/>
      <c r="M35" s="3476" t="n"/>
      <c r="N35" s="4104" t="n"/>
      <c r="O35" s="3475" t="n"/>
      <c r="P35" s="3504" t="n"/>
      <c r="Q35" s="4105" t="n"/>
    </row>
    <row r="36" ht="12.75" customHeight="1" s="4080">
      <c r="A36" s="3588" t="n"/>
      <c r="B36" s="3477" t="inlineStr">
        <is>
          <t>従業者数</t>
        </is>
      </c>
      <c r="C36" s="4099" t="n"/>
      <c r="D36" s="3638" t="inlineStr">
        <is>
          <t>常勤（人）</t>
        </is>
      </c>
      <c r="E36" s="4111" t="n"/>
      <c r="F36" s="3477" t="n"/>
      <c r="G36" s="3484" t="n"/>
      <c r="H36" s="4111" t="n"/>
      <c r="I36" s="3477" t="n"/>
      <c r="J36" s="3484" t="n"/>
      <c r="K36" s="4111" t="n"/>
      <c r="L36" s="3477" t="n"/>
      <c r="M36" s="3484" t="n"/>
      <c r="N36" s="4111" t="n"/>
      <c r="O36" s="3477" t="n"/>
      <c r="P36" s="3553" t="n"/>
      <c r="Q36" s="4113" t="n"/>
    </row>
    <row r="37" ht="12.75" customHeight="1" s="4080">
      <c r="A37" s="3588" t="n"/>
      <c r="B37" s="4102" t="n"/>
      <c r="C37" s="4104" t="n"/>
      <c r="D37" s="3638" t="inlineStr">
        <is>
          <t>非常勤（人）</t>
        </is>
      </c>
      <c r="E37" s="4111" t="n"/>
      <c r="F37" s="3477" t="n"/>
      <c r="G37" s="3484" t="n"/>
      <c r="H37" s="4111" t="n"/>
      <c r="I37" s="3477" t="n"/>
      <c r="J37" s="3484" t="n"/>
      <c r="K37" s="4111" t="n"/>
      <c r="L37" s="3477" t="n"/>
      <c r="M37" s="3484" t="n"/>
      <c r="N37" s="4111" t="n"/>
      <c r="O37" s="3477" t="n"/>
      <c r="P37" s="3553" t="n"/>
      <c r="Q37" s="4113" t="n"/>
    </row>
    <row r="38" ht="12.75" customHeight="1" s="4080">
      <c r="A38" s="3675" t="n"/>
      <c r="B38" s="3638" t="inlineStr">
        <is>
          <t>備　　　　　　　　　　　　考</t>
        </is>
      </c>
      <c r="C38" s="4110" t="n"/>
      <c r="D38" s="4110" t="n"/>
      <c r="E38" s="4111" t="n"/>
      <c r="F38" s="3477" t="n"/>
      <c r="G38" s="4110" t="n"/>
      <c r="H38" s="4111" t="n"/>
      <c r="I38" s="3477" t="n"/>
      <c r="J38" s="4110" t="n"/>
      <c r="K38" s="4111" t="n"/>
      <c r="L38" s="3477" t="n"/>
      <c r="M38" s="4110" t="n"/>
      <c r="N38" s="4111" t="n"/>
      <c r="O38" s="3523" t="n"/>
      <c r="P38" s="4110" t="n"/>
      <c r="Q38" s="4113" t="n"/>
    </row>
    <row r="39" ht="12.75" customHeight="1" s="4080">
      <c r="A39" s="3675" t="n"/>
      <c r="B39" s="3638" t="inlineStr">
        <is>
          <t>基準上の必要人数（人）</t>
        </is>
      </c>
      <c r="C39" s="4110" t="n"/>
      <c r="D39" s="4110" t="n"/>
      <c r="E39" s="4111" t="n"/>
      <c r="F39" s="3639" t="n"/>
      <c r="G39" s="4110" t="n"/>
      <c r="H39" s="4111" t="n"/>
      <c r="I39" s="3639" t="n"/>
      <c r="J39" s="4110" t="n"/>
      <c r="K39" s="4111" t="n"/>
      <c r="L39" s="3639" t="n"/>
      <c r="M39" s="4110" t="n"/>
      <c r="N39" s="4111" t="n"/>
      <c r="O39" s="3640" t="n"/>
      <c r="P39" s="4110" t="n"/>
      <c r="Q39" s="4113" t="n"/>
    </row>
    <row r="40" ht="12.75" customHeight="1" s="4080">
      <c r="A40" s="4887" t="inlineStr">
        <is>
          <t>設備上の配慮点</t>
        </is>
      </c>
      <c r="B40" s="4110" t="n"/>
      <c r="C40" s="4110" t="n"/>
      <c r="D40" s="4110" t="n"/>
      <c r="E40" s="4111" t="n"/>
      <c r="F40" s="3523" t="n"/>
      <c r="G40" s="4110" t="n"/>
      <c r="H40" s="4110" t="n"/>
      <c r="I40" s="4110" t="n"/>
      <c r="J40" s="4110" t="n"/>
      <c r="K40" s="4110" t="n"/>
      <c r="L40" s="4110" t="n"/>
      <c r="M40" s="4110" t="n"/>
      <c r="N40" s="4110" t="n"/>
      <c r="O40" s="4110" t="n"/>
      <c r="P40" s="4110" t="n"/>
      <c r="Q40" s="4113" t="n"/>
    </row>
    <row r="41" ht="12.75" customHeight="1" s="4080">
      <c r="A41" s="3636" t="inlineStr">
        <is>
          <t>設　置　部　分　等
（設置部分を○でかこむ）</t>
        </is>
      </c>
      <c r="B41" s="4098" t="n"/>
      <c r="C41" s="4098" t="n"/>
      <c r="D41" s="4098" t="n"/>
      <c r="E41" s="4098" t="n"/>
      <c r="F41" s="4870" t="inlineStr">
        <is>
          <t>居室　　　調理室　　　浴室　　　便所　　　医務室　　　静養室</t>
        </is>
      </c>
      <c r="G41" s="4098" t="n"/>
      <c r="H41" s="4098" t="n"/>
      <c r="I41" s="4098" t="n"/>
      <c r="J41" s="4098" t="n"/>
      <c r="K41" s="4098" t="n"/>
      <c r="L41" s="4098" t="n"/>
      <c r="M41" s="4098" t="n"/>
      <c r="N41" s="4098" t="n"/>
      <c r="O41" s="4098" t="n"/>
      <c r="P41" s="4098" t="n"/>
      <c r="Q41" s="4101" t="n"/>
    </row>
    <row r="42" ht="12.75" customHeight="1" s="4080">
      <c r="A42" s="4097" t="n"/>
      <c r="F42" s="4892" t="inlineStr">
        <is>
          <t>職業指導に必要な設備　　　遊戯室　　　訓練室　　　音楽に関する設備</t>
        </is>
      </c>
      <c r="Q42" s="4109" t="n"/>
    </row>
    <row r="43" ht="12.75" customHeight="1" s="4080">
      <c r="A43" s="4097" t="n"/>
      <c r="F43" s="4892" t="inlineStr">
        <is>
          <t>身体の機能の不自由を助ける設備　　　映像に関する設備</t>
        </is>
      </c>
      <c r="Q43" s="4109" t="n"/>
    </row>
    <row r="44" ht="12.75" customHeight="1" s="4080">
      <c r="A44" s="4097" t="n"/>
      <c r="F44" s="4892" t="inlineStr">
        <is>
          <t>屋外訓練場</t>
        </is>
      </c>
      <c r="Q44" s="4109" t="n"/>
    </row>
    <row r="45" ht="12.75" customHeight="1" s="4080">
      <c r="A45" s="4879" t="inlineStr">
        <is>
          <t>設備基準上の数値記載項目等</t>
        </is>
      </c>
      <c r="B45" s="4098" t="n"/>
      <c r="C45" s="4098" t="n"/>
      <c r="D45" s="4098" t="n"/>
      <c r="E45" s="4099" t="n"/>
      <c r="F45" s="3480" t="n"/>
      <c r="G45" s="4098" t="n"/>
      <c r="H45" s="4098" t="n"/>
      <c r="I45" s="4098" t="n"/>
      <c r="J45" s="4098" t="n"/>
      <c r="K45" s="4099" t="n"/>
      <c r="L45" s="4870" t="n"/>
      <c r="M45" s="4098" t="n"/>
      <c r="N45" s="4098" t="n"/>
      <c r="O45" s="4098" t="n"/>
      <c r="P45" s="4098" t="n"/>
      <c r="Q45" s="4101" t="n"/>
    </row>
    <row r="46" ht="12.75" customHeight="1" s="4080">
      <c r="A46" s="4114" t="n"/>
      <c r="B46" s="4103" t="n"/>
      <c r="C46" s="4103" t="n"/>
      <c r="D46" s="4103" t="n"/>
      <c r="E46" s="4104" t="n"/>
      <c r="F46" s="4891" t="n"/>
      <c r="H46" s="4107" t="n"/>
      <c r="I46" s="3477" t="inlineStr">
        <is>
          <t>基準上の必要値</t>
        </is>
      </c>
      <c r="J46" s="4110" t="n"/>
      <c r="K46" s="4111" t="n"/>
      <c r="L46" s="4892" t="n"/>
      <c r="Q46" s="4109" t="n"/>
    </row>
    <row r="47" ht="12.75" customHeight="1" s="4080">
      <c r="A47" s="3598" t="n"/>
      <c r="B47" s="3627" t="inlineStr">
        <is>
          <t>居室</t>
        </is>
      </c>
      <c r="C47" s="3477" t="inlineStr">
        <is>
          <t>１室の最大定員</t>
        </is>
      </c>
      <c r="D47" s="4110" t="n"/>
      <c r="E47" s="4111" t="n"/>
      <c r="F47" s="3477" t="n"/>
      <c r="G47" s="4110" t="n"/>
      <c r="H47" s="4111" t="n"/>
      <c r="I47" s="4903" t="inlineStr">
        <is>
          <t xml:space="preserve">　　　人以下</t>
        </is>
      </c>
      <c r="J47" s="4110" t="n"/>
      <c r="K47" s="4111" t="n"/>
      <c r="L47" s="3602" t="n"/>
      <c r="M47" s="3603" t="n"/>
      <c r="N47" s="3603" t="n"/>
      <c r="O47" s="3603" t="n"/>
      <c r="P47" s="3603" t="n"/>
      <c r="Q47" s="3604" t="n"/>
    </row>
    <row r="48" ht="12.75" customHeight="1" s="4080" thickBot="1">
      <c r="A48" s="3588" t="n"/>
      <c r="B48" s="4669" t="n"/>
      <c r="C48" s="4904" t="inlineStr">
        <is>
          <t>入所児１人当たりの最小床面積</t>
        </is>
      </c>
      <c r="D48" s="4153" t="n"/>
      <c r="E48" s="4154" t="n"/>
      <c r="F48" s="4905" t="n"/>
      <c r="G48" s="4110" t="n"/>
      <c r="H48" s="4111" t="n"/>
      <c r="I48" s="4906" t="inlineStr">
        <is>
          <t xml:space="preserve">　　　㎡</t>
        </is>
      </c>
      <c r="J48" s="4087" t="n"/>
      <c r="K48" s="4410" t="n"/>
      <c r="L48" s="3526" t="n"/>
      <c r="M48" s="3496" t="n"/>
      <c r="N48" s="3496" t="n"/>
      <c r="O48" s="3496" t="n"/>
      <c r="P48" s="3496" t="n"/>
      <c r="Q48" s="3503" t="n"/>
    </row>
    <row r="49" ht="12.75" customHeight="1" s="4080">
      <c r="A49" s="4907" t="inlineStr">
        <is>
          <t>主な掲示事項</t>
        </is>
      </c>
      <c r="B49" s="4093" t="n"/>
      <c r="C49" s="4093" t="n"/>
      <c r="D49" s="4093" t="n"/>
      <c r="E49" s="4094" t="n"/>
      <c r="F49" s="4908" t="n"/>
      <c r="G49" s="4082" t="n"/>
      <c r="H49" s="4082" t="n"/>
      <c r="I49" s="4082" t="n"/>
      <c r="J49" s="4082" t="n"/>
      <c r="K49" s="4082" t="n"/>
      <c r="L49" s="4082" t="n"/>
      <c r="M49" s="4082" t="n"/>
      <c r="N49" s="4082" t="n"/>
      <c r="O49" s="4082" t="n"/>
      <c r="P49" s="4082" t="n"/>
      <c r="Q49" s="4083" t="n"/>
    </row>
    <row r="50" ht="12.75" customHeight="1" s="4080">
      <c r="A50" s="578" t="n"/>
      <c r="B50" s="3612" t="inlineStr">
        <is>
          <t>入所定員</t>
        </is>
      </c>
      <c r="C50" s="4110" t="n"/>
      <c r="D50" s="4110" t="n"/>
      <c r="E50" s="4111" t="n"/>
      <c r="F50" s="3477" t="inlineStr">
        <is>
          <t>人</t>
        </is>
      </c>
      <c r="G50" s="4110" t="n"/>
      <c r="H50" s="4110" t="n"/>
      <c r="I50" s="4110" t="n"/>
      <c r="J50" s="4110" t="n"/>
      <c r="K50" s="4110" t="n"/>
      <c r="L50" s="4110" t="n"/>
      <c r="M50" s="4110" t="n"/>
      <c r="N50" s="4110" t="n"/>
      <c r="O50" s="4110" t="n"/>
      <c r="P50" s="4110" t="n"/>
      <c r="Q50" s="4111" t="n"/>
    </row>
    <row r="51" ht="12.75" customHeight="1" s="4080">
      <c r="A51" s="4208" t="n"/>
      <c r="B51" s="3612" t="inlineStr">
        <is>
          <t>利用料</t>
        </is>
      </c>
      <c r="C51" s="4098" t="n"/>
      <c r="D51" s="4098" t="n"/>
      <c r="E51" s="4099" t="n"/>
      <c r="F51" s="3477" t="n"/>
      <c r="G51" s="4098" t="n"/>
      <c r="H51" s="4098" t="n"/>
      <c r="I51" s="4098" t="n"/>
      <c r="J51" s="4098" t="n"/>
      <c r="K51" s="4098" t="n"/>
      <c r="L51" s="4098" t="n"/>
      <c r="M51" s="4098" t="n"/>
      <c r="N51" s="4098" t="n"/>
      <c r="O51" s="4098" t="n"/>
      <c r="P51" s="4098" t="n"/>
      <c r="Q51" s="4099" t="n"/>
    </row>
    <row r="52" ht="12.75" customHeight="1" s="4080">
      <c r="A52" s="4208" t="n"/>
      <c r="B52" s="4102" t="n"/>
      <c r="C52" s="4103" t="n"/>
      <c r="D52" s="4103" t="n"/>
      <c r="E52" s="4104" t="n"/>
      <c r="F52" s="4102" t="n"/>
      <c r="G52" s="4103" t="n"/>
      <c r="H52" s="4103" t="n"/>
      <c r="I52" s="4103" t="n"/>
      <c r="J52" s="4103" t="n"/>
      <c r="K52" s="4103" t="n"/>
      <c r="L52" s="4103" t="n"/>
      <c r="M52" s="4103" t="n"/>
      <c r="N52" s="4103" t="n"/>
      <c r="O52" s="4103" t="n"/>
      <c r="P52" s="4103" t="n"/>
      <c r="Q52" s="4104" t="n"/>
    </row>
    <row r="53" ht="12.75" customHeight="1" s="4080">
      <c r="A53" s="4208" t="n"/>
      <c r="B53" s="3612" t="inlineStr">
        <is>
          <t>その他の費用</t>
        </is>
      </c>
      <c r="C53" s="4110" t="n"/>
      <c r="D53" s="4110" t="n"/>
      <c r="E53" s="4111" t="n"/>
      <c r="F53" s="3477" t="n"/>
      <c r="G53" s="4110" t="n"/>
      <c r="H53" s="4110" t="n"/>
      <c r="I53" s="4110" t="n"/>
      <c r="J53" s="4110" t="n"/>
      <c r="K53" s="4110" t="n"/>
      <c r="L53" s="4110" t="n"/>
      <c r="M53" s="4110" t="n"/>
      <c r="N53" s="4110" t="n"/>
      <c r="O53" s="4110" t="n"/>
      <c r="P53" s="4110" t="n"/>
      <c r="Q53" s="4111" t="n"/>
    </row>
    <row r="54" ht="12.75" customHeight="1" s="4080">
      <c r="A54" s="4208" t="n"/>
      <c r="B54" s="3612" t="inlineStr">
        <is>
          <t>その他参考となる事項</t>
        </is>
      </c>
      <c r="C54" s="4098" t="n"/>
      <c r="D54" s="4098" t="n"/>
      <c r="E54" s="4099" t="n"/>
      <c r="F54" s="3477" t="inlineStr">
        <is>
          <t>第三者評価の実施状況</t>
        </is>
      </c>
      <c r="G54" s="4110" t="n"/>
      <c r="H54" s="4110" t="n"/>
      <c r="I54" s="4111" t="n"/>
      <c r="J54" s="3477" t="inlineStr">
        <is>
          <t>している　・　していない</t>
        </is>
      </c>
      <c r="K54" s="4110" t="n"/>
      <c r="L54" s="4110" t="n"/>
      <c r="M54" s="4111" t="n"/>
      <c r="N54" s="3523" t="n"/>
      <c r="O54" s="4110" t="n"/>
      <c r="P54" s="4110" t="n"/>
      <c r="Q54" s="4113" t="n"/>
    </row>
    <row r="55" ht="12.75" customHeight="1" s="4080">
      <c r="A55" s="4208" t="n"/>
      <c r="B55" s="4106" t="n"/>
      <c r="E55" s="4107" t="n"/>
      <c r="F55" s="3477" t="inlineStr">
        <is>
          <t>苦情解決の措置概要</t>
        </is>
      </c>
      <c r="G55" s="4110" t="n"/>
      <c r="H55" s="4110" t="n"/>
      <c r="I55" s="4111" t="n"/>
      <c r="J55" s="3638" t="inlineStr">
        <is>
          <t>窓口（連絡先）</t>
        </is>
      </c>
      <c r="K55" s="4111" t="n"/>
      <c r="L55" s="3483" t="n"/>
      <c r="M55" s="3484" t="n"/>
      <c r="N55" s="3638" t="inlineStr">
        <is>
          <t>担当者</t>
        </is>
      </c>
      <c r="O55" s="3523" t="n"/>
      <c r="P55" s="4110" t="n"/>
      <c r="Q55" s="4113" t="n"/>
    </row>
    <row r="56" ht="12.75" customHeight="1" s="4080">
      <c r="A56" s="4737" t="n"/>
      <c r="B56" s="4102" t="n"/>
      <c r="C56" s="4103" t="n"/>
      <c r="D56" s="4103" t="n"/>
      <c r="E56" s="4104" t="n"/>
      <c r="F56" s="3477" t="inlineStr">
        <is>
          <t>その他</t>
        </is>
      </c>
      <c r="G56" s="4110" t="n"/>
      <c r="H56" s="4110" t="n"/>
      <c r="I56" s="4111" t="n"/>
      <c r="J56" s="3523" t="n"/>
      <c r="K56" s="4110" t="n"/>
      <c r="L56" s="4110" t="n"/>
      <c r="M56" s="4110" t="n"/>
      <c r="N56" s="4110" t="n"/>
      <c r="O56" s="4110" t="n"/>
      <c r="P56" s="4110" t="n"/>
      <c r="Q56" s="4113" t="n"/>
    </row>
    <row r="57" ht="12.75" customHeight="1" s="4080">
      <c r="A57" s="4887" t="inlineStr">
        <is>
          <t>協力医療機関</t>
        </is>
      </c>
      <c r="B57" s="4110" t="n"/>
      <c r="C57" s="4110" t="n"/>
      <c r="D57" s="4110" t="n"/>
      <c r="E57" s="4111" t="n"/>
      <c r="F57" s="3477" t="inlineStr">
        <is>
          <t>名　称</t>
        </is>
      </c>
      <c r="G57" s="4111" t="n"/>
      <c r="H57" s="553" t="n"/>
      <c r="I57" s="553" t="n"/>
      <c r="J57" s="553" t="n"/>
      <c r="K57" s="554" t="n"/>
      <c r="L57" s="3477" t="inlineStr">
        <is>
          <t>主な診療科名</t>
        </is>
      </c>
      <c r="M57" s="4110" t="n"/>
      <c r="N57" s="4111" t="n"/>
      <c r="O57" s="3567" t="n"/>
      <c r="P57" s="3567" t="n"/>
      <c r="Q57" s="3568" t="n"/>
    </row>
    <row r="58" ht="12.75" customHeight="1" s="4080">
      <c r="A58" s="4887" t="inlineStr">
        <is>
          <t>協力歯科医療機関</t>
        </is>
      </c>
      <c r="B58" s="4110" t="n"/>
      <c r="C58" s="4110" t="n"/>
      <c r="D58" s="4110" t="n"/>
      <c r="E58" s="4111" t="n"/>
      <c r="F58" s="3477" t="inlineStr">
        <is>
          <t>名　称</t>
        </is>
      </c>
      <c r="G58" s="4111" t="n"/>
      <c r="H58" s="553" t="n"/>
      <c r="I58" s="553" t="n"/>
      <c r="J58" s="553" t="n"/>
      <c r="K58" s="553" t="n"/>
      <c r="L58" s="553" t="n"/>
      <c r="M58" s="553" t="n"/>
      <c r="N58" s="553" t="n"/>
      <c r="O58" s="553" t="n"/>
      <c r="P58" s="553" t="n"/>
      <c r="Q58" s="555" t="n"/>
    </row>
    <row r="59" ht="60.75" customHeight="1" s="4080" thickBot="1">
      <c r="A59" s="3626" t="inlineStr">
        <is>
          <t>添付書類</t>
        </is>
      </c>
      <c r="B59" s="4153" t="n"/>
      <c r="C59" s="4153" t="n"/>
      <c r="D59" s="4153" t="n"/>
      <c r="E59" s="4154" t="n"/>
      <c r="F59" s="4898" t="inlineStr">
        <is>
          <t>別添のとおり（定款及び登記簿謄本又は条例等、建物の構造概要及び平面図、経歴書、運営規程、障害児等からの苦情を解決するために講ずる措置の概要、勤務体制・形態一覧表、資産状況（貸借対照表・財産目録等）、設備・備品等一覧表、協力医療機関との契約内容がわかるもの）
契約制度導入に伴い利用者負担の受領等に関する保護者向け資料、内規他参考になるもの　　障害児入所給付費の請求に関する事項</t>
        </is>
      </c>
      <c r="G59" s="4153" t="n"/>
      <c r="H59" s="4153" t="n"/>
      <c r="I59" s="4153" t="n"/>
      <c r="J59" s="4153" t="n"/>
      <c r="K59" s="4153" t="n"/>
      <c r="L59" s="4153" t="n"/>
      <c r="M59" s="4153" t="n"/>
      <c r="N59" s="4153" t="n"/>
      <c r="O59" s="4153" t="n"/>
      <c r="P59" s="4153" t="n"/>
      <c r="Q59" s="4155" t="n"/>
    </row>
    <row r="60" ht="12.75" customHeight="1" s="4080">
      <c r="A60" s="572" t="inlineStr">
        <is>
          <t>（備考）</t>
        </is>
      </c>
    </row>
    <row r="61" ht="12.75" customHeight="1" s="4080">
      <c r="A61" s="3603" t="inlineStr">
        <is>
          <t>１．「受付番号」「基準上の必要人数」「基準上の必要値」欄には、記載しないでください。</t>
        </is>
      </c>
    </row>
    <row r="62" ht="12.75" customHeight="1" s="4080">
      <c r="A62" s="3623" t="inlineStr">
        <is>
          <t>２．記入欄が不足する場合は、適宜欄を設けて記載するか又は別葉に記載した書類を添付してください。</t>
        </is>
      </c>
    </row>
    <row r="63" ht="12.75" customHeight="1" s="4080">
      <c r="A63" s="3623" t="inlineStr">
        <is>
          <t>３．「併設する施設の名称及び概要」欄には、施設の目的及び提供するサービスの内容等を記載してください。</t>
        </is>
      </c>
    </row>
    <row r="64" ht="12.75" customHeight="1" s="4080">
      <c r="A64" s="3603" t="inlineStr">
        <is>
          <t>４．「主な掲示事項」欄には、その内容を簡潔に記載してください。</t>
        </is>
      </c>
    </row>
    <row r="65" ht="12.75" customHeight="1" s="4080">
      <c r="A65" s="3603" t="inlineStr">
        <is>
          <t>５．「その他の費用」欄には、入所児又は保護者等に直接金銭の負担を求める場合のサービス内容について記載し</t>
        </is>
      </c>
    </row>
    <row r="66" ht="12.75" customHeight="1" s="4080">
      <c r="A66" s="3603" t="inlineStr">
        <is>
          <t xml:space="preserve">　　てください。</t>
        </is>
      </c>
      <c r="B66" s="3625" t="n"/>
      <c r="C66" s="3625" t="n"/>
      <c r="D66" s="3625" t="n"/>
      <c r="E66" s="3625" t="n"/>
      <c r="F66" s="3625" t="n"/>
      <c r="G66" s="3625" t="n"/>
      <c r="H66" s="3625" t="n"/>
      <c r="I66" s="3625" t="n"/>
      <c r="J66" s="3625" t="n"/>
      <c r="K66" s="3625" t="n"/>
      <c r="L66" s="3625" t="n"/>
      <c r="M66" s="3625" t="n"/>
      <c r="N66" s="3625" t="n"/>
      <c r="O66" s="3625" t="n"/>
      <c r="P66" s="3625" t="n"/>
      <c r="Q66" s="3625" t="n"/>
    </row>
    <row r="67" ht="12.75" customHeight="1" s="4080">
      <c r="A67" s="3603" t="n"/>
      <c r="B67" s="3625" t="n"/>
      <c r="C67" s="3625" t="n"/>
      <c r="D67" s="3625" t="n"/>
      <c r="E67" s="3625" t="n"/>
      <c r="F67" s="3625" t="n"/>
      <c r="G67" s="3625" t="n"/>
      <c r="H67" s="3625" t="n"/>
      <c r="I67" s="3625" t="n"/>
      <c r="J67" s="3625" t="n"/>
      <c r="K67" s="3625" t="n"/>
      <c r="L67" s="3625" t="n"/>
      <c r="M67" s="3625" t="n"/>
      <c r="N67" s="3625" t="n"/>
      <c r="O67" s="3625" t="n"/>
      <c r="P67" s="3625" t="n"/>
      <c r="Q67" s="3625" t="n"/>
    </row>
    <row r="68" ht="12.75" customHeight="1" s="4080">
      <c r="A68" s="3603" t="n"/>
      <c r="B68" s="3625" t="n"/>
      <c r="C68" s="3625" t="n"/>
      <c r="D68" s="3625" t="n"/>
      <c r="E68" s="3625" t="n"/>
      <c r="F68" s="3625" t="n"/>
      <c r="G68" s="3625" t="n"/>
      <c r="H68" s="3625" t="n"/>
      <c r="I68" s="3625" t="n"/>
      <c r="J68" s="3625" t="n"/>
      <c r="K68" s="3625" t="n"/>
      <c r="L68" s="3625" t="n"/>
      <c r="M68" s="3625" t="n"/>
      <c r="N68" s="3625" t="n"/>
      <c r="O68" s="3625" t="n"/>
      <c r="P68" s="3625" t="n"/>
      <c r="Q68" s="3625" t="n"/>
    </row>
    <row r="69" ht="12.75" customHeight="1" s="4080">
      <c r="A69" s="3603" t="n"/>
      <c r="B69" s="3625" t="n"/>
      <c r="C69" s="3625" t="n"/>
      <c r="D69" s="3625" t="n"/>
      <c r="E69" s="3625" t="n"/>
      <c r="F69" s="3625" t="n"/>
      <c r="G69" s="3625" t="n"/>
      <c r="H69" s="3625" t="n"/>
      <c r="I69" s="3625" t="n"/>
      <c r="J69" s="3625" t="n"/>
      <c r="K69" s="3625" t="n"/>
      <c r="L69" s="3625" t="n"/>
      <c r="M69" s="3625" t="n"/>
      <c r="N69" s="3625" t="n"/>
      <c r="O69" s="3625" t="n"/>
      <c r="P69" s="3625" t="n"/>
      <c r="Q69" s="3625" t="n"/>
    </row>
    <row r="70" ht="12.75" customHeight="1" s="4080">
      <c r="A70" s="3603" t="n"/>
      <c r="B70" s="3625" t="n"/>
      <c r="C70" s="3625" t="n"/>
      <c r="D70" s="3625" t="n"/>
      <c r="E70" s="3625" t="n"/>
      <c r="F70" s="3625" t="n"/>
      <c r="G70" s="3625" t="n"/>
      <c r="H70" s="3625" t="n"/>
      <c r="I70" s="3625" t="n"/>
      <c r="J70" s="3625" t="n"/>
      <c r="K70" s="3625" t="n"/>
      <c r="L70" s="3625" t="n"/>
      <c r="M70" s="3625" t="n"/>
      <c r="N70" s="3625" t="n"/>
      <c r="O70" s="3625" t="n"/>
      <c r="P70" s="3625" t="n"/>
      <c r="Q70" s="3625" t="n"/>
    </row>
  </sheetData>
  <mergeCells count="188">
    <mergeCell ref="L33:N33"/>
    <mergeCell ref="I32:K32"/>
    <mergeCell ref="A41:E44"/>
    <mergeCell ref="J20:K21"/>
    <mergeCell ref="F33:H33"/>
    <mergeCell ref="A17:D19"/>
    <mergeCell ref="O22:Q22"/>
    <mergeCell ref="G23:H23"/>
    <mergeCell ref="D36:E36"/>
    <mergeCell ref="D31:E31"/>
    <mergeCell ref="J13:Q13"/>
    <mergeCell ref="A13:A15"/>
    <mergeCell ref="F47:H47"/>
    <mergeCell ref="M35:N35"/>
    <mergeCell ref="F22:H22"/>
    <mergeCell ref="D12:F12"/>
    <mergeCell ref="I3:I4"/>
    <mergeCell ref="B30:C31"/>
    <mergeCell ref="F39:H39"/>
    <mergeCell ref="G9:H10"/>
    <mergeCell ref="E18:F19"/>
    <mergeCell ref="A63:Q63"/>
    <mergeCell ref="B13:C13"/>
    <mergeCell ref="M25:N25"/>
    <mergeCell ref="A57:E57"/>
    <mergeCell ref="M36:N36"/>
    <mergeCell ref="B39:E39"/>
    <mergeCell ref="J16:Q16"/>
    <mergeCell ref="I34:K34"/>
    <mergeCell ref="J31:K31"/>
    <mergeCell ref="D13:G13"/>
    <mergeCell ref="J56:Q56"/>
    <mergeCell ref="L32:N32"/>
    <mergeCell ref="O33:Q33"/>
    <mergeCell ref="D24:E24"/>
    <mergeCell ref="B38:E38"/>
    <mergeCell ref="P24:Q24"/>
    <mergeCell ref="H13:I15"/>
    <mergeCell ref="O39:Q39"/>
    <mergeCell ref="J23:K23"/>
    <mergeCell ref="F57:G57"/>
    <mergeCell ref="I47:K47"/>
    <mergeCell ref="F56:I56"/>
    <mergeCell ref="P35:Q35"/>
    <mergeCell ref="I22:K22"/>
    <mergeCell ref="I28:K28"/>
    <mergeCell ref="G12:Q12"/>
    <mergeCell ref="A49:E49"/>
    <mergeCell ref="F41:Q41"/>
    <mergeCell ref="B33:E33"/>
    <mergeCell ref="P25:Q25"/>
    <mergeCell ref="F50:Q50"/>
    <mergeCell ref="M5:Q5"/>
    <mergeCell ref="L26:N26"/>
    <mergeCell ref="A22:E23"/>
    <mergeCell ref="B32:E32"/>
    <mergeCell ref="B26:E26"/>
    <mergeCell ref="B36:C37"/>
    <mergeCell ref="B50:E50"/>
    <mergeCell ref="E20:I20"/>
    <mergeCell ref="D11:E11"/>
    <mergeCell ref="F27:H27"/>
    <mergeCell ref="M11:Q11"/>
    <mergeCell ref="C48:E48"/>
    <mergeCell ref="P36:Q36"/>
    <mergeCell ref="F54:I54"/>
    <mergeCell ref="L34:N34"/>
    <mergeCell ref="J36:K36"/>
    <mergeCell ref="B34:E35"/>
    <mergeCell ref="J14:Q15"/>
    <mergeCell ref="B27:E27"/>
    <mergeCell ref="O38:Q38"/>
    <mergeCell ref="G24:H24"/>
    <mergeCell ref="F49:Q49"/>
    <mergeCell ref="D37:E37"/>
    <mergeCell ref="P37:Q37"/>
    <mergeCell ref="G35:H35"/>
    <mergeCell ref="D14:G15"/>
    <mergeCell ref="M24:N24"/>
    <mergeCell ref="B6:C6"/>
    <mergeCell ref="I9:I10"/>
    <mergeCell ref="B53:E53"/>
    <mergeCell ref="A45:E46"/>
    <mergeCell ref="P30:Q30"/>
    <mergeCell ref="I27:K27"/>
    <mergeCell ref="L28:N28"/>
    <mergeCell ref="G25:H25"/>
    <mergeCell ref="F40:Q40"/>
    <mergeCell ref="A58:E58"/>
    <mergeCell ref="A40:E40"/>
    <mergeCell ref="F59:Q59"/>
    <mergeCell ref="J29:K29"/>
    <mergeCell ref="F11:J11"/>
    <mergeCell ref="B7:C7"/>
    <mergeCell ref="B3:H4"/>
    <mergeCell ref="F32:H32"/>
    <mergeCell ref="F26:H26"/>
    <mergeCell ref="A64:Q64"/>
    <mergeCell ref="B24:C25"/>
    <mergeCell ref="G18:Q19"/>
    <mergeCell ref="L45:Q45"/>
    <mergeCell ref="K5:L5"/>
    <mergeCell ref="B5:H5"/>
    <mergeCell ref="L20:Q20"/>
    <mergeCell ref="A61:Q61"/>
    <mergeCell ref="F38:H38"/>
    <mergeCell ref="B54:E56"/>
    <mergeCell ref="C20:D20"/>
    <mergeCell ref="A20:B21"/>
    <mergeCell ref="K11:L11"/>
    <mergeCell ref="B8:C10"/>
    <mergeCell ref="O27:Q27"/>
    <mergeCell ref="J24:K24"/>
    <mergeCell ref="I39:K39"/>
    <mergeCell ref="G37:H37"/>
    <mergeCell ref="I48:K48"/>
    <mergeCell ref="N54:Q54"/>
    <mergeCell ref="M31:N31"/>
    <mergeCell ref="I38:K38"/>
    <mergeCell ref="L46:Q46"/>
    <mergeCell ref="J35:K35"/>
    <mergeCell ref="L21:Q21"/>
    <mergeCell ref="C21:D21"/>
    <mergeCell ref="M37:N37"/>
    <mergeCell ref="L27:N27"/>
    <mergeCell ref="J25:K25"/>
    <mergeCell ref="F53:Q53"/>
    <mergeCell ref="F44:Q44"/>
    <mergeCell ref="F34:H34"/>
    <mergeCell ref="D25:E25"/>
    <mergeCell ref="D30:E30"/>
    <mergeCell ref="L57:N57"/>
    <mergeCell ref="M29:N29"/>
    <mergeCell ref="B51:E52"/>
    <mergeCell ref="M23:N23"/>
    <mergeCell ref="A62:Q62"/>
    <mergeCell ref="I26:K26"/>
    <mergeCell ref="B14:C15"/>
    <mergeCell ref="D9:F10"/>
    <mergeCell ref="A16:I16"/>
    <mergeCell ref="M4:Q4"/>
    <mergeCell ref="E21:I21"/>
    <mergeCell ref="A59:E59"/>
    <mergeCell ref="B47:B48"/>
    <mergeCell ref="P29:Q29"/>
    <mergeCell ref="F42:Q42"/>
    <mergeCell ref="O32:Q32"/>
    <mergeCell ref="F45:K45"/>
    <mergeCell ref="O26:Q26"/>
    <mergeCell ref="L39:N39"/>
    <mergeCell ref="J37:K37"/>
    <mergeCell ref="G36:H36"/>
    <mergeCell ref="E17:F17"/>
    <mergeCell ref="P31:Q31"/>
    <mergeCell ref="I33:K33"/>
    <mergeCell ref="L38:N38"/>
    <mergeCell ref="J30:K30"/>
    <mergeCell ref="O55:Q55"/>
    <mergeCell ref="F46:H46"/>
    <mergeCell ref="F28:H28"/>
    <mergeCell ref="G17:Q17"/>
    <mergeCell ref="D6:Q6"/>
    <mergeCell ref="A3:A4"/>
    <mergeCell ref="A65:Q65"/>
    <mergeCell ref="L22:N22"/>
    <mergeCell ref="F48:H48"/>
    <mergeCell ref="J55:K55"/>
    <mergeCell ref="B28:E29"/>
    <mergeCell ref="P23:Q23"/>
    <mergeCell ref="F43:Q43"/>
    <mergeCell ref="M30:N30"/>
    <mergeCell ref="G30:H30"/>
    <mergeCell ref="F55:I55"/>
    <mergeCell ref="D7:Q7"/>
    <mergeCell ref="F58:G58"/>
    <mergeCell ref="O34:Q34"/>
    <mergeCell ref="F51:Q52"/>
    <mergeCell ref="O28:Q28"/>
    <mergeCell ref="G29:H29"/>
    <mergeCell ref="I46:K46"/>
    <mergeCell ref="J9:Q10"/>
    <mergeCell ref="B11:C12"/>
    <mergeCell ref="G31:H31"/>
    <mergeCell ref="J54:M54"/>
    <mergeCell ref="A50:A56"/>
    <mergeCell ref="K4:L4"/>
    <mergeCell ref="A6:A12"/>
    <mergeCell ref="C47:E47"/>
  </mergeCells>
  <pageMargins left="0.984251968503937" right="0.1968503937007874" top="0.4724409448818898" bottom="0.2755905511811024" header="0.3149606299212598" footer="0.1968503937007874"/>
  <pageSetup orientation="portrait" paperSize="9" scale="104"/>
  <rowBreaks count="1" manualBreakCount="1">
    <brk id="59" min="0" max="16" man="1"/>
  </rowBreaks>
  <legacyDrawing xmlns:r="http://schemas.openxmlformats.org/officeDocument/2006/relationships" r:id="anysvml"/>
</worksheet>
</file>

<file path=xl/worksheets/sheet38.xml><?xml version="1.0" encoding="utf-8"?>
<worksheet xmlns="http://schemas.openxmlformats.org/spreadsheetml/2006/main">
  <sheetPr codeName="Sheet37">
    <outlinePr summaryBelow="1" summaryRight="1"/>
    <pageSetUpPr/>
  </sheetPr>
  <dimension ref="A1:AC64"/>
  <sheetViews>
    <sheetView view="pageBreakPreview" zoomScaleNormal="100" zoomScaleSheetLayoutView="100" workbookViewId="0">
      <selection activeCell="G15" sqref="G15"/>
    </sheetView>
  </sheetViews>
  <sheetFormatPr baseColWidth="8" defaultColWidth="4.625" defaultRowHeight="12.75" customHeight="1"/>
  <cols>
    <col width="4.625" customWidth="1" style="545" min="1" max="16384"/>
  </cols>
  <sheetData>
    <row r="1" ht="12.75" customHeight="1" s="4080">
      <c r="A1" s="3531" t="inlineStr">
        <is>
          <t>付表21　障害児入所支援（医療型障害児入所施設）の指定に係る記載事項</t>
        </is>
      </c>
    </row>
    <row r="2" ht="17.45" customHeight="1" s="4080">
      <c r="Y2" s="719">
        <f>HYPERLINK("#目次!A1","目次へ戻る")</f>
        <v/>
      </c>
    </row>
    <row r="3" ht="12.75" customHeight="1" s="4080">
      <c r="A3" s="3657" t="n"/>
      <c r="B3" s="3466" t="inlineStr">
        <is>
          <t xml:space="preserve">　主として入所させる児童の障害の種別
（　　　　　　　　　　　　　　　　　　　　　　　　　　　）　　</t>
        </is>
      </c>
      <c r="I3" s="3531" t="n"/>
    </row>
    <row r="4" ht="12.75" customHeight="1" s="4080" thickBot="1">
      <c r="K4" s="3467" t="n"/>
      <c r="L4" s="4087" t="n"/>
      <c r="M4" s="3468" t="n"/>
      <c r="N4" s="4087" t="n"/>
      <c r="O4" s="4087" t="n"/>
      <c r="P4" s="4087" t="n"/>
      <c r="Q4" s="4087" t="n"/>
    </row>
    <row r="5" ht="12.75" customHeight="1" s="4080" thickBot="1">
      <c r="B5" s="3631" t="n"/>
      <c r="C5" s="4087" t="n"/>
      <c r="D5" s="4087" t="n"/>
      <c r="E5" s="4087" t="n"/>
      <c r="F5" s="4087" t="n"/>
      <c r="G5" s="4087" t="n"/>
      <c r="H5" s="4087" t="n"/>
      <c r="K5" s="3469" t="inlineStr">
        <is>
          <t>事業所番号</t>
        </is>
      </c>
      <c r="L5" s="4866" t="n"/>
      <c r="M5" s="3471" t="n"/>
      <c r="N5" s="4359" t="n"/>
      <c r="O5" s="4359" t="n"/>
      <c r="P5" s="4359" t="n"/>
      <c r="Q5" s="4866" t="n"/>
    </row>
    <row r="6" ht="12.75" customHeight="1" s="4080">
      <c r="A6" s="4867" t="inlineStr">
        <is>
          <t>施　設</t>
        </is>
      </c>
      <c r="B6" s="3488" t="inlineStr">
        <is>
          <t>フリガナ</t>
        </is>
      </c>
      <c r="C6" s="4094" t="n"/>
      <c r="D6" s="3490" t="n"/>
      <c r="E6" s="4082" t="n"/>
      <c r="F6" s="4082" t="n"/>
      <c r="G6" s="4082" t="n"/>
      <c r="H6" s="4082" t="n"/>
      <c r="I6" s="4082" t="n"/>
      <c r="J6" s="4082" t="n"/>
      <c r="K6" s="4082" t="n"/>
      <c r="L6" s="4082" t="n"/>
      <c r="M6" s="4082" t="n"/>
      <c r="N6" s="4082" t="n"/>
      <c r="O6" s="4082" t="n"/>
      <c r="P6" s="4082" t="n"/>
      <c r="Q6" s="4356" t="n"/>
    </row>
    <row r="7" ht="25.5" customHeight="1" s="4080">
      <c r="A7" s="4208" t="n"/>
      <c r="B7" s="3484" t="inlineStr">
        <is>
          <t>名　　称</t>
        </is>
      </c>
      <c r="C7" s="4111" t="n"/>
      <c r="D7" s="4868" t="n"/>
      <c r="E7" s="4459" t="n"/>
      <c r="F7" s="4459" t="n"/>
      <c r="G7" s="4459" t="n"/>
      <c r="H7" s="4459" t="n"/>
      <c r="I7" s="4459" t="n"/>
      <c r="J7" s="4459" t="n"/>
      <c r="K7" s="4459" t="n"/>
      <c r="L7" s="4459" t="n"/>
      <c r="M7" s="4459" t="n"/>
      <c r="N7" s="4459" t="n"/>
      <c r="O7" s="4459" t="n"/>
      <c r="P7" s="4459" t="n"/>
      <c r="Q7" s="4462" t="n"/>
    </row>
    <row r="8" ht="12.75" customHeight="1" s="4080">
      <c r="A8" s="4208" t="n"/>
      <c r="B8" s="3484" t="inlineStr">
        <is>
          <t>所在地</t>
        </is>
      </c>
      <c r="C8" s="4099" t="n"/>
      <c r="D8" s="548" t="inlineStr">
        <is>
          <t>（郵便番号　　　　　－　　　　　）</t>
        </is>
      </c>
      <c r="E8" s="549" t="n"/>
      <c r="F8" s="549" t="n"/>
      <c r="G8" s="549" t="n"/>
      <c r="H8" s="549" t="n"/>
      <c r="I8" s="549" t="n"/>
      <c r="J8" s="549" t="n"/>
      <c r="K8" s="549" t="n"/>
      <c r="L8" s="549" t="n"/>
      <c r="M8" s="549" t="n"/>
      <c r="N8" s="549" t="n"/>
      <c r="O8" s="549" t="n"/>
      <c r="P8" s="549" t="n"/>
      <c r="Q8" s="550" t="n"/>
    </row>
    <row r="9" ht="12.75" customHeight="1" s="4080">
      <c r="A9" s="4208" t="n"/>
      <c r="C9" s="4107" t="n"/>
      <c r="D9" s="3501" t="inlineStr">
        <is>
          <t>大阪市</t>
        </is>
      </c>
      <c r="G9" s="3498" t="n"/>
      <c r="I9" s="3502" t="inlineStr">
        <is>
          <t>区</t>
        </is>
      </c>
      <c r="J9" s="3504" t="n"/>
      <c r="Q9" s="4109" t="n"/>
    </row>
    <row r="10" ht="12.75" customHeight="1" s="4080">
      <c r="A10" s="4208" t="n"/>
      <c r="B10" s="4103" t="n"/>
      <c r="C10" s="4104" t="n"/>
      <c r="D10" s="4102" t="n"/>
      <c r="E10" s="4103" t="n"/>
      <c r="F10" s="4103" t="n"/>
      <c r="G10" s="4103" t="n"/>
      <c r="H10" s="4103" t="n"/>
      <c r="I10" s="4103" t="n"/>
      <c r="J10" s="4103" t="n"/>
      <c r="K10" s="4103" t="n"/>
      <c r="L10" s="4103" t="n"/>
      <c r="M10" s="4103" t="n"/>
      <c r="N10" s="4103" t="n"/>
      <c r="O10" s="4103" t="n"/>
      <c r="P10" s="4103" t="n"/>
      <c r="Q10" s="4105" t="n"/>
    </row>
    <row r="11" ht="15" customHeight="1" s="4080">
      <c r="A11" s="4208" t="n"/>
      <c r="B11" s="3477" t="inlineStr">
        <is>
          <t>連 絡 先</t>
        </is>
      </c>
      <c r="C11" s="4099" t="n"/>
      <c r="D11" s="3477" t="inlineStr">
        <is>
          <t>電話番号</t>
        </is>
      </c>
      <c r="E11" s="4111" t="n"/>
      <c r="F11" s="3478" t="n"/>
      <c r="G11" s="4110" t="n"/>
      <c r="H11" s="4110" t="n"/>
      <c r="I11" s="4110" t="n"/>
      <c r="J11" s="4111" t="n"/>
      <c r="K11" s="3480" t="inlineStr">
        <is>
          <t>ＦＡＸ番号</t>
        </is>
      </c>
      <c r="L11" s="4099" t="n"/>
      <c r="M11" s="3479" t="n"/>
      <c r="N11" s="4098" t="n"/>
      <c r="O11" s="4098" t="n"/>
      <c r="P11" s="4098" t="n"/>
      <c r="Q11" s="4099" t="n"/>
    </row>
    <row r="12" ht="15" customHeight="1" s="4080">
      <c r="A12" s="4737" t="n"/>
      <c r="B12" s="4102" t="n"/>
      <c r="C12" s="4104" t="n"/>
      <c r="D12" s="3477" t="inlineStr">
        <is>
          <t>メールアドレス</t>
        </is>
      </c>
      <c r="E12" s="4110" t="n"/>
      <c r="F12" s="4111" t="n"/>
      <c r="G12" s="4186" t="n"/>
      <c r="H12" s="4110" t="n"/>
      <c r="I12" s="4110" t="n"/>
      <c r="J12" s="4110" t="n"/>
      <c r="K12" s="4110" t="n"/>
      <c r="L12" s="4110" t="n"/>
      <c r="M12" s="4110" t="n"/>
      <c r="N12" s="4110" t="n"/>
      <c r="O12" s="4110" t="n"/>
      <c r="P12" s="4110" t="n"/>
      <c r="Q12" s="4113" t="n"/>
    </row>
    <row r="13" ht="13.5" customHeight="1" s="4080">
      <c r="A13" s="3524" t="inlineStr">
        <is>
          <t>管理者</t>
        </is>
      </c>
      <c r="B13" s="3477" t="inlineStr">
        <is>
          <t>フリガナ</t>
        </is>
      </c>
      <c r="C13" s="4111" t="n"/>
      <c r="D13" s="3525" t="n"/>
      <c r="E13" s="4138" t="n"/>
      <c r="F13" s="4138" t="n"/>
      <c r="G13" s="4139" t="n"/>
      <c r="H13" s="3477" t="inlineStr">
        <is>
          <t>住　所</t>
        </is>
      </c>
      <c r="I13" s="4099" t="n"/>
      <c r="J13" s="4870" t="inlineStr">
        <is>
          <t>（郵便番号　　　　　－　　　　　）</t>
        </is>
      </c>
      <c r="K13" s="4098" t="n"/>
      <c r="L13" s="4098" t="n"/>
      <c r="M13" s="4098" t="n"/>
      <c r="N13" s="4098" t="n"/>
      <c r="O13" s="4098" t="n"/>
      <c r="P13" s="4098" t="n"/>
      <c r="Q13" s="4101" t="n"/>
    </row>
    <row r="14" ht="18" customHeight="1" s="4080">
      <c r="A14" s="4208" t="n"/>
      <c r="B14" s="3477" t="inlineStr">
        <is>
          <t>氏　名</t>
        </is>
      </c>
      <c r="C14" s="4099" t="n"/>
      <c r="D14" s="4871" t="n"/>
      <c r="G14" s="4107" t="n"/>
      <c r="H14" s="4106" t="n"/>
      <c r="I14" s="4107" t="n"/>
      <c r="J14" s="4872" t="n"/>
      <c r="Q14" s="4109" t="n"/>
    </row>
    <row r="15" ht="13.5" customHeight="1" s="4080">
      <c r="A15" s="4208" t="n"/>
      <c r="B15" s="4102" t="n"/>
      <c r="C15" s="4104" t="n"/>
      <c r="D15" s="4102" t="n"/>
      <c r="E15" s="4103" t="n"/>
      <c r="F15" s="4103" t="n"/>
      <c r="G15" s="4104" t="n"/>
      <c r="H15" s="4102" t="n"/>
      <c r="I15" s="4104" t="n"/>
      <c r="J15" s="4102" t="n"/>
      <c r="K15" s="4103" t="n"/>
      <c r="L15" s="4103" t="n"/>
      <c r="M15" s="4103" t="n"/>
      <c r="N15" s="4103" t="n"/>
      <c r="O15" s="4103" t="n"/>
      <c r="P15" s="4103" t="n"/>
      <c r="Q15" s="4105" t="n"/>
    </row>
    <row r="16" ht="12.75" customHeight="1" s="4080">
      <c r="A16" s="4879" t="inlineStr">
        <is>
          <t>当該支援の実施について定めてある定款又は条例等</t>
        </is>
      </c>
      <c r="B16" s="4110" t="n"/>
      <c r="C16" s="4110" t="n"/>
      <c r="D16" s="4110" t="n"/>
      <c r="E16" s="4110" t="n"/>
      <c r="F16" s="4110" t="n"/>
      <c r="G16" s="4110" t="n"/>
      <c r="H16" s="4110" t="n"/>
      <c r="I16" s="4111" t="n"/>
      <c r="J16" s="3477" t="inlineStr">
        <is>
          <t>第　　条第　　項第　　号</t>
        </is>
      </c>
      <c r="K16" s="4110" t="n"/>
      <c r="L16" s="4110" t="n"/>
      <c r="M16" s="4110" t="n"/>
      <c r="N16" s="4110" t="n"/>
      <c r="O16" s="4110" t="n"/>
      <c r="P16" s="4110" t="n"/>
      <c r="Q16" s="4111" t="n"/>
    </row>
    <row r="17" ht="12.75" customHeight="1" s="4080">
      <c r="A17" s="4880" t="inlineStr">
        <is>
          <t>併設する施設の名称及び概要</t>
        </is>
      </c>
      <c r="B17" s="4098" t="n"/>
      <c r="C17" s="4098" t="n"/>
      <c r="D17" s="4099" t="n"/>
      <c r="E17" s="3477" t="inlineStr">
        <is>
          <t>名　称</t>
        </is>
      </c>
      <c r="F17" s="4111" t="n"/>
      <c r="G17" s="4881" t="n"/>
      <c r="H17" s="4110" t="n"/>
      <c r="I17" s="4110" t="n"/>
      <c r="J17" s="4110" t="n"/>
      <c r="K17" s="4110" t="n"/>
      <c r="L17" s="4110" t="n"/>
      <c r="M17" s="4110" t="n"/>
      <c r="N17" s="4110" t="n"/>
      <c r="O17" s="4110" t="n"/>
      <c r="P17" s="4110" t="n"/>
      <c r="Q17" s="4113" t="n"/>
    </row>
    <row r="18" ht="12.75" customHeight="1" s="4080">
      <c r="A18" s="4097" t="n"/>
      <c r="D18" s="4107" t="n"/>
      <c r="E18" s="3477" t="inlineStr">
        <is>
          <t>概　要</t>
        </is>
      </c>
      <c r="F18" s="4099" t="n"/>
      <c r="G18" s="4881" t="n"/>
      <c r="H18" s="4098" t="n"/>
      <c r="I18" s="4098" t="n"/>
      <c r="J18" s="4098" t="n"/>
      <c r="K18" s="4098" t="n"/>
      <c r="L18" s="4098" t="n"/>
      <c r="M18" s="4098" t="n"/>
      <c r="N18" s="4098" t="n"/>
      <c r="O18" s="4098" t="n"/>
      <c r="P18" s="4098" t="n"/>
      <c r="Q18" s="4101" t="n"/>
    </row>
    <row r="19" ht="12.75" customHeight="1" s="4080">
      <c r="A19" s="4114" t="n"/>
      <c r="B19" s="4103" t="n"/>
      <c r="C19" s="4103" t="n"/>
      <c r="D19" s="4104" t="n"/>
      <c r="E19" s="4102" t="n"/>
      <c r="F19" s="4104" t="n"/>
      <c r="G19" s="4102" t="n"/>
      <c r="H19" s="4103" t="n"/>
      <c r="I19" s="4103" t="n"/>
      <c r="J19" s="4103" t="n"/>
      <c r="K19" s="4103" t="n"/>
      <c r="L19" s="4103" t="n"/>
      <c r="M19" s="4103" t="n"/>
      <c r="N19" s="4103" t="n"/>
      <c r="O19" s="4103" t="n"/>
      <c r="P19" s="4103" t="n"/>
      <c r="Q19" s="4105" t="n"/>
    </row>
    <row r="20" ht="13.5" customHeight="1" s="4080">
      <c r="A20" s="4882" t="inlineStr">
        <is>
          <t>児童発達支援管理責任者</t>
        </is>
      </c>
      <c r="B20" s="4099" t="n"/>
      <c r="C20" s="3477" t="inlineStr">
        <is>
          <t>フリガナ</t>
        </is>
      </c>
      <c r="D20" s="4111" t="n"/>
      <c r="E20" s="4883" t="n"/>
      <c r="F20" s="4486" t="n"/>
      <c r="G20" s="4486" t="n"/>
      <c r="H20" s="4486" t="n"/>
      <c r="I20" s="4494" t="n"/>
      <c r="J20" s="3482" t="inlineStr">
        <is>
          <t>住 所</t>
        </is>
      </c>
      <c r="K20" s="4098" t="n"/>
      <c r="L20" s="4884" t="inlineStr">
        <is>
          <t>（郵便番号　　　　　－　　　　　）</t>
        </is>
      </c>
      <c r="M20" s="4098" t="n"/>
      <c r="N20" s="4098" t="n"/>
      <c r="O20" s="4098" t="n"/>
      <c r="P20" s="4098" t="n"/>
      <c r="Q20" s="4101" t="n"/>
    </row>
    <row r="21" ht="20.25" customHeight="1" s="4080">
      <c r="A21" s="4114" t="n"/>
      <c r="B21" s="4104" t="n"/>
      <c r="C21" s="3477" t="inlineStr">
        <is>
          <t>氏　名</t>
        </is>
      </c>
      <c r="D21" s="4111" t="n"/>
      <c r="E21" s="4885" t="n"/>
      <c r="F21" s="4103" t="n"/>
      <c r="G21" s="4103" t="n"/>
      <c r="H21" s="4103" t="n"/>
      <c r="I21" s="4104" t="n"/>
      <c r="J21" s="4102" t="n"/>
      <c r="K21" s="4103" t="n"/>
      <c r="L21" s="4886" t="n"/>
      <c r="M21" s="4103" t="n"/>
      <c r="N21" s="4103" t="n"/>
      <c r="O21" s="4103" t="n"/>
      <c r="P21" s="4103" t="n"/>
      <c r="Q21" s="4105" t="n"/>
    </row>
    <row r="22" ht="12.75" customHeight="1" s="4080">
      <c r="A22" s="4887" t="inlineStr">
        <is>
          <t>従業者の職種・員数</t>
        </is>
      </c>
      <c r="B22" s="4098" t="n"/>
      <c r="C22" s="4098" t="n"/>
      <c r="D22" s="4098" t="n"/>
      <c r="E22" s="4099" t="n"/>
      <c r="F22" s="3477" t="inlineStr">
        <is>
          <t>医　師</t>
        </is>
      </c>
      <c r="G22" s="4110" t="n"/>
      <c r="H22" s="4111" t="n"/>
      <c r="I22" s="3477" t="inlineStr">
        <is>
          <t>看護師</t>
        </is>
      </c>
      <c r="J22" s="4110" t="n"/>
      <c r="K22" s="4111" t="n"/>
      <c r="L22" s="3477" t="inlineStr">
        <is>
          <t>児童指導員</t>
        </is>
      </c>
      <c r="M22" s="4110" t="n"/>
      <c r="N22" s="4111" t="n"/>
      <c r="O22" s="4890" t="inlineStr">
        <is>
          <t>保育士</t>
        </is>
      </c>
      <c r="P22" s="4110" t="n"/>
      <c r="Q22" s="4113" t="n"/>
    </row>
    <row r="23" ht="12.75" customHeight="1" s="4080">
      <c r="A23" s="4114" t="n"/>
      <c r="B23" s="4103" t="n"/>
      <c r="C23" s="4103" t="n"/>
      <c r="D23" s="4103" t="n"/>
      <c r="E23" s="4104" t="n"/>
      <c r="F23" s="584" t="inlineStr">
        <is>
          <t>専従</t>
        </is>
      </c>
      <c r="G23" s="3681" t="inlineStr">
        <is>
          <t>兼務</t>
        </is>
      </c>
      <c r="H23" s="4104" t="n"/>
      <c r="I23" s="584" t="inlineStr">
        <is>
          <t>専従</t>
        </is>
      </c>
      <c r="J23" s="3681" t="inlineStr">
        <is>
          <t>兼務</t>
        </is>
      </c>
      <c r="K23" s="4104" t="n"/>
      <c r="L23" s="584" t="inlineStr">
        <is>
          <t>専従</t>
        </is>
      </c>
      <c r="M23" s="3681" t="inlineStr">
        <is>
          <t>兼務</t>
        </is>
      </c>
      <c r="N23" s="4104" t="n"/>
      <c r="O23" s="584" t="inlineStr">
        <is>
          <t>専従</t>
        </is>
      </c>
      <c r="P23" s="3541" t="inlineStr">
        <is>
          <t>兼務</t>
        </is>
      </c>
      <c r="Q23" s="4105" t="n"/>
    </row>
    <row r="24" ht="12.75" customHeight="1" s="4080">
      <c r="A24" s="3588" t="n"/>
      <c r="B24" s="3477" t="inlineStr">
        <is>
          <t>従業者数</t>
        </is>
      </c>
      <c r="C24" s="4099" t="n"/>
      <c r="D24" s="3638" t="inlineStr">
        <is>
          <t>常勤（人）</t>
        </is>
      </c>
      <c r="E24" s="4111" t="n"/>
      <c r="F24" s="3477" t="n"/>
      <c r="G24" s="3484" t="n"/>
      <c r="H24" s="4111" t="n"/>
      <c r="I24" s="3477" t="n"/>
      <c r="J24" s="3484" t="n"/>
      <c r="K24" s="4111" t="n"/>
      <c r="L24" s="3477" t="n"/>
      <c r="M24" s="3484" t="n"/>
      <c r="N24" s="4111" t="n"/>
      <c r="O24" s="3477" t="n"/>
      <c r="P24" s="3553" t="n"/>
      <c r="Q24" s="4113" t="n"/>
    </row>
    <row r="25" ht="12.75" customHeight="1" s="4080">
      <c r="A25" s="3588" t="n"/>
      <c r="B25" s="4102" t="n"/>
      <c r="C25" s="4104" t="n"/>
      <c r="D25" s="3638" t="inlineStr">
        <is>
          <t>非常勤（人）</t>
        </is>
      </c>
      <c r="E25" s="4111" t="n"/>
      <c r="F25" s="3477" t="n"/>
      <c r="G25" s="3484" t="n"/>
      <c r="H25" s="4111" t="n"/>
      <c r="I25" s="3477" t="n"/>
      <c r="J25" s="3484" t="n"/>
      <c r="K25" s="4111" t="n"/>
      <c r="L25" s="3477" t="n"/>
      <c r="M25" s="3484" t="n"/>
      <c r="N25" s="4111" t="n"/>
      <c r="O25" s="3477" t="n"/>
      <c r="P25" s="3553" t="n"/>
      <c r="Q25" s="4113" t="n"/>
    </row>
    <row r="26" ht="12.75" customHeight="1" s="4080">
      <c r="A26" s="3588" t="n"/>
      <c r="B26" s="3638" t="inlineStr">
        <is>
          <t>備　　　　　　　　　　　考</t>
        </is>
      </c>
      <c r="C26" s="4110" t="n"/>
      <c r="D26" s="4110" t="n"/>
      <c r="E26" s="4111" t="n"/>
      <c r="F26" s="3477" t="n"/>
      <c r="G26" s="4110" t="n"/>
      <c r="H26" s="4111" t="n"/>
      <c r="I26" s="3477" t="n"/>
      <c r="J26" s="4110" t="n"/>
      <c r="K26" s="4111" t="n"/>
      <c r="L26" s="3477" t="n"/>
      <c r="M26" s="4110" t="n"/>
      <c r="N26" s="4111" t="n"/>
      <c r="O26" s="3523" t="n"/>
      <c r="P26" s="4110" t="n"/>
      <c r="Q26" s="4113" t="n"/>
    </row>
    <row r="27" ht="12.75" customHeight="1" s="4080">
      <c r="A27" s="3588" t="n"/>
      <c r="B27" s="3638" t="inlineStr">
        <is>
          <t>基準上の必要人数（人）</t>
        </is>
      </c>
      <c r="C27" s="4110" t="n"/>
      <c r="D27" s="4110" t="n"/>
      <c r="E27" s="4111" t="n"/>
      <c r="F27" s="3639" t="n"/>
      <c r="G27" s="4110" t="n"/>
      <c r="H27" s="4111" t="n"/>
      <c r="I27" s="3639" t="n"/>
      <c r="J27" s="4110" t="n"/>
      <c r="K27" s="4111" t="n"/>
      <c r="L27" s="3639" t="n"/>
      <c r="M27" s="4110" t="n"/>
      <c r="N27" s="4111" t="n"/>
      <c r="O27" s="3640" t="n"/>
      <c r="P27" s="4110" t="n"/>
      <c r="Q27" s="4113" t="n"/>
    </row>
    <row r="28" ht="12.75" customHeight="1" s="4080">
      <c r="A28" s="3588" t="n"/>
      <c r="B28" s="3484" t="n"/>
      <c r="C28" s="4098" t="n"/>
      <c r="D28" s="4098" t="n"/>
      <c r="E28" s="4099" t="n"/>
      <c r="F28" s="3477" t="inlineStr">
        <is>
          <t>心理指導担当職員</t>
        </is>
      </c>
      <c r="G28" s="4110" t="n"/>
      <c r="H28" s="4111" t="n"/>
      <c r="I28" s="4890" t="inlineStr">
        <is>
          <t>理学療法士又は作業療法士</t>
        </is>
      </c>
      <c r="J28" s="4110" t="n"/>
      <c r="K28" s="4113" t="n"/>
      <c r="L28" s="4879" t="inlineStr">
        <is>
          <t>児童発達支援管理責任者</t>
        </is>
      </c>
      <c r="M28" s="4110" t="n"/>
      <c r="N28" s="4111" t="n"/>
      <c r="O28" s="4890" t="inlineStr">
        <is>
          <t>職業指導員</t>
        </is>
      </c>
      <c r="P28" s="4110" t="n"/>
      <c r="Q28" s="4113" t="n"/>
    </row>
    <row r="29" ht="12.75" customHeight="1" s="4080">
      <c r="A29" s="3588" t="n"/>
      <c r="B29" s="4103" t="n"/>
      <c r="C29" s="4103" t="n"/>
      <c r="D29" s="4103" t="n"/>
      <c r="E29" s="4104" t="n"/>
      <c r="F29" s="585" t="inlineStr">
        <is>
          <t>専従</t>
        </is>
      </c>
      <c r="G29" s="3476" t="inlineStr">
        <is>
          <t>兼務</t>
        </is>
      </c>
      <c r="H29" s="4104" t="n"/>
      <c r="I29" s="585" t="inlineStr">
        <is>
          <t>専従</t>
        </is>
      </c>
      <c r="J29" s="3476" t="inlineStr">
        <is>
          <t>兼務</t>
        </is>
      </c>
      <c r="K29" s="4104" t="n"/>
      <c r="L29" s="584" t="inlineStr">
        <is>
          <t>専従</t>
        </is>
      </c>
      <c r="M29" s="3681" t="inlineStr">
        <is>
          <t>兼務</t>
        </is>
      </c>
      <c r="N29" s="4104" t="n"/>
      <c r="O29" s="584" t="inlineStr">
        <is>
          <t>専従</t>
        </is>
      </c>
      <c r="P29" s="3541" t="inlineStr">
        <is>
          <t>兼務</t>
        </is>
      </c>
      <c r="Q29" s="4105" t="n"/>
    </row>
    <row r="30" ht="12.75" customHeight="1" s="4080">
      <c r="A30" s="3588" t="n"/>
      <c r="B30" s="3477" t="inlineStr">
        <is>
          <t>従業者数</t>
        </is>
      </c>
      <c r="C30" s="4099" t="n"/>
      <c r="D30" s="3638" t="inlineStr">
        <is>
          <t>常勤（人）</t>
        </is>
      </c>
      <c r="E30" s="4111" t="n"/>
      <c r="F30" s="3477" t="n"/>
      <c r="G30" s="3484" t="n"/>
      <c r="H30" s="4111" t="n"/>
      <c r="I30" s="3477" t="n"/>
      <c r="J30" s="3484" t="n"/>
      <c r="K30" s="4111" t="n"/>
      <c r="L30" s="3477" t="n"/>
      <c r="M30" s="3484" t="n"/>
      <c r="N30" s="4111" t="n"/>
      <c r="O30" s="3477" t="n"/>
      <c r="P30" s="3553" t="n"/>
      <c r="Q30" s="4113" t="n"/>
    </row>
    <row r="31" ht="12.75" customHeight="1" s="4080">
      <c r="A31" s="3588" t="n"/>
      <c r="B31" s="4102" t="n"/>
      <c r="C31" s="4104" t="n"/>
      <c r="D31" s="3638" t="inlineStr">
        <is>
          <t>非常勤（人）</t>
        </is>
      </c>
      <c r="E31" s="4111" t="n"/>
      <c r="F31" s="3477" t="n"/>
      <c r="G31" s="3484" t="n"/>
      <c r="H31" s="4111" t="n"/>
      <c r="I31" s="3477" t="n"/>
      <c r="J31" s="3484" t="n"/>
      <c r="K31" s="4111" t="n"/>
      <c r="L31" s="3477" t="n"/>
      <c r="M31" s="3484" t="n"/>
      <c r="N31" s="4111" t="n"/>
      <c r="O31" s="3477" t="n"/>
      <c r="P31" s="3553" t="n"/>
      <c r="Q31" s="4113" t="n"/>
    </row>
    <row r="32" ht="12.75" customHeight="1" s="4080">
      <c r="A32" s="3588" t="n"/>
      <c r="B32" s="3638" t="inlineStr">
        <is>
          <t>備　　　　　　　　　　　考</t>
        </is>
      </c>
      <c r="C32" s="4110" t="n"/>
      <c r="D32" s="4110" t="n"/>
      <c r="E32" s="4111" t="n"/>
      <c r="F32" s="3477" t="n"/>
      <c r="G32" s="4110" t="n"/>
      <c r="H32" s="4111" t="n"/>
      <c r="I32" s="3477" t="n"/>
      <c r="J32" s="4110" t="n"/>
      <c r="K32" s="4111" t="n"/>
      <c r="L32" s="3477" t="n"/>
      <c r="M32" s="4110" t="n"/>
      <c r="N32" s="4111" t="n"/>
      <c r="O32" s="3523" t="n"/>
      <c r="P32" s="4110" t="n"/>
      <c r="Q32" s="4113" t="n"/>
    </row>
    <row r="33" ht="12.75" customHeight="1" s="4080">
      <c r="A33" s="3588" t="n"/>
      <c r="B33" s="3638" t="inlineStr">
        <is>
          <t>基準上の必要人数（人）</t>
        </is>
      </c>
      <c r="C33" s="4110" t="n"/>
      <c r="D33" s="4110" t="n"/>
      <c r="E33" s="4111" t="n"/>
      <c r="F33" s="3639" t="n"/>
      <c r="G33" s="4110" t="n"/>
      <c r="H33" s="4111" t="n"/>
      <c r="I33" s="3639" t="n"/>
      <c r="J33" s="4110" t="n"/>
      <c r="K33" s="4111" t="n"/>
      <c r="L33" s="3639" t="n"/>
      <c r="M33" s="4110" t="n"/>
      <c r="N33" s="4111" t="n"/>
      <c r="O33" s="586" t="n"/>
      <c r="P33" s="586" t="n"/>
      <c r="Q33" s="587" t="n"/>
    </row>
    <row r="34" ht="12.75" customHeight="1" s="4080">
      <c r="A34" s="3588" t="n"/>
      <c r="B34" s="3484" t="n"/>
      <c r="C34" s="4098" t="n"/>
      <c r="D34" s="4098" t="n"/>
      <c r="E34" s="4099" t="n"/>
      <c r="F34" s="4888" t="n"/>
      <c r="G34" s="4098" t="n"/>
      <c r="H34" s="4099" t="n"/>
      <c r="I34" s="4888" t="n"/>
      <c r="J34" s="4098" t="n"/>
      <c r="K34" s="4099" t="n"/>
      <c r="L34" s="3480" t="n"/>
      <c r="M34" s="4098" t="n"/>
      <c r="N34" s="4099" t="n"/>
      <c r="O34" s="4895" t="n"/>
      <c r="P34" s="4098" t="n"/>
      <c r="Q34" s="4101" t="n"/>
    </row>
    <row r="35" ht="12.75" customHeight="1" s="4080">
      <c r="A35" s="3588" t="n"/>
      <c r="B35" s="4103" t="n"/>
      <c r="C35" s="4103" t="n"/>
      <c r="D35" s="4103" t="n"/>
      <c r="E35" s="4104" t="n"/>
      <c r="F35" s="3475" t="n"/>
      <c r="G35" s="3476" t="n"/>
      <c r="H35" s="4104" t="n"/>
      <c r="I35" s="3475" t="n"/>
      <c r="J35" s="3476" t="n"/>
      <c r="K35" s="4104" t="n"/>
      <c r="L35" s="3475" t="n"/>
      <c r="M35" s="3476" t="n"/>
      <c r="N35" s="4104" t="n"/>
      <c r="O35" s="3475" t="n"/>
      <c r="P35" s="3504" t="n"/>
      <c r="Q35" s="4105" t="n"/>
    </row>
    <row r="36" ht="12.75" customHeight="1" s="4080">
      <c r="A36" s="3588" t="n"/>
      <c r="B36" s="3477" t="inlineStr">
        <is>
          <t>従業者数</t>
        </is>
      </c>
      <c r="C36" s="4099" t="n"/>
      <c r="D36" s="3638" t="inlineStr">
        <is>
          <t>常勤（人）</t>
        </is>
      </c>
      <c r="E36" s="4111" t="n"/>
      <c r="F36" s="3477" t="n"/>
      <c r="G36" s="3484" t="n"/>
      <c r="H36" s="4111" t="n"/>
      <c r="I36" s="3482" t="n"/>
      <c r="J36" s="3484" t="n"/>
      <c r="K36" s="4111" t="n"/>
      <c r="L36" s="3482" t="n"/>
      <c r="M36" s="3484" t="n"/>
      <c r="N36" s="4111" t="n"/>
      <c r="O36" s="3482" t="n"/>
      <c r="P36" s="3553" t="n"/>
      <c r="Q36" s="4113" t="n"/>
    </row>
    <row r="37" ht="12.75" customHeight="1" s="4080">
      <c r="A37" s="3588" t="n"/>
      <c r="B37" s="4102" t="n"/>
      <c r="C37" s="4104" t="n"/>
      <c r="D37" s="3638" t="inlineStr">
        <is>
          <t>非常勤（人）</t>
        </is>
      </c>
      <c r="E37" s="4111" t="n"/>
      <c r="F37" s="3477" t="n"/>
      <c r="G37" s="3484" t="n"/>
      <c r="H37" s="4111" t="n"/>
      <c r="I37" s="3482" t="n"/>
      <c r="J37" s="3484" t="n"/>
      <c r="K37" s="4111" t="n"/>
      <c r="L37" s="3482" t="n"/>
      <c r="M37" s="3484" t="n"/>
      <c r="N37" s="4111" t="n"/>
      <c r="O37" s="3482" t="n"/>
      <c r="P37" s="3553" t="n"/>
      <c r="Q37" s="4113" t="n"/>
    </row>
    <row r="38" ht="12.75" customHeight="1" s="4080">
      <c r="A38" s="3675" t="n"/>
      <c r="B38" s="3638" t="inlineStr">
        <is>
          <t>備　　　　　　　　　　　　考</t>
        </is>
      </c>
      <c r="C38" s="4110" t="n"/>
      <c r="D38" s="4110" t="n"/>
      <c r="E38" s="4111" t="n"/>
      <c r="F38" s="3477" t="n"/>
      <c r="G38" s="4110" t="n"/>
      <c r="H38" s="4111" t="n"/>
      <c r="I38" s="3477" t="n"/>
      <c r="J38" s="4110" t="n"/>
      <c r="K38" s="4111" t="n"/>
      <c r="L38" s="3477" t="n"/>
      <c r="M38" s="4110" t="n"/>
      <c r="N38" s="4111" t="n"/>
      <c r="O38" s="3477" t="n"/>
      <c r="P38" s="4110" t="n"/>
      <c r="Q38" s="4111" t="n"/>
      <c r="AB38" s="3563" t="n"/>
      <c r="AC38" s="3618" t="n"/>
    </row>
    <row r="39" ht="12.75" customHeight="1" s="4080">
      <c r="A39" s="3675" t="n"/>
      <c r="B39" s="3638" t="inlineStr">
        <is>
          <t>基準上の必要人数（人）</t>
        </is>
      </c>
      <c r="C39" s="4110" t="n"/>
      <c r="D39" s="4110" t="n"/>
      <c r="E39" s="4111" t="n"/>
      <c r="F39" s="3639" t="n"/>
      <c r="G39" s="4110" t="n"/>
      <c r="H39" s="4111" t="n"/>
      <c r="I39" s="3639" t="n"/>
      <c r="J39" s="4110" t="n"/>
      <c r="K39" s="4111" t="n"/>
      <c r="L39" s="3639" t="n"/>
      <c r="M39" s="4110" t="n"/>
      <c r="N39" s="4111" t="n"/>
      <c r="O39" s="3639" t="n"/>
      <c r="P39" s="4110" t="n"/>
      <c r="Q39" s="4111" t="n"/>
    </row>
    <row r="40" ht="12.75" customHeight="1" s="4080">
      <c r="A40" s="4887" t="inlineStr">
        <is>
          <t>設備上の配慮点</t>
        </is>
      </c>
      <c r="B40" s="4110" t="n"/>
      <c r="C40" s="4110" t="n"/>
      <c r="D40" s="4110" t="n"/>
      <c r="E40" s="4111" t="n"/>
      <c r="F40" s="3523" t="n"/>
      <c r="G40" s="4110" t="n"/>
      <c r="H40" s="4110" t="n"/>
      <c r="I40" s="4110" t="n"/>
      <c r="J40" s="4110" t="n"/>
      <c r="K40" s="4110" t="n"/>
      <c r="L40" s="4110" t="n"/>
      <c r="M40" s="4110" t="n"/>
      <c r="N40" s="4110" t="n"/>
      <c r="O40" s="4110" t="n"/>
      <c r="P40" s="4110" t="n"/>
      <c r="Q40" s="4113" t="n"/>
    </row>
    <row r="41" ht="12.75" customHeight="1" s="4080">
      <c r="A41" s="4900" t="inlineStr">
        <is>
          <t>設　置　部　分　等
（該当部分を○でかこむ）</t>
        </is>
      </c>
      <c r="B41" s="4098" t="n"/>
      <c r="C41" s="4098" t="n"/>
      <c r="D41" s="4098" t="n"/>
      <c r="E41" s="4098" t="n"/>
      <c r="F41" s="4870" t="inlineStr">
        <is>
          <t>訓練室　　　浴室　　　静養室　　　屋外訓練場　　　ギブス室</t>
        </is>
      </c>
      <c r="G41" s="4098" t="n"/>
      <c r="H41" s="4098" t="n"/>
      <c r="I41" s="4098" t="n"/>
      <c r="J41" s="4098" t="n"/>
      <c r="K41" s="4098" t="n"/>
      <c r="L41" s="4098" t="n"/>
      <c r="M41" s="4098" t="n"/>
      <c r="N41" s="4098" t="n"/>
      <c r="O41" s="4098" t="n"/>
      <c r="P41" s="4098" t="n"/>
      <c r="Q41" s="4101" t="n"/>
    </row>
    <row r="42" ht="12.75" customHeight="1" s="4080">
      <c r="A42" s="4097" t="n"/>
      <c r="F42" s="4892" t="inlineStr">
        <is>
          <t>特殊工芸の作業を指導するのに必要な設備　　　義肢装具を製作する設備</t>
        </is>
      </c>
      <c r="Q42" s="4109" t="n"/>
    </row>
    <row r="43" ht="12.75" customHeight="1" s="4080">
      <c r="A43" s="4097" t="n"/>
      <c r="F43" s="4892" t="inlineStr">
        <is>
          <t>身体の機能の不自由を助ける設備</t>
        </is>
      </c>
      <c r="Q43" s="4109" t="n"/>
    </row>
    <row r="44" ht="12.75" customHeight="1" s="4080">
      <c r="A44" s="4114" t="n"/>
      <c r="B44" s="4103" t="n"/>
      <c r="C44" s="4103" t="n"/>
      <c r="D44" s="4103" t="n"/>
      <c r="E44" s="4103" t="n"/>
      <c r="F44" s="4894" t="inlineStr">
        <is>
          <t>＊医療法に規定する病院として必要な設備を設けてあること</t>
        </is>
      </c>
      <c r="G44" s="4103" t="n"/>
      <c r="H44" s="4103" t="n"/>
      <c r="I44" s="4103" t="n"/>
      <c r="J44" s="4103" t="n"/>
      <c r="K44" s="4103" t="n"/>
      <c r="L44" s="4103" t="n"/>
      <c r="M44" s="4103" t="n"/>
      <c r="N44" s="4103" t="n"/>
      <c r="O44" s="4103" t="n"/>
      <c r="P44" s="4103" t="n"/>
      <c r="Q44" s="4105" t="n"/>
    </row>
    <row r="45" ht="12.75" customHeight="1" s="4080">
      <c r="A45" s="578" t="inlineStr">
        <is>
          <t>主な掲示事項</t>
        </is>
      </c>
      <c r="B45" s="4103" t="n"/>
      <c r="C45" s="4103" t="n"/>
      <c r="D45" s="4103" t="n"/>
      <c r="E45" s="4104" t="n"/>
      <c r="F45" s="4909" t="n"/>
      <c r="Q45" s="4109" t="n"/>
    </row>
    <row r="46" ht="12.75" customHeight="1" s="4080">
      <c r="A46" s="578" t="n"/>
      <c r="B46" s="3612" t="inlineStr">
        <is>
          <t>入所定員</t>
        </is>
      </c>
      <c r="C46" s="4110" t="n"/>
      <c r="D46" s="4110" t="n"/>
      <c r="E46" s="4111" t="n"/>
      <c r="F46" s="3477" t="inlineStr">
        <is>
          <t>人</t>
        </is>
      </c>
      <c r="G46" s="4110" t="n"/>
      <c r="H46" s="4110" t="n"/>
      <c r="I46" s="4110" t="n"/>
      <c r="J46" s="4110" t="n"/>
      <c r="K46" s="4110" t="n"/>
      <c r="L46" s="4110" t="n"/>
      <c r="M46" s="4110" t="n"/>
      <c r="N46" s="4110" t="n"/>
      <c r="O46" s="4110" t="n"/>
      <c r="P46" s="4110" t="n"/>
      <c r="Q46" s="4111" t="n"/>
    </row>
    <row r="47" ht="12.75" customHeight="1" s="4080">
      <c r="A47" s="4208" t="n"/>
      <c r="B47" s="3612" t="inlineStr">
        <is>
          <t>利用料</t>
        </is>
      </c>
      <c r="C47" s="4098" t="n"/>
      <c r="D47" s="4098" t="n"/>
      <c r="E47" s="4099" t="n"/>
      <c r="F47" s="3477" t="n"/>
      <c r="G47" s="4098" t="n"/>
      <c r="H47" s="4098" t="n"/>
      <c r="I47" s="4098" t="n"/>
      <c r="J47" s="4098" t="n"/>
      <c r="K47" s="4098" t="n"/>
      <c r="L47" s="4098" t="n"/>
      <c r="M47" s="4098" t="n"/>
      <c r="N47" s="4098" t="n"/>
      <c r="O47" s="4098" t="n"/>
      <c r="P47" s="4098" t="n"/>
      <c r="Q47" s="4099" t="n"/>
    </row>
    <row r="48" ht="12.75" customHeight="1" s="4080">
      <c r="A48" s="4208" t="n"/>
      <c r="B48" s="4102" t="n"/>
      <c r="C48" s="4103" t="n"/>
      <c r="D48" s="4103" t="n"/>
      <c r="E48" s="4104" t="n"/>
      <c r="F48" s="4102" t="n"/>
      <c r="G48" s="4103" t="n"/>
      <c r="H48" s="4103" t="n"/>
      <c r="I48" s="4103" t="n"/>
      <c r="J48" s="4103" t="n"/>
      <c r="K48" s="4103" t="n"/>
      <c r="L48" s="4103" t="n"/>
      <c r="M48" s="4103" t="n"/>
      <c r="N48" s="4103" t="n"/>
      <c r="O48" s="4103" t="n"/>
      <c r="P48" s="4103" t="n"/>
      <c r="Q48" s="4104" t="n"/>
    </row>
    <row r="49" ht="12.75" customHeight="1" s="4080">
      <c r="A49" s="4208" t="n"/>
      <c r="B49" s="3612" t="inlineStr">
        <is>
          <t>その他の費用</t>
        </is>
      </c>
      <c r="C49" s="4110" t="n"/>
      <c r="D49" s="4110" t="n"/>
      <c r="E49" s="4111" t="n"/>
      <c r="F49" s="3477" t="n"/>
      <c r="G49" s="4110" t="n"/>
      <c r="H49" s="4110" t="n"/>
      <c r="I49" s="4110" t="n"/>
      <c r="J49" s="4110" t="n"/>
      <c r="K49" s="4110" t="n"/>
      <c r="L49" s="4110" t="n"/>
      <c r="M49" s="4110" t="n"/>
      <c r="N49" s="4110" t="n"/>
      <c r="O49" s="4110" t="n"/>
      <c r="P49" s="4110" t="n"/>
      <c r="Q49" s="4111" t="n"/>
    </row>
    <row r="50" ht="12.75" customHeight="1" s="4080">
      <c r="A50" s="4208" t="n"/>
      <c r="B50" s="3612" t="inlineStr">
        <is>
          <t>その他参考となる事項</t>
        </is>
      </c>
      <c r="C50" s="4098" t="n"/>
      <c r="D50" s="4098" t="n"/>
      <c r="E50" s="4099" t="n"/>
      <c r="F50" s="3477" t="inlineStr">
        <is>
          <t>第三者評価の実施状況</t>
        </is>
      </c>
      <c r="G50" s="4110" t="n"/>
      <c r="H50" s="4110" t="n"/>
      <c r="I50" s="4111" t="n"/>
      <c r="J50" s="3477" t="inlineStr">
        <is>
          <t>している　・　していない</t>
        </is>
      </c>
      <c r="K50" s="4110" t="n"/>
      <c r="L50" s="4110" t="n"/>
      <c r="M50" s="4111" t="n"/>
      <c r="N50" s="3523" t="n"/>
      <c r="O50" s="4110" t="n"/>
      <c r="P50" s="4110" t="n"/>
      <c r="Q50" s="4113" t="n"/>
    </row>
    <row r="51" ht="12.75" customHeight="1" s="4080">
      <c r="A51" s="4208" t="n"/>
      <c r="B51" s="4106" t="n"/>
      <c r="E51" s="4107" t="n"/>
      <c r="F51" s="3477" t="inlineStr">
        <is>
          <t>苦情解決の措置概要</t>
        </is>
      </c>
      <c r="G51" s="4110" t="n"/>
      <c r="H51" s="4110" t="n"/>
      <c r="I51" s="4111" t="n"/>
      <c r="J51" s="3638" t="inlineStr">
        <is>
          <t>窓口（連絡先）</t>
        </is>
      </c>
      <c r="K51" s="4111" t="n"/>
      <c r="L51" s="3483" t="n"/>
      <c r="M51" s="3484" t="n"/>
      <c r="N51" s="3638" t="inlineStr">
        <is>
          <t>担当者</t>
        </is>
      </c>
      <c r="O51" s="3523" t="n"/>
      <c r="P51" s="4110" t="n"/>
      <c r="Q51" s="4113" t="n"/>
    </row>
    <row r="52" ht="12.75" customHeight="1" s="4080">
      <c r="A52" s="4737" t="n"/>
      <c r="B52" s="4102" t="n"/>
      <c r="C52" s="4103" t="n"/>
      <c r="D52" s="4103" t="n"/>
      <c r="E52" s="4104" t="n"/>
      <c r="F52" s="3477" t="inlineStr">
        <is>
          <t>その他</t>
        </is>
      </c>
      <c r="G52" s="4110" t="n"/>
      <c r="H52" s="4110" t="n"/>
      <c r="I52" s="4111" t="n"/>
      <c r="J52" s="3523" t="n"/>
      <c r="K52" s="4110" t="n"/>
      <c r="L52" s="4110" t="n"/>
      <c r="M52" s="4110" t="n"/>
      <c r="N52" s="4110" t="n"/>
      <c r="O52" s="4110" t="n"/>
      <c r="P52" s="4110" t="n"/>
      <c r="Q52" s="4113" t="n"/>
    </row>
    <row r="53" ht="12.75" customHeight="1" s="4080">
      <c r="A53" s="4887" t="inlineStr">
        <is>
          <t>協力歯科医療機関</t>
        </is>
      </c>
      <c r="B53" s="4110" t="n"/>
      <c r="C53" s="4110" t="n"/>
      <c r="D53" s="4110" t="n"/>
      <c r="E53" s="4111" t="n"/>
      <c r="F53" s="3477" t="inlineStr">
        <is>
          <t>名　称</t>
        </is>
      </c>
      <c r="G53" s="4111" t="n"/>
      <c r="H53" s="553" t="n"/>
      <c r="I53" s="553" t="n"/>
      <c r="J53" s="553" t="n"/>
      <c r="K53" s="553" t="n"/>
      <c r="L53" s="553" t="n"/>
      <c r="M53" s="553" t="n"/>
      <c r="N53" s="553" t="n"/>
      <c r="O53" s="553" t="n"/>
      <c r="P53" s="553" t="n"/>
      <c r="Q53" s="555" t="n"/>
    </row>
    <row r="54" ht="64.5" customHeight="1" s="4080" thickBot="1">
      <c r="A54" s="3626" t="inlineStr">
        <is>
          <t>添付書類</t>
        </is>
      </c>
      <c r="B54" s="4153" t="n"/>
      <c r="C54" s="4153" t="n"/>
      <c r="D54" s="4153" t="n"/>
      <c r="E54" s="4154" t="n"/>
      <c r="F54" s="4898" t="inlineStr">
        <is>
          <t>別添のとおり（定款及び登記簿謄本又は条例等、医療法第7条の許可を受けた病院であることを証する書類、建物の構造概要及び平面図、経歴書、運営規程、障害児等からの苦情を解決するために講ずる措置の概要、勤務体制・形態一覧表、資産状況（貸借対照表・財産目録等）、設備・備品等一覧表）
契約制度導入に伴い利用者負担の受領等に関する保護者向け資料、内規等参考になるもの　　障害児施設給付費の請求に関する事項</t>
        </is>
      </c>
      <c r="G54" s="4153" t="n"/>
      <c r="H54" s="4153" t="n"/>
      <c r="I54" s="4153" t="n"/>
      <c r="J54" s="4153" t="n"/>
      <c r="K54" s="4153" t="n"/>
      <c r="L54" s="4153" t="n"/>
      <c r="M54" s="4153" t="n"/>
      <c r="N54" s="4153" t="n"/>
      <c r="O54" s="4153" t="n"/>
      <c r="P54" s="4153" t="n"/>
      <c r="Q54" s="4155" t="n"/>
    </row>
    <row r="55" ht="12.75" customHeight="1" s="4080">
      <c r="A55" s="572" t="inlineStr">
        <is>
          <t>（備考）</t>
        </is>
      </c>
    </row>
    <row r="56" ht="12.75" customHeight="1" s="4080">
      <c r="A56" s="3603" t="inlineStr">
        <is>
          <t>１．「受付番号」「基準上の必要人数」欄には、記載しないでください。</t>
        </is>
      </c>
    </row>
    <row r="57" ht="12.75" customHeight="1" s="4080">
      <c r="A57" s="3623" t="inlineStr">
        <is>
          <t>２．記入欄が不足する場合は、適宜欄を設けて記載するか又は別葉に記載した書類を添付してください。</t>
        </is>
      </c>
    </row>
    <row r="58" ht="12.75" customHeight="1" s="4080">
      <c r="A58" s="3623" t="inlineStr">
        <is>
          <t>３．「併設する施設の名称及び概要」欄には、施設の目的及び提供するサービスの内容等を記載してください。</t>
        </is>
      </c>
    </row>
    <row r="59" ht="12.75" customHeight="1" s="4080">
      <c r="A59" s="3603" t="inlineStr">
        <is>
          <t>４．「主な掲示事項」欄には、その内容を簡潔に記載してください。</t>
        </is>
      </c>
    </row>
    <row r="60" ht="12.75" customHeight="1" s="4080">
      <c r="A60" s="3603" t="inlineStr">
        <is>
          <t>５．「その他の費用」欄には、入所児又は保護者等に直接金銭の負担を求める場合のサービス内容について記載し</t>
        </is>
      </c>
    </row>
    <row r="61" ht="12.75" customHeight="1" s="4080">
      <c r="A61" s="3603" t="inlineStr">
        <is>
          <t xml:space="preserve">　　てください。</t>
        </is>
      </c>
      <c r="B61" s="3625" t="n"/>
      <c r="C61" s="3625" t="n"/>
      <c r="D61" s="3625" t="n"/>
      <c r="E61" s="3625" t="n"/>
      <c r="F61" s="3625" t="n"/>
      <c r="G61" s="3625" t="n"/>
      <c r="H61" s="3625" t="n"/>
      <c r="I61" s="3625" t="n"/>
      <c r="J61" s="3625" t="n"/>
      <c r="K61" s="3625" t="n"/>
      <c r="L61" s="3625" t="n"/>
      <c r="M61" s="3625" t="n"/>
      <c r="N61" s="3625" t="n"/>
      <c r="O61" s="3625" t="n"/>
      <c r="P61" s="3625" t="n"/>
      <c r="Q61" s="3625" t="n"/>
    </row>
    <row r="62" ht="12.75" customHeight="1" s="4080">
      <c r="A62" s="3603" t="n"/>
      <c r="B62" s="3625" t="n"/>
      <c r="C62" s="3625" t="n"/>
      <c r="D62" s="3625" t="n"/>
      <c r="E62" s="3625" t="n"/>
      <c r="F62" s="3625" t="n"/>
      <c r="G62" s="3625" t="n"/>
      <c r="H62" s="3625" t="n"/>
      <c r="I62" s="3625" t="n"/>
      <c r="J62" s="3625" t="n"/>
      <c r="K62" s="3625" t="n"/>
      <c r="L62" s="3625" t="n"/>
      <c r="M62" s="3625" t="n"/>
      <c r="N62" s="3625" t="n"/>
      <c r="O62" s="3625" t="n"/>
      <c r="P62" s="3625" t="n"/>
      <c r="Q62" s="3625" t="n"/>
    </row>
    <row r="63" ht="12.75" customHeight="1" s="4080">
      <c r="A63" s="3603" t="n"/>
      <c r="B63" s="3625" t="n"/>
      <c r="C63" s="3625" t="n"/>
      <c r="D63" s="3625" t="n"/>
      <c r="E63" s="3625" t="n"/>
      <c r="F63" s="3625" t="n"/>
      <c r="G63" s="3625" t="n"/>
      <c r="H63" s="3625" t="n"/>
      <c r="I63" s="3625" t="n"/>
      <c r="J63" s="3625" t="n"/>
      <c r="K63" s="3625" t="n"/>
      <c r="L63" s="3625" t="n"/>
      <c r="M63" s="3625" t="n"/>
      <c r="N63" s="3625" t="n"/>
      <c r="O63" s="3625" t="n"/>
      <c r="P63" s="3625" t="n"/>
      <c r="Q63" s="3625" t="n"/>
    </row>
    <row r="64" ht="12.75" customHeight="1" s="4080">
      <c r="A64" s="3603" t="n"/>
      <c r="B64" s="3625" t="n"/>
      <c r="C64" s="3625" t="n"/>
      <c r="D64" s="3625" t="n"/>
      <c r="E64" s="3625" t="n"/>
      <c r="F64" s="3625" t="n"/>
      <c r="G64" s="3625" t="n"/>
      <c r="H64" s="3625" t="n"/>
      <c r="I64" s="3625" t="n"/>
      <c r="J64" s="3625" t="n"/>
      <c r="K64" s="3625" t="n"/>
      <c r="L64" s="3625" t="n"/>
      <c r="M64" s="3625" t="n"/>
      <c r="N64" s="3625" t="n"/>
      <c r="O64" s="3625" t="n"/>
      <c r="P64" s="3625" t="n"/>
      <c r="Q64" s="3625" t="n"/>
    </row>
  </sheetData>
  <mergeCells count="171">
    <mergeCell ref="L33:N33"/>
    <mergeCell ref="I32:K32"/>
    <mergeCell ref="A41:E44"/>
    <mergeCell ref="J20:K21"/>
    <mergeCell ref="F33:H33"/>
    <mergeCell ref="A17:D19"/>
    <mergeCell ref="F45:Q45"/>
    <mergeCell ref="O22:Q22"/>
    <mergeCell ref="A45:E45"/>
    <mergeCell ref="G23:H23"/>
    <mergeCell ref="D36:E36"/>
    <mergeCell ref="D31:E31"/>
    <mergeCell ref="J13:Q13"/>
    <mergeCell ref="A13:A15"/>
    <mergeCell ref="M35:N35"/>
    <mergeCell ref="O51:Q51"/>
    <mergeCell ref="F22:H22"/>
    <mergeCell ref="F46:Q46"/>
    <mergeCell ref="D12:F12"/>
    <mergeCell ref="I3:I4"/>
    <mergeCell ref="B30:C31"/>
    <mergeCell ref="F39:H39"/>
    <mergeCell ref="G9:H10"/>
    <mergeCell ref="E18:F19"/>
    <mergeCell ref="B13:C13"/>
    <mergeCell ref="M25:N25"/>
    <mergeCell ref="M36:N36"/>
    <mergeCell ref="B39:E39"/>
    <mergeCell ref="J16:Q16"/>
    <mergeCell ref="I34:K34"/>
    <mergeCell ref="J31:K31"/>
    <mergeCell ref="D13:G13"/>
    <mergeCell ref="F47:Q48"/>
    <mergeCell ref="L32:N32"/>
    <mergeCell ref="D24:E24"/>
    <mergeCell ref="B38:E38"/>
    <mergeCell ref="P24:Q24"/>
    <mergeCell ref="H13:I15"/>
    <mergeCell ref="O39:Q39"/>
    <mergeCell ref="J23:K23"/>
    <mergeCell ref="A58:Q58"/>
    <mergeCell ref="B49:E49"/>
    <mergeCell ref="P35:Q35"/>
    <mergeCell ref="I22:K22"/>
    <mergeCell ref="I28:K28"/>
    <mergeCell ref="G12:Q12"/>
    <mergeCell ref="F52:I52"/>
    <mergeCell ref="F41:Q41"/>
    <mergeCell ref="B33:E33"/>
    <mergeCell ref="P25:Q25"/>
    <mergeCell ref="A60:Q60"/>
    <mergeCell ref="M5:Q5"/>
    <mergeCell ref="L26:N26"/>
    <mergeCell ref="A22:E23"/>
    <mergeCell ref="B32:E32"/>
    <mergeCell ref="B26:E26"/>
    <mergeCell ref="B36:C37"/>
    <mergeCell ref="E20:I20"/>
    <mergeCell ref="D11:E11"/>
    <mergeCell ref="F27:H27"/>
    <mergeCell ref="M11:Q11"/>
    <mergeCell ref="P36:Q36"/>
    <mergeCell ref="L34:N34"/>
    <mergeCell ref="J36:K36"/>
    <mergeCell ref="B34:E35"/>
    <mergeCell ref="N50:Q50"/>
    <mergeCell ref="B50:E52"/>
    <mergeCell ref="J14:Q15"/>
    <mergeCell ref="B27:E27"/>
    <mergeCell ref="O38:Q38"/>
    <mergeCell ref="G24:H24"/>
    <mergeCell ref="F49:Q49"/>
    <mergeCell ref="D37:E37"/>
    <mergeCell ref="P37:Q37"/>
    <mergeCell ref="G35:H35"/>
    <mergeCell ref="D14:G15"/>
    <mergeCell ref="M24:N24"/>
    <mergeCell ref="B6:C6"/>
    <mergeCell ref="I9:I10"/>
    <mergeCell ref="P30:Q30"/>
    <mergeCell ref="I27:K27"/>
    <mergeCell ref="L28:N28"/>
    <mergeCell ref="G25:H25"/>
    <mergeCell ref="J51:K51"/>
    <mergeCell ref="F40:Q40"/>
    <mergeCell ref="A40:E40"/>
    <mergeCell ref="J29:K29"/>
    <mergeCell ref="F11:J11"/>
    <mergeCell ref="B7:C7"/>
    <mergeCell ref="B47:E48"/>
    <mergeCell ref="A59:Q59"/>
    <mergeCell ref="B3:H4"/>
    <mergeCell ref="F32:H32"/>
    <mergeCell ref="F26:H26"/>
    <mergeCell ref="G18:Q19"/>
    <mergeCell ref="B24:C25"/>
    <mergeCell ref="K5:L5"/>
    <mergeCell ref="B5:H5"/>
    <mergeCell ref="L20:Q20"/>
    <mergeCell ref="F38:H38"/>
    <mergeCell ref="C20:D20"/>
    <mergeCell ref="K11:L11"/>
    <mergeCell ref="A20:B21"/>
    <mergeCell ref="B8:C10"/>
    <mergeCell ref="O27:Q27"/>
    <mergeCell ref="J24:K24"/>
    <mergeCell ref="I39:K39"/>
    <mergeCell ref="G37:H37"/>
    <mergeCell ref="M31:N31"/>
    <mergeCell ref="I38:K38"/>
    <mergeCell ref="J35:K35"/>
    <mergeCell ref="L21:Q21"/>
    <mergeCell ref="A56:Q56"/>
    <mergeCell ref="C21:D21"/>
    <mergeCell ref="M37:N37"/>
    <mergeCell ref="L27:N27"/>
    <mergeCell ref="J25:K25"/>
    <mergeCell ref="F44:Q44"/>
    <mergeCell ref="F34:H34"/>
    <mergeCell ref="D25:E25"/>
    <mergeCell ref="F50:I50"/>
    <mergeCell ref="D30:E30"/>
    <mergeCell ref="M29:N29"/>
    <mergeCell ref="M23:N23"/>
    <mergeCell ref="I26:K26"/>
    <mergeCell ref="B14:C15"/>
    <mergeCell ref="D9:F10"/>
    <mergeCell ref="A16:I16"/>
    <mergeCell ref="M4:Q4"/>
    <mergeCell ref="E21:I21"/>
    <mergeCell ref="P29:Q29"/>
    <mergeCell ref="F42:Q42"/>
    <mergeCell ref="O32:Q32"/>
    <mergeCell ref="O26:Q26"/>
    <mergeCell ref="J50:M50"/>
    <mergeCell ref="A46:A52"/>
    <mergeCell ref="L39:N39"/>
    <mergeCell ref="G36:H36"/>
    <mergeCell ref="J37:K37"/>
    <mergeCell ref="E17:F17"/>
    <mergeCell ref="P31:Q31"/>
    <mergeCell ref="I33:K33"/>
    <mergeCell ref="L38:N38"/>
    <mergeCell ref="J30:K30"/>
    <mergeCell ref="G17:Q17"/>
    <mergeCell ref="F28:H28"/>
    <mergeCell ref="A54:E54"/>
    <mergeCell ref="D6:Q6"/>
    <mergeCell ref="A3:A4"/>
    <mergeCell ref="L22:N22"/>
    <mergeCell ref="B46:E46"/>
    <mergeCell ref="B28:E29"/>
    <mergeCell ref="P23:Q23"/>
    <mergeCell ref="F43:Q43"/>
    <mergeCell ref="M30:N30"/>
    <mergeCell ref="G30:H30"/>
    <mergeCell ref="A57:Q57"/>
    <mergeCell ref="D7:Q7"/>
    <mergeCell ref="F51:I51"/>
    <mergeCell ref="O34:Q34"/>
    <mergeCell ref="O28:Q28"/>
    <mergeCell ref="G29:H29"/>
    <mergeCell ref="A53:E53"/>
    <mergeCell ref="J9:Q10"/>
    <mergeCell ref="F54:Q54"/>
    <mergeCell ref="B11:C12"/>
    <mergeCell ref="G31:H31"/>
    <mergeCell ref="A6:A12"/>
    <mergeCell ref="K4:L4"/>
    <mergeCell ref="J52:Q52"/>
    <mergeCell ref="F53:G53"/>
  </mergeCells>
  <pageMargins left="0.984251968503937" right="0.1968503937007874" top="0.4724409448818898" bottom="0.2755905511811024" header="0.3149606299212598" footer="0.1968503937007874"/>
  <pageSetup orientation="portrait" paperSize="9" scale="109"/>
  <rowBreaks count="1" manualBreakCount="1">
    <brk id="54" min="0" max="16" man="1"/>
  </rowBreaks>
  <legacyDrawing xmlns:r="http://schemas.openxmlformats.org/officeDocument/2006/relationships" r:id="anysvml"/>
</worksheet>
</file>

<file path=xl/worksheets/sheet39.xml><?xml version="1.0" encoding="utf-8"?>
<worksheet xmlns="http://schemas.openxmlformats.org/spreadsheetml/2006/main">
  <sheetPr codeName="Sheet38">
    <outlinePr summaryBelow="1" summaryRight="1"/>
    <pageSetUpPr/>
  </sheetPr>
  <dimension ref="A1:Z104"/>
  <sheetViews>
    <sheetView showGridLines="0" view="pageBreakPreview" zoomScaleNormal="100" zoomScaleSheetLayoutView="100" workbookViewId="0">
      <selection activeCell="G15" sqref="G15"/>
    </sheetView>
  </sheetViews>
  <sheetFormatPr baseColWidth="8" defaultColWidth="4.75" defaultRowHeight="12.75" customHeight="1"/>
  <cols>
    <col width="4.75" customWidth="1" style="3783" min="1" max="20"/>
    <col width="6.625" customWidth="1" style="3783" min="21" max="21"/>
    <col width="4.75" customWidth="1" style="3783" min="22" max="16384"/>
  </cols>
  <sheetData>
    <row r="1" ht="15" customHeight="1" s="4080">
      <c r="A1" s="590" t="inlineStr">
        <is>
          <t>付表22</t>
        </is>
      </c>
    </row>
    <row r="2" ht="15" customHeight="1" s="4080">
      <c r="E2" s="592" t="inlineStr">
        <is>
          <t>障害児通所支援事業所に係る多機能型による</t>
        </is>
      </c>
      <c r="Z2" s="719">
        <f>HYPERLINK("#目次!A1","目次へ戻る")</f>
        <v/>
      </c>
    </row>
    <row r="3" ht="15" customFormat="1" customHeight="1" s="593">
      <c r="E3" s="592" t="inlineStr">
        <is>
          <t xml:space="preserve">事業を実施する場合の記載事項(総括表)　　　</t>
        </is>
      </c>
    </row>
    <row r="4" ht="12.75" customHeight="1" s="4080">
      <c r="O4" s="594" t="n"/>
    </row>
    <row r="5" ht="12.75" customHeight="1" s="4080" thickBot="1">
      <c r="N5" s="595" t="n"/>
      <c r="O5" s="594" t="inlineStr">
        <is>
          <t>※多機能型事業実施時は各付表とこの表を併せて提出してください。</t>
        </is>
      </c>
      <c r="P5" s="596" t="n"/>
      <c r="Q5" s="596" t="n"/>
      <c r="R5" s="596" t="n"/>
      <c r="S5" s="596" t="n"/>
      <c r="T5" s="596" t="n"/>
    </row>
    <row r="6" ht="12.75" customHeight="1" s="4080" thickBot="1">
      <c r="N6" s="4910" t="inlineStr">
        <is>
          <t>事業所番号</t>
        </is>
      </c>
      <c r="O6" s="4866" t="n"/>
      <c r="P6" s="3692" t="n"/>
      <c r="Q6" s="4359" t="n"/>
      <c r="R6" s="4359" t="n"/>
      <c r="S6" s="4359" t="n"/>
      <c r="T6" s="4866" t="n"/>
    </row>
    <row r="7" ht="12.75" customHeight="1" s="4080">
      <c r="A7" s="4911" t="inlineStr">
        <is>
          <t>事業所</t>
        </is>
      </c>
      <c r="B7" s="3697" t="inlineStr">
        <is>
          <t>フリガナ</t>
        </is>
      </c>
      <c r="C7" s="4094" t="n"/>
      <c r="D7" s="4912" t="n"/>
      <c r="E7" s="4913" t="n"/>
      <c r="F7" s="4913" t="n"/>
      <c r="G7" s="4913" t="n"/>
      <c r="H7" s="4913" t="n"/>
      <c r="I7" s="4913" t="n"/>
      <c r="J7" s="4913" t="n"/>
      <c r="K7" s="4913" t="n"/>
      <c r="L7" s="4913" t="n"/>
      <c r="M7" s="4913" t="n"/>
      <c r="N7" s="4913" t="n"/>
      <c r="O7" s="4913" t="n"/>
      <c r="P7" s="4913" t="n"/>
      <c r="Q7" s="4913" t="n"/>
      <c r="R7" s="4913" t="n"/>
      <c r="S7" s="4913" t="n"/>
      <c r="T7" s="4914" t="n"/>
    </row>
    <row r="8" ht="25.5" customHeight="1" s="4080">
      <c r="A8" s="4097" t="n"/>
      <c r="B8" s="3685" t="inlineStr">
        <is>
          <t>名　　称</t>
        </is>
      </c>
      <c r="C8" s="4111" t="n"/>
      <c r="D8" s="4915" t="n"/>
      <c r="E8" s="4459" t="n"/>
      <c r="F8" s="4459" t="n"/>
      <c r="G8" s="4459" t="n"/>
      <c r="H8" s="4459" t="n"/>
      <c r="I8" s="4459" t="n"/>
      <c r="J8" s="4459" t="n"/>
      <c r="K8" s="4459" t="n"/>
      <c r="L8" s="4459" t="n"/>
      <c r="M8" s="4459" t="n"/>
      <c r="N8" s="4459" t="n"/>
      <c r="O8" s="4459" t="n"/>
      <c r="P8" s="4459" t="n"/>
      <c r="Q8" s="4459" t="n"/>
      <c r="R8" s="4459" t="n"/>
      <c r="S8" s="4459" t="n"/>
      <c r="T8" s="4462" t="n"/>
    </row>
    <row r="9" ht="12.75" customHeight="1" s="4080">
      <c r="A9" s="4097" t="n"/>
      <c r="B9" s="3685" t="inlineStr">
        <is>
          <t>所在地</t>
        </is>
      </c>
      <c r="C9" s="4099" t="n"/>
      <c r="D9" s="597" t="inlineStr">
        <is>
          <t>（郵便番号　　　　　　　―　　　　　　　　）</t>
        </is>
      </c>
      <c r="E9" s="598" t="n"/>
      <c r="F9" s="598" t="n"/>
      <c r="G9" s="598" t="n"/>
      <c r="H9" s="598" t="n"/>
      <c r="I9" s="598" t="n"/>
      <c r="J9" s="598" t="n"/>
      <c r="K9" s="598" t="n"/>
      <c r="L9" s="598" t="n"/>
      <c r="M9" s="598" t="n"/>
      <c r="N9" s="598" t="n"/>
      <c r="O9" s="598" t="n"/>
      <c r="P9" s="598" t="n"/>
      <c r="Q9" s="598" t="n"/>
      <c r="R9" s="598" t="n"/>
      <c r="S9" s="598" t="n"/>
      <c r="T9" s="599" t="n"/>
    </row>
    <row r="10" ht="12.75" customHeight="1" s="4080">
      <c r="A10" s="4097" t="n"/>
      <c r="B10" s="4106" t="n"/>
      <c r="C10" s="4107" t="n"/>
      <c r="D10" s="600" t="n"/>
      <c r="E10" s="601" t="n"/>
      <c r="F10" s="602" t="n"/>
      <c r="G10" s="603" t="n"/>
      <c r="H10" s="603" t="n"/>
      <c r="I10" s="603" t="n"/>
      <c r="J10" s="603" t="n"/>
      <c r="K10" s="3710" t="n"/>
      <c r="L10" s="4146" t="n"/>
      <c r="M10" s="601" t="n"/>
      <c r="N10" s="601" t="n"/>
      <c r="O10" s="601" t="n"/>
      <c r="P10" s="601" t="n"/>
      <c r="Q10" s="601" t="n"/>
      <c r="R10" s="601" t="n"/>
      <c r="S10" s="601" t="n"/>
      <c r="T10" s="604" t="n"/>
    </row>
    <row r="11" ht="12.75" customHeight="1" s="4080">
      <c r="A11" s="4097" t="n"/>
      <c r="B11" s="4102" t="n"/>
      <c r="C11" s="4104" t="n"/>
      <c r="D11" s="605" t="n"/>
      <c r="E11" s="606" t="n"/>
      <c r="F11" s="606" t="n"/>
      <c r="G11" s="606" t="n"/>
      <c r="H11" s="606" t="n"/>
      <c r="I11" s="606" t="n"/>
      <c r="J11" s="606" t="n"/>
      <c r="K11" s="606" t="n"/>
      <c r="L11" s="606" t="n"/>
      <c r="M11" s="606" t="n"/>
      <c r="N11" s="606" t="n"/>
      <c r="O11" s="606" t="n"/>
      <c r="P11" s="606" t="n"/>
      <c r="Q11" s="606" t="n"/>
      <c r="R11" s="606" t="n"/>
      <c r="S11" s="606" t="n"/>
      <c r="T11" s="607" t="n"/>
    </row>
    <row r="12" ht="15" customHeight="1" s="4080">
      <c r="A12" s="4097" t="n"/>
      <c r="B12" s="3685" t="inlineStr">
        <is>
          <t>連 絡 先</t>
        </is>
      </c>
      <c r="C12" s="4099" t="n"/>
      <c r="D12" s="3684" t="inlineStr">
        <is>
          <t>電話番号</t>
        </is>
      </c>
      <c r="E12" s="4111" t="n"/>
      <c r="F12" s="3685" t="n"/>
      <c r="G12" s="4110" t="n"/>
      <c r="H12" s="4110" t="n"/>
      <c r="I12" s="4110" t="n"/>
      <c r="J12" s="4110" t="n"/>
      <c r="K12" s="4110" t="n"/>
      <c r="L12" s="4110" t="n"/>
      <c r="M12" s="4111" t="n"/>
      <c r="N12" s="3685" t="inlineStr">
        <is>
          <t>ＦＡＸ番号</t>
        </is>
      </c>
      <c r="O12" s="4111" t="n"/>
      <c r="P12" s="3688" t="n"/>
      <c r="Q12" s="4110" t="n"/>
      <c r="R12" s="4110" t="n"/>
      <c r="S12" s="4110" t="n"/>
      <c r="T12" s="4111" t="n"/>
    </row>
    <row r="13" ht="15" customHeight="1" s="4080">
      <c r="A13" s="4114" t="n"/>
      <c r="B13" s="4102" t="n"/>
      <c r="C13" s="4104" t="n"/>
      <c r="D13" s="3685" t="inlineStr">
        <is>
          <t>メールアドレス</t>
        </is>
      </c>
      <c r="E13" s="4110" t="n"/>
      <c r="F13" s="4111" t="n"/>
      <c r="G13" s="4186" t="n"/>
      <c r="H13" s="4110" t="n"/>
      <c r="I13" s="4110" t="n"/>
      <c r="J13" s="4110" t="n"/>
      <c r="K13" s="4110" t="n"/>
      <c r="L13" s="4110" t="n"/>
      <c r="M13" s="4110" t="n"/>
      <c r="N13" s="4110" t="n"/>
      <c r="O13" s="4110" t="n"/>
      <c r="P13" s="4110" t="n"/>
      <c r="Q13" s="4110" t="n"/>
      <c r="R13" s="4110" t="n"/>
      <c r="S13" s="4110" t="n"/>
      <c r="T13" s="4113" t="n"/>
    </row>
    <row r="14" ht="12.75" customHeight="1" s="4080">
      <c r="A14" s="608" t="inlineStr">
        <is>
          <t>（注）多機能型による他の事業所については、下欄に記載すること。</t>
        </is>
      </c>
      <c r="S14" s="3786" t="n"/>
      <c r="T14" s="607" t="n"/>
    </row>
    <row r="15" ht="12.75" customHeight="1" s="4080">
      <c r="A15" s="4916" t="inlineStr">
        <is>
          <t>事業所2</t>
        </is>
      </c>
      <c r="B15" s="3684" t="inlineStr">
        <is>
          <t>フリガナ</t>
        </is>
      </c>
      <c r="C15" s="4111" t="n"/>
      <c r="D15" s="4917" t="n"/>
      <c r="E15" s="4486" t="n"/>
      <c r="F15" s="4486" t="n"/>
      <c r="G15" s="4486" t="n"/>
      <c r="H15" s="4486" t="n"/>
      <c r="I15" s="4486" t="n"/>
      <c r="J15" s="4486" t="n"/>
      <c r="K15" s="4486" t="n"/>
      <c r="L15" s="4486" t="n"/>
      <c r="M15" s="4486" t="n"/>
      <c r="N15" s="4486" t="n"/>
      <c r="O15" s="4486" t="n"/>
      <c r="P15" s="4486" t="n"/>
      <c r="Q15" s="4486" t="n"/>
      <c r="R15" s="4486" t="n"/>
      <c r="S15" s="4486" t="n"/>
      <c r="T15" s="4877" t="n"/>
    </row>
    <row r="16" ht="25.5" customHeight="1" s="4080">
      <c r="A16" s="4208" t="n"/>
      <c r="B16" s="3684" t="inlineStr">
        <is>
          <t>名　　称</t>
        </is>
      </c>
      <c r="C16" s="4111" t="n"/>
      <c r="D16" s="4915" t="n"/>
      <c r="E16" s="4459" t="n"/>
      <c r="F16" s="4459" t="n"/>
      <c r="G16" s="4459" t="n"/>
      <c r="H16" s="4459" t="n"/>
      <c r="I16" s="4459" t="n"/>
      <c r="J16" s="4459" t="n"/>
      <c r="K16" s="4459" t="n"/>
      <c r="L16" s="4459" t="n"/>
      <c r="M16" s="4459" t="n"/>
      <c r="N16" s="4459" t="n"/>
      <c r="O16" s="4459" t="n"/>
      <c r="P16" s="4459" t="n"/>
      <c r="Q16" s="4459" t="n"/>
      <c r="R16" s="4459" t="n"/>
      <c r="S16" s="4459" t="n"/>
      <c r="T16" s="4462" t="n"/>
    </row>
    <row r="17" ht="12.75" customHeight="1" s="4080">
      <c r="A17" s="4208" t="n"/>
      <c r="B17" s="3684" t="inlineStr">
        <is>
          <t>所在地</t>
        </is>
      </c>
      <c r="C17" s="4099" t="n"/>
      <c r="D17" s="597" t="inlineStr">
        <is>
          <t>（郵便番号　　　　　　　―　　　　　　　　）</t>
        </is>
      </c>
      <c r="E17" s="598" t="n"/>
      <c r="F17" s="598" t="n"/>
      <c r="G17" s="598" t="n"/>
      <c r="H17" s="598" t="n"/>
      <c r="I17" s="598" t="n"/>
      <c r="J17" s="598" t="n"/>
      <c r="K17" s="598" t="n"/>
      <c r="L17" s="598" t="n"/>
      <c r="M17" s="598" t="n"/>
      <c r="N17" s="598" t="n"/>
      <c r="O17" s="598" t="n"/>
      <c r="P17" s="598" t="n"/>
      <c r="Q17" s="598" t="n"/>
      <c r="R17" s="598" t="n"/>
      <c r="S17" s="598" t="n"/>
      <c r="T17" s="599" t="n"/>
    </row>
    <row r="18" ht="12.75" customHeight="1" s="4080">
      <c r="A18" s="4208" t="n"/>
      <c r="C18" s="4107" t="n"/>
      <c r="D18" s="600" t="n"/>
      <c r="E18" s="601" t="n"/>
      <c r="F18" s="602" t="n"/>
      <c r="G18" s="603" t="n"/>
      <c r="H18" s="603" t="n"/>
      <c r="I18" s="603" t="n"/>
      <c r="J18" s="603" t="n"/>
      <c r="K18" s="3710" t="n"/>
      <c r="L18" s="4146" t="n"/>
      <c r="M18" s="601" t="n"/>
      <c r="N18" s="601" t="n"/>
      <c r="O18" s="601" t="n"/>
      <c r="P18" s="601" t="n"/>
      <c r="Q18" s="601" t="n"/>
      <c r="R18" s="601" t="n"/>
      <c r="S18" s="601" t="n"/>
      <c r="T18" s="604" t="n"/>
    </row>
    <row r="19" ht="12.75" customHeight="1" s="4080">
      <c r="A19" s="4208" t="n"/>
      <c r="B19" s="4103" t="n"/>
      <c r="C19" s="4104" t="n"/>
      <c r="D19" s="605" t="n"/>
      <c r="E19" s="606" t="n"/>
      <c r="F19" s="606" t="n"/>
      <c r="G19" s="606" t="n"/>
      <c r="H19" s="606" t="n"/>
      <c r="I19" s="606" t="n"/>
      <c r="J19" s="606" t="n"/>
      <c r="K19" s="606" t="n"/>
      <c r="L19" s="606" t="n"/>
      <c r="M19" s="606" t="n"/>
      <c r="N19" s="606" t="n"/>
      <c r="O19" s="606" t="n"/>
      <c r="P19" s="606" t="n"/>
      <c r="Q19" s="606" t="n"/>
      <c r="R19" s="606" t="n"/>
      <c r="S19" s="606" t="n"/>
      <c r="T19" s="607" t="n"/>
    </row>
    <row r="20" ht="15" customHeight="1" s="4080">
      <c r="A20" s="4208" t="n"/>
      <c r="B20" s="3685" t="inlineStr">
        <is>
          <t>連 絡 先</t>
        </is>
      </c>
      <c r="C20" s="4099" t="n"/>
      <c r="D20" s="3685" t="inlineStr">
        <is>
          <t>電話番号</t>
        </is>
      </c>
      <c r="E20" s="4111" t="n"/>
      <c r="F20" s="3685" t="n"/>
      <c r="G20" s="4110" t="n"/>
      <c r="H20" s="4110" t="n"/>
      <c r="I20" s="4110" t="n"/>
      <c r="J20" s="4110" t="n"/>
      <c r="K20" s="4110" t="n"/>
      <c r="L20" s="4110" t="n"/>
      <c r="M20" s="4111" t="n"/>
      <c r="N20" s="3685" t="inlineStr">
        <is>
          <t>ＦＡＸ番号</t>
        </is>
      </c>
      <c r="O20" s="4111" t="n"/>
      <c r="P20" s="3688" t="n"/>
      <c r="Q20" s="4110" t="n"/>
      <c r="R20" s="4110" t="n"/>
      <c r="S20" s="4110" t="n"/>
      <c r="T20" s="4111" t="n"/>
    </row>
    <row r="21" ht="15" customHeight="1" s="4080">
      <c r="A21" s="4737" t="n"/>
      <c r="B21" s="4102" t="n"/>
      <c r="C21" s="4104" t="n"/>
      <c r="D21" s="3685" t="inlineStr">
        <is>
          <t>メールアドレス</t>
        </is>
      </c>
      <c r="E21" s="4110" t="n"/>
      <c r="F21" s="4111" t="n"/>
      <c r="G21" s="4186" t="n"/>
      <c r="H21" s="4110" t="n"/>
      <c r="I21" s="4110" t="n"/>
      <c r="J21" s="4110" t="n"/>
      <c r="K21" s="4110" t="n"/>
      <c r="L21" s="4110" t="n"/>
      <c r="M21" s="4110" t="n"/>
      <c r="N21" s="4110" t="n"/>
      <c r="O21" s="4110" t="n"/>
      <c r="P21" s="4110" t="n"/>
      <c r="Q21" s="4110" t="n"/>
      <c r="R21" s="4110" t="n"/>
      <c r="S21" s="4110" t="n"/>
      <c r="T21" s="4113" t="n"/>
    </row>
    <row r="22" ht="12.75" customHeight="1" s="4080">
      <c r="A22" s="4916" t="inlineStr">
        <is>
          <t>事業所3</t>
        </is>
      </c>
      <c r="B22" s="3684" t="inlineStr">
        <is>
          <t>フリガナ</t>
        </is>
      </c>
      <c r="C22" s="4111" t="n"/>
      <c r="D22" s="4917" t="n"/>
      <c r="E22" s="4486" t="n"/>
      <c r="F22" s="4486" t="n"/>
      <c r="G22" s="4486" t="n"/>
      <c r="H22" s="4486" t="n"/>
      <c r="I22" s="4486" t="n"/>
      <c r="J22" s="4486" t="n"/>
      <c r="K22" s="4486" t="n"/>
      <c r="L22" s="4486" t="n"/>
      <c r="M22" s="4486" t="n"/>
      <c r="N22" s="4486" t="n"/>
      <c r="O22" s="4486" t="n"/>
      <c r="P22" s="4486" t="n"/>
      <c r="Q22" s="4486" t="n"/>
      <c r="R22" s="4486" t="n"/>
      <c r="S22" s="4486" t="n"/>
      <c r="T22" s="4877" t="n"/>
    </row>
    <row r="23" ht="25.5" customHeight="1" s="4080">
      <c r="A23" s="4208" t="n"/>
      <c r="B23" s="3684" t="inlineStr">
        <is>
          <t>名　　称</t>
        </is>
      </c>
      <c r="C23" s="4111" t="n"/>
      <c r="D23" s="4915" t="n"/>
      <c r="E23" s="4459" t="n"/>
      <c r="F23" s="4459" t="n"/>
      <c r="G23" s="4459" t="n"/>
      <c r="H23" s="4459" t="n"/>
      <c r="I23" s="4459" t="n"/>
      <c r="J23" s="4459" t="n"/>
      <c r="K23" s="4459" t="n"/>
      <c r="L23" s="4459" t="n"/>
      <c r="M23" s="4459" t="n"/>
      <c r="N23" s="4459" t="n"/>
      <c r="O23" s="4459" t="n"/>
      <c r="P23" s="4459" t="n"/>
      <c r="Q23" s="4459" t="n"/>
      <c r="R23" s="4459" t="n"/>
      <c r="S23" s="4459" t="n"/>
      <c r="T23" s="4462" t="n"/>
    </row>
    <row r="24" ht="12.75" customHeight="1" s="4080">
      <c r="A24" s="4208" t="n"/>
      <c r="B24" s="3684" t="inlineStr">
        <is>
          <t>所在地</t>
        </is>
      </c>
      <c r="C24" s="4099" t="n"/>
      <c r="D24" s="597" t="inlineStr">
        <is>
          <t>（郵便番号　　　　　　　―　　　　　　　　）</t>
        </is>
      </c>
      <c r="E24" s="598" t="n"/>
      <c r="F24" s="598" t="n"/>
      <c r="G24" s="598" t="n"/>
      <c r="H24" s="598" t="n"/>
      <c r="I24" s="598" t="n"/>
      <c r="J24" s="598" t="n"/>
      <c r="K24" s="598" t="n"/>
      <c r="L24" s="598" t="n"/>
      <c r="M24" s="598" t="n"/>
      <c r="N24" s="598" t="n"/>
      <c r="O24" s="598" t="n"/>
      <c r="P24" s="598" t="n"/>
      <c r="Q24" s="598" t="n"/>
      <c r="R24" s="598" t="n"/>
      <c r="S24" s="598" t="n"/>
      <c r="T24" s="599" t="n"/>
    </row>
    <row r="25" ht="12.75" customHeight="1" s="4080">
      <c r="A25" s="4208" t="n"/>
      <c r="C25" s="4107" t="n"/>
      <c r="D25" s="600" t="n"/>
      <c r="E25" s="601" t="n"/>
      <c r="F25" s="602" t="n"/>
      <c r="G25" s="603" t="n"/>
      <c r="H25" s="603" t="n"/>
      <c r="I25" s="603" t="n"/>
      <c r="J25" s="603" t="n"/>
      <c r="K25" s="3710" t="n"/>
      <c r="L25" s="4146" t="n"/>
      <c r="M25" s="601" t="n"/>
      <c r="N25" s="601" t="n"/>
      <c r="O25" s="601" t="n"/>
      <c r="P25" s="601" t="n"/>
      <c r="Q25" s="601" t="n"/>
      <c r="R25" s="601" t="n"/>
      <c r="S25" s="601" t="n"/>
      <c r="T25" s="604" t="n"/>
    </row>
    <row r="26" ht="12.75" customHeight="1" s="4080">
      <c r="A26" s="4208" t="n"/>
      <c r="B26" s="4103" t="n"/>
      <c r="C26" s="4104" t="n"/>
      <c r="D26" s="605" t="n"/>
      <c r="E26" s="606" t="n"/>
      <c r="F26" s="606" t="n"/>
      <c r="G26" s="606" t="n"/>
      <c r="H26" s="606" t="n"/>
      <c r="I26" s="606" t="n"/>
      <c r="J26" s="606" t="n"/>
      <c r="K26" s="606" t="n"/>
      <c r="L26" s="606" t="n"/>
      <c r="M26" s="606" t="n"/>
      <c r="N26" s="606" t="n"/>
      <c r="O26" s="606" t="n"/>
      <c r="P26" s="606" t="n"/>
      <c r="Q26" s="606" t="n"/>
      <c r="R26" s="606" t="n"/>
      <c r="S26" s="606" t="n"/>
      <c r="T26" s="607" t="n"/>
    </row>
    <row r="27" ht="15" customHeight="1" s="4080">
      <c r="A27" s="4208" t="n"/>
      <c r="B27" s="3685" t="inlineStr">
        <is>
          <t>連 絡 先</t>
        </is>
      </c>
      <c r="C27" s="4099" t="n"/>
      <c r="D27" s="3685" t="inlineStr">
        <is>
          <t>電話番号</t>
        </is>
      </c>
      <c r="E27" s="4111" t="n"/>
      <c r="F27" s="3685" t="n"/>
      <c r="G27" s="4110" t="n"/>
      <c r="H27" s="4110" t="n"/>
      <c r="I27" s="4110" t="n"/>
      <c r="J27" s="4110" t="n"/>
      <c r="K27" s="4110" t="n"/>
      <c r="L27" s="4110" t="n"/>
      <c r="M27" s="4111" t="n"/>
      <c r="N27" s="3685" t="inlineStr">
        <is>
          <t>ＦＡＸ番号</t>
        </is>
      </c>
      <c r="O27" s="4111" t="n"/>
      <c r="P27" s="3688" t="n"/>
      <c r="Q27" s="4110" t="n"/>
      <c r="R27" s="4110" t="n"/>
      <c r="S27" s="4110" t="n"/>
      <c r="T27" s="4111" t="n"/>
    </row>
    <row r="28" ht="15" customHeight="1" s="4080">
      <c r="A28" s="4737" t="n"/>
      <c r="B28" s="4102" t="n"/>
      <c r="C28" s="4104" t="n"/>
      <c r="D28" s="3685" t="inlineStr">
        <is>
          <t>メールアドレス</t>
        </is>
      </c>
      <c r="E28" s="4110" t="n"/>
      <c r="F28" s="4111" t="n"/>
      <c r="G28" s="4186" t="n"/>
      <c r="H28" s="4110" t="n"/>
      <c r="I28" s="4110" t="n"/>
      <c r="J28" s="4110" t="n"/>
      <c r="K28" s="4110" t="n"/>
      <c r="L28" s="4110" t="n"/>
      <c r="M28" s="4110" t="n"/>
      <c r="N28" s="4110" t="n"/>
      <c r="O28" s="4110" t="n"/>
      <c r="P28" s="4110" t="n"/>
      <c r="Q28" s="4110" t="n"/>
      <c r="R28" s="4110" t="n"/>
      <c r="S28" s="4110" t="n"/>
      <c r="T28" s="4113" t="n"/>
    </row>
    <row r="29" ht="12.75" customHeight="1" s="4080">
      <c r="A29" s="4916" t="inlineStr">
        <is>
          <t>事業所4</t>
        </is>
      </c>
      <c r="B29" s="3684" t="inlineStr">
        <is>
          <t>フリガナ</t>
        </is>
      </c>
      <c r="C29" s="4111" t="n"/>
      <c r="D29" s="4918" t="n"/>
      <c r="E29" s="4486" t="n"/>
      <c r="F29" s="4486" t="n"/>
      <c r="G29" s="4486" t="n"/>
      <c r="H29" s="4486" t="n"/>
      <c r="I29" s="4486" t="n"/>
      <c r="J29" s="4486" t="n"/>
      <c r="K29" s="4486" t="n"/>
      <c r="L29" s="4486" t="n"/>
      <c r="M29" s="4486" t="n"/>
      <c r="N29" s="4486" t="n"/>
      <c r="O29" s="4486" t="n"/>
      <c r="P29" s="4486" t="n"/>
      <c r="Q29" s="4486" t="n"/>
      <c r="R29" s="4486" t="n"/>
      <c r="S29" s="4486" t="n"/>
      <c r="T29" s="4877" t="n"/>
    </row>
    <row r="30" ht="25.5" customHeight="1" s="4080">
      <c r="A30" s="4208" t="n"/>
      <c r="B30" s="3684" t="inlineStr">
        <is>
          <t>名　　称</t>
        </is>
      </c>
      <c r="C30" s="4111" t="n"/>
      <c r="D30" s="4919" t="n"/>
      <c r="E30" s="4459" t="n"/>
      <c r="F30" s="4459" t="n"/>
      <c r="G30" s="4459" t="n"/>
      <c r="H30" s="4459" t="n"/>
      <c r="I30" s="4459" t="n"/>
      <c r="J30" s="4459" t="n"/>
      <c r="K30" s="4459" t="n"/>
      <c r="L30" s="4459" t="n"/>
      <c r="M30" s="4459" t="n"/>
      <c r="N30" s="4459" t="n"/>
      <c r="O30" s="4459" t="n"/>
      <c r="P30" s="4459" t="n"/>
      <c r="Q30" s="4459" t="n"/>
      <c r="R30" s="4459" t="n"/>
      <c r="S30" s="4459" t="n"/>
      <c r="T30" s="4462" t="n"/>
    </row>
    <row r="31" ht="12.75" customHeight="1" s="4080">
      <c r="A31" s="4208" t="n"/>
      <c r="B31" s="3684" t="inlineStr">
        <is>
          <t>所在地</t>
        </is>
      </c>
      <c r="C31" s="4099" t="n"/>
      <c r="D31" s="597" t="inlineStr">
        <is>
          <t>（郵便番号　　　　　－　　　　　）</t>
        </is>
      </c>
      <c r="E31" s="598" t="n"/>
      <c r="F31" s="598" t="n"/>
      <c r="G31" s="598" t="n"/>
      <c r="H31" s="598" t="n"/>
      <c r="I31" s="598" t="n"/>
      <c r="J31" s="598" t="n"/>
      <c r="K31" s="598" t="n"/>
      <c r="L31" s="598" t="n"/>
      <c r="M31" s="598" t="n"/>
      <c r="N31" s="598" t="n"/>
      <c r="O31" s="598" t="n"/>
      <c r="P31" s="598" t="n"/>
      <c r="Q31" s="598" t="n"/>
      <c r="R31" s="598" t="n"/>
      <c r="S31" s="598" t="n"/>
      <c r="T31" s="599" t="n"/>
    </row>
    <row r="32" ht="12.75" customHeight="1" s="4080">
      <c r="A32" s="4208" t="n"/>
      <c r="C32" s="4107" t="n"/>
      <c r="D32" s="600" t="n"/>
      <c r="E32" s="601" t="n"/>
      <c r="F32" s="602" t="n"/>
      <c r="G32" s="603" t="n"/>
      <c r="H32" s="603" t="n"/>
      <c r="I32" s="603" t="n"/>
      <c r="J32" s="603" t="n"/>
      <c r="K32" s="3710" t="n"/>
      <c r="L32" s="4146" t="n"/>
      <c r="M32" s="601" t="n"/>
      <c r="N32" s="601" t="n"/>
      <c r="O32" s="601" t="n"/>
      <c r="P32" s="601" t="n"/>
      <c r="Q32" s="601" t="n"/>
      <c r="R32" s="601" t="n"/>
      <c r="S32" s="601" t="n"/>
      <c r="T32" s="604" t="n"/>
    </row>
    <row r="33" ht="12.75" customHeight="1" s="4080">
      <c r="A33" s="4208" t="n"/>
      <c r="B33" s="4103" t="n"/>
      <c r="C33" s="4104" t="n"/>
      <c r="D33" s="605" t="n"/>
      <c r="E33" s="606" t="n"/>
      <c r="F33" s="606" t="n"/>
      <c r="G33" s="606" t="n"/>
      <c r="H33" s="606" t="n"/>
      <c r="I33" s="606" t="n"/>
      <c r="J33" s="606" t="n"/>
      <c r="K33" s="606" t="n"/>
      <c r="L33" s="606" t="n"/>
      <c r="M33" s="606" t="n"/>
      <c r="N33" s="606" t="n"/>
      <c r="O33" s="606" t="n"/>
      <c r="P33" s="606" t="n"/>
      <c r="Q33" s="606" t="n"/>
      <c r="R33" s="606" t="n"/>
      <c r="S33" s="606" t="n"/>
      <c r="T33" s="607" t="n"/>
    </row>
    <row r="34" ht="15" customHeight="1" s="4080">
      <c r="A34" s="4208" t="n"/>
      <c r="B34" s="3685" t="inlineStr">
        <is>
          <t>連 絡 先</t>
        </is>
      </c>
      <c r="C34" s="4099" t="n"/>
      <c r="D34" s="3685" t="inlineStr">
        <is>
          <t>電話番号</t>
        </is>
      </c>
      <c r="E34" s="4111" t="n"/>
      <c r="F34" s="3685" t="n"/>
      <c r="G34" s="4110" t="n"/>
      <c r="H34" s="4110" t="n"/>
      <c r="I34" s="4110" t="n"/>
      <c r="J34" s="4110" t="n"/>
      <c r="K34" s="4110" t="n"/>
      <c r="L34" s="4110" t="n"/>
      <c r="M34" s="4111" t="n"/>
      <c r="N34" s="3685" t="inlineStr">
        <is>
          <t>ＦＡＸ番号</t>
        </is>
      </c>
      <c r="O34" s="4111" t="n"/>
      <c r="P34" s="3688" t="n"/>
      <c r="Q34" s="4110" t="n"/>
      <c r="R34" s="4110" t="n"/>
      <c r="S34" s="4110" t="n"/>
      <c r="T34" s="4111" t="n"/>
    </row>
    <row r="35" ht="15" customHeight="1" s="4080">
      <c r="A35" s="4737" t="n"/>
      <c r="B35" s="4102" t="n"/>
      <c r="C35" s="4104" t="n"/>
      <c r="D35" s="3685" t="inlineStr">
        <is>
          <t>メールアドレス</t>
        </is>
      </c>
      <c r="E35" s="4110" t="n"/>
      <c r="F35" s="4111" t="n"/>
      <c r="G35" s="4186" t="n"/>
      <c r="H35" s="4110" t="n"/>
      <c r="I35" s="4110" t="n"/>
      <c r="J35" s="4110" t="n"/>
      <c r="K35" s="4110" t="n"/>
      <c r="L35" s="4110" t="n"/>
      <c r="M35" s="4110" t="n"/>
      <c r="N35" s="4110" t="n"/>
      <c r="O35" s="4110" t="n"/>
      <c r="P35" s="4110" t="n"/>
      <c r="Q35" s="4110" t="n"/>
      <c r="R35" s="4110" t="n"/>
      <c r="S35" s="4110" t="n"/>
      <c r="T35" s="4113" t="n"/>
    </row>
    <row r="36" ht="12.75" customHeight="1" s="4080">
      <c r="A36" s="4916" t="inlineStr">
        <is>
          <t>事業所5</t>
        </is>
      </c>
      <c r="B36" s="3684" t="inlineStr">
        <is>
          <t>フリガナ</t>
        </is>
      </c>
      <c r="C36" s="4111" t="n"/>
      <c r="D36" s="4918" t="n"/>
      <c r="E36" s="4486" t="n"/>
      <c r="F36" s="4486" t="n"/>
      <c r="G36" s="4486" t="n"/>
      <c r="H36" s="4486" t="n"/>
      <c r="I36" s="4486" t="n"/>
      <c r="J36" s="4486" t="n"/>
      <c r="K36" s="4486" t="n"/>
      <c r="L36" s="4486" t="n"/>
      <c r="M36" s="4486" t="n"/>
      <c r="N36" s="4486" t="n"/>
      <c r="O36" s="4486" t="n"/>
      <c r="P36" s="4486" t="n"/>
      <c r="Q36" s="4486" t="n"/>
      <c r="R36" s="4486" t="n"/>
      <c r="S36" s="4486" t="n"/>
      <c r="T36" s="4877" t="n"/>
    </row>
    <row r="37" ht="25.5" customHeight="1" s="4080">
      <c r="A37" s="4208" t="n"/>
      <c r="B37" s="3684" t="inlineStr">
        <is>
          <t>名　　称</t>
        </is>
      </c>
      <c r="C37" s="4111" t="n"/>
      <c r="D37" s="4919" t="n"/>
      <c r="E37" s="4459" t="n"/>
      <c r="F37" s="4459" t="n"/>
      <c r="G37" s="4459" t="n"/>
      <c r="H37" s="4459" t="n"/>
      <c r="I37" s="4459" t="n"/>
      <c r="J37" s="4459" t="n"/>
      <c r="K37" s="4459" t="n"/>
      <c r="L37" s="4459" t="n"/>
      <c r="M37" s="4459" t="n"/>
      <c r="N37" s="4459" t="n"/>
      <c r="O37" s="4459" t="n"/>
      <c r="P37" s="4459" t="n"/>
      <c r="Q37" s="4459" t="n"/>
      <c r="R37" s="4459" t="n"/>
      <c r="S37" s="4459" t="n"/>
      <c r="T37" s="4462" t="n"/>
    </row>
    <row r="38" ht="12.75" customHeight="1" s="4080">
      <c r="A38" s="4208" t="n"/>
      <c r="B38" s="3684" t="inlineStr">
        <is>
          <t>所在地</t>
        </is>
      </c>
      <c r="C38" s="4099" t="n"/>
      <c r="D38" s="597" t="inlineStr">
        <is>
          <t>（郵便番号　　　　　－　　　　　）</t>
        </is>
      </c>
      <c r="E38" s="598" t="n"/>
      <c r="F38" s="598" t="n"/>
      <c r="G38" s="598" t="n"/>
      <c r="H38" s="598" t="n"/>
      <c r="I38" s="598" t="n"/>
      <c r="J38" s="598" t="n"/>
      <c r="K38" s="598" t="n"/>
      <c r="L38" s="598" t="n"/>
      <c r="M38" s="598" t="n"/>
      <c r="N38" s="598" t="n"/>
      <c r="O38" s="598" t="n"/>
      <c r="P38" s="598" t="n"/>
      <c r="Q38" s="598" t="n"/>
      <c r="R38" s="598" t="n"/>
      <c r="S38" s="598" t="n"/>
      <c r="T38" s="599" t="n"/>
    </row>
    <row r="39" ht="12.75" customHeight="1" s="4080">
      <c r="A39" s="4208" t="n"/>
      <c r="C39" s="4107" t="n"/>
      <c r="D39" s="600" t="n"/>
      <c r="E39" s="601" t="n"/>
      <c r="F39" s="602" t="n"/>
      <c r="G39" s="603" t="n"/>
      <c r="H39" s="603" t="n"/>
      <c r="I39" s="603" t="n"/>
      <c r="J39" s="603" t="n"/>
      <c r="K39" s="3710" t="n"/>
      <c r="L39" s="4146" t="n"/>
      <c r="M39" s="601" t="n"/>
      <c r="N39" s="601" t="n"/>
      <c r="O39" s="601" t="n"/>
      <c r="P39" s="601" t="n"/>
      <c r="Q39" s="601" t="n"/>
      <c r="R39" s="601" t="n"/>
      <c r="S39" s="601" t="n"/>
      <c r="T39" s="604" t="n"/>
    </row>
    <row r="40" ht="12.75" customHeight="1" s="4080">
      <c r="A40" s="4208" t="n"/>
      <c r="B40" s="4103" t="n"/>
      <c r="C40" s="4104" t="n"/>
      <c r="D40" s="605" t="n"/>
      <c r="E40" s="606" t="n"/>
      <c r="F40" s="606" t="n"/>
      <c r="G40" s="606" t="n"/>
      <c r="H40" s="606" t="n"/>
      <c r="I40" s="606" t="n"/>
      <c r="J40" s="606" t="n"/>
      <c r="K40" s="606" t="n"/>
      <c r="L40" s="606" t="n"/>
      <c r="M40" s="606" t="n"/>
      <c r="N40" s="606" t="n"/>
      <c r="O40" s="606" t="n"/>
      <c r="P40" s="606" t="n"/>
      <c r="Q40" s="606" t="n"/>
      <c r="R40" s="606" t="n"/>
      <c r="S40" s="606" t="n"/>
      <c r="T40" s="607" t="n"/>
    </row>
    <row r="41" ht="15" customHeight="1" s="4080">
      <c r="A41" s="4208" t="n"/>
      <c r="B41" s="3685" t="inlineStr">
        <is>
          <t>連 絡 先</t>
        </is>
      </c>
      <c r="C41" s="4099" t="n"/>
      <c r="D41" s="3685" t="inlineStr">
        <is>
          <t>電話番号</t>
        </is>
      </c>
      <c r="E41" s="4111" t="n"/>
      <c r="F41" s="3685" t="n"/>
      <c r="G41" s="4110" t="n"/>
      <c r="H41" s="4110" t="n"/>
      <c r="I41" s="4110" t="n"/>
      <c r="J41" s="4110" t="n"/>
      <c r="K41" s="4110" t="n"/>
      <c r="L41" s="4110" t="n"/>
      <c r="M41" s="4111" t="n"/>
      <c r="N41" s="3685" t="inlineStr">
        <is>
          <t>ＦＡＸ番号</t>
        </is>
      </c>
      <c r="O41" s="4111" t="n"/>
      <c r="P41" s="3688" t="n"/>
      <c r="Q41" s="4110" t="n"/>
      <c r="R41" s="4110" t="n"/>
      <c r="S41" s="4110" t="n"/>
      <c r="T41" s="4111" t="n"/>
    </row>
    <row r="42" ht="15" customHeight="1" s="4080">
      <c r="A42" s="4737" t="n"/>
      <c r="B42" s="4102" t="n"/>
      <c r="C42" s="4104" t="n"/>
      <c r="D42" s="3685" t="inlineStr">
        <is>
          <t>メールアドレス</t>
        </is>
      </c>
      <c r="E42" s="4110" t="n"/>
      <c r="F42" s="4111" t="n"/>
      <c r="G42" s="4186" t="n"/>
      <c r="H42" s="4110" t="n"/>
      <c r="I42" s="4110" t="n"/>
      <c r="J42" s="4110" t="n"/>
      <c r="K42" s="4110" t="n"/>
      <c r="L42" s="4110" t="n"/>
      <c r="M42" s="4110" t="n"/>
      <c r="N42" s="4110" t="n"/>
      <c r="O42" s="4110" t="n"/>
      <c r="P42" s="4110" t="n"/>
      <c r="Q42" s="4110" t="n"/>
      <c r="R42" s="4110" t="n"/>
      <c r="S42" s="4110" t="n"/>
      <c r="T42" s="4113" t="n"/>
    </row>
    <row r="43" ht="12.75" customFormat="1" customHeight="1" s="613">
      <c r="A43" s="4920" t="inlineStr">
        <is>
          <t>管理者</t>
        </is>
      </c>
      <c r="B43" s="3685" t="inlineStr">
        <is>
          <t>フリガナ</t>
        </is>
      </c>
      <c r="C43" s="4111" t="n"/>
      <c r="D43" s="3478" t="n"/>
      <c r="E43" s="4110" t="n"/>
      <c r="F43" s="4110" t="n"/>
      <c r="G43" s="4111" t="n"/>
      <c r="H43" s="3685" t="inlineStr">
        <is>
          <t>住　所</t>
        </is>
      </c>
      <c r="I43" s="4098" t="n"/>
      <c r="J43" s="4098" t="n"/>
      <c r="K43" s="4099" t="n"/>
      <c r="L43" s="610" t="inlineStr">
        <is>
          <t>（郵便番号　　　　－　　　　　　）</t>
        </is>
      </c>
      <c r="M43" s="611" t="n"/>
      <c r="N43" s="611" t="n"/>
      <c r="O43" s="611" t="n"/>
      <c r="P43" s="611" t="n"/>
      <c r="Q43" s="611" t="n"/>
      <c r="R43" s="611" t="n"/>
      <c r="S43" s="611" t="n"/>
      <c r="T43" s="612" t="n"/>
    </row>
    <row r="44" ht="12.75" customFormat="1" customHeight="1" s="613">
      <c r="A44" s="4208" t="n"/>
      <c r="B44" s="3685" t="inlineStr">
        <is>
          <t>氏　名</t>
        </is>
      </c>
      <c r="C44" s="4099" t="n"/>
      <c r="D44" s="3478" t="n"/>
      <c r="E44" s="4098" t="n"/>
      <c r="F44" s="4098" t="n"/>
      <c r="G44" s="4099" t="n"/>
      <c r="H44" s="4106" t="n"/>
      <c r="K44" s="4107" t="n"/>
      <c r="L44" s="614" t="n"/>
      <c r="M44" s="615" t="n"/>
      <c r="N44" s="602" t="n"/>
      <c r="O44" s="615" t="n"/>
      <c r="P44" s="3710" t="n"/>
      <c r="Q44" s="4146" t="n"/>
      <c r="R44" s="615" t="n"/>
      <c r="S44" s="615" t="n"/>
      <c r="T44" s="616" t="n"/>
    </row>
    <row r="45" ht="12.75" customFormat="1" customHeight="1" s="613">
      <c r="A45" s="4208" t="n"/>
      <c r="B45" s="4102" t="n"/>
      <c r="C45" s="4104" t="n"/>
      <c r="D45" s="4102" t="n"/>
      <c r="E45" s="4103" t="n"/>
      <c r="F45" s="4103" t="n"/>
      <c r="G45" s="4104" t="n"/>
      <c r="H45" s="4102" t="n"/>
      <c r="I45" s="4103" t="n"/>
      <c r="J45" s="4103" t="n"/>
      <c r="K45" s="4104" t="n"/>
      <c r="L45" s="617" t="n"/>
      <c r="M45" s="618" t="n"/>
      <c r="N45" s="618" t="n"/>
      <c r="O45" s="618" t="n"/>
      <c r="P45" s="618" t="n"/>
      <c r="Q45" s="618" t="n"/>
      <c r="R45" s="618" t="n"/>
      <c r="S45" s="618" t="n"/>
      <c r="T45" s="619" t="n"/>
    </row>
    <row r="46" ht="12.75" customFormat="1" customHeight="1" s="613">
      <c r="A46" s="4208" t="n"/>
      <c r="B46" s="620" t="inlineStr">
        <is>
          <t>当該事業所で兼務する他の職種（兼務の場合のみ記入）</t>
        </is>
      </c>
      <c r="C46" s="3718" t="n"/>
      <c r="D46" s="545" t="n"/>
      <c r="E46" s="545" t="n"/>
      <c r="F46" s="3570" t="n"/>
      <c r="G46" s="3570" t="n"/>
      <c r="H46" s="3786" t="n"/>
      <c r="I46" s="3786" t="n"/>
      <c r="J46" s="623" t="n"/>
      <c r="K46" s="3786" t="n"/>
      <c r="L46" s="624" t="n"/>
      <c r="M46" s="625" t="n"/>
      <c r="N46" s="625" t="n"/>
      <c r="O46" s="625" t="n"/>
      <c r="P46" s="625" t="n"/>
      <c r="Q46" s="625" t="n"/>
      <c r="R46" s="625" t="n"/>
      <c r="S46" s="625" t="n"/>
      <c r="T46" s="626" t="n"/>
    </row>
    <row r="47" ht="12.75" customFormat="1" customHeight="1" s="613">
      <c r="A47" s="4208" t="n"/>
      <c r="B47" s="4921" t="inlineStr">
        <is>
          <t>他の事業所又は施設の従業者との兼務
（兼務の場合のみ記入）</t>
        </is>
      </c>
      <c r="C47" s="4098" t="n"/>
      <c r="D47" s="4098" t="n"/>
      <c r="E47" s="4099" t="n"/>
      <c r="F47" s="4922" t="inlineStr">
        <is>
          <t>事業所等の名称</t>
        </is>
      </c>
      <c r="G47" s="4110" t="n"/>
      <c r="H47" s="4111" t="n"/>
      <c r="I47" s="627" t="n"/>
      <c r="J47" s="3753" t="n"/>
      <c r="K47" s="629" t="n"/>
      <c r="L47" s="629" t="n"/>
      <c r="M47" s="629" t="n"/>
      <c r="N47" s="629" t="n"/>
      <c r="O47" s="629" t="n"/>
      <c r="P47" s="629" t="n"/>
      <c r="Q47" s="629" t="n"/>
      <c r="R47" s="629" t="n"/>
      <c r="S47" s="629" t="n"/>
      <c r="T47" s="630" t="n"/>
    </row>
    <row r="48" ht="12.75" customFormat="1" customHeight="1" s="613">
      <c r="A48" s="4208" t="n"/>
      <c r="B48" s="4106" t="n"/>
      <c r="E48" s="4107" t="n"/>
      <c r="F48" s="4923" t="inlineStr">
        <is>
          <t>兼務する職種
及び勤務時間等</t>
        </is>
      </c>
      <c r="G48" s="4098" t="n"/>
      <c r="H48" s="4099" t="n"/>
      <c r="I48" s="3756" t="n"/>
      <c r="J48" s="3756" t="n"/>
      <c r="K48" s="3721" t="n"/>
      <c r="L48" s="3721" t="n"/>
      <c r="M48" s="3721" t="n"/>
      <c r="N48" s="3721" t="n"/>
      <c r="O48" s="3721" t="n"/>
      <c r="P48" s="3721" t="n"/>
      <c r="Q48" s="3721" t="n"/>
      <c r="R48" s="3721" t="n"/>
      <c r="S48" s="3721" t="n"/>
      <c r="T48" s="3722" t="n"/>
    </row>
    <row r="49" ht="12.75" customFormat="1" customHeight="1" s="613">
      <c r="A49" s="4737" t="n"/>
      <c r="B49" s="4102" t="n"/>
      <c r="C49" s="4103" t="n"/>
      <c r="D49" s="4103" t="n"/>
      <c r="E49" s="4104" t="n"/>
      <c r="F49" s="4102" t="n"/>
      <c r="G49" s="4103" t="n"/>
      <c r="H49" s="4104" t="n"/>
      <c r="I49" s="634" t="n"/>
      <c r="J49" s="635" t="n"/>
      <c r="K49" s="624" t="n"/>
      <c r="L49" s="624" t="n"/>
      <c r="M49" s="624" t="n"/>
      <c r="N49" s="624" t="n"/>
      <c r="O49" s="624" t="n"/>
      <c r="P49" s="624" t="n"/>
      <c r="Q49" s="624" t="n"/>
      <c r="R49" s="624" t="n"/>
      <c r="S49" s="624" t="n"/>
      <c r="T49" s="636" t="n"/>
    </row>
    <row r="50" ht="12.75" customFormat="1" customHeight="1" s="637">
      <c r="A50" s="4924" t="inlineStr">
        <is>
          <t>主たる対象とする障害の種類</t>
        </is>
      </c>
      <c r="B50" s="4099" t="n"/>
      <c r="C50" s="4925" t="inlineStr">
        <is>
          <t>無し</t>
        </is>
      </c>
      <c r="D50" s="4099" t="n"/>
      <c r="E50" s="3726" t="inlineStr">
        <is>
          <t>難聴</t>
        </is>
      </c>
      <c r="F50" s="4099" t="n"/>
      <c r="G50" s="4926" t="inlineStr">
        <is>
          <t>重症心身障害</t>
        </is>
      </c>
      <c r="H50" s="4098" t="n"/>
      <c r="I50" s="3726" t="inlineStr">
        <is>
          <t>その他</t>
        </is>
      </c>
      <c r="J50" s="4099" t="n"/>
      <c r="K50" s="4927" t="n"/>
      <c r="L50" s="4098" t="n"/>
      <c r="M50" s="4098" t="n"/>
      <c r="N50" s="4098" t="n"/>
      <c r="O50" s="4098" t="n"/>
      <c r="P50" s="4098" t="n"/>
      <c r="Q50" s="4098" t="n"/>
      <c r="R50" s="4098" t="n"/>
      <c r="S50" s="4098" t="n"/>
      <c r="T50" s="4101" t="n"/>
    </row>
    <row r="51" ht="12.75" customFormat="1" customHeight="1" s="637">
      <c r="A51" s="4097" t="n"/>
      <c r="B51" s="4107" t="n"/>
      <c r="C51" s="4106" t="n"/>
      <c r="D51" s="4107" t="n"/>
      <c r="E51" s="4102" t="n"/>
      <c r="F51" s="4104" t="n"/>
      <c r="G51" s="4102" t="n"/>
      <c r="H51" s="4103" t="n"/>
      <c r="I51" s="4102" t="n"/>
      <c r="J51" s="4104" t="n"/>
      <c r="K51" s="4106" t="n"/>
      <c r="T51" s="4109" t="n"/>
    </row>
    <row r="52" ht="12.75" customFormat="1" customHeight="1" s="637">
      <c r="A52" s="4114" t="n"/>
      <c r="B52" s="4104" t="n"/>
      <c r="C52" s="3726" t="n"/>
      <c r="D52" s="4111" t="n"/>
      <c r="E52" s="3726" t="n"/>
      <c r="F52" s="4111" t="n"/>
      <c r="G52" s="3726" t="n"/>
      <c r="H52" s="4111" t="n"/>
      <c r="I52" s="3726" t="n"/>
      <c r="J52" s="4111" t="n"/>
      <c r="K52" s="4102" t="n"/>
      <c r="L52" s="4103" t="n"/>
      <c r="M52" s="4103" t="n"/>
      <c r="N52" s="4103" t="n"/>
      <c r="O52" s="4103" t="n"/>
      <c r="P52" s="4103" t="n"/>
      <c r="Q52" s="4103" t="n"/>
      <c r="R52" s="4103" t="n"/>
      <c r="S52" s="4103" t="n"/>
      <c r="T52" s="4105" t="n"/>
    </row>
    <row r="53" ht="12.75" customFormat="1" customHeight="1" s="638">
      <c r="A53" s="3832" t="inlineStr">
        <is>
          <t>実施事業</t>
        </is>
      </c>
      <c r="B53" s="4098" t="n"/>
      <c r="C53" s="4098" t="n"/>
      <c r="D53" s="4099" t="n"/>
      <c r="E53" s="4928" t="inlineStr">
        <is>
          <t>児童発達支援</t>
        </is>
      </c>
      <c r="F53" s="4099" t="n"/>
      <c r="G53" s="4929" t="inlineStr">
        <is>
          <t>医療型児童発達支援</t>
        </is>
      </c>
      <c r="H53" s="4099" t="n"/>
      <c r="I53" s="3837" t="inlineStr">
        <is>
          <t>放課後等デイ</t>
        </is>
      </c>
      <c r="J53" s="4111" t="n"/>
      <c r="K53" s="3834" t="inlineStr">
        <is>
          <t>保育所等訪問支援</t>
        </is>
      </c>
      <c r="L53" s="4099" t="n"/>
      <c r="M53" s="4930" t="n"/>
      <c r="N53" s="4098" t="n"/>
      <c r="O53" s="4098" t="n"/>
      <c r="P53" s="4098" t="n"/>
      <c r="Q53" s="4098" t="n"/>
      <c r="R53" s="4098" t="n"/>
      <c r="S53" s="4098" t="n"/>
      <c r="T53" s="4101" t="n"/>
      <c r="U53" s="637" t="n"/>
    </row>
    <row r="54" ht="12.75" customFormat="1" customHeight="1" s="638">
      <c r="A54" s="4097" t="n"/>
      <c r="D54" s="4107" t="n"/>
      <c r="E54" s="4931" t="inlineStr">
        <is>
          <t>サービス単位</t>
        </is>
      </c>
      <c r="F54" s="4139" t="n"/>
      <c r="G54" s="4106" t="n"/>
      <c r="H54" s="4107" t="n"/>
      <c r="I54" s="4931" t="inlineStr">
        <is>
          <t>サービス単位</t>
        </is>
      </c>
      <c r="J54" s="4139" t="n"/>
      <c r="K54" s="4106" t="n"/>
      <c r="L54" s="4107" t="n"/>
      <c r="M54" s="4106" t="n"/>
      <c r="T54" s="4109" t="n"/>
      <c r="U54" s="637" t="n"/>
    </row>
    <row r="55" ht="12.75" customFormat="1" customHeight="1" s="638">
      <c r="A55" s="4114" t="n"/>
      <c r="B55" s="4103" t="n"/>
      <c r="C55" s="4103" t="n"/>
      <c r="D55" s="4104" t="n"/>
      <c r="E55" s="3805" t="inlineStr">
        <is>
          <t>有</t>
        </is>
      </c>
      <c r="F55" s="3805" t="inlineStr">
        <is>
          <t>無</t>
        </is>
      </c>
      <c r="G55" s="4102" t="n"/>
      <c r="H55" s="4104" t="n"/>
      <c r="I55" s="3805" t="inlineStr">
        <is>
          <t>有</t>
        </is>
      </c>
      <c r="J55" s="3805" t="inlineStr">
        <is>
          <t>無</t>
        </is>
      </c>
      <c r="K55" s="4102" t="n"/>
      <c r="L55" s="4104" t="n"/>
      <c r="M55" s="4106" t="n"/>
      <c r="T55" s="4109" t="n"/>
      <c r="U55" s="637" t="n"/>
    </row>
    <row r="56" ht="12.75" customFormat="1" customHeight="1" s="638">
      <c r="A56" s="640" t="n"/>
      <c r="B56" s="3837" t="inlineStr">
        <is>
          <t>主たる事業所</t>
        </is>
      </c>
      <c r="C56" s="4110" t="n"/>
      <c r="D56" s="4111" t="n"/>
      <c r="E56" s="3726" t="n"/>
      <c r="F56" s="642" t="n"/>
      <c r="G56" s="3726" t="n"/>
      <c r="H56" s="4111" t="n"/>
      <c r="I56" s="3726" t="n"/>
      <c r="J56" s="4111" t="n"/>
      <c r="K56" s="3726" t="n"/>
      <c r="L56" s="4111" t="n"/>
      <c r="M56" s="4106" t="n"/>
      <c r="T56" s="4109" t="n"/>
      <c r="U56" s="637" t="n"/>
    </row>
    <row r="57" ht="12.75" customFormat="1" customHeight="1" s="638">
      <c r="A57" s="643" t="n"/>
      <c r="B57" s="3837" t="inlineStr">
        <is>
          <t>従たる事業所</t>
        </is>
      </c>
      <c r="C57" s="4110" t="n"/>
      <c r="D57" s="4111" t="n"/>
      <c r="E57" s="3726" t="n"/>
      <c r="F57" s="642" t="n"/>
      <c r="G57" s="3726" t="n"/>
      <c r="H57" s="4111" t="n"/>
      <c r="I57" s="3726" t="n"/>
      <c r="J57" s="4111" t="n"/>
      <c r="K57" s="3726" t="n"/>
      <c r="L57" s="4111" t="n"/>
      <c r="M57" s="4102" t="n"/>
      <c r="N57" s="4103" t="n"/>
      <c r="O57" s="4103" t="n"/>
      <c r="P57" s="4103" t="n"/>
      <c r="Q57" s="4103" t="n"/>
      <c r="R57" s="4103" t="n"/>
      <c r="S57" s="4103" t="n"/>
      <c r="T57" s="4105" t="n"/>
      <c r="U57" s="637" t="n"/>
    </row>
    <row r="58" ht="12.75" customFormat="1" customHeight="1" s="638">
      <c r="A58" s="3832" t="inlineStr">
        <is>
          <t>定員（人）</t>
        </is>
      </c>
      <c r="B58" s="4099" t="n"/>
      <c r="C58" s="3837" t="inlineStr">
        <is>
          <t>合計</t>
        </is>
      </c>
      <c r="D58" s="4099" t="n"/>
      <c r="E58" s="3736" t="inlineStr">
        <is>
          <t>児童発達支援</t>
        </is>
      </c>
      <c r="F58" s="4099" t="n"/>
      <c r="G58" s="4932" t="inlineStr">
        <is>
          <t>医療型児童発達支援</t>
        </is>
      </c>
      <c r="H58" s="4099" t="n"/>
      <c r="I58" s="4932" t="inlineStr">
        <is>
          <t>放課後等デイ</t>
        </is>
      </c>
      <c r="J58" s="4099" t="n"/>
      <c r="K58" s="3834" t="inlineStr">
        <is>
          <t>保育所等訪問支援</t>
        </is>
      </c>
      <c r="L58" s="4099" t="n"/>
      <c r="M58" s="4933" t="n"/>
      <c r="N58" s="4098" t="n"/>
      <c r="O58" s="4098" t="n"/>
      <c r="P58" s="4098" t="n"/>
      <c r="Q58" s="4098" t="n"/>
      <c r="R58" s="4098" t="n"/>
      <c r="S58" s="4098" t="n"/>
      <c r="T58" s="4101" t="n"/>
      <c r="U58" s="637" t="n"/>
    </row>
    <row r="59" ht="12.75" customFormat="1" customHeight="1" s="638">
      <c r="A59" s="4114" t="n"/>
      <c r="B59" s="4104" t="n"/>
      <c r="C59" s="4102" t="n"/>
      <c r="D59" s="4104" t="n"/>
      <c r="F59" s="4107" t="n"/>
      <c r="G59" s="4102" t="n"/>
      <c r="H59" s="4104" t="n"/>
      <c r="I59" s="4102" t="n"/>
      <c r="J59" s="4104" t="n"/>
      <c r="K59" s="4102" t="n"/>
      <c r="L59" s="4104" t="n"/>
      <c r="M59" s="4106" t="n"/>
      <c r="T59" s="4109" t="n"/>
      <c r="U59" s="637" t="n"/>
    </row>
    <row r="60" ht="12.75" customFormat="1" customHeight="1" s="638">
      <c r="A60" s="3830" t="inlineStr">
        <is>
          <t>合計</t>
        </is>
      </c>
      <c r="B60" s="4104" t="n"/>
      <c r="C60" s="3726" t="n"/>
      <c r="D60" s="4111" t="n"/>
      <c r="E60" s="3726" t="n"/>
      <c r="F60" s="4111" t="n"/>
      <c r="G60" s="3726" t="n"/>
      <c r="H60" s="4111" t="n"/>
      <c r="I60" s="3726" t="n"/>
      <c r="J60" s="4111" t="n"/>
      <c r="K60" s="3726" t="n"/>
      <c r="L60" s="4111" t="n"/>
      <c r="M60" s="4106" t="n"/>
      <c r="T60" s="4109" t="n"/>
      <c r="U60" s="637" t="n"/>
    </row>
    <row r="61" ht="12.75" customFormat="1" customHeight="1" s="638">
      <c r="A61" s="4934" t="inlineStr">
        <is>
          <t>主たる事業所</t>
        </is>
      </c>
      <c r="B61" s="4111" t="n"/>
      <c r="C61" s="3726" t="n"/>
      <c r="D61" s="4111" t="n"/>
      <c r="E61" s="3726" t="n"/>
      <c r="F61" s="4111" t="n"/>
      <c r="G61" s="3726" t="n"/>
      <c r="H61" s="4111" t="n"/>
      <c r="I61" s="3726" t="n"/>
      <c r="J61" s="4111" t="n"/>
      <c r="K61" s="3726" t="n"/>
      <c r="L61" s="4111" t="n"/>
      <c r="M61" s="4106" t="n"/>
      <c r="T61" s="4109" t="n"/>
      <c r="U61" s="637" t="n"/>
    </row>
    <row r="62" ht="12.75" customFormat="1" customHeight="1" s="638" thickBot="1">
      <c r="A62" s="4935" t="inlineStr">
        <is>
          <t>従たる事業所</t>
        </is>
      </c>
      <c r="B62" s="4154" t="n"/>
      <c r="C62" s="3824" t="n"/>
      <c r="D62" s="4154" t="n"/>
      <c r="E62" s="3824" t="n"/>
      <c r="F62" s="4154" t="n"/>
      <c r="G62" s="3824" t="n"/>
      <c r="H62" s="4154" t="n"/>
      <c r="I62" s="3824" t="n"/>
      <c r="J62" s="4154" t="n"/>
      <c r="K62" s="3824" t="n"/>
      <c r="L62" s="4154" t="n"/>
      <c r="M62" s="4420" t="n"/>
      <c r="N62" s="4087" t="n"/>
      <c r="O62" s="4087" t="n"/>
      <c r="P62" s="4087" t="n"/>
      <c r="Q62" s="4087" t="n"/>
      <c r="R62" s="4087" t="n"/>
      <c r="S62" s="4087" t="n"/>
      <c r="T62" s="4088" t="n"/>
      <c r="U62" s="637" t="n"/>
    </row>
    <row r="63" ht="12.75" customHeight="1" s="4080">
      <c r="A63" s="3825" t="n"/>
      <c r="B63" s="4082" t="n"/>
      <c r="C63" s="4082" t="n"/>
      <c r="D63" s="4082" t="n"/>
      <c r="E63" s="4082" t="n"/>
      <c r="F63" s="4082" t="n"/>
      <c r="G63" s="4082" t="n"/>
      <c r="H63" s="4082" t="n"/>
      <c r="I63" s="4082" t="n"/>
      <c r="J63" s="4082" t="n"/>
      <c r="K63" s="4082" t="n"/>
      <c r="L63" s="4082" t="n"/>
      <c r="M63" s="4082" t="n"/>
      <c r="N63" s="4082" t="n"/>
      <c r="O63" s="4082" t="n"/>
      <c r="P63" s="4082" t="n"/>
      <c r="Q63" s="4082" t="n"/>
      <c r="R63" s="4082" t="n"/>
      <c r="S63" s="4082" t="n"/>
      <c r="T63" s="4082" t="n"/>
    </row>
    <row r="64" ht="12.75" customHeight="1" s="4080">
      <c r="A64" s="637" t="n"/>
      <c r="B64" s="637" t="n"/>
      <c r="C64" s="637" t="n"/>
      <c r="D64" s="637" t="n"/>
      <c r="E64" s="637" t="n"/>
      <c r="F64" s="637" t="n"/>
      <c r="G64" s="637" t="n"/>
      <c r="H64" s="637" t="n"/>
      <c r="I64" s="637" t="n"/>
      <c r="J64" s="637" t="n"/>
      <c r="K64" s="637" t="n"/>
      <c r="L64" s="637" t="n"/>
      <c r="M64" s="637" t="n"/>
      <c r="N64" s="637" t="n"/>
      <c r="O64" s="637" t="n"/>
      <c r="P64" s="637" t="n"/>
      <c r="Q64" s="637" t="n"/>
      <c r="R64" s="637" t="n"/>
      <c r="S64" s="637" t="n"/>
      <c r="T64" s="637" t="n"/>
    </row>
    <row r="65" ht="12.75" customHeight="1" s="4080">
      <c r="A65" s="637" t="n"/>
      <c r="B65" s="637" t="n"/>
      <c r="C65" s="637" t="n"/>
      <c r="D65" s="637" t="n"/>
      <c r="E65" s="637" t="n"/>
      <c r="F65" s="637" t="n"/>
      <c r="G65" s="637" t="n"/>
      <c r="H65" s="637" t="n"/>
      <c r="I65" s="637" t="n"/>
      <c r="J65" s="637" t="n"/>
      <c r="K65" s="637" t="n"/>
      <c r="L65" s="637" t="n"/>
      <c r="M65" s="637" t="n"/>
      <c r="N65" s="637" t="n"/>
      <c r="O65" s="637" t="n"/>
      <c r="P65" s="637" t="n"/>
      <c r="Q65" s="637" t="n"/>
      <c r="R65" s="637" t="n"/>
      <c r="S65" s="637" t="n"/>
      <c r="T65" s="637" t="n"/>
    </row>
    <row r="66" ht="12.75" customHeight="1" s="4080">
      <c r="A66" s="590" t="n"/>
      <c r="B66" s="637" t="n"/>
      <c r="C66" s="637" t="n"/>
      <c r="D66" s="637" t="n"/>
      <c r="E66" s="637" t="n"/>
      <c r="F66" s="637" t="n"/>
      <c r="G66" s="637" t="n"/>
      <c r="H66" s="637" t="n"/>
      <c r="I66" s="637" t="n"/>
      <c r="J66" s="637" t="n"/>
      <c r="K66" s="637" t="n"/>
      <c r="L66" s="637" t="n"/>
      <c r="M66" s="637" t="n"/>
      <c r="N66" s="637" t="n"/>
      <c r="O66" s="637" t="n"/>
      <c r="P66" s="637" t="n"/>
      <c r="Q66" s="637" t="n"/>
      <c r="R66" s="637" t="n"/>
      <c r="S66" s="637" t="n"/>
      <c r="T66" s="637" t="n"/>
    </row>
    <row r="67" ht="12.75" customHeight="1" s="4080">
      <c r="A67" s="637" t="n"/>
      <c r="B67" s="637" t="n"/>
      <c r="C67" s="637" t="n"/>
      <c r="D67" s="637" t="n"/>
      <c r="E67" s="637" t="n"/>
      <c r="F67" s="637" t="n"/>
      <c r="G67" s="637" t="n"/>
      <c r="H67" s="637" t="n"/>
      <c r="I67" s="637" t="n"/>
      <c r="J67" s="637" t="n"/>
      <c r="K67" s="637" t="n"/>
      <c r="L67" s="637" t="n"/>
      <c r="M67" s="637" t="n"/>
      <c r="N67" s="637" t="n"/>
      <c r="O67" s="637" t="n"/>
      <c r="P67" s="637" t="n"/>
      <c r="Q67" s="637" t="n"/>
      <c r="R67" s="637" t="n"/>
      <c r="S67" s="637" t="n"/>
      <c r="T67" s="637" t="n"/>
    </row>
    <row r="68" ht="12.75" customHeight="1" s="4080">
      <c r="A68" s="637" t="n"/>
      <c r="B68" s="637" t="n"/>
      <c r="C68" s="637" t="n"/>
      <c r="D68" s="637" t="n"/>
      <c r="E68" s="637" t="n"/>
      <c r="F68" s="637" t="n"/>
      <c r="G68" s="637" t="n"/>
      <c r="H68" s="637" t="n"/>
      <c r="I68" s="637" t="n"/>
      <c r="J68" s="637" t="n"/>
      <c r="K68" s="637" t="n"/>
      <c r="L68" s="637" t="n"/>
      <c r="M68" s="637" t="n"/>
      <c r="N68" s="637" t="n"/>
      <c r="O68" s="637" t="n"/>
      <c r="P68" s="637" t="n"/>
      <c r="Q68" s="637" t="n"/>
      <c r="R68" s="637" t="n"/>
      <c r="S68" s="637" t="n"/>
      <c r="T68" s="637" t="n"/>
    </row>
    <row r="69" ht="12.75" customHeight="1" s="4080" thickBot="1">
      <c r="A69" s="637" t="n"/>
      <c r="B69" s="637" t="n"/>
      <c r="C69" s="637" t="n"/>
      <c r="D69" s="637" t="n"/>
      <c r="E69" s="637" t="n"/>
      <c r="F69" s="637" t="n"/>
      <c r="G69" s="637" t="n"/>
      <c r="H69" s="637" t="n"/>
      <c r="I69" s="637" t="n"/>
      <c r="J69" s="637" t="n"/>
      <c r="K69" s="637" t="n"/>
      <c r="L69" s="637" t="n"/>
      <c r="M69" s="644" t="n"/>
      <c r="N69" s="644" t="n"/>
      <c r="O69" s="637" t="n"/>
      <c r="P69" s="637" t="n"/>
      <c r="Q69" s="637" t="n"/>
      <c r="R69" s="637" t="n"/>
      <c r="S69" s="637" t="n"/>
      <c r="T69" s="637" t="n"/>
    </row>
    <row r="70" ht="12.75" customHeight="1" s="4080">
      <c r="A70" s="3827" t="inlineStr">
        <is>
          <t>従　業　者　の　職　種　・　員　数</t>
        </is>
      </c>
      <c r="B70" s="4093" t="n"/>
      <c r="C70" s="4093" t="n"/>
      <c r="D70" s="4093" t="n"/>
      <c r="E70" s="4093" t="n"/>
      <c r="F70" s="4093" t="n"/>
      <c r="G70" s="4093" t="n"/>
      <c r="H70" s="4093" t="n"/>
      <c r="I70" s="4093" t="n"/>
      <c r="J70" s="4093" t="n"/>
      <c r="K70" s="4093" t="n"/>
      <c r="L70" s="4093" t="n"/>
      <c r="M70" s="4093" t="n"/>
      <c r="N70" s="4093" t="n"/>
      <c r="O70" s="4093" t="n"/>
      <c r="P70" s="4093" t="n"/>
      <c r="Q70" s="4093" t="n"/>
      <c r="R70" s="4093" t="n"/>
      <c r="S70" s="4094" t="n"/>
      <c r="T70" s="637" t="n"/>
    </row>
    <row r="71" ht="12.75" customHeight="1" s="4080">
      <c r="A71" s="3830" t="n"/>
      <c r="E71" s="4107" t="n"/>
      <c r="F71" s="3833" t="inlineStr">
        <is>
          <t>児童発達支援
管理責任者</t>
        </is>
      </c>
      <c r="G71" s="4107" t="n"/>
      <c r="H71" s="3834" t="inlineStr">
        <is>
          <t>医師
（嘱託医含む）</t>
        </is>
      </c>
      <c r="I71" s="4099" t="n"/>
      <c r="J71" s="3801" t="inlineStr">
        <is>
          <t>児童指導員</t>
        </is>
      </c>
      <c r="K71" s="4098" t="n"/>
      <c r="L71" s="3801" t="inlineStr">
        <is>
          <t>保育士</t>
        </is>
      </c>
      <c r="M71" s="4098" t="n"/>
      <c r="N71" s="3801" t="inlineStr">
        <is>
          <t>指導員</t>
        </is>
      </c>
      <c r="O71" s="4098" t="n"/>
      <c r="P71" s="3837" t="inlineStr">
        <is>
          <t>看護師</t>
        </is>
      </c>
      <c r="Q71" s="4099" t="n"/>
      <c r="R71" s="637" t="n"/>
      <c r="S71" s="645" t="n"/>
      <c r="T71" s="637" t="n"/>
    </row>
    <row r="72" ht="12.75" customHeight="1" s="4080">
      <c r="A72" s="4097" t="n"/>
      <c r="E72" s="4107" t="n"/>
      <c r="F72" s="4102" t="n"/>
      <c r="G72" s="4104" t="n"/>
      <c r="H72" s="4102" t="n"/>
      <c r="I72" s="4104" t="n"/>
      <c r="J72" s="4102" t="n"/>
      <c r="K72" s="4103" t="n"/>
      <c r="L72" s="4102" t="n"/>
      <c r="M72" s="4103" t="n"/>
      <c r="N72" s="4102" t="n"/>
      <c r="O72" s="4103" t="n"/>
      <c r="P72" s="4102" t="n"/>
      <c r="Q72" s="4104" t="n"/>
      <c r="R72" s="637" t="n"/>
      <c r="S72" s="645" t="n"/>
      <c r="T72" s="637" t="n"/>
    </row>
    <row r="73" ht="12.75" customHeight="1" s="4080">
      <c r="A73" s="4114" t="n"/>
      <c r="B73" s="4103" t="n"/>
      <c r="C73" s="4103" t="n"/>
      <c r="D73" s="4103" t="n"/>
      <c r="E73" s="4104" t="n"/>
      <c r="F73" s="3837" t="inlineStr">
        <is>
          <t>専従</t>
        </is>
      </c>
      <c r="G73" s="3837" t="inlineStr">
        <is>
          <t>※兼務</t>
        </is>
      </c>
      <c r="H73" s="3837" t="inlineStr">
        <is>
          <t>専従</t>
        </is>
      </c>
      <c r="I73" s="3837" t="inlineStr">
        <is>
          <t>※兼務</t>
        </is>
      </c>
      <c r="J73" s="3837" t="inlineStr">
        <is>
          <t>専従</t>
        </is>
      </c>
      <c r="K73" s="3837" t="inlineStr">
        <is>
          <t>※兼務</t>
        </is>
      </c>
      <c r="L73" s="3837" t="inlineStr">
        <is>
          <t>専従</t>
        </is>
      </c>
      <c r="M73" s="3837" t="inlineStr">
        <is>
          <t>※兼務</t>
        </is>
      </c>
      <c r="N73" s="3837" t="inlineStr">
        <is>
          <t>専従</t>
        </is>
      </c>
      <c r="O73" s="3837" t="inlineStr">
        <is>
          <t>※兼務</t>
        </is>
      </c>
      <c r="P73" s="3837" t="inlineStr">
        <is>
          <t>専従</t>
        </is>
      </c>
      <c r="Q73" s="3837" t="inlineStr">
        <is>
          <t>※兼務</t>
        </is>
      </c>
      <c r="R73" s="3808" t="n"/>
      <c r="S73" s="3850" t="n"/>
      <c r="T73" s="3808" t="n"/>
    </row>
    <row r="74" ht="12.75" customHeight="1" s="4080">
      <c r="A74" s="3838" t="inlineStr">
        <is>
          <t>合計</t>
        </is>
      </c>
      <c r="B74" s="3837" t="inlineStr">
        <is>
          <t>従業者数</t>
        </is>
      </c>
      <c r="C74" s="4099" t="n"/>
      <c r="D74" s="649" t="inlineStr">
        <is>
          <t>常勤（人）</t>
        </is>
      </c>
      <c r="E74" s="649" t="n"/>
      <c r="F74" s="650" t="n"/>
      <c r="G74" s="650" t="n"/>
      <c r="H74" s="650" t="n"/>
      <c r="I74" s="650" t="n"/>
      <c r="J74" s="650" t="n"/>
      <c r="K74" s="650" t="n"/>
      <c r="L74" s="650" t="n"/>
      <c r="M74" s="650" t="n"/>
      <c r="N74" s="650" t="n"/>
      <c r="O74" s="650" t="n"/>
      <c r="P74" s="650" t="n"/>
      <c r="Q74" s="650" t="n"/>
      <c r="R74" s="637" t="n"/>
      <c r="S74" s="645" t="n"/>
      <c r="T74" s="637" t="n"/>
    </row>
    <row r="75" ht="12.75" customHeight="1" s="4080">
      <c r="A75" s="4208" t="n"/>
      <c r="B75" s="4102" t="n"/>
      <c r="C75" s="4104" t="n"/>
      <c r="D75" s="649" t="inlineStr">
        <is>
          <t>非常勤（人）</t>
        </is>
      </c>
      <c r="E75" s="649" t="n"/>
      <c r="F75" s="650" t="n"/>
      <c r="G75" s="650" t="n"/>
      <c r="H75" s="650" t="n"/>
      <c r="I75" s="650" t="n"/>
      <c r="J75" s="650" t="n"/>
      <c r="K75" s="650" t="n"/>
      <c r="L75" s="650" t="n"/>
      <c r="M75" s="650" t="n"/>
      <c r="N75" s="650" t="n"/>
      <c r="O75" s="650" t="n"/>
      <c r="P75" s="650" t="n"/>
      <c r="Q75" s="650" t="n"/>
      <c r="R75" s="637" t="n"/>
      <c r="S75" s="645" t="n"/>
      <c r="T75" s="637" t="n"/>
    </row>
    <row r="76" ht="12.75" customHeight="1" s="4080">
      <c r="A76" s="4208" t="n"/>
      <c r="B76" s="3837" t="inlineStr">
        <is>
          <t>備考</t>
        </is>
      </c>
      <c r="C76" s="4110" t="n"/>
      <c r="D76" s="4110" t="n"/>
      <c r="E76" s="4111" t="n"/>
      <c r="F76" s="650" t="n"/>
      <c r="G76" s="650" t="n"/>
      <c r="H76" s="650" t="n"/>
      <c r="I76" s="650" t="n"/>
      <c r="J76" s="650" t="n"/>
      <c r="K76" s="650" t="n"/>
      <c r="L76" s="650" t="n"/>
      <c r="M76" s="650" t="n"/>
      <c r="N76" s="650" t="n"/>
      <c r="O76" s="650" t="n"/>
      <c r="P76" s="650" t="n"/>
      <c r="Q76" s="650" t="n"/>
      <c r="R76" s="637" t="n"/>
      <c r="S76" s="645" t="n"/>
      <c r="T76" s="637" t="n"/>
    </row>
    <row r="77" ht="12.75" customHeight="1" s="4080">
      <c r="A77" s="4737" t="n"/>
      <c r="B77" s="649" t="inlineStr">
        <is>
          <t>基準上の必要人数（人）</t>
        </is>
      </c>
      <c r="C77" s="649" t="n"/>
      <c r="D77" s="649" t="n"/>
      <c r="E77" s="649" t="n"/>
      <c r="F77" s="651" t="n"/>
      <c r="G77" s="651" t="n"/>
      <c r="H77" s="651" t="n"/>
      <c r="I77" s="651" t="n"/>
      <c r="J77" s="651" t="n"/>
      <c r="K77" s="651" t="n"/>
      <c r="L77" s="651" t="n"/>
      <c r="M77" s="651" t="n"/>
      <c r="N77" s="651" t="n"/>
      <c r="O77" s="651" t="n"/>
      <c r="P77" s="651" t="n"/>
      <c r="Q77" s="651" t="n"/>
      <c r="R77" s="637" t="n"/>
      <c r="S77" s="645" t="n"/>
      <c r="T77" s="637" t="n"/>
    </row>
    <row r="78" ht="12.75" customHeight="1" s="4080">
      <c r="A78" s="3836" t="inlineStr">
        <is>
          <t>主たる事業所</t>
        </is>
      </c>
      <c r="B78" s="3837" t="inlineStr">
        <is>
          <t>従業者数</t>
        </is>
      </c>
      <c r="C78" s="4099" t="n"/>
      <c r="D78" s="649" t="inlineStr">
        <is>
          <t>常勤（人）</t>
        </is>
      </c>
      <c r="E78" s="649" t="n"/>
      <c r="F78" s="650" t="n"/>
      <c r="G78" s="650" t="n"/>
      <c r="H78" s="650" t="n"/>
      <c r="I78" s="650" t="n"/>
      <c r="J78" s="650" t="n"/>
      <c r="K78" s="650" t="n"/>
      <c r="L78" s="650" t="n"/>
      <c r="M78" s="650" t="n"/>
      <c r="N78" s="650" t="n"/>
      <c r="O78" s="650" t="n"/>
      <c r="P78" s="650" t="n"/>
      <c r="Q78" s="650" t="n"/>
      <c r="R78" s="637" t="n"/>
      <c r="S78" s="645" t="n"/>
      <c r="T78" s="637" t="n"/>
    </row>
    <row r="79" ht="12.75" customHeight="1" s="4080">
      <c r="A79" s="4208" t="n"/>
      <c r="B79" s="4102" t="n"/>
      <c r="C79" s="4104" t="n"/>
      <c r="D79" s="649" t="inlineStr">
        <is>
          <t>非常勤（人）</t>
        </is>
      </c>
      <c r="E79" s="649" t="n"/>
      <c r="F79" s="650" t="n"/>
      <c r="G79" s="650" t="n"/>
      <c r="H79" s="650" t="n"/>
      <c r="I79" s="650" t="n"/>
      <c r="J79" s="650" t="n"/>
      <c r="K79" s="650" t="n"/>
      <c r="L79" s="650" t="n"/>
      <c r="M79" s="650" t="n"/>
      <c r="N79" s="650" t="n"/>
      <c r="O79" s="650" t="n"/>
      <c r="P79" s="650" t="n"/>
      <c r="Q79" s="650" t="n"/>
      <c r="R79" s="637" t="n"/>
      <c r="S79" s="645" t="n"/>
      <c r="T79" s="637" t="n"/>
    </row>
    <row r="80" ht="12.75" customHeight="1" s="4080">
      <c r="A80" s="4208" t="n"/>
      <c r="B80" s="3837" t="inlineStr">
        <is>
          <t>備考</t>
        </is>
      </c>
      <c r="C80" s="4110" t="n"/>
      <c r="D80" s="4110" t="n"/>
      <c r="E80" s="4111" t="n"/>
      <c r="F80" s="650" t="n"/>
      <c r="G80" s="650" t="n"/>
      <c r="H80" s="650" t="n"/>
      <c r="I80" s="650" t="n"/>
      <c r="J80" s="650" t="n"/>
      <c r="K80" s="650" t="n"/>
      <c r="L80" s="650" t="n"/>
      <c r="M80" s="650" t="n"/>
      <c r="N80" s="650" t="n"/>
      <c r="O80" s="650" t="n"/>
      <c r="P80" s="650" t="n"/>
      <c r="Q80" s="650" t="n"/>
      <c r="R80" s="637" t="n"/>
      <c r="S80" s="645" t="n"/>
      <c r="T80" s="637" t="n"/>
    </row>
    <row r="81" ht="12.75" customHeight="1" s="4080">
      <c r="A81" s="4737" t="n"/>
      <c r="B81" s="649" t="inlineStr">
        <is>
          <t>基準上の必要人数（人）</t>
        </is>
      </c>
      <c r="C81" s="649" t="n"/>
      <c r="D81" s="649" t="n"/>
      <c r="E81" s="649" t="n"/>
      <c r="F81" s="651" t="n"/>
      <c r="G81" s="651" t="n"/>
      <c r="H81" s="651" t="n"/>
      <c r="I81" s="651" t="n"/>
      <c r="J81" s="651" t="n"/>
      <c r="K81" s="651" t="n"/>
      <c r="L81" s="651" t="n"/>
      <c r="M81" s="651" t="n"/>
      <c r="N81" s="651" t="n"/>
      <c r="O81" s="651" t="n"/>
      <c r="P81" s="651" t="n"/>
      <c r="Q81" s="651" t="n"/>
      <c r="R81" s="637" t="n"/>
      <c r="S81" s="645" t="n"/>
      <c r="T81" s="637" t="n"/>
    </row>
    <row r="82" ht="12.75" customHeight="1" s="4080">
      <c r="A82" s="3836" t="inlineStr">
        <is>
          <t>従たる事業所</t>
        </is>
      </c>
      <c r="B82" s="3837" t="inlineStr">
        <is>
          <t>従業者数</t>
        </is>
      </c>
      <c r="C82" s="4099" t="n"/>
      <c r="D82" s="649" t="inlineStr">
        <is>
          <t>常勤（人）</t>
        </is>
      </c>
      <c r="E82" s="649" t="n"/>
      <c r="F82" s="650" t="n"/>
      <c r="G82" s="650" t="n"/>
      <c r="H82" s="650" t="n"/>
      <c r="I82" s="650" t="n"/>
      <c r="J82" s="650" t="n"/>
      <c r="K82" s="650" t="n"/>
      <c r="L82" s="650" t="n"/>
      <c r="M82" s="650" t="n"/>
      <c r="N82" s="650" t="n"/>
      <c r="O82" s="650" t="n"/>
      <c r="P82" s="650" t="n"/>
      <c r="Q82" s="650" t="n"/>
      <c r="R82" s="637" t="n"/>
      <c r="S82" s="645" t="n"/>
      <c r="T82" s="637" t="n"/>
    </row>
    <row r="83" ht="12.75" customHeight="1" s="4080">
      <c r="A83" s="4208" t="n"/>
      <c r="B83" s="4102" t="n"/>
      <c r="C83" s="4104" t="n"/>
      <c r="D83" s="649" t="inlineStr">
        <is>
          <t>非常勤（人）</t>
        </is>
      </c>
      <c r="E83" s="649" t="n"/>
      <c r="F83" s="650" t="n"/>
      <c r="G83" s="650" t="n"/>
      <c r="H83" s="650" t="n"/>
      <c r="I83" s="650" t="n"/>
      <c r="J83" s="650" t="n"/>
      <c r="K83" s="650" t="n"/>
      <c r="L83" s="650" t="n"/>
      <c r="M83" s="650" t="n"/>
      <c r="N83" s="650" t="n"/>
      <c r="O83" s="650" t="n"/>
      <c r="P83" s="650" t="n"/>
      <c r="Q83" s="650" t="n"/>
      <c r="R83" s="637" t="n"/>
      <c r="S83" s="645" t="n"/>
      <c r="T83" s="637" t="n"/>
    </row>
    <row r="84" ht="12.75" customHeight="1" s="4080">
      <c r="A84" s="4208" t="n"/>
      <c r="B84" s="3837" t="inlineStr">
        <is>
          <t>備考</t>
        </is>
      </c>
      <c r="C84" s="4110" t="n"/>
      <c r="D84" s="4110" t="n"/>
      <c r="E84" s="4111" t="n"/>
      <c r="F84" s="650" t="n"/>
      <c r="G84" s="650" t="n"/>
      <c r="H84" s="650" t="n"/>
      <c r="I84" s="650" t="n"/>
      <c r="J84" s="650" t="n"/>
      <c r="K84" s="650" t="n"/>
      <c r="L84" s="650" t="n"/>
      <c r="M84" s="650" t="n"/>
      <c r="N84" s="650" t="n"/>
      <c r="O84" s="650" t="n"/>
      <c r="P84" s="650" t="n"/>
      <c r="Q84" s="650" t="n"/>
      <c r="R84" s="637" t="n"/>
      <c r="S84" s="645" t="n"/>
      <c r="T84" s="637" t="n"/>
    </row>
    <row r="85" ht="12.75" customHeight="1" s="4080">
      <c r="A85" s="4737" t="n"/>
      <c r="B85" s="649" t="inlineStr">
        <is>
          <t>基準上の必要人数（人）</t>
        </is>
      </c>
      <c r="C85" s="649" t="n"/>
      <c r="D85" s="649" t="n"/>
      <c r="E85" s="649" t="n"/>
      <c r="F85" s="651" t="n"/>
      <c r="G85" s="651" t="n"/>
      <c r="H85" s="651" t="n"/>
      <c r="I85" s="651" t="n"/>
      <c r="J85" s="651" t="n"/>
      <c r="K85" s="651" t="n"/>
      <c r="L85" s="651" t="n"/>
      <c r="M85" s="651" t="n"/>
      <c r="N85" s="651" t="n"/>
      <c r="O85" s="651" t="n"/>
      <c r="P85" s="651" t="n"/>
      <c r="Q85" s="651" t="n"/>
      <c r="R85" s="637" t="n"/>
      <c r="S85" s="645" t="n"/>
      <c r="T85" s="637" t="n"/>
    </row>
    <row r="86" ht="12.75" customHeight="1" s="4080">
      <c r="A86" s="3832" t="n"/>
      <c r="B86" s="4098" t="n"/>
      <c r="C86" s="4098" t="n"/>
      <c r="D86" s="4098" t="n"/>
      <c r="E86" s="4099" t="n"/>
      <c r="F86" s="4936" t="inlineStr">
        <is>
          <t>理学療法士又は作業療法士</t>
        </is>
      </c>
      <c r="G86" s="4098" t="n"/>
      <c r="H86" s="3801" t="inlineStr">
        <is>
          <t>言語聴覚士</t>
        </is>
      </c>
      <c r="I86" s="4098" t="n"/>
      <c r="J86" s="3834" t="inlineStr">
        <is>
          <t>機能訓練担当職員</t>
        </is>
      </c>
      <c r="K86" s="4099" t="n"/>
      <c r="L86" s="4937" t="inlineStr">
        <is>
          <t>訪問支援員</t>
        </is>
      </c>
      <c r="M86" s="4099" t="n"/>
      <c r="N86" s="3801" t="inlineStr">
        <is>
          <t>栄養士</t>
        </is>
      </c>
      <c r="O86" s="4098" t="n"/>
      <c r="P86" s="3837" t="inlineStr">
        <is>
          <t>調理員</t>
        </is>
      </c>
      <c r="Q86" s="4099" t="n"/>
      <c r="R86" s="4938" t="n"/>
      <c r="S86" s="4101" t="n"/>
      <c r="T86" s="637" t="n"/>
    </row>
    <row r="87" ht="12.75" customHeight="1" s="4080">
      <c r="A87" s="4097" t="n"/>
      <c r="E87" s="4107" t="n"/>
      <c r="F87" s="4102" t="n"/>
      <c r="G87" s="4103" t="n"/>
      <c r="H87" s="4102" t="n"/>
      <c r="I87" s="4103" t="n"/>
      <c r="J87" s="4102" t="n"/>
      <c r="K87" s="4104" t="n"/>
      <c r="L87" s="4102" t="n"/>
      <c r="M87" s="4104" t="n"/>
      <c r="N87" s="4102" t="n"/>
      <c r="O87" s="4103" t="n"/>
      <c r="P87" s="4102" t="n"/>
      <c r="Q87" s="4104" t="n"/>
      <c r="R87" s="4106" t="n"/>
      <c r="S87" s="4109" t="n"/>
      <c r="T87" s="637" t="n"/>
    </row>
    <row r="88" ht="12.75" customHeight="1" s="4080">
      <c r="A88" s="4114" t="n"/>
      <c r="B88" s="4103" t="n"/>
      <c r="C88" s="4103" t="n"/>
      <c r="D88" s="4103" t="n"/>
      <c r="E88" s="4104" t="n"/>
      <c r="F88" s="3837" t="inlineStr">
        <is>
          <t>専従</t>
        </is>
      </c>
      <c r="G88" s="3837" t="inlineStr">
        <is>
          <t>※兼務</t>
        </is>
      </c>
      <c r="H88" s="3837" t="inlineStr">
        <is>
          <t>専従</t>
        </is>
      </c>
      <c r="I88" s="3837" t="inlineStr">
        <is>
          <t>※兼務</t>
        </is>
      </c>
      <c r="J88" s="3837" t="inlineStr">
        <is>
          <t>専従</t>
        </is>
      </c>
      <c r="K88" s="3837" t="inlineStr">
        <is>
          <t>※兼務</t>
        </is>
      </c>
      <c r="L88" s="3837" t="inlineStr">
        <is>
          <t>専従</t>
        </is>
      </c>
      <c r="M88" s="3837" t="inlineStr">
        <is>
          <t>※兼務</t>
        </is>
      </c>
      <c r="N88" s="3837" t="inlineStr">
        <is>
          <t>専従</t>
        </is>
      </c>
      <c r="O88" s="3801" t="inlineStr">
        <is>
          <t>※兼務</t>
        </is>
      </c>
      <c r="P88" s="3837" t="inlineStr">
        <is>
          <t>専従</t>
        </is>
      </c>
      <c r="Q88" s="3837" t="inlineStr">
        <is>
          <t>※兼務</t>
        </is>
      </c>
      <c r="R88" s="4106" t="n"/>
      <c r="S88" s="4109" t="n"/>
      <c r="T88" s="637" t="n"/>
    </row>
    <row r="89" ht="12.75" customHeight="1" s="4080">
      <c r="A89" s="3838" t="inlineStr">
        <is>
          <t>合計</t>
        </is>
      </c>
      <c r="B89" s="3837" t="inlineStr">
        <is>
          <t>従業者数</t>
        </is>
      </c>
      <c r="C89" s="4099" t="n"/>
      <c r="D89" s="649" t="inlineStr">
        <is>
          <t>常勤（人）</t>
        </is>
      </c>
      <c r="E89" s="649" t="n"/>
      <c r="F89" s="650" t="n"/>
      <c r="G89" s="650" t="n"/>
      <c r="H89" s="650" t="n"/>
      <c r="I89" s="650" t="n"/>
      <c r="J89" s="650" t="n"/>
      <c r="K89" s="650" t="n"/>
      <c r="L89" s="650" t="n"/>
      <c r="M89" s="650" t="n"/>
      <c r="N89" s="650" t="n"/>
      <c r="O89" s="653" t="n"/>
      <c r="P89" s="650" t="n"/>
      <c r="Q89" s="650" t="n"/>
      <c r="R89" s="4106" t="n"/>
      <c r="S89" s="4109" t="n"/>
      <c r="T89" s="637" t="n"/>
    </row>
    <row r="90" ht="12.75" customHeight="1" s="4080">
      <c r="A90" s="4208" t="n"/>
      <c r="B90" s="4102" t="n"/>
      <c r="C90" s="4104" t="n"/>
      <c r="D90" s="649" t="inlineStr">
        <is>
          <t>非常勤（人）</t>
        </is>
      </c>
      <c r="E90" s="649" t="n"/>
      <c r="F90" s="650" t="n"/>
      <c r="G90" s="650" t="n"/>
      <c r="H90" s="650" t="n"/>
      <c r="I90" s="650" t="n"/>
      <c r="J90" s="650" t="n"/>
      <c r="K90" s="650" t="n"/>
      <c r="L90" s="650" t="n"/>
      <c r="M90" s="650" t="n"/>
      <c r="N90" s="650" t="n"/>
      <c r="O90" s="653" t="n"/>
      <c r="P90" s="650" t="n"/>
      <c r="Q90" s="650" t="n"/>
      <c r="R90" s="4106" t="n"/>
      <c r="S90" s="4109" t="n"/>
      <c r="T90" s="637" t="n"/>
    </row>
    <row r="91" ht="12.75" customHeight="1" s="4080">
      <c r="A91" s="4208" t="n"/>
      <c r="B91" s="649" t="inlineStr">
        <is>
          <t>常勤換算後の人数（人）</t>
        </is>
      </c>
      <c r="C91" s="649" t="n"/>
      <c r="D91" s="649" t="n"/>
      <c r="E91" s="649" t="n"/>
      <c r="F91" s="650" t="n"/>
      <c r="G91" s="650" t="n"/>
      <c r="H91" s="650" t="n"/>
      <c r="I91" s="650" t="n"/>
      <c r="J91" s="650" t="n"/>
      <c r="K91" s="650" t="n"/>
      <c r="L91" s="650" t="n"/>
      <c r="M91" s="650" t="n"/>
      <c r="N91" s="650" t="n"/>
      <c r="O91" s="653" t="n"/>
      <c r="P91" s="650" t="n"/>
      <c r="Q91" s="650" t="n"/>
      <c r="R91" s="4106" t="n"/>
      <c r="S91" s="4109" t="n"/>
      <c r="T91" s="637" t="n"/>
    </row>
    <row r="92" ht="12.75" customHeight="1" s="4080">
      <c r="A92" s="4737" t="n"/>
      <c r="B92" s="649" t="inlineStr">
        <is>
          <t>基準上の必要人数（人）</t>
        </is>
      </c>
      <c r="C92" s="649" t="n"/>
      <c r="D92" s="649" t="n"/>
      <c r="E92" s="649" t="n"/>
      <c r="F92" s="651" t="n"/>
      <c r="G92" s="651" t="n"/>
      <c r="H92" s="651" t="n"/>
      <c r="I92" s="651" t="n"/>
      <c r="J92" s="651" t="n"/>
      <c r="K92" s="651" t="n"/>
      <c r="L92" s="651" t="n"/>
      <c r="M92" s="651" t="n"/>
      <c r="N92" s="651" t="n"/>
      <c r="O92" s="654" t="n"/>
      <c r="P92" s="651" t="n"/>
      <c r="Q92" s="651" t="n"/>
      <c r="R92" s="4106" t="n"/>
      <c r="S92" s="4109" t="n"/>
      <c r="T92" s="637" t="n"/>
    </row>
    <row r="93" ht="12.75" customHeight="1" s="4080">
      <c r="A93" s="3836" t="inlineStr">
        <is>
          <t>主たる事業所</t>
        </is>
      </c>
      <c r="B93" s="3837" t="inlineStr">
        <is>
          <t>従業者数</t>
        </is>
      </c>
      <c r="C93" s="4099" t="n"/>
      <c r="D93" s="649" t="inlineStr">
        <is>
          <t>常勤（人）</t>
        </is>
      </c>
      <c r="E93" s="649" t="n"/>
      <c r="F93" s="650" t="n"/>
      <c r="G93" s="650" t="n"/>
      <c r="H93" s="650" t="n"/>
      <c r="I93" s="650" t="n"/>
      <c r="J93" s="650" t="n"/>
      <c r="K93" s="650" t="n"/>
      <c r="L93" s="650" t="n"/>
      <c r="M93" s="650" t="n"/>
      <c r="N93" s="650" t="n"/>
      <c r="O93" s="653" t="n"/>
      <c r="P93" s="650" t="n"/>
      <c r="Q93" s="650" t="n"/>
      <c r="R93" s="4106" t="n"/>
      <c r="S93" s="4109" t="n"/>
      <c r="T93" s="637" t="n"/>
    </row>
    <row r="94" ht="12.75" customHeight="1" s="4080">
      <c r="A94" s="4208" t="n"/>
      <c r="B94" s="4102" t="n"/>
      <c r="C94" s="4104" t="n"/>
      <c r="D94" s="649" t="inlineStr">
        <is>
          <t>非常勤（人）</t>
        </is>
      </c>
      <c r="E94" s="649" t="n"/>
      <c r="F94" s="650" t="n"/>
      <c r="G94" s="650" t="n"/>
      <c r="H94" s="650" t="n"/>
      <c r="I94" s="650" t="n"/>
      <c r="J94" s="650" t="n"/>
      <c r="K94" s="650" t="n"/>
      <c r="L94" s="650" t="n"/>
      <c r="M94" s="650" t="n"/>
      <c r="N94" s="650" t="n"/>
      <c r="O94" s="653" t="n"/>
      <c r="P94" s="650" t="n"/>
      <c r="Q94" s="650" t="n"/>
      <c r="R94" s="4106" t="n"/>
      <c r="S94" s="4109" t="n"/>
      <c r="T94" s="637" t="n"/>
    </row>
    <row r="95" ht="12.75" customHeight="1" s="4080">
      <c r="A95" s="4208" t="n"/>
      <c r="B95" s="649" t="inlineStr">
        <is>
          <t>常勤換算後の人数（人）</t>
        </is>
      </c>
      <c r="C95" s="649" t="n"/>
      <c r="D95" s="649" t="n"/>
      <c r="E95" s="649" t="n"/>
      <c r="F95" s="650" t="n"/>
      <c r="G95" s="650" t="n"/>
      <c r="H95" s="650" t="n"/>
      <c r="I95" s="650" t="n"/>
      <c r="J95" s="650" t="n"/>
      <c r="K95" s="650" t="n"/>
      <c r="L95" s="650" t="n"/>
      <c r="M95" s="650" t="n"/>
      <c r="N95" s="650" t="n"/>
      <c r="O95" s="653" t="n"/>
      <c r="P95" s="650" t="n"/>
      <c r="Q95" s="650" t="n"/>
      <c r="R95" s="4106" t="n"/>
      <c r="S95" s="4109" t="n"/>
      <c r="T95" s="637" t="n"/>
    </row>
    <row r="96" ht="12.75" customHeight="1" s="4080">
      <c r="A96" s="4737" t="n"/>
      <c r="B96" s="649" t="inlineStr">
        <is>
          <t>基準上の必要人数（人）</t>
        </is>
      </c>
      <c r="C96" s="649" t="n"/>
      <c r="D96" s="649" t="n"/>
      <c r="E96" s="649" t="n"/>
      <c r="F96" s="651" t="n"/>
      <c r="G96" s="651" t="n"/>
      <c r="H96" s="651" t="n"/>
      <c r="I96" s="651" t="n"/>
      <c r="J96" s="651" t="n"/>
      <c r="K96" s="651" t="n"/>
      <c r="L96" s="651" t="n"/>
      <c r="M96" s="651" t="n"/>
      <c r="N96" s="651" t="n"/>
      <c r="O96" s="654" t="n"/>
      <c r="P96" s="651" t="n"/>
      <c r="Q96" s="651" t="n"/>
      <c r="R96" s="4106" t="n"/>
      <c r="S96" s="4109" t="n"/>
      <c r="T96" s="637" t="n"/>
    </row>
    <row r="97" ht="12.75" customHeight="1" s="4080">
      <c r="A97" s="3836" t="inlineStr">
        <is>
          <t>従たる事業所</t>
        </is>
      </c>
      <c r="B97" s="3837" t="inlineStr">
        <is>
          <t>従業者数</t>
        </is>
      </c>
      <c r="C97" s="4099" t="n"/>
      <c r="D97" s="649" t="inlineStr">
        <is>
          <t>常勤（人）</t>
        </is>
      </c>
      <c r="E97" s="649" t="n"/>
      <c r="F97" s="650" t="n"/>
      <c r="G97" s="650" t="n"/>
      <c r="H97" s="650" t="n"/>
      <c r="I97" s="650" t="n"/>
      <c r="J97" s="650" t="n"/>
      <c r="K97" s="650" t="n"/>
      <c r="L97" s="650" t="n"/>
      <c r="M97" s="650" t="n"/>
      <c r="N97" s="650" t="n"/>
      <c r="O97" s="653" t="n"/>
      <c r="P97" s="650" t="n"/>
      <c r="Q97" s="650" t="n"/>
      <c r="R97" s="4106" t="n"/>
      <c r="S97" s="4109" t="n"/>
      <c r="T97" s="637" t="n"/>
    </row>
    <row r="98" ht="12.75" customHeight="1" s="4080">
      <c r="A98" s="4208" t="n"/>
      <c r="B98" s="4102" t="n"/>
      <c r="C98" s="4104" t="n"/>
      <c r="D98" s="649" t="inlineStr">
        <is>
          <t>非常勤（人）</t>
        </is>
      </c>
      <c r="E98" s="649" t="n"/>
      <c r="F98" s="650" t="n"/>
      <c r="G98" s="650" t="n"/>
      <c r="H98" s="650" t="n"/>
      <c r="I98" s="650" t="n"/>
      <c r="J98" s="650" t="n"/>
      <c r="K98" s="650" t="n"/>
      <c r="L98" s="650" t="n"/>
      <c r="M98" s="650" t="n"/>
      <c r="N98" s="650" t="n"/>
      <c r="O98" s="653" t="n"/>
      <c r="P98" s="650" t="n"/>
      <c r="Q98" s="650" t="n"/>
      <c r="R98" s="4106" t="n"/>
      <c r="S98" s="4109" t="n"/>
      <c r="T98" s="637" t="n"/>
    </row>
    <row r="99" ht="12.75" customHeight="1" s="4080">
      <c r="A99" s="4208" t="n"/>
      <c r="B99" s="649" t="inlineStr">
        <is>
          <t>常勤換算後の人数（人）</t>
        </is>
      </c>
      <c r="C99" s="649" t="n"/>
      <c r="D99" s="649" t="n"/>
      <c r="E99" s="649" t="n"/>
      <c r="F99" s="650" t="n"/>
      <c r="G99" s="650" t="n"/>
      <c r="H99" s="650" t="n"/>
      <c r="I99" s="650" t="n"/>
      <c r="J99" s="650" t="n"/>
      <c r="K99" s="650" t="n"/>
      <c r="L99" s="650" t="n"/>
      <c r="M99" s="650" t="n"/>
      <c r="N99" s="650" t="n"/>
      <c r="O99" s="653" t="n"/>
      <c r="P99" s="650" t="n"/>
      <c r="Q99" s="650" t="n"/>
      <c r="R99" s="4106" t="n"/>
      <c r="S99" s="4109" t="n"/>
      <c r="T99" s="637" t="n"/>
    </row>
    <row r="100" ht="12.75" customHeight="1" s="4080" thickBot="1">
      <c r="A100" s="4737" t="n"/>
      <c r="B100" s="655" t="inlineStr">
        <is>
          <t>基準上の必要人数（人）</t>
        </is>
      </c>
      <c r="C100" s="655" t="n"/>
      <c r="D100" s="655" t="n"/>
      <c r="E100" s="655" t="n"/>
      <c r="F100" s="656" t="n"/>
      <c r="G100" s="656" t="n"/>
      <c r="H100" s="656" t="n"/>
      <c r="I100" s="656" t="n"/>
      <c r="J100" s="656" t="n"/>
      <c r="K100" s="656" t="n"/>
      <c r="L100" s="656" t="n"/>
      <c r="M100" s="656" t="n"/>
      <c r="N100" s="656" t="n"/>
      <c r="O100" s="657" t="n"/>
      <c r="P100" s="656" t="n"/>
      <c r="Q100" s="656" t="n"/>
      <c r="R100" s="4420" t="n"/>
      <c r="S100" s="4088" t="n"/>
      <c r="T100" s="637" t="n"/>
    </row>
    <row r="101" ht="12.75" customHeight="1" s="4080">
      <c r="A101" s="658" t="inlineStr">
        <is>
          <t>（備考）</t>
        </is>
      </c>
      <c r="B101" s="3718" t="n"/>
      <c r="C101" s="3718" t="n"/>
      <c r="D101" s="3718" t="n"/>
      <c r="E101" s="3718" t="n"/>
      <c r="F101" s="3718" t="n"/>
      <c r="G101" s="3718" t="n"/>
      <c r="H101" s="3718" t="n"/>
      <c r="I101" s="3718" t="n"/>
      <c r="J101" s="3718" t="n"/>
      <c r="K101" s="3718" t="n"/>
      <c r="L101" s="3718" t="n"/>
      <c r="M101" s="3718" t="n"/>
      <c r="N101" s="3718" t="n"/>
      <c r="O101" s="3718" t="n"/>
      <c r="P101" s="3718" t="n"/>
      <c r="Q101" s="3718" t="n"/>
      <c r="R101" s="3718" t="n"/>
      <c r="S101" s="3718" t="n"/>
      <c r="T101" s="3718" t="n"/>
    </row>
    <row r="102" ht="12.75" customHeight="1" s="4080">
      <c r="A102" s="3839" t="inlineStr">
        <is>
          <t>１．「受付番号」「基準上の必要人数」欄には、記載しないでください。</t>
        </is>
      </c>
      <c r="R102" s="3718" t="n"/>
      <c r="S102" s="3718" t="n"/>
      <c r="T102" s="3718" t="n"/>
    </row>
    <row r="103" ht="12.75" customHeight="1" s="4080">
      <c r="A103" s="3841" t="inlineStr">
        <is>
          <t>２．記入欄が不足する場合は、適宜欄を設けて記載するか又は別葉に記載した書類を添付してください。</t>
        </is>
      </c>
      <c r="R103" s="3718" t="n"/>
      <c r="S103" s="3718" t="n"/>
      <c r="T103" s="3718" t="n"/>
    </row>
    <row r="104" ht="27" customHeight="1" s="4080">
      <c r="A104" s="3843" t="inlineStr">
        <is>
          <t>３．児童発達支援又は放課後等デイサービスに単位を導入する場合には、適宜欄を設けて記載するか又は別葉にサービス単位ごとの
定員を記載してください。</t>
        </is>
      </c>
    </row>
  </sheetData>
  <mergeCells count="168">
    <mergeCell ref="D20:E20"/>
    <mergeCell ref="C62:D62"/>
    <mergeCell ref="N20:O20"/>
    <mergeCell ref="E62:F62"/>
    <mergeCell ref="B57:D57"/>
    <mergeCell ref="B22:C22"/>
    <mergeCell ref="P41:T41"/>
    <mergeCell ref="B44:C45"/>
    <mergeCell ref="F47:H47"/>
    <mergeCell ref="B76:E76"/>
    <mergeCell ref="M58:T62"/>
    <mergeCell ref="P34:T34"/>
    <mergeCell ref="D28:F28"/>
    <mergeCell ref="F12:M12"/>
    <mergeCell ref="N12:O12"/>
    <mergeCell ref="A74:A77"/>
    <mergeCell ref="G57:H57"/>
    <mergeCell ref="L86:M87"/>
    <mergeCell ref="N86:O87"/>
    <mergeCell ref="F41:M41"/>
    <mergeCell ref="A15:A21"/>
    <mergeCell ref="C58:D59"/>
    <mergeCell ref="E58:F59"/>
    <mergeCell ref="I52:J52"/>
    <mergeCell ref="F27:M27"/>
    <mergeCell ref="A93:A96"/>
    <mergeCell ref="A62:B62"/>
    <mergeCell ref="P12:T12"/>
    <mergeCell ref="G35:T35"/>
    <mergeCell ref="B56:D56"/>
    <mergeCell ref="C50:D51"/>
    <mergeCell ref="E53:F53"/>
    <mergeCell ref="K53:L55"/>
    <mergeCell ref="B16:C16"/>
    <mergeCell ref="D34:E34"/>
    <mergeCell ref="B34:C35"/>
    <mergeCell ref="A78:A81"/>
    <mergeCell ref="G61:H61"/>
    <mergeCell ref="G42:T42"/>
    <mergeCell ref="I61:J61"/>
    <mergeCell ref="A61:B61"/>
    <mergeCell ref="B74:C75"/>
    <mergeCell ref="I57:J57"/>
    <mergeCell ref="I54:J54"/>
    <mergeCell ref="A89:A92"/>
    <mergeCell ref="H86:I87"/>
    <mergeCell ref="K32:L32"/>
    <mergeCell ref="B20:C21"/>
    <mergeCell ref="G62:H62"/>
    <mergeCell ref="P27:T27"/>
    <mergeCell ref="I56:J56"/>
    <mergeCell ref="B17:C19"/>
    <mergeCell ref="K56:L56"/>
    <mergeCell ref="G13:T13"/>
    <mergeCell ref="B29:C29"/>
    <mergeCell ref="C60:D60"/>
    <mergeCell ref="B37:C37"/>
    <mergeCell ref="D7:T7"/>
    <mergeCell ref="A86:E88"/>
    <mergeCell ref="A58:B59"/>
    <mergeCell ref="D16:T16"/>
    <mergeCell ref="A36:A42"/>
    <mergeCell ref="K50:T52"/>
    <mergeCell ref="B15:C15"/>
    <mergeCell ref="N6:O6"/>
    <mergeCell ref="D8:T8"/>
    <mergeCell ref="K10:L10"/>
    <mergeCell ref="A7:A13"/>
    <mergeCell ref="J86:K87"/>
    <mergeCell ref="A82:A85"/>
    <mergeCell ref="N71:O72"/>
    <mergeCell ref="D21:F21"/>
    <mergeCell ref="A63:T63"/>
    <mergeCell ref="I60:J60"/>
    <mergeCell ref="G60:H60"/>
    <mergeCell ref="B84:E84"/>
    <mergeCell ref="K25:L25"/>
    <mergeCell ref="P20:T20"/>
    <mergeCell ref="B7:C7"/>
    <mergeCell ref="F34:M34"/>
    <mergeCell ref="K58:L59"/>
    <mergeCell ref="F48:H49"/>
    <mergeCell ref="N41:O41"/>
    <mergeCell ref="B80:E80"/>
    <mergeCell ref="E52:F52"/>
    <mergeCell ref="B31:C33"/>
    <mergeCell ref="P71:Q72"/>
    <mergeCell ref="B43:C43"/>
    <mergeCell ref="H71:I72"/>
    <mergeCell ref="K60:L60"/>
    <mergeCell ref="D22:T22"/>
    <mergeCell ref="D36:T36"/>
    <mergeCell ref="A53:D55"/>
    <mergeCell ref="A22:A28"/>
    <mergeCell ref="D27:E27"/>
    <mergeCell ref="G50:H51"/>
    <mergeCell ref="F20:M20"/>
    <mergeCell ref="B89:C90"/>
    <mergeCell ref="I50:J51"/>
    <mergeCell ref="B47:E49"/>
    <mergeCell ref="G53:H55"/>
    <mergeCell ref="G28:T28"/>
    <mergeCell ref="D42:F42"/>
    <mergeCell ref="I62:J62"/>
    <mergeCell ref="A97:A100"/>
    <mergeCell ref="B41:C42"/>
    <mergeCell ref="B9:C11"/>
    <mergeCell ref="H43:K45"/>
    <mergeCell ref="A70:S70"/>
    <mergeCell ref="D35:F35"/>
    <mergeCell ref="C61:D61"/>
    <mergeCell ref="E61:F61"/>
    <mergeCell ref="B93:C94"/>
    <mergeCell ref="D12:E12"/>
    <mergeCell ref="B12:C13"/>
    <mergeCell ref="B30:C30"/>
    <mergeCell ref="E54:F54"/>
    <mergeCell ref="F86:G87"/>
    <mergeCell ref="D15:T15"/>
    <mergeCell ref="K57:L57"/>
    <mergeCell ref="P86:Q87"/>
    <mergeCell ref="A102:Q102"/>
    <mergeCell ref="K18:L18"/>
    <mergeCell ref="G56:H56"/>
    <mergeCell ref="D44:G45"/>
    <mergeCell ref="D13:F13"/>
    <mergeCell ref="G52:H52"/>
    <mergeCell ref="B78:C79"/>
    <mergeCell ref="A60:B60"/>
    <mergeCell ref="G21:T21"/>
    <mergeCell ref="R86:S100"/>
    <mergeCell ref="G58:H59"/>
    <mergeCell ref="P44:Q44"/>
    <mergeCell ref="I58:J59"/>
    <mergeCell ref="A103:Q103"/>
    <mergeCell ref="M53:T57"/>
    <mergeCell ref="F71:G72"/>
    <mergeCell ref="A29:A35"/>
    <mergeCell ref="P6:T6"/>
    <mergeCell ref="B23:C23"/>
    <mergeCell ref="E50:F51"/>
    <mergeCell ref="A50:B52"/>
    <mergeCell ref="J71:K72"/>
    <mergeCell ref="I53:J53"/>
    <mergeCell ref="D41:E41"/>
    <mergeCell ref="E60:F60"/>
    <mergeCell ref="B8:C8"/>
    <mergeCell ref="A43:A49"/>
    <mergeCell ref="B38:C40"/>
    <mergeCell ref="B97:C98"/>
    <mergeCell ref="A71:E73"/>
    <mergeCell ref="C52:D52"/>
    <mergeCell ref="A104:T104"/>
    <mergeCell ref="K61:L61"/>
    <mergeCell ref="K39:L39"/>
    <mergeCell ref="L71:M72"/>
    <mergeCell ref="D37:T37"/>
    <mergeCell ref="B27:C28"/>
    <mergeCell ref="N34:O34"/>
    <mergeCell ref="B24:C26"/>
    <mergeCell ref="D30:T30"/>
    <mergeCell ref="B82:C83"/>
    <mergeCell ref="B36:C36"/>
    <mergeCell ref="D43:G43"/>
    <mergeCell ref="N27:O27"/>
    <mergeCell ref="K62:L62"/>
    <mergeCell ref="D29:T29"/>
    <mergeCell ref="D23:T23"/>
  </mergeCells>
  <pageMargins left="0.5905511811023623" right="0.1574803149606299" top="0.3937007874015748" bottom="0.7874015748031497" header="0.5118110236220472" footer="0.5118110236220472"/>
  <pageSetup orientation="portrait" paperSize="9" scale="93"/>
  <rowBreaks count="1" manualBreakCount="1">
    <brk id="63" min="0" max="20" man="1"/>
  </rowBreaks>
  <legacyDrawing xmlns:r="http://schemas.openxmlformats.org/officeDocument/2006/relationships" r:id="anysvml"/>
</worksheet>
</file>

<file path=xl/worksheets/sheet40.xml><?xml version="1.0" encoding="utf-8"?>
<worksheet xmlns="http://schemas.openxmlformats.org/spreadsheetml/2006/main">
  <sheetPr codeName="Sheet39">
    <outlinePr summaryBelow="1" summaryRight="1"/>
    <pageSetUpPr/>
  </sheetPr>
  <dimension ref="A1:AN97"/>
  <sheetViews>
    <sheetView showGridLines="0" view="pageBreakPreview" zoomScaleNormal="100" zoomScaleSheetLayoutView="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39"/>
    <col hidden="1" style="1667" min="40" max="40"/>
    <col width="9" customWidth="1" style="1667" min="41" max="16384"/>
  </cols>
  <sheetData>
    <row r="1" ht="17.1" customHeight="1" s="4080" thickBot="1">
      <c r="A1" s="3854" t="inlineStr">
        <is>
          <t>付表23　就労定着支援事業所の指定に係る記載事項</t>
        </is>
      </c>
      <c r="Z1" s="3855" t="inlineStr">
        <is>
          <t>（平成30年度6月以降版）</t>
        </is>
      </c>
      <c r="AA1" s="4087" t="n"/>
      <c r="AB1" s="4087" t="n"/>
      <c r="AC1" s="4087" t="n"/>
      <c r="AD1" s="4087" t="n"/>
      <c r="AE1" s="4087" t="n"/>
      <c r="AF1" s="4087" t="n"/>
      <c r="AG1" s="4087" t="n"/>
      <c r="AH1" s="4087" t="n"/>
      <c r="AM1" s="719">
        <f>HYPERLINK("#目次!A1","目次へ戻る")</f>
        <v/>
      </c>
    </row>
    <row r="2" ht="15" customHeight="1" s="4080">
      <c r="A2" s="45" t="n"/>
      <c r="B2" s="1889" t="n"/>
      <c r="G2" s="2069" t="n"/>
      <c r="H2" s="1889" t="n"/>
      <c r="N2" s="1889" t="n"/>
      <c r="P2" s="2069" t="n"/>
      <c r="Q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2506" t="inlineStr">
        <is>
          <t>事業所</t>
        </is>
      </c>
      <c r="B4" s="4356"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B5" s="4107" t="n"/>
      <c r="C5" s="4181" t="inlineStr">
        <is>
          <t>名　称</t>
        </is>
      </c>
      <c r="D5" s="4098" t="n"/>
      <c r="E5" s="4099" t="n"/>
      <c r="F5" s="4182"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B6" s="410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B7" s="4107" t="n"/>
      <c r="C7" s="4181" t="inlineStr">
        <is>
          <t>所在地</t>
        </is>
      </c>
      <c r="D7" s="4098" t="n"/>
      <c r="E7" s="4099" t="n"/>
      <c r="F7" s="1244" t="inlineStr">
        <is>
          <t>郵便番号（</t>
        </is>
      </c>
      <c r="G7" s="4098" t="n"/>
      <c r="H7" s="4098" t="n"/>
      <c r="I7" s="4098" t="n"/>
      <c r="J7" s="1287" t="n"/>
      <c r="K7" s="4098" t="n"/>
      <c r="L7" s="4098" t="n"/>
      <c r="M7" s="4098" t="n"/>
      <c r="N7" s="4098" t="n"/>
      <c r="O7" s="1329" t="inlineStr">
        <is>
          <t>）</t>
        </is>
      </c>
      <c r="P7" s="1397" t="inlineStr">
        <is>
          <t>メールアドレス</t>
        </is>
      </c>
      <c r="Q7" s="4110" t="n"/>
      <c r="R7" s="4110" t="n"/>
      <c r="S7" s="3408" t="n"/>
      <c r="T7" s="4110" t="n"/>
      <c r="U7" s="4110" t="n"/>
      <c r="V7" s="4110" t="n"/>
      <c r="W7" s="4110" t="n"/>
      <c r="X7" s="4110" t="n"/>
      <c r="Y7" s="4110" t="n"/>
      <c r="Z7" s="4110" t="n"/>
      <c r="AA7" s="4110" t="n"/>
      <c r="AB7" s="4110" t="n"/>
      <c r="AC7" s="4110" t="n"/>
      <c r="AD7" s="4110" t="n"/>
      <c r="AE7" s="4110" t="n"/>
      <c r="AF7" s="4110" t="n"/>
      <c r="AG7" s="4110" t="n"/>
      <c r="AH7" s="4113" t="n"/>
    </row>
    <row r="8" ht="14.1" customHeight="1" s="4080">
      <c r="A8" s="4097" t="n"/>
      <c r="B8" s="4107" t="n"/>
      <c r="C8" s="4106" t="n"/>
      <c r="E8" s="4107" t="n"/>
      <c r="F8" s="1255" t="inlineStr">
        <is>
          <t>大阪市</t>
        </is>
      </c>
      <c r="I8" s="1258" t="n"/>
      <c r="N8" s="1327" t="inlineStr">
        <is>
          <t>区</t>
        </is>
      </c>
      <c r="O8" s="1355" t="n"/>
      <c r="P8" s="4939" t="n"/>
      <c r="Q8" s="4098" t="n"/>
      <c r="R8" s="4098" t="n"/>
      <c r="S8" s="4098" t="n"/>
      <c r="T8" s="4098" t="n"/>
      <c r="U8" s="4098" t="n"/>
      <c r="V8" s="4098" t="n"/>
      <c r="W8" s="4098" t="n"/>
      <c r="X8" s="4098" t="n"/>
      <c r="Y8" s="4098" t="n"/>
      <c r="Z8" s="4098" t="n"/>
      <c r="AA8" s="4098" t="n"/>
      <c r="AB8" s="4098" t="n"/>
      <c r="AC8" s="4098" t="n"/>
      <c r="AD8" s="4098" t="n"/>
      <c r="AE8" s="4098" t="n"/>
      <c r="AF8" s="4098" t="n"/>
      <c r="AG8" s="4098" t="n"/>
      <c r="AH8" s="4101" t="n"/>
    </row>
    <row r="9" ht="3.95" customHeight="1" s="4080">
      <c r="A9" s="4097" t="n"/>
      <c r="B9" s="4107" t="n"/>
      <c r="C9" s="4102" t="n"/>
      <c r="D9" s="4103" t="n"/>
      <c r="E9" s="4104" t="n"/>
      <c r="F9" s="4102" t="n"/>
      <c r="G9" s="4103" t="n"/>
      <c r="H9" s="4103" t="n"/>
      <c r="I9" s="4103" t="n"/>
      <c r="J9" s="4103" t="n"/>
      <c r="K9" s="4103" t="n"/>
      <c r="L9" s="4103" t="n"/>
      <c r="M9" s="4103" t="n"/>
      <c r="N9" s="4103" t="n"/>
      <c r="O9" s="1296"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B10" s="4107" t="n"/>
      <c r="C10" s="4181" t="inlineStr">
        <is>
          <t>連絡先</t>
        </is>
      </c>
      <c r="D10" s="4110" t="n"/>
      <c r="E10" s="4111" t="n"/>
      <c r="F10" s="4274" t="inlineStr">
        <is>
          <t>電話番号</t>
        </is>
      </c>
      <c r="G10" s="4110" t="n"/>
      <c r="H10" s="4111" t="n"/>
      <c r="I10" s="882" t="n"/>
      <c r="J10" s="4110" t="n"/>
      <c r="K10" s="4110" t="n"/>
      <c r="L10" s="53" t="inlineStr">
        <is>
          <t>－</t>
        </is>
      </c>
      <c r="M10" s="920" t="n"/>
      <c r="N10" s="4110" t="n"/>
      <c r="O10" s="4110" t="n"/>
      <c r="P10" s="53" t="inlineStr">
        <is>
          <t>－</t>
        </is>
      </c>
      <c r="Q10" s="878" t="n"/>
      <c r="R10" s="4110" t="n"/>
      <c r="S10" s="4111" t="n"/>
      <c r="T10" s="4184" t="inlineStr">
        <is>
          <t>ＦＡＸ番号</t>
        </is>
      </c>
      <c r="U10" s="4110" t="n"/>
      <c r="V10" s="4110" t="n"/>
      <c r="W10" s="4111" t="n"/>
      <c r="X10" s="882" t="n"/>
      <c r="Y10" s="4110" t="n"/>
      <c r="Z10" s="4110" t="n"/>
      <c r="AA10" s="53" t="inlineStr">
        <is>
          <t>－</t>
        </is>
      </c>
      <c r="AB10" s="920" t="n"/>
      <c r="AC10" s="4110" t="n"/>
      <c r="AD10" s="4110" t="n"/>
      <c r="AE10" s="53" t="inlineStr">
        <is>
          <t>－</t>
        </is>
      </c>
      <c r="AF10" s="955" t="n"/>
      <c r="AG10" s="4110" t="n"/>
      <c r="AH10" s="4113" t="n"/>
    </row>
    <row r="11" ht="17.1" customHeight="1" s="4080">
      <c r="A11" s="4187" t="inlineStr">
        <is>
          <t>当該事業の実施について定めてある定款・寄附行為等又は条例等</t>
        </is>
      </c>
      <c r="B11" s="4110" t="n"/>
      <c r="C11" s="4110" t="n"/>
      <c r="D11" s="4110" t="n"/>
      <c r="E11" s="4110" t="n"/>
      <c r="F11" s="4110" t="n"/>
      <c r="G11" s="4110" t="n"/>
      <c r="H11" s="4110" t="n"/>
      <c r="I11" s="4110" t="n"/>
      <c r="J11" s="4110" t="n"/>
      <c r="K11" s="4110" t="n"/>
      <c r="L11" s="4110" t="n"/>
      <c r="M11" s="4110" t="n"/>
      <c r="N11" s="4110" t="n"/>
      <c r="O11" s="4110" t="n"/>
      <c r="P11" s="4110" t="n"/>
      <c r="Q11" s="4110" t="n"/>
      <c r="R11" s="4110" t="n"/>
      <c r="S11" s="4111" t="n"/>
      <c r="T11" s="54" t="inlineStr">
        <is>
          <t>第</t>
        </is>
      </c>
      <c r="U11" s="954" t="n"/>
      <c r="V11" s="4110" t="n"/>
      <c r="W11" s="1264" t="inlineStr">
        <is>
          <t>条第</t>
        </is>
      </c>
      <c r="X11" s="4110" t="n"/>
      <c r="Y11" s="954" t="n"/>
      <c r="Z11" s="4110" t="n"/>
      <c r="AA11" s="1264" t="inlineStr">
        <is>
          <t>項第</t>
        </is>
      </c>
      <c r="AB11" s="4110" t="n"/>
      <c r="AC11" s="954" t="n"/>
      <c r="AD11" s="4110" t="n"/>
      <c r="AE11" s="1264" t="inlineStr">
        <is>
          <t>号（</t>
        </is>
      </c>
      <c r="AF11" s="4110" t="n"/>
      <c r="AG11" s="954" t="n"/>
      <c r="AH11" s="2827" t="inlineStr">
        <is>
          <t>）</t>
        </is>
      </c>
    </row>
    <row r="12" ht="12" customHeight="1" s="4080">
      <c r="A12" s="4188" t="inlineStr">
        <is>
          <t>管　　理　　者</t>
        </is>
      </c>
      <c r="B12" s="4099" t="n"/>
      <c r="C12" s="4184" t="inlineStr">
        <is>
          <t>ﾌﾘｶﾞﾅ</t>
        </is>
      </c>
      <c r="D12" s="4110" t="n"/>
      <c r="E12" s="4111" t="n"/>
      <c r="F12" s="1278" t="n"/>
      <c r="G12" s="4110" t="n"/>
      <c r="H12" s="4110" t="n"/>
      <c r="I12" s="4189" t="n"/>
      <c r="J12" s="1279" t="n"/>
      <c r="K12" s="4110" t="n"/>
      <c r="L12" s="4110" t="n"/>
      <c r="M12" s="4189" t="n"/>
      <c r="N12" s="4185" t="inlineStr">
        <is>
          <t>住所</t>
        </is>
      </c>
      <c r="O12" s="4099" t="n"/>
      <c r="P12" s="1244" t="inlineStr">
        <is>
          <t>郵便番号（</t>
        </is>
      </c>
      <c r="Q12" s="4098" t="n"/>
      <c r="R12" s="4098" t="n"/>
      <c r="S12" s="4098" t="n"/>
      <c r="T12" s="1287" t="n"/>
      <c r="U12" s="4098" t="n"/>
      <c r="V12" s="4098" t="n"/>
      <c r="W12" s="4098" t="n"/>
      <c r="X12" s="4098" t="n"/>
      <c r="Y12" s="1329" t="inlineStr">
        <is>
          <t>）</t>
        </is>
      </c>
      <c r="Z12" s="1017" t="n"/>
      <c r="AA12" s="1017" t="n"/>
      <c r="AB12" s="1017" t="n"/>
      <c r="AC12" s="1017" t="n"/>
      <c r="AD12" s="1017" t="n"/>
      <c r="AE12" s="1017" t="n"/>
      <c r="AF12" s="1017" t="n"/>
      <c r="AG12" s="1017" t="n"/>
      <c r="AH12" s="1424" t="n"/>
    </row>
    <row r="13" ht="12" customHeight="1" s="4080">
      <c r="A13" s="4097" t="n"/>
      <c r="B13" s="4107" t="n"/>
      <c r="C13" s="4184" t="inlineStr">
        <is>
          <t>氏名</t>
        </is>
      </c>
      <c r="D13" s="4098" t="n"/>
      <c r="E13" s="4099" t="n"/>
      <c r="F13" s="1278" t="n"/>
      <c r="G13" s="4098" t="n"/>
      <c r="H13" s="4098" t="n"/>
      <c r="I13" s="4190" t="n"/>
      <c r="J13" s="1279" t="n"/>
      <c r="K13" s="4098" t="n"/>
      <c r="L13" s="4098" t="n"/>
      <c r="M13" s="4190" t="n"/>
      <c r="N13" s="4106" t="n"/>
      <c r="O13" s="4107" t="n"/>
      <c r="P13" s="1319" t="n"/>
      <c r="R13" s="2378" t="inlineStr">
        <is>
          <t>都</t>
        </is>
      </c>
      <c r="S13" s="2378" t="inlineStr">
        <is>
          <t>道</t>
        </is>
      </c>
      <c r="T13" s="1319" t="n"/>
      <c r="W13" s="2378" t="inlineStr">
        <is>
          <t>郡</t>
        </is>
      </c>
      <c r="X13" s="1321" t="n"/>
      <c r="AH13" s="4109" t="n"/>
    </row>
    <row r="14" ht="12" customHeight="1" s="4080">
      <c r="A14" s="4097" t="n"/>
      <c r="B14" s="4107" t="n"/>
      <c r="C14" s="4106" t="n"/>
      <c r="E14" s="4107" t="n"/>
      <c r="F14" s="4106" t="n"/>
      <c r="I14" s="4191" t="n"/>
      <c r="J14" s="4192" t="n"/>
      <c r="M14" s="4191" t="n"/>
      <c r="N14" s="4106" t="n"/>
      <c r="O14" s="4107" t="n"/>
      <c r="R14" s="2378" t="inlineStr">
        <is>
          <t>府</t>
        </is>
      </c>
      <c r="S14" s="2378" t="inlineStr">
        <is>
          <t>県</t>
        </is>
      </c>
      <c r="W14" s="2378" t="inlineStr">
        <is>
          <t>市</t>
        </is>
      </c>
      <c r="AH14" s="4109" t="n"/>
    </row>
    <row r="15" ht="3.95" customHeight="1" s="4080">
      <c r="A15" s="4097" t="n"/>
      <c r="B15" s="4107" t="n"/>
      <c r="C15" s="4102" t="n"/>
      <c r="D15" s="4103" t="n"/>
      <c r="E15" s="4104" t="n"/>
      <c r="F15" s="4102" t="n"/>
      <c r="G15" s="4103" t="n"/>
      <c r="H15" s="4103" t="n"/>
      <c r="I15" s="4193" t="n"/>
      <c r="J15" s="4194" t="n"/>
      <c r="K15" s="4103" t="n"/>
      <c r="L15" s="4103" t="n"/>
      <c r="M15" s="4193" t="n"/>
      <c r="N15" s="4102" t="n"/>
      <c r="O15" s="4104" t="n"/>
      <c r="P15" s="4103" t="n"/>
      <c r="Q15" s="4103" t="n"/>
      <c r="R15" s="1810" t="n"/>
      <c r="S15" s="1810" t="n"/>
      <c r="T15" s="4103" t="n"/>
      <c r="U15" s="4103" t="n"/>
      <c r="V15" s="4103" t="n"/>
      <c r="W15" s="1810" t="n"/>
      <c r="AH15" s="4109" t="n"/>
    </row>
    <row r="16" ht="3.95" customHeight="1" s="4080">
      <c r="A16" s="4097" t="n"/>
      <c r="B16" s="4107" t="n"/>
      <c r="C16" s="1393" t="inlineStr">
        <is>
          <t>他の職務との兼務の有無及び職種</t>
        </is>
      </c>
      <c r="D16" s="4098" t="n"/>
      <c r="E16" s="4098" t="n"/>
      <c r="F16" s="4098" t="n"/>
      <c r="G16" s="4098" t="n"/>
      <c r="H16" s="4098" t="n"/>
      <c r="I16" s="4098" t="n"/>
      <c r="J16" s="4098" t="n"/>
      <c r="K16" s="4098" t="n"/>
      <c r="L16" s="4098" t="n"/>
      <c r="M16" s="4098" t="n"/>
      <c r="N16" s="4195" t="n"/>
      <c r="O16" s="4098" t="n"/>
      <c r="P16" s="4098" t="n"/>
      <c r="Q16" s="4098" t="n"/>
      <c r="R16" s="4099" t="n"/>
      <c r="S16" s="2163" t="inlineStr">
        <is>
          <t>職　　種</t>
        </is>
      </c>
      <c r="T16" s="4098" t="n"/>
      <c r="U16" s="4099" t="n"/>
      <c r="V16" s="1322" t="n"/>
      <c r="W16" s="1335" t="inlineStr">
        <is>
          <t xml:space="preserve">　</t>
        </is>
      </c>
      <c r="X16" s="4098" t="n"/>
      <c r="Y16" s="4098" t="n"/>
      <c r="Z16" s="4098" t="n"/>
      <c r="AA16" s="4098" t="n"/>
      <c r="AB16" s="4098" t="n"/>
      <c r="AC16" s="4098" t="n"/>
      <c r="AD16" s="4098" t="n"/>
      <c r="AE16" s="4098" t="n"/>
      <c r="AF16" s="4098" t="n"/>
      <c r="AG16" s="4098" t="n"/>
      <c r="AH16" s="4101" t="n"/>
    </row>
    <row r="17" ht="12" customHeight="1" s="4080">
      <c r="A17" s="4097" t="n"/>
      <c r="B17" s="4107" t="n"/>
      <c r="C17" s="4106" t="n"/>
      <c r="N17" s="1354" t="n"/>
      <c r="O17" s="1325" t="inlineStr">
        <is>
          <t>有</t>
        </is>
      </c>
      <c r="P17" s="1325" t="inlineStr">
        <is>
          <t>・</t>
        </is>
      </c>
      <c r="Q17" s="1325" t="inlineStr">
        <is>
          <t>無</t>
        </is>
      </c>
      <c r="R17" s="1332" t="n"/>
      <c r="S17" s="4106" t="n"/>
      <c r="U17" s="4107" t="n"/>
      <c r="V17" s="4196" t="n"/>
      <c r="AH17" s="4109" t="n"/>
    </row>
    <row r="18" ht="3.95" customHeight="1" s="4080">
      <c r="A18" s="4097" t="n"/>
      <c r="B18" s="4107" t="n"/>
      <c r="C18" s="4102" t="n"/>
      <c r="D18" s="4103" t="n"/>
      <c r="E18" s="4103" t="n"/>
      <c r="F18" s="4103" t="n"/>
      <c r="G18" s="4103" t="n"/>
      <c r="H18" s="4103" t="n"/>
      <c r="I18" s="4103" t="n"/>
      <c r="J18" s="4103" t="n"/>
      <c r="K18" s="4103" t="n"/>
      <c r="L18" s="4103" t="n"/>
      <c r="M18" s="4103" t="n"/>
      <c r="N18" s="4197" t="n"/>
      <c r="O18" s="4103" t="n"/>
      <c r="P18" s="4103" t="n"/>
      <c r="Q18" s="4103" t="n"/>
      <c r="R18" s="4104" t="n"/>
      <c r="S18" s="4102" t="n"/>
      <c r="T18" s="4103" t="n"/>
      <c r="U18" s="4104" t="n"/>
      <c r="V18" s="1326" t="n"/>
      <c r="W18" s="1299" t="n"/>
      <c r="X18" s="4103" t="n"/>
      <c r="Y18" s="4103" t="n"/>
      <c r="Z18" s="4103" t="n"/>
      <c r="AA18" s="4103" t="n"/>
      <c r="AB18" s="4103" t="n"/>
      <c r="AC18" s="4103" t="n"/>
      <c r="AD18" s="4103" t="n"/>
      <c r="AE18" s="4103" t="n"/>
      <c r="AF18" s="4103" t="n"/>
      <c r="AG18" s="4103" t="n"/>
      <c r="AH18" s="4105" t="n"/>
    </row>
    <row r="19" ht="14.1" customHeight="1" s="4080">
      <c r="A19" s="4097" t="n"/>
      <c r="B19" s="4107" t="n"/>
      <c r="C19" s="4940" t="inlineStr">
        <is>
          <t>同一敷地内の他の
事業所又は施設を
兼務する場合、
当該兼務する
事業所等の名称等</t>
        </is>
      </c>
      <c r="D19" s="4098" t="n"/>
      <c r="E19" s="4098" t="n"/>
      <c r="F19" s="4098" t="n"/>
      <c r="G19" s="4098" t="n"/>
      <c r="H19" s="4098" t="n"/>
      <c r="I19" s="4098" t="n"/>
      <c r="J19" s="4099" t="n"/>
      <c r="K19" s="4941" t="inlineStr">
        <is>
          <t>名称</t>
        </is>
      </c>
      <c r="L19" s="4098" t="n"/>
      <c r="M19" s="4098" t="n"/>
      <c r="N19" s="4099" t="n"/>
      <c r="O19" s="660" t="inlineStr">
        <is>
          <t>1)</t>
        </is>
      </c>
      <c r="P19" s="3871" t="n"/>
      <c r="Q19" s="4486" t="n"/>
      <c r="R19" s="4486" t="n"/>
      <c r="S19" s="4486" t="n"/>
      <c r="T19" s="4486" t="n"/>
      <c r="U19" s="4486" t="n"/>
      <c r="V19" s="4486" t="n"/>
      <c r="W19" s="4486" t="n"/>
      <c r="X19" s="4486" t="n"/>
      <c r="Y19" s="4486" t="n"/>
      <c r="Z19" s="4486" t="n"/>
      <c r="AA19" s="4486" t="n"/>
      <c r="AB19" s="4486" t="n"/>
      <c r="AC19" s="4486" t="n"/>
      <c r="AD19" s="4486" t="n"/>
      <c r="AE19" s="4486" t="n"/>
      <c r="AF19" s="4486" t="n"/>
      <c r="AG19" s="4486" t="n"/>
      <c r="AH19" s="4877" t="n"/>
    </row>
    <row r="20" ht="14.1" customHeight="1" s="4080">
      <c r="A20" s="4097" t="n"/>
      <c r="B20" s="4107" t="n"/>
      <c r="C20" s="4106" t="n"/>
      <c r="J20" s="4107" t="n"/>
      <c r="K20" s="4942" t="n"/>
      <c r="L20" s="4317" t="n"/>
      <c r="M20" s="4317" t="n"/>
      <c r="N20" s="4318" t="n"/>
      <c r="O20" s="661" t="inlineStr">
        <is>
          <t>2)</t>
        </is>
      </c>
      <c r="P20" s="3873" t="n"/>
      <c r="Q20" s="4457" t="n"/>
      <c r="R20" s="4457" t="n"/>
      <c r="S20" s="4457" t="n"/>
      <c r="T20" s="4457" t="n"/>
      <c r="U20" s="4457" t="n"/>
      <c r="V20" s="4457" t="n"/>
      <c r="W20" s="4457" t="n"/>
      <c r="X20" s="4457" t="n"/>
      <c r="Y20" s="4457" t="n"/>
      <c r="Z20" s="4457" t="n"/>
      <c r="AA20" s="4457" t="n"/>
      <c r="AB20" s="4457" t="n"/>
      <c r="AC20" s="4457" t="n"/>
      <c r="AD20" s="4457" t="n"/>
      <c r="AE20" s="4457" t="n"/>
      <c r="AF20" s="4457" t="n"/>
      <c r="AG20" s="4457" t="n"/>
      <c r="AH20" s="4943" t="n"/>
    </row>
    <row r="21" ht="14.1" customHeight="1" s="4080">
      <c r="A21" s="4097" t="n"/>
      <c r="B21" s="4107" t="n"/>
      <c r="C21" s="4106" t="n"/>
      <c r="J21" s="4107" t="n"/>
      <c r="K21" s="4944" t="inlineStr">
        <is>
          <t>サービス種類</t>
        </is>
      </c>
      <c r="L21" s="4320" t="n"/>
      <c r="M21" s="4320" t="n"/>
      <c r="N21" s="4321" t="n"/>
      <c r="O21" s="662" t="inlineStr">
        <is>
          <t>1)</t>
        </is>
      </c>
      <c r="P21" s="3880" t="n"/>
      <c r="Q21" s="4457" t="n"/>
      <c r="R21" s="4457" t="n"/>
      <c r="S21" s="4457" t="n"/>
      <c r="T21" s="4457" t="n"/>
      <c r="U21" s="4457" t="n"/>
      <c r="V21" s="4457" t="n"/>
      <c r="W21" s="4457" t="n"/>
      <c r="X21" s="4457" t="n"/>
      <c r="Y21" s="663" t="inlineStr">
        <is>
          <t>3)</t>
        </is>
      </c>
      <c r="Z21" s="3881" t="n"/>
      <c r="AA21" s="4457" t="n"/>
      <c r="AB21" s="4457" t="n"/>
      <c r="AC21" s="4457" t="n"/>
      <c r="AD21" s="4457" t="n"/>
      <c r="AE21" s="4457" t="n"/>
      <c r="AF21" s="4457" t="n"/>
      <c r="AG21" s="4457" t="n"/>
      <c r="AH21" s="4943" t="n"/>
    </row>
    <row r="22" ht="14.1" customHeight="1" s="4080">
      <c r="A22" s="4097" t="n"/>
      <c r="B22" s="4107" t="n"/>
      <c r="C22" s="4106" t="n"/>
      <c r="J22" s="4107" t="n"/>
      <c r="K22" s="4942" t="n"/>
      <c r="L22" s="4317" t="n"/>
      <c r="M22" s="4317" t="n"/>
      <c r="N22" s="4318" t="n"/>
      <c r="O22" s="662" t="inlineStr">
        <is>
          <t>2)</t>
        </is>
      </c>
      <c r="P22" s="3880" t="n"/>
      <c r="Q22" s="4457" t="n"/>
      <c r="R22" s="4457" t="n"/>
      <c r="S22" s="4457" t="n"/>
      <c r="T22" s="4457" t="n"/>
      <c r="U22" s="4457" t="n"/>
      <c r="V22" s="4457" t="n"/>
      <c r="W22" s="4457" t="n"/>
      <c r="X22" s="4457" t="n"/>
      <c r="Y22" s="663" t="inlineStr">
        <is>
          <t>4)</t>
        </is>
      </c>
      <c r="Z22" s="3883" t="n"/>
      <c r="AA22" s="4457" t="n"/>
      <c r="AB22" s="4457" t="n"/>
      <c r="AC22" s="4457" t="n"/>
      <c r="AD22" s="4457" t="n"/>
      <c r="AE22" s="4457" t="n"/>
      <c r="AF22" s="4457" t="n"/>
      <c r="AG22" s="4457" t="n"/>
      <c r="AH22" s="4943" t="n"/>
    </row>
    <row r="23" ht="14.1" customHeight="1" s="4080">
      <c r="A23" s="4097" t="n"/>
      <c r="B23" s="4107" t="n"/>
      <c r="C23" s="4106" t="n"/>
      <c r="J23" s="4107" t="n"/>
      <c r="K23" s="4945" t="inlineStr">
        <is>
          <t>職種</t>
        </is>
      </c>
      <c r="L23" s="4320" t="n"/>
      <c r="M23" s="4320" t="n"/>
      <c r="N23" s="4321" t="n"/>
      <c r="O23" s="662" t="inlineStr">
        <is>
          <t>1)</t>
        </is>
      </c>
      <c r="P23" s="3887" t="n"/>
      <c r="Q23" s="4457" t="n"/>
      <c r="R23" s="4457" t="n"/>
      <c r="S23" s="4457" t="n"/>
      <c r="T23" s="4457" t="n"/>
      <c r="U23" s="4457" t="n"/>
      <c r="V23" s="4457" t="n"/>
      <c r="W23" s="4457" t="n"/>
      <c r="X23" s="4457" t="n"/>
      <c r="Y23" s="663" t="inlineStr">
        <is>
          <t>3)</t>
        </is>
      </c>
      <c r="Z23" s="3883" t="n"/>
      <c r="AA23" s="4457" t="n"/>
      <c r="AB23" s="4457" t="n"/>
      <c r="AC23" s="4457" t="n"/>
      <c r="AD23" s="4457" t="n"/>
      <c r="AE23" s="4457" t="n"/>
      <c r="AF23" s="4457" t="n"/>
      <c r="AG23" s="4457" t="n"/>
      <c r="AH23" s="4943" t="n"/>
    </row>
    <row r="24" ht="14.1" customHeight="1" s="4080">
      <c r="A24" s="4097" t="n"/>
      <c r="B24" s="4107" t="n"/>
      <c r="C24" s="4106" t="n"/>
      <c r="J24" s="4107" t="n"/>
      <c r="K24" s="4942" t="n"/>
      <c r="L24" s="4317" t="n"/>
      <c r="M24" s="4317" t="n"/>
      <c r="N24" s="4318" t="n"/>
      <c r="O24" s="662" t="inlineStr">
        <is>
          <t>2)</t>
        </is>
      </c>
      <c r="P24" s="3887" t="n"/>
      <c r="Q24" s="4457" t="n"/>
      <c r="R24" s="4457" t="n"/>
      <c r="S24" s="4457" t="n"/>
      <c r="T24" s="4457" t="n"/>
      <c r="U24" s="4457" t="n"/>
      <c r="V24" s="4457" t="n"/>
      <c r="W24" s="4457" t="n"/>
      <c r="X24" s="4457" t="n"/>
      <c r="Y24" s="663" t="inlineStr">
        <is>
          <t>4)</t>
        </is>
      </c>
      <c r="Z24" s="3883" t="n"/>
      <c r="AA24" s="4457" t="n"/>
      <c r="AB24" s="4457" t="n"/>
      <c r="AC24" s="4457" t="n"/>
      <c r="AD24" s="4457" t="n"/>
      <c r="AE24" s="4457" t="n"/>
      <c r="AF24" s="4457" t="n"/>
      <c r="AG24" s="4457" t="n"/>
      <c r="AH24" s="4943" t="n"/>
    </row>
    <row r="25" ht="14.1" customHeight="1" s="4080">
      <c r="A25" s="4097" t="n"/>
      <c r="B25" s="4107" t="n"/>
      <c r="C25" s="4102" t="n"/>
      <c r="D25" s="4103" t="n"/>
      <c r="E25" s="4103" t="n"/>
      <c r="F25" s="4103" t="n"/>
      <c r="G25" s="4103" t="n"/>
      <c r="H25" s="4103" t="n"/>
      <c r="I25" s="4103" t="n"/>
      <c r="J25" s="4104" t="n"/>
      <c r="K25" s="4946" t="inlineStr">
        <is>
          <t>勤務時間</t>
        </is>
      </c>
      <c r="L25" s="4459" t="n"/>
      <c r="M25" s="4459" t="n"/>
      <c r="N25" s="4461" t="n"/>
      <c r="O25" s="3891" t="n"/>
      <c r="P25" s="4459" t="n"/>
      <c r="Q25" s="3896" t="inlineStr">
        <is>
          <t>：</t>
        </is>
      </c>
      <c r="R25" s="3893" t="n"/>
      <c r="S25" s="4459" t="n"/>
      <c r="T25" s="3896" t="inlineStr">
        <is>
          <t>～</t>
        </is>
      </c>
      <c r="U25" s="3892" t="n"/>
      <c r="V25" s="4459" t="n"/>
      <c r="W25" s="3896" t="inlineStr">
        <is>
          <t>：</t>
        </is>
      </c>
      <c r="X25" s="3893" t="n"/>
      <c r="Y25" s="4459" t="n"/>
      <c r="Z25" s="3894" t="inlineStr">
        <is>
          <t>（実働</t>
        </is>
      </c>
      <c r="AA25" s="4459" t="n"/>
      <c r="AB25" s="3895" t="n"/>
      <c r="AC25" s="3894" t="inlineStr">
        <is>
          <t>時間</t>
        </is>
      </c>
      <c r="AD25" s="4459" t="n"/>
      <c r="AE25" s="3895" t="n"/>
      <c r="AF25" s="4459" t="n"/>
      <c r="AG25" s="3897" t="inlineStr">
        <is>
          <t>分）</t>
        </is>
      </c>
      <c r="AH25" s="4462" t="n"/>
    </row>
    <row r="26" ht="12" customHeight="1" s="4080">
      <c r="A26" s="1766" t="inlineStr">
        <is>
          <t>サ ー ビ ス 管 理 責 任 者</t>
        </is>
      </c>
      <c r="B26" s="1768" t="inlineStr">
        <is>
          <t>１</t>
        </is>
      </c>
      <c r="C26" s="4184" t="inlineStr">
        <is>
          <t>ﾌﾘｶﾞﾅ</t>
        </is>
      </c>
      <c r="D26" s="4110" t="n"/>
      <c r="E26" s="4111" t="n"/>
      <c r="F26" s="4203" t="n"/>
      <c r="G26" s="4110" t="n"/>
      <c r="H26" s="4110" t="n"/>
      <c r="I26" s="4204" t="n"/>
      <c r="J26" s="4205" t="n"/>
      <c r="K26" s="4110" t="n"/>
      <c r="L26" s="4110" t="n"/>
      <c r="M26" s="4111" t="n"/>
      <c r="N26" s="2164" t="inlineStr">
        <is>
          <t>住所</t>
        </is>
      </c>
      <c r="O26" s="4099" t="n"/>
      <c r="P26" s="1244" t="inlineStr">
        <is>
          <t>郵便番号（</t>
        </is>
      </c>
      <c r="Q26" s="4098" t="n"/>
      <c r="R26" s="4098" t="n"/>
      <c r="S26" s="4098" t="n"/>
      <c r="T26" s="1287" t="n"/>
      <c r="U26" s="4098" t="n"/>
      <c r="V26" s="4098" t="n"/>
      <c r="W26" s="4098" t="n"/>
      <c r="X26" s="4098" t="n"/>
      <c r="Y26" s="1329" t="inlineStr">
        <is>
          <t>）</t>
        </is>
      </c>
      <c r="Z26" s="1017" t="n"/>
      <c r="AA26" s="1017" t="n"/>
      <c r="AB26" s="1017" t="n"/>
      <c r="AC26" s="1017" t="n"/>
      <c r="AD26" s="1017" t="n"/>
      <c r="AE26" s="120" t="n"/>
      <c r="AF26" s="119" t="n"/>
      <c r="AG26" s="119" t="n"/>
      <c r="AH26" s="118" t="n"/>
    </row>
    <row r="27" ht="12" customHeight="1" s="4080">
      <c r="A27" s="4208" t="n"/>
      <c r="B27" s="4107" t="n"/>
      <c r="C27" s="4209" t="inlineStr">
        <is>
          <t>氏　　名</t>
        </is>
      </c>
      <c r="D27" s="4098" t="n"/>
      <c r="E27" s="4099" t="n"/>
      <c r="F27" s="4203" t="n"/>
      <c r="G27" s="4098" t="n"/>
      <c r="H27" s="4098" t="n"/>
      <c r="I27" s="4210" t="n"/>
      <c r="J27" s="4205" t="n"/>
      <c r="K27" s="4098" t="n"/>
      <c r="L27" s="4098" t="n"/>
      <c r="M27" s="4099" t="n"/>
      <c r="N27" s="4106" t="n"/>
      <c r="O27" s="4107" t="n"/>
      <c r="P27" s="1318" t="n"/>
      <c r="R27" s="2378" t="inlineStr">
        <is>
          <t>都</t>
        </is>
      </c>
      <c r="S27" s="2378" t="inlineStr">
        <is>
          <t>道</t>
        </is>
      </c>
      <c r="T27" s="1389" t="n"/>
      <c r="W27" s="2378" t="inlineStr">
        <is>
          <t>郡</t>
        </is>
      </c>
      <c r="X27" s="1686" t="n"/>
      <c r="AH27" s="4109" t="n"/>
    </row>
    <row r="28" ht="12" customHeight="1" s="4080">
      <c r="A28" s="4208" t="n"/>
      <c r="B28" s="4107" t="n"/>
      <c r="C28" s="4106" t="n"/>
      <c r="E28" s="4107" t="n"/>
      <c r="F28" s="4106" t="n"/>
      <c r="I28" s="4212" t="n"/>
      <c r="J28" s="4213" t="n"/>
      <c r="M28" s="4107" t="n"/>
      <c r="N28" s="4106" t="n"/>
      <c r="O28" s="4107" t="n"/>
      <c r="P28" s="4106" t="n"/>
      <c r="R28" s="2378" t="inlineStr">
        <is>
          <t>府</t>
        </is>
      </c>
      <c r="S28" s="2378" t="inlineStr">
        <is>
          <t>県</t>
        </is>
      </c>
      <c r="W28" s="2378" t="inlineStr">
        <is>
          <t>市</t>
        </is>
      </c>
      <c r="AH28" s="4109" t="n"/>
    </row>
    <row r="29" ht="3" customHeight="1" s="4080">
      <c r="A29" s="4208" t="n"/>
      <c r="B29" s="4107" t="n"/>
      <c r="C29" s="4102" t="n"/>
      <c r="D29" s="4103" t="n"/>
      <c r="E29" s="4104" t="n"/>
      <c r="F29" s="4102" t="n"/>
      <c r="G29" s="4103" t="n"/>
      <c r="H29" s="4103" t="n"/>
      <c r="I29" s="4215" t="n"/>
      <c r="J29" s="4216" t="n"/>
      <c r="K29" s="4103" t="n"/>
      <c r="L29" s="4103" t="n"/>
      <c r="M29" s="4104" t="n"/>
      <c r="N29" s="4102" t="n"/>
      <c r="O29" s="4104" t="n"/>
      <c r="P29" s="4102" t="n"/>
      <c r="Q29" s="4103" t="n"/>
      <c r="R29" s="2378" t="n"/>
      <c r="S29" s="2378" t="n"/>
      <c r="T29" s="4103" t="n"/>
      <c r="U29" s="4103" t="n"/>
      <c r="V29" s="4103" t="n"/>
      <c r="W29" s="63" t="n"/>
      <c r="X29" s="4103" t="n"/>
      <c r="Y29" s="4103" t="n"/>
      <c r="Z29" s="4103" t="n"/>
      <c r="AA29" s="4103" t="n"/>
      <c r="AB29" s="4103" t="n"/>
      <c r="AC29" s="4103" t="n"/>
      <c r="AD29" s="4103" t="n"/>
      <c r="AE29" s="4103" t="n"/>
      <c r="AF29" s="4103" t="n"/>
      <c r="AG29" s="4103" t="n"/>
      <c r="AH29" s="4105" t="n"/>
    </row>
    <row r="30" ht="3.95" customHeight="1" s="4080">
      <c r="A30" s="4208" t="n"/>
      <c r="B30" s="4107" t="n"/>
      <c r="C30" s="1393" t="inlineStr">
        <is>
          <t>他の職務との兼務の有無及び職種</t>
        </is>
      </c>
      <c r="D30" s="4098" t="n"/>
      <c r="E30" s="4098" t="n"/>
      <c r="F30" s="4098" t="n"/>
      <c r="G30" s="4098" t="n"/>
      <c r="H30" s="4098" t="n"/>
      <c r="I30" s="4098" t="n"/>
      <c r="J30" s="4098" t="n"/>
      <c r="K30" s="4098" t="n"/>
      <c r="L30" s="4098" t="n"/>
      <c r="M30" s="4098" t="n"/>
      <c r="N30" s="4195" t="n"/>
      <c r="O30" s="4098" t="n"/>
      <c r="P30" s="4098" t="n"/>
      <c r="Q30" s="4098" t="n"/>
      <c r="R30" s="4099" t="n"/>
      <c r="S30" s="2163" t="inlineStr">
        <is>
          <t>職　　種</t>
        </is>
      </c>
      <c r="T30" s="4098" t="n"/>
      <c r="U30" s="4099" t="n"/>
      <c r="V30" s="1322" t="n"/>
      <c r="W30" s="1335" t="inlineStr">
        <is>
          <t xml:space="preserve">　</t>
        </is>
      </c>
      <c r="X30" s="4098" t="n"/>
      <c r="Y30" s="4098" t="n"/>
      <c r="Z30" s="4098" t="n"/>
      <c r="AA30" s="4098" t="n"/>
      <c r="AB30" s="4098" t="n"/>
      <c r="AC30" s="4098" t="n"/>
      <c r="AD30" s="4098" t="n"/>
      <c r="AE30" s="4098" t="n"/>
      <c r="AF30" s="4098" t="n"/>
      <c r="AG30" s="4098" t="n"/>
      <c r="AH30" s="4101" t="n"/>
    </row>
    <row r="31" ht="12" customHeight="1" s="4080">
      <c r="A31" s="4208" t="n"/>
      <c r="B31" s="4107" t="n"/>
      <c r="C31" s="4106" t="n"/>
      <c r="N31" s="1354" t="n"/>
      <c r="O31" s="1325" t="inlineStr">
        <is>
          <t>有</t>
        </is>
      </c>
      <c r="P31" s="1325" t="inlineStr">
        <is>
          <t>・</t>
        </is>
      </c>
      <c r="Q31" s="1325" t="inlineStr">
        <is>
          <t>無</t>
        </is>
      </c>
      <c r="R31" s="1332" t="n"/>
      <c r="S31" s="4106" t="n"/>
      <c r="U31" s="4107" t="n"/>
      <c r="V31" s="4196" t="n"/>
      <c r="AH31" s="4109" t="n"/>
    </row>
    <row r="32" ht="3.95" customHeight="1" s="4080">
      <c r="A32" s="4208" t="n"/>
      <c r="B32" s="4107" t="n"/>
      <c r="C32" s="4102" t="n"/>
      <c r="D32" s="4103" t="n"/>
      <c r="E32" s="4103" t="n"/>
      <c r="F32" s="4103" t="n"/>
      <c r="G32" s="4103" t="n"/>
      <c r="H32" s="4103" t="n"/>
      <c r="I32" s="4103" t="n"/>
      <c r="J32" s="4103" t="n"/>
      <c r="K32" s="4103" t="n"/>
      <c r="L32" s="4103" t="n"/>
      <c r="M32" s="4103" t="n"/>
      <c r="N32" s="4197" t="n"/>
      <c r="O32" s="4103" t="n"/>
      <c r="P32" s="4103" t="n"/>
      <c r="Q32" s="4103" t="n"/>
      <c r="R32" s="4104" t="n"/>
      <c r="S32" s="4102" t="n"/>
      <c r="T32" s="4103" t="n"/>
      <c r="U32" s="4104" t="n"/>
      <c r="V32" s="1326" t="n"/>
      <c r="W32" s="1299" t="n"/>
      <c r="X32" s="4103" t="n"/>
      <c r="Y32" s="4103" t="n"/>
      <c r="Z32" s="4103" t="n"/>
      <c r="AA32" s="4103" t="n"/>
      <c r="AB32" s="4103" t="n"/>
      <c r="AC32" s="4103" t="n"/>
      <c r="AD32" s="4103" t="n"/>
      <c r="AE32" s="4103" t="n"/>
      <c r="AF32" s="4103" t="n"/>
      <c r="AG32" s="4103" t="n"/>
      <c r="AH32" s="4105" t="n"/>
    </row>
    <row r="33" ht="3.95" customHeight="1" s="4080">
      <c r="A33" s="4208" t="n"/>
      <c r="B33" s="4107" t="n"/>
      <c r="C33" s="1826" t="inlineStr">
        <is>
          <t>資格要件</t>
        </is>
      </c>
      <c r="D33" s="4098" t="n"/>
      <c r="E33" s="4098" t="n"/>
      <c r="F33" s="1322" t="n"/>
      <c r="G33" s="1323" t="n"/>
      <c r="H33" s="1414" t="n"/>
      <c r="I33" s="2056" t="n"/>
      <c r="J33" s="2056" t="n"/>
      <c r="K33" s="2056" t="n"/>
      <c r="L33" s="2056" t="n"/>
      <c r="M33" s="2056" t="n"/>
      <c r="N33" s="2056" t="n"/>
      <c r="O33" s="2056" t="n"/>
      <c r="P33" s="1402" t="n"/>
      <c r="Q33" s="1402" t="n"/>
      <c r="R33" s="1402" t="n"/>
      <c r="S33" s="4313" t="inlineStr">
        <is>
          <t>研修の
受講状況</t>
        </is>
      </c>
      <c r="T33" s="4098" t="n"/>
      <c r="U33" s="4099" t="n"/>
      <c r="V33" s="1322" t="n"/>
      <c r="W33" s="1323" t="n"/>
      <c r="X33" s="1323" t="n"/>
      <c r="Y33" s="1323" t="n"/>
      <c r="Z33" s="1323" t="n"/>
      <c r="AA33" s="1331" t="n"/>
      <c r="AB33" s="2056" t="n"/>
      <c r="AC33" s="2056" t="n"/>
      <c r="AD33" s="2056" t="n"/>
      <c r="AE33" s="2056" t="n"/>
      <c r="AF33" s="2056" t="n"/>
      <c r="AG33" s="2056" t="n"/>
      <c r="AH33" s="127" t="n"/>
    </row>
    <row r="34" ht="12" customHeight="1" s="4080">
      <c r="A34" s="4208" t="n"/>
      <c r="B34" s="4107" t="n"/>
      <c r="C34" s="4106" t="n"/>
      <c r="F34" s="4314" t="inlineStr">
        <is>
          <t>実務経験</t>
        </is>
      </c>
      <c r="H34" s="4107" t="n"/>
      <c r="I34" s="1790" t="n"/>
      <c r="S34" s="4106" t="n"/>
      <c r="U34" s="4107" t="n"/>
      <c r="V34" s="4315" t="inlineStr">
        <is>
          <t>相談支援従事者研修</t>
        </is>
      </c>
      <c r="AA34" s="4107" t="n"/>
      <c r="AB34" s="128" t="n"/>
      <c r="AC34" s="1783" t="inlineStr">
        <is>
          <t>受講済</t>
        </is>
      </c>
      <c r="AE34" s="2379" t="inlineStr">
        <is>
          <t>・</t>
        </is>
      </c>
      <c r="AF34" s="1770" t="inlineStr">
        <is>
          <t>未受講</t>
        </is>
      </c>
      <c r="AH34" s="666" t="n"/>
    </row>
    <row r="35" ht="3.95" customHeight="1" s="4080">
      <c r="A35" s="4208" t="n"/>
      <c r="B35" s="4107" t="n"/>
      <c r="C35" s="4106" t="n"/>
      <c r="F35" s="131" t="n"/>
      <c r="G35" s="132" t="n"/>
      <c r="H35" s="133" t="n"/>
      <c r="I35" s="134" t="n"/>
      <c r="J35" s="134" t="n"/>
      <c r="K35" s="134" t="n"/>
      <c r="L35" s="134" t="n"/>
      <c r="M35" s="134" t="n"/>
      <c r="N35" s="134" t="n"/>
      <c r="O35" s="135" t="n"/>
      <c r="P35" s="136" t="n"/>
      <c r="Q35" s="136" t="n"/>
      <c r="R35" s="137" t="n"/>
      <c r="S35" s="4106" t="n"/>
      <c r="U35" s="4107" t="n"/>
      <c r="V35" s="4316" t="n"/>
      <c r="W35" s="4317" t="n"/>
      <c r="X35" s="4317" t="n"/>
      <c r="Y35" s="4317" t="n"/>
      <c r="Z35" s="4317" t="n"/>
      <c r="AA35" s="4318" t="n"/>
      <c r="AB35" s="138" t="n"/>
      <c r="AC35" s="138" t="n"/>
      <c r="AD35" s="138" t="n"/>
      <c r="AE35" s="138" t="n"/>
      <c r="AF35" s="138" t="n"/>
      <c r="AG35" s="138" t="n"/>
      <c r="AH35" s="156" t="n"/>
    </row>
    <row r="36" ht="3.95" customHeight="1" s="4080">
      <c r="A36" s="4208" t="n"/>
      <c r="B36" s="4107" t="n"/>
      <c r="C36" s="4106" t="n"/>
      <c r="F36" s="140" t="n"/>
      <c r="G36" s="141" t="n"/>
      <c r="H36" s="142" t="n"/>
      <c r="I36" s="143" t="n"/>
      <c r="J36" s="143" t="n"/>
      <c r="K36" s="144" t="n"/>
      <c r="L36" s="141" t="n"/>
      <c r="M36" s="141" t="n"/>
      <c r="N36" s="141" t="n"/>
      <c r="O36" s="141" t="n"/>
      <c r="P36" s="145" t="n"/>
      <c r="Q36" s="145" t="n"/>
      <c r="R36" s="146" t="n"/>
      <c r="S36" s="4106" t="n"/>
      <c r="U36" s="4107" t="n"/>
      <c r="V36" s="4319" t="n"/>
      <c r="W36" s="4320" t="n"/>
      <c r="X36" s="4320" t="n"/>
      <c r="Y36" s="4320" t="n"/>
      <c r="Z36" s="4320" t="n"/>
      <c r="AA36" s="4321" t="n"/>
      <c r="AB36" s="141" t="n"/>
      <c r="AC36" s="141" t="n"/>
      <c r="AD36" s="141" t="n"/>
      <c r="AE36" s="141" t="n"/>
      <c r="AF36" s="141" t="n"/>
      <c r="AG36" s="141" t="n"/>
      <c r="AH36" s="667" t="n"/>
    </row>
    <row r="37" ht="12" customHeight="1" s="4080">
      <c r="A37" s="4208" t="n"/>
      <c r="B37" s="4107" t="n"/>
      <c r="C37" s="4106" t="n"/>
      <c r="F37" s="4314" t="inlineStr">
        <is>
          <t>資格種類</t>
        </is>
      </c>
      <c r="H37" s="4107" t="n"/>
      <c r="I37" s="935" t="inlineStr">
        <is>
          <t xml:space="preserve">　</t>
        </is>
      </c>
      <c r="S37" s="4106" t="n"/>
      <c r="U37" s="4107" t="n"/>
      <c r="V37" s="4322" t="inlineStr">
        <is>
          <t>サービス管理責任者研修</t>
        </is>
      </c>
      <c r="AA37" s="4107" t="n"/>
      <c r="AB37" s="1355" t="n"/>
      <c r="AC37" s="1783" t="inlineStr">
        <is>
          <t>受講済</t>
        </is>
      </c>
      <c r="AE37" s="2379" t="inlineStr">
        <is>
          <t>・</t>
        </is>
      </c>
      <c r="AF37" s="1770" t="inlineStr">
        <is>
          <t>未受講</t>
        </is>
      </c>
      <c r="AH37" s="1321" t="n"/>
    </row>
    <row r="38" ht="3.95" customHeight="1" s="4080">
      <c r="A38" s="4208" t="n"/>
      <c r="B38" s="4107" t="n"/>
      <c r="C38" s="4102" t="n"/>
      <c r="D38" s="4103" t="n"/>
      <c r="E38" s="4103" t="n"/>
      <c r="F38" s="1326" t="n"/>
      <c r="G38" s="1327" t="n"/>
      <c r="H38" s="1333" t="n"/>
      <c r="I38" s="134" t="n"/>
      <c r="J38" s="134" t="n"/>
      <c r="K38" s="134" t="n"/>
      <c r="L38" s="134" t="n"/>
      <c r="M38" s="134" t="n"/>
      <c r="N38" s="134" t="n"/>
      <c r="O38" s="2059" t="n"/>
      <c r="P38" s="1413" t="n"/>
      <c r="Q38" s="1413" t="n"/>
      <c r="R38" s="1413" t="n"/>
      <c r="S38" s="4102" t="n"/>
      <c r="T38" s="4103" t="n"/>
      <c r="U38" s="4104" t="n"/>
      <c r="V38" s="1412" t="n"/>
      <c r="W38" s="154" t="n"/>
      <c r="X38" s="154" t="n"/>
      <c r="Y38" s="138" t="n"/>
      <c r="Z38" s="138" t="n"/>
      <c r="AA38" s="155" t="n"/>
      <c r="AB38" s="134" t="n"/>
      <c r="AC38" s="134" t="n"/>
      <c r="AD38" s="134" t="n"/>
      <c r="AE38" s="134" t="n"/>
      <c r="AF38" s="134" t="n"/>
      <c r="AG38" s="134" t="n"/>
      <c r="AH38" s="156" t="n"/>
    </row>
    <row r="39" ht="12" customHeight="1" s="4080">
      <c r="A39" s="4208" t="n"/>
      <c r="B39" s="1768" t="inlineStr">
        <is>
          <t>２</t>
        </is>
      </c>
      <c r="C39" s="4184" t="inlineStr">
        <is>
          <t>ﾌﾘｶﾞﾅ</t>
        </is>
      </c>
      <c r="D39" s="4110" t="n"/>
      <c r="E39" s="4111" t="n"/>
      <c r="F39" s="4203" t="n"/>
      <c r="G39" s="4110" t="n"/>
      <c r="H39" s="4110" t="n"/>
      <c r="I39" s="4204" t="n"/>
      <c r="J39" s="4205" t="n"/>
      <c r="K39" s="4110" t="n"/>
      <c r="L39" s="4110" t="n"/>
      <c r="M39" s="4111" t="n"/>
      <c r="N39" s="2164" t="inlineStr">
        <is>
          <t>住所</t>
        </is>
      </c>
      <c r="O39" s="4099" t="n"/>
      <c r="P39" s="1244" t="inlineStr">
        <is>
          <t>郵便番号（</t>
        </is>
      </c>
      <c r="Q39" s="4098" t="n"/>
      <c r="R39" s="4098" t="n"/>
      <c r="S39" s="4098" t="n"/>
      <c r="T39" s="1287" t="n"/>
      <c r="U39" s="4098" t="n"/>
      <c r="V39" s="4098" t="n"/>
      <c r="W39" s="4098" t="n"/>
      <c r="X39" s="4098" t="n"/>
      <c r="Y39" s="1329" t="inlineStr">
        <is>
          <t>）</t>
        </is>
      </c>
      <c r="Z39" s="1017" t="n"/>
      <c r="AA39" s="1017" t="n"/>
      <c r="AB39" s="1017" t="n"/>
      <c r="AC39" s="1017" t="n"/>
      <c r="AD39" s="1017" t="n"/>
      <c r="AE39" s="120" t="n"/>
      <c r="AF39" s="119" t="n"/>
      <c r="AG39" s="119" t="n"/>
      <c r="AH39" s="118" t="n"/>
    </row>
    <row r="40" ht="12" customHeight="1" s="4080">
      <c r="A40" s="4208" t="n"/>
      <c r="B40" s="4107" t="n"/>
      <c r="C40" s="4209" t="inlineStr">
        <is>
          <t>氏　　名</t>
        </is>
      </c>
      <c r="D40" s="4098" t="n"/>
      <c r="E40" s="4099" t="n"/>
      <c r="F40" s="4203" t="n"/>
      <c r="G40" s="4098" t="n"/>
      <c r="H40" s="4098" t="n"/>
      <c r="I40" s="4210" t="n"/>
      <c r="J40" s="4205" t="n"/>
      <c r="K40" s="4098" t="n"/>
      <c r="L40" s="4098" t="n"/>
      <c r="M40" s="4099" t="n"/>
      <c r="N40" s="4106" t="n"/>
      <c r="O40" s="4107" t="n"/>
      <c r="P40" s="1318" t="n"/>
      <c r="R40" s="2378" t="inlineStr">
        <is>
          <t>都</t>
        </is>
      </c>
      <c r="S40" s="2378" t="inlineStr">
        <is>
          <t>道</t>
        </is>
      </c>
      <c r="T40" s="1389" t="n"/>
      <c r="W40" s="2378" t="inlineStr">
        <is>
          <t>郡</t>
        </is>
      </c>
      <c r="X40" s="1686" t="n"/>
      <c r="AH40" s="4109" t="n"/>
    </row>
    <row r="41" ht="12" customHeight="1" s="4080">
      <c r="A41" s="4208" t="n"/>
      <c r="B41" s="4107" t="n"/>
      <c r="C41" s="4106" t="n"/>
      <c r="E41" s="4107" t="n"/>
      <c r="F41" s="4106" t="n"/>
      <c r="I41" s="4212" t="n"/>
      <c r="J41" s="4213" t="n"/>
      <c r="M41" s="4107" t="n"/>
      <c r="N41" s="4106" t="n"/>
      <c r="O41" s="4107" t="n"/>
      <c r="P41" s="4106" t="n"/>
      <c r="R41" s="2378" t="inlineStr">
        <is>
          <t>府</t>
        </is>
      </c>
      <c r="S41" s="2378" t="inlineStr">
        <is>
          <t>県</t>
        </is>
      </c>
      <c r="W41" s="2378" t="inlineStr">
        <is>
          <t>市</t>
        </is>
      </c>
      <c r="AH41" s="4109" t="n"/>
    </row>
    <row r="42" ht="3" customHeight="1" s="4080">
      <c r="A42" s="4208" t="n"/>
      <c r="B42" s="4107" t="n"/>
      <c r="C42" s="4102" t="n"/>
      <c r="D42" s="4103" t="n"/>
      <c r="E42" s="4104" t="n"/>
      <c r="F42" s="4102" t="n"/>
      <c r="G42" s="4103" t="n"/>
      <c r="H42" s="4103" t="n"/>
      <c r="I42" s="4215" t="n"/>
      <c r="J42" s="4216" t="n"/>
      <c r="K42" s="4103" t="n"/>
      <c r="L42" s="4103" t="n"/>
      <c r="M42" s="4104" t="n"/>
      <c r="N42" s="4102" t="n"/>
      <c r="O42" s="4104" t="n"/>
      <c r="P42" s="4102" t="n"/>
      <c r="Q42" s="4103" t="n"/>
      <c r="R42" s="2378" t="n"/>
      <c r="S42" s="2378" t="n"/>
      <c r="T42" s="4103" t="n"/>
      <c r="U42" s="4103" t="n"/>
      <c r="V42" s="4103" t="n"/>
      <c r="W42" s="63" t="n"/>
      <c r="X42" s="4103" t="n"/>
      <c r="Y42" s="4103" t="n"/>
      <c r="Z42" s="4103" t="n"/>
      <c r="AA42" s="4103" t="n"/>
      <c r="AB42" s="4103" t="n"/>
      <c r="AC42" s="4103" t="n"/>
      <c r="AD42" s="4103" t="n"/>
      <c r="AE42" s="4103" t="n"/>
      <c r="AF42" s="4103" t="n"/>
      <c r="AG42" s="4103" t="n"/>
      <c r="AH42" s="4105" t="n"/>
    </row>
    <row r="43" ht="3.95" customHeight="1" s="4080">
      <c r="A43" s="4208" t="n"/>
      <c r="B43" s="4107" t="n"/>
      <c r="C43" s="1393" t="inlineStr">
        <is>
          <t>他の職務との兼務の有無及び職種</t>
        </is>
      </c>
      <c r="D43" s="4098" t="n"/>
      <c r="E43" s="4098" t="n"/>
      <c r="F43" s="4098" t="n"/>
      <c r="G43" s="4098" t="n"/>
      <c r="H43" s="4098" t="n"/>
      <c r="I43" s="4098" t="n"/>
      <c r="J43" s="4098" t="n"/>
      <c r="K43" s="4098" t="n"/>
      <c r="L43" s="4098" t="n"/>
      <c r="M43" s="4098" t="n"/>
      <c r="N43" s="4195" t="n"/>
      <c r="O43" s="4098" t="n"/>
      <c r="P43" s="4098" t="n"/>
      <c r="Q43" s="4098" t="n"/>
      <c r="R43" s="4099" t="n"/>
      <c r="S43" s="2163" t="inlineStr">
        <is>
          <t>職　　種</t>
        </is>
      </c>
      <c r="T43" s="4098" t="n"/>
      <c r="U43" s="4099" t="n"/>
      <c r="V43" s="1322" t="n"/>
      <c r="W43" s="1335" t="inlineStr">
        <is>
          <t xml:space="preserve">　</t>
        </is>
      </c>
      <c r="X43" s="4098" t="n"/>
      <c r="Y43" s="4098" t="n"/>
      <c r="Z43" s="4098" t="n"/>
      <c r="AA43" s="4098" t="n"/>
      <c r="AB43" s="4098" t="n"/>
      <c r="AC43" s="4098" t="n"/>
      <c r="AD43" s="4098" t="n"/>
      <c r="AE43" s="4098" t="n"/>
      <c r="AF43" s="4098" t="n"/>
      <c r="AG43" s="4098" t="n"/>
      <c r="AH43" s="4101" t="n"/>
    </row>
    <row r="44" ht="12" customHeight="1" s="4080">
      <c r="A44" s="4208" t="n"/>
      <c r="B44" s="4107" t="n"/>
      <c r="C44" s="4106" t="n"/>
      <c r="N44" s="1354" t="n"/>
      <c r="O44" s="1325" t="inlineStr">
        <is>
          <t>有</t>
        </is>
      </c>
      <c r="P44" s="1325" t="inlineStr">
        <is>
          <t>・</t>
        </is>
      </c>
      <c r="Q44" s="1325" t="inlineStr">
        <is>
          <t>無</t>
        </is>
      </c>
      <c r="R44" s="1332" t="n"/>
      <c r="S44" s="4106" t="n"/>
      <c r="U44" s="4107" t="n"/>
      <c r="V44" s="4196" t="n"/>
      <c r="AH44" s="4109" t="n"/>
    </row>
    <row r="45" ht="3.95" customHeight="1" s="4080">
      <c r="A45" s="4208" t="n"/>
      <c r="B45" s="4107" t="n"/>
      <c r="C45" s="4102" t="n"/>
      <c r="D45" s="4103" t="n"/>
      <c r="E45" s="4103" t="n"/>
      <c r="F45" s="4103" t="n"/>
      <c r="G45" s="4103" t="n"/>
      <c r="H45" s="4103" t="n"/>
      <c r="I45" s="4103" t="n"/>
      <c r="J45" s="4103" t="n"/>
      <c r="K45" s="4103" t="n"/>
      <c r="L45" s="4103" t="n"/>
      <c r="M45" s="4103" t="n"/>
      <c r="N45" s="4197" t="n"/>
      <c r="O45" s="4103" t="n"/>
      <c r="P45" s="4103" t="n"/>
      <c r="Q45" s="4103" t="n"/>
      <c r="R45" s="4104" t="n"/>
      <c r="S45" s="4102" t="n"/>
      <c r="T45" s="4103" t="n"/>
      <c r="U45" s="4104" t="n"/>
      <c r="V45" s="1326" t="n"/>
      <c r="W45" s="1299" t="n"/>
      <c r="X45" s="4103" t="n"/>
      <c r="Y45" s="4103" t="n"/>
      <c r="Z45" s="4103" t="n"/>
      <c r="AA45" s="4103" t="n"/>
      <c r="AB45" s="4103" t="n"/>
      <c r="AC45" s="4103" t="n"/>
      <c r="AD45" s="4103" t="n"/>
      <c r="AE45" s="4103" t="n"/>
      <c r="AF45" s="4103" t="n"/>
      <c r="AG45" s="4103" t="n"/>
      <c r="AH45" s="4105" t="n"/>
    </row>
    <row r="46" ht="3.95" customHeight="1" s="4080">
      <c r="A46" s="4208" t="n"/>
      <c r="B46" s="4107" t="n"/>
      <c r="C46" s="1826" t="inlineStr">
        <is>
          <t>資格要件</t>
        </is>
      </c>
      <c r="D46" s="4098" t="n"/>
      <c r="E46" s="4098" t="n"/>
      <c r="F46" s="1322" t="n"/>
      <c r="G46" s="1323" t="n"/>
      <c r="H46" s="1414" t="n"/>
      <c r="I46" s="2056" t="n"/>
      <c r="J46" s="2056" t="n"/>
      <c r="K46" s="2056" t="n"/>
      <c r="L46" s="2056" t="n"/>
      <c r="M46" s="2056" t="n"/>
      <c r="N46" s="2056" t="n"/>
      <c r="O46" s="2056" t="n"/>
      <c r="P46" s="1402" t="n"/>
      <c r="Q46" s="1402" t="n"/>
      <c r="R46" s="1402" t="n"/>
      <c r="S46" s="4313" t="inlineStr">
        <is>
          <t>研修の
受講状況</t>
        </is>
      </c>
      <c r="T46" s="4098" t="n"/>
      <c r="U46" s="4099" t="n"/>
      <c r="V46" s="1370" t="n"/>
      <c r="W46" s="2056" t="n"/>
      <c r="X46" s="2056" t="n"/>
      <c r="Y46" s="2056" t="n"/>
      <c r="Z46" s="2056" t="n"/>
      <c r="AA46" s="1371" t="n"/>
      <c r="AB46" s="2056" t="n"/>
      <c r="AC46" s="2056" t="n"/>
      <c r="AD46" s="2056" t="n"/>
      <c r="AE46" s="2056" t="n"/>
      <c r="AF46" s="2056" t="n"/>
      <c r="AG46" s="2056" t="n"/>
      <c r="AH46" s="127" t="n"/>
    </row>
    <row r="47" ht="12" customHeight="1" s="4080">
      <c r="A47" s="4208" t="n"/>
      <c r="B47" s="4107" t="n"/>
      <c r="C47" s="4106" t="n"/>
      <c r="F47" s="4314" t="inlineStr">
        <is>
          <t>実務経験</t>
        </is>
      </c>
      <c r="H47" s="4107" t="n"/>
      <c r="I47" s="1790" t="n"/>
      <c r="S47" s="4106" t="n"/>
      <c r="U47" s="4107" t="n"/>
      <c r="V47" s="4315" t="inlineStr">
        <is>
          <t>相談支援従事者研修</t>
        </is>
      </c>
      <c r="AA47" s="4107" t="n"/>
      <c r="AB47" s="128" t="n"/>
      <c r="AC47" s="1783" t="inlineStr">
        <is>
          <t>受講済</t>
        </is>
      </c>
      <c r="AE47" s="2379" t="inlineStr">
        <is>
          <t>・</t>
        </is>
      </c>
      <c r="AF47" s="1770" t="inlineStr">
        <is>
          <t>未受講</t>
        </is>
      </c>
      <c r="AH47" s="666" t="n"/>
    </row>
    <row r="48" ht="3.95" customHeight="1" s="4080">
      <c r="A48" s="4208" t="n"/>
      <c r="B48" s="4107" t="n"/>
      <c r="C48" s="4106" t="n"/>
      <c r="F48" s="131" t="n"/>
      <c r="G48" s="132" t="n"/>
      <c r="H48" s="133" t="n"/>
      <c r="I48" s="134" t="n"/>
      <c r="J48" s="134" t="n"/>
      <c r="K48" s="134" t="n"/>
      <c r="L48" s="134" t="n"/>
      <c r="M48" s="134" t="n"/>
      <c r="N48" s="134" t="n"/>
      <c r="O48" s="135" t="n"/>
      <c r="P48" s="136" t="n"/>
      <c r="Q48" s="136" t="n"/>
      <c r="R48" s="137" t="n"/>
      <c r="S48" s="4106" t="n"/>
      <c r="U48" s="4107" t="n"/>
      <c r="V48" s="4323" t="n"/>
      <c r="AA48" s="4107" t="n"/>
      <c r="AB48" s="138" t="n"/>
      <c r="AC48" s="138" t="n"/>
      <c r="AD48" s="138" t="n"/>
      <c r="AE48" s="138" t="n"/>
      <c r="AF48" s="138" t="n"/>
      <c r="AG48" s="138" t="n"/>
      <c r="AH48" s="156" t="n"/>
    </row>
    <row r="49" ht="3.95" customHeight="1" s="4080">
      <c r="A49" s="4208" t="n"/>
      <c r="B49" s="4107" t="n"/>
      <c r="C49" s="4106" t="n"/>
      <c r="F49" s="140" t="n"/>
      <c r="G49" s="141" t="n"/>
      <c r="H49" s="142" t="n"/>
      <c r="I49" s="143" t="n"/>
      <c r="J49" s="143" t="n"/>
      <c r="K49" s="144" t="n"/>
      <c r="L49" s="141" t="n"/>
      <c r="M49" s="141" t="n"/>
      <c r="N49" s="141" t="n"/>
      <c r="O49" s="141" t="n"/>
      <c r="P49" s="145" t="n"/>
      <c r="Q49" s="145" t="n"/>
      <c r="R49" s="146" t="n"/>
      <c r="S49" s="4106" t="n"/>
      <c r="U49" s="4107" t="n"/>
      <c r="V49" s="4324" t="n"/>
      <c r="W49" s="4098" t="n"/>
      <c r="X49" s="4098" t="n"/>
      <c r="Y49" s="4098" t="n"/>
      <c r="Z49" s="4098" t="n"/>
      <c r="AA49" s="4099" t="n"/>
      <c r="AB49" s="141" t="n"/>
      <c r="AC49" s="141" t="n"/>
      <c r="AD49" s="141" t="n"/>
      <c r="AE49" s="141" t="n"/>
      <c r="AF49" s="141" t="n"/>
      <c r="AG49" s="141" t="n"/>
      <c r="AH49" s="667" t="n"/>
    </row>
    <row r="50" ht="12" customHeight="1" s="4080">
      <c r="A50" s="4208" t="n"/>
      <c r="B50" s="4107" t="n"/>
      <c r="C50" s="4106" t="n"/>
      <c r="F50" s="4314" t="inlineStr">
        <is>
          <t>資格種類</t>
        </is>
      </c>
      <c r="H50" s="4107" t="n"/>
      <c r="I50" s="935" t="inlineStr">
        <is>
          <t xml:space="preserve">　</t>
        </is>
      </c>
      <c r="S50" s="4106" t="n"/>
      <c r="U50" s="4107" t="n"/>
      <c r="V50" s="4322" t="inlineStr">
        <is>
          <t>サービス管理責任者研修</t>
        </is>
      </c>
      <c r="AA50" s="4107" t="n"/>
      <c r="AB50" s="1355" t="n"/>
      <c r="AC50" s="1783" t="inlineStr">
        <is>
          <t>受講済</t>
        </is>
      </c>
      <c r="AE50" s="2379" t="inlineStr">
        <is>
          <t>・</t>
        </is>
      </c>
      <c r="AF50" s="1770" t="inlineStr">
        <is>
          <t>未受講</t>
        </is>
      </c>
      <c r="AH50" s="1321" t="n"/>
    </row>
    <row r="51" ht="3.95" customHeight="1" s="4080">
      <c r="A51" s="4208" t="n"/>
      <c r="B51" s="4107" t="n"/>
      <c r="C51" s="4102" t="n"/>
      <c r="D51" s="4103" t="n"/>
      <c r="E51" s="4103" t="n"/>
      <c r="F51" s="1326" t="n"/>
      <c r="G51" s="1327" t="n"/>
      <c r="H51" s="1333" t="n"/>
      <c r="I51" s="134" t="n"/>
      <c r="J51" s="134" t="n"/>
      <c r="K51" s="134" t="n"/>
      <c r="L51" s="134" t="n"/>
      <c r="M51" s="134" t="n"/>
      <c r="N51" s="134" t="n"/>
      <c r="O51" s="2059" t="n"/>
      <c r="P51" s="1413" t="n"/>
      <c r="Q51" s="1413" t="n"/>
      <c r="R51" s="1413" t="n"/>
      <c r="S51" s="4102" t="n"/>
      <c r="T51" s="4103" t="n"/>
      <c r="U51" s="4104" t="n"/>
      <c r="V51" s="945" t="n"/>
      <c r="W51" s="154" t="n"/>
      <c r="X51" s="154" t="n"/>
      <c r="Y51" s="134" t="n"/>
      <c r="Z51" s="134" t="n"/>
      <c r="AA51" s="669" t="n"/>
      <c r="AB51" s="134" t="n"/>
      <c r="AC51" s="134" t="n"/>
      <c r="AD51" s="134" t="n"/>
      <c r="AE51" s="134" t="n"/>
      <c r="AF51" s="134" t="n"/>
      <c r="AG51" s="134" t="n"/>
      <c r="AH51" s="156" t="n"/>
    </row>
    <row r="52" ht="15.95" customHeight="1" s="4080">
      <c r="A52" s="4490" t="inlineStr">
        <is>
          <t>職員の職種・員数</t>
        </is>
      </c>
      <c r="B52" s="4099" t="n"/>
      <c r="C52" s="4272" t="inlineStr">
        <is>
          <t xml:space="preserve">　　　　　　職種・勤務形態
常勤・非常勤の別</t>
        </is>
      </c>
      <c r="D52" s="4098" t="n"/>
      <c r="E52" s="4098" t="n"/>
      <c r="F52" s="4098" t="n"/>
      <c r="G52" s="4098" t="n"/>
      <c r="H52" s="4098" t="n"/>
      <c r="I52" s="4098" t="n"/>
      <c r="J52" s="4099" t="n"/>
      <c r="K52" s="4185" t="inlineStr">
        <is>
          <t>サービス管理責任者</t>
        </is>
      </c>
      <c r="L52" s="4110" t="n"/>
      <c r="M52" s="4110" t="n"/>
      <c r="N52" s="4110" t="n"/>
      <c r="O52" s="4110" t="n"/>
      <c r="P52" s="4111" t="n"/>
      <c r="Q52" s="4325" t="inlineStr">
        <is>
          <t>就労定着支援員</t>
        </is>
      </c>
      <c r="R52" s="4098" t="n"/>
      <c r="S52" s="4098" t="n"/>
      <c r="T52" s="4098" t="n"/>
      <c r="U52" s="4098" t="n"/>
      <c r="V52" s="4099" t="n"/>
      <c r="W52" s="4325" t="n"/>
      <c r="X52" s="4098" t="n"/>
      <c r="Y52" s="4098" t="n"/>
      <c r="Z52" s="4098" t="n"/>
      <c r="AA52" s="4098" t="n"/>
      <c r="AB52" s="4099" t="n"/>
      <c r="AC52" s="4326" t="n"/>
      <c r="AD52" s="4098" t="n"/>
      <c r="AE52" s="4098" t="n"/>
      <c r="AF52" s="4098" t="n"/>
      <c r="AG52" s="4098" t="n"/>
      <c r="AH52" s="4101" t="n"/>
    </row>
    <row r="53" ht="15.95" customHeight="1" s="4080">
      <c r="A53" s="4097" t="n"/>
      <c r="B53" s="4107" t="n"/>
      <c r="C53" s="4102" t="n"/>
      <c r="D53" s="4103" t="n"/>
      <c r="E53" s="4103" t="n"/>
      <c r="F53" s="4103" t="n"/>
      <c r="G53" s="4103" t="n"/>
      <c r="H53" s="4103" t="n"/>
      <c r="I53" s="4103" t="n"/>
      <c r="J53" s="4104" t="n"/>
      <c r="K53" s="1617" t="inlineStr">
        <is>
          <t>専従</t>
        </is>
      </c>
      <c r="L53" s="4110" t="n"/>
      <c r="M53" s="4189" t="n"/>
      <c r="N53" s="1603" t="inlineStr">
        <is>
          <t>兼務</t>
        </is>
      </c>
      <c r="O53" s="4110" t="n"/>
      <c r="P53" s="4189" t="n"/>
      <c r="Q53" s="1617" t="inlineStr">
        <is>
          <t>専従</t>
        </is>
      </c>
      <c r="R53" s="4110" t="n"/>
      <c r="S53" s="4189" t="n"/>
      <c r="T53" s="1603" t="inlineStr">
        <is>
          <t>兼務</t>
        </is>
      </c>
      <c r="U53" s="4110" t="n"/>
      <c r="V53" s="4189" t="n"/>
      <c r="W53" s="1617" t="inlineStr">
        <is>
          <t>専従</t>
        </is>
      </c>
      <c r="X53" s="4110" t="n"/>
      <c r="Y53" s="4189" t="n"/>
      <c r="Z53" s="1603" t="inlineStr">
        <is>
          <t>兼務</t>
        </is>
      </c>
      <c r="AA53" s="4110" t="n"/>
      <c r="AB53" s="4189" t="n"/>
      <c r="AC53" s="1617" t="inlineStr">
        <is>
          <t>専従</t>
        </is>
      </c>
      <c r="AD53" s="4110" t="n"/>
      <c r="AE53" s="4189" t="n"/>
      <c r="AF53" s="1603" t="inlineStr">
        <is>
          <t>兼務</t>
        </is>
      </c>
      <c r="AG53" s="4110" t="n"/>
      <c r="AH53" s="4189" t="n"/>
    </row>
    <row r="54" ht="15.95" customHeight="1" s="4080">
      <c r="A54" s="4097" t="n"/>
      <c r="B54" s="4107" t="n"/>
      <c r="C54" s="1268" t="inlineStr">
        <is>
          <t>常　　　　　勤（人）</t>
        </is>
      </c>
      <c r="D54" s="4110" t="n"/>
      <c r="E54" s="4110" t="n"/>
      <c r="F54" s="4110" t="n"/>
      <c r="G54" s="4110" t="n"/>
      <c r="H54" s="4110" t="n"/>
      <c r="I54" s="4110" t="n"/>
      <c r="J54" s="4111" t="n"/>
      <c r="K54" s="4275" t="n"/>
      <c r="L54" s="4110" t="n"/>
      <c r="M54" s="4189" t="n"/>
      <c r="N54" s="4276" t="n"/>
      <c r="O54" s="4110" t="n"/>
      <c r="P54" s="4189" t="n"/>
      <c r="Q54" s="4275" t="n"/>
      <c r="R54" s="4110" t="n"/>
      <c r="S54" s="4189" t="n"/>
      <c r="T54" s="4276" t="n"/>
      <c r="U54" s="4110" t="n"/>
      <c r="V54" s="4189" t="n"/>
      <c r="W54" s="4275" t="n"/>
      <c r="X54" s="4110" t="n"/>
      <c r="Y54" s="4189" t="n"/>
      <c r="Z54" s="4276" t="n"/>
      <c r="AA54" s="4110" t="n"/>
      <c r="AB54" s="4189" t="n"/>
      <c r="AC54" s="4275" t="n"/>
      <c r="AD54" s="4110" t="n"/>
      <c r="AE54" s="4189" t="n"/>
      <c r="AF54" s="4276" t="n"/>
      <c r="AG54" s="4110" t="n"/>
      <c r="AH54" s="4189" t="n"/>
      <c r="AN54" s="1667" t="inlineStr">
        <is>
          <t>生活介護</t>
        </is>
      </c>
    </row>
    <row r="55" ht="15.95" customHeight="1" s="4080">
      <c r="A55" s="4097" t="n"/>
      <c r="B55" s="4107" t="n"/>
      <c r="C55" s="1286" t="inlineStr">
        <is>
          <t>非　　常　　勤（人）</t>
        </is>
      </c>
      <c r="D55" s="4103" t="n"/>
      <c r="E55" s="4103" t="n"/>
      <c r="F55" s="4103" t="n"/>
      <c r="G55" s="4103" t="n"/>
      <c r="H55" s="4103" t="n"/>
      <c r="I55" s="4103" t="n"/>
      <c r="J55" s="4104" t="n"/>
      <c r="K55" s="4275" t="n"/>
      <c r="L55" s="4110" t="n"/>
      <c r="M55" s="4189" t="n"/>
      <c r="N55" s="4276" t="n"/>
      <c r="O55" s="4110" t="n"/>
      <c r="P55" s="4189" t="n"/>
      <c r="Q55" s="4275" t="n"/>
      <c r="R55" s="4110" t="n"/>
      <c r="S55" s="4189" t="n"/>
      <c r="T55" s="4276" t="n"/>
      <c r="U55" s="4110" t="n"/>
      <c r="V55" s="4189" t="n"/>
      <c r="W55" s="4275" t="n"/>
      <c r="X55" s="4110" t="n"/>
      <c r="Y55" s="4189" t="n"/>
      <c r="Z55" s="4276" t="n"/>
      <c r="AA55" s="4110" t="n"/>
      <c r="AB55" s="4189" t="n"/>
      <c r="AC55" s="4275" t="n"/>
      <c r="AD55" s="4110" t="n"/>
      <c r="AE55" s="4189" t="n"/>
      <c r="AF55" s="4276" t="n"/>
      <c r="AG55" s="4110" t="n"/>
      <c r="AH55" s="4189" t="n"/>
      <c r="AN55" s="1667" t="inlineStr">
        <is>
          <t>自立訓練</t>
        </is>
      </c>
    </row>
    <row r="56" ht="15.95" customHeight="1" s="4080">
      <c r="A56" s="4097" t="n"/>
      <c r="B56" s="4107" t="n"/>
      <c r="C56" s="1268" t="inlineStr">
        <is>
          <t>常勤換算後の人数（人）</t>
        </is>
      </c>
      <c r="D56" s="4110" t="n"/>
      <c r="E56" s="4110" t="n"/>
      <c r="F56" s="4110" t="n"/>
      <c r="G56" s="4110" t="n"/>
      <c r="H56" s="4110" t="n"/>
      <c r="I56" s="4110" t="n"/>
      <c r="J56" s="4111" t="n"/>
      <c r="K56" s="4464" t="n"/>
      <c r="L56" s="4110" t="n"/>
      <c r="M56" s="4110" t="n"/>
      <c r="N56" s="4110" t="n"/>
      <c r="O56" s="4110" t="n"/>
      <c r="P56" s="4111" t="n"/>
      <c r="Q56" s="4464" t="n"/>
      <c r="R56" s="4110" t="n"/>
      <c r="S56" s="4110" t="n"/>
      <c r="T56" s="4110" t="n"/>
      <c r="U56" s="4110" t="n"/>
      <c r="V56" s="4111" t="n"/>
      <c r="W56" s="4464" t="n"/>
      <c r="X56" s="4110" t="n"/>
      <c r="Y56" s="4110" t="n"/>
      <c r="Z56" s="4110" t="n"/>
      <c r="AA56" s="4110" t="n"/>
      <c r="AB56" s="4111" t="n"/>
      <c r="AC56" s="4465" t="n"/>
      <c r="AD56" s="4110" t="n"/>
      <c r="AE56" s="4110" t="n"/>
      <c r="AF56" s="4110" t="n"/>
      <c r="AG56" s="4110" t="n"/>
      <c r="AH56" s="4113" t="n"/>
      <c r="AN56" s="1667" t="inlineStr">
        <is>
          <t>就労移行支援</t>
        </is>
      </c>
    </row>
    <row r="57" ht="15.95" customHeight="1" s="4080">
      <c r="A57" s="4097" t="n"/>
      <c r="B57" s="4107" t="n"/>
      <c r="C57" s="4272" t="inlineStr">
        <is>
          <t xml:space="preserve">　　　　　　職種・勤務形態
常勤・非常勤の別</t>
        </is>
      </c>
      <c r="D57" s="4098" t="n"/>
      <c r="E57" s="4098" t="n"/>
      <c r="F57" s="4098" t="n"/>
      <c r="G57" s="4098" t="n"/>
      <c r="H57" s="4098" t="n"/>
      <c r="I57" s="4098" t="n"/>
      <c r="J57" s="4099" t="n"/>
      <c r="K57" s="4185" t="n"/>
      <c r="L57" s="4110" t="n"/>
      <c r="M57" s="4110" t="n"/>
      <c r="N57" s="4110" t="n"/>
      <c r="O57" s="4110" t="n"/>
      <c r="P57" s="4111" t="n"/>
      <c r="Q57" s="4325" t="n"/>
      <c r="R57" s="4098" t="n"/>
      <c r="S57" s="4098" t="n"/>
      <c r="T57" s="4098" t="n"/>
      <c r="U57" s="4098" t="n"/>
      <c r="V57" s="4099" t="n"/>
      <c r="W57" s="4325" t="n"/>
      <c r="X57" s="4098" t="n"/>
      <c r="Y57" s="4098" t="n"/>
      <c r="Z57" s="4098" t="n"/>
      <c r="AA57" s="4098" t="n"/>
      <c r="AB57" s="4099" t="n"/>
      <c r="AC57" s="4326" t="n"/>
      <c r="AD57" s="4098" t="n"/>
      <c r="AE57" s="4098" t="n"/>
      <c r="AF57" s="4098" t="n"/>
      <c r="AG57" s="4098" t="n"/>
      <c r="AH57" s="4101" t="n"/>
      <c r="AN57" s="1667" t="inlineStr">
        <is>
          <t>就労継続支援</t>
        </is>
      </c>
    </row>
    <row r="58" ht="15.95" customHeight="1" s="4080">
      <c r="A58" s="4097" t="n"/>
      <c r="B58" s="4107" t="n"/>
      <c r="C58" s="4102" t="n"/>
      <c r="D58" s="4103" t="n"/>
      <c r="E58" s="4103" t="n"/>
      <c r="F58" s="4103" t="n"/>
      <c r="G58" s="4103" t="n"/>
      <c r="H58" s="4103" t="n"/>
      <c r="I58" s="4103" t="n"/>
      <c r="J58" s="4104" t="n"/>
      <c r="K58" s="1617" t="inlineStr">
        <is>
          <t>専従</t>
        </is>
      </c>
      <c r="L58" s="4110" t="n"/>
      <c r="M58" s="4189" t="n"/>
      <c r="N58" s="1603" t="inlineStr">
        <is>
          <t>兼務</t>
        </is>
      </c>
      <c r="O58" s="4110" t="n"/>
      <c r="P58" s="4189" t="n"/>
      <c r="Q58" s="1617" t="inlineStr">
        <is>
          <t>専従</t>
        </is>
      </c>
      <c r="R58" s="4110" t="n"/>
      <c r="S58" s="4189" t="n"/>
      <c r="T58" s="1603" t="inlineStr">
        <is>
          <t>兼務</t>
        </is>
      </c>
      <c r="U58" s="4110" t="n"/>
      <c r="V58" s="4189" t="n"/>
      <c r="W58" s="1617" t="inlineStr">
        <is>
          <t>専従</t>
        </is>
      </c>
      <c r="X58" s="4110" t="n"/>
      <c r="Y58" s="4189" t="n"/>
      <c r="Z58" s="1603" t="inlineStr">
        <is>
          <t>兼務</t>
        </is>
      </c>
      <c r="AA58" s="4110" t="n"/>
      <c r="AB58" s="4189" t="n"/>
      <c r="AC58" s="1617" t="inlineStr">
        <is>
          <t>専従</t>
        </is>
      </c>
      <c r="AD58" s="4110" t="n"/>
      <c r="AE58" s="4189" t="n"/>
      <c r="AF58" s="1603" t="inlineStr">
        <is>
          <t>兼務</t>
        </is>
      </c>
      <c r="AG58" s="4110" t="n"/>
      <c r="AH58" s="4189" t="n"/>
    </row>
    <row r="59" ht="15.95" customHeight="1" s="4080">
      <c r="A59" s="4097" t="n"/>
      <c r="B59" s="4107" t="n"/>
      <c r="C59" s="1268" t="inlineStr">
        <is>
          <t>常　　　　　勤（人）</t>
        </is>
      </c>
      <c r="D59" s="4110" t="n"/>
      <c r="E59" s="4110" t="n"/>
      <c r="F59" s="4110" t="n"/>
      <c r="G59" s="4110" t="n"/>
      <c r="H59" s="4110" t="n"/>
      <c r="I59" s="4110" t="n"/>
      <c r="J59" s="4111" t="n"/>
      <c r="K59" s="4275" t="n"/>
      <c r="L59" s="4110" t="n"/>
      <c r="M59" s="4189" t="n"/>
      <c r="N59" s="4276" t="n"/>
      <c r="O59" s="4110" t="n"/>
      <c r="P59" s="4189" t="n"/>
      <c r="Q59" s="4275" t="n"/>
      <c r="R59" s="4110" t="n"/>
      <c r="S59" s="4189" t="n"/>
      <c r="T59" s="4276" t="n"/>
      <c r="U59" s="4110" t="n"/>
      <c r="V59" s="4189" t="n"/>
      <c r="W59" s="4275" t="n"/>
      <c r="X59" s="4110" t="n"/>
      <c r="Y59" s="4189" t="n"/>
      <c r="Z59" s="4276" t="n"/>
      <c r="AA59" s="4110" t="n"/>
      <c r="AB59" s="4189" t="n"/>
      <c r="AC59" s="4275" t="n"/>
      <c r="AD59" s="4110" t="n"/>
      <c r="AE59" s="4189" t="n"/>
      <c r="AF59" s="4276" t="n"/>
      <c r="AG59" s="4110" t="n"/>
      <c r="AH59" s="4189" t="n"/>
    </row>
    <row r="60" ht="15.95" customHeight="1" s="4080">
      <c r="A60" s="4097" t="n"/>
      <c r="B60" s="4107" t="n"/>
      <c r="C60" s="1286" t="inlineStr">
        <is>
          <t>非　　常　　勤（人）</t>
        </is>
      </c>
      <c r="D60" s="4103" t="n"/>
      <c r="E60" s="4103" t="n"/>
      <c r="F60" s="4103" t="n"/>
      <c r="G60" s="4103" t="n"/>
      <c r="H60" s="4103" t="n"/>
      <c r="I60" s="4103" t="n"/>
      <c r="J60" s="4104" t="n"/>
      <c r="K60" s="4275" t="n"/>
      <c r="L60" s="4110" t="n"/>
      <c r="M60" s="4189" t="n"/>
      <c r="N60" s="4276" t="n"/>
      <c r="O60" s="4110" t="n"/>
      <c r="P60" s="4189" t="n"/>
      <c r="Q60" s="4275" t="n"/>
      <c r="R60" s="4110" t="n"/>
      <c r="S60" s="4189" t="n"/>
      <c r="T60" s="4276" t="n"/>
      <c r="U60" s="4110" t="n"/>
      <c r="V60" s="4189" t="n"/>
      <c r="W60" s="4275" t="n"/>
      <c r="X60" s="4110" t="n"/>
      <c r="Y60" s="4189" t="n"/>
      <c r="Z60" s="4276" t="n"/>
      <c r="AA60" s="4110" t="n"/>
      <c r="AB60" s="4189" t="n"/>
      <c r="AC60" s="4275" t="n"/>
      <c r="AD60" s="4110" t="n"/>
      <c r="AE60" s="4189" t="n"/>
      <c r="AF60" s="4276" t="n"/>
      <c r="AG60" s="4110" t="n"/>
      <c r="AH60" s="4189" t="n"/>
    </row>
    <row r="61" ht="15.95" customHeight="1" s="4080">
      <c r="A61" s="4114" t="n"/>
      <c r="B61" s="4104" t="n"/>
      <c r="C61" s="1268" t="inlineStr">
        <is>
          <t>常勤換算後の人数（人）</t>
        </is>
      </c>
      <c r="D61" s="4110" t="n"/>
      <c r="E61" s="4110" t="n"/>
      <c r="F61" s="4110" t="n"/>
      <c r="G61" s="4110" t="n"/>
      <c r="H61" s="4110" t="n"/>
      <c r="I61" s="4110" t="n"/>
      <c r="J61" s="4111" t="n"/>
      <c r="K61" s="4464" t="n"/>
      <c r="L61" s="4110" t="n"/>
      <c r="M61" s="4110" t="n"/>
      <c r="N61" s="4110" t="n"/>
      <c r="O61" s="4110" t="n"/>
      <c r="P61" s="4111" t="n"/>
      <c r="Q61" s="4464" t="n"/>
      <c r="R61" s="4110" t="n"/>
      <c r="S61" s="4110" t="n"/>
      <c r="T61" s="4110" t="n"/>
      <c r="U61" s="4110" t="n"/>
      <c r="V61" s="4111" t="n"/>
      <c r="W61" s="4464" t="n"/>
      <c r="X61" s="4110" t="n"/>
      <c r="Y61" s="4110" t="n"/>
      <c r="Z61" s="4110" t="n"/>
      <c r="AA61" s="4110" t="n"/>
      <c r="AB61" s="4111" t="n"/>
      <c r="AC61" s="4465" t="n"/>
      <c r="AD61" s="4110" t="n"/>
      <c r="AE61" s="4110" t="n"/>
      <c r="AF61" s="4110" t="n"/>
      <c r="AG61" s="4110" t="n"/>
      <c r="AH61" s="4113" t="n"/>
    </row>
    <row r="62" ht="3.95" customHeight="1" s="4080">
      <c r="A62" s="3061" t="n"/>
      <c r="B62" s="4098" t="n"/>
      <c r="C62" s="4098" t="n"/>
      <c r="D62" s="4098" t="n"/>
      <c r="E62" s="4098" t="n"/>
      <c r="F62" s="4098" t="n"/>
      <c r="G62" s="4098" t="n"/>
      <c r="H62" s="4098" t="n"/>
      <c r="I62" s="4098" t="n"/>
      <c r="J62" s="4099" t="n"/>
      <c r="K62" s="4332" t="n"/>
      <c r="L62" s="4333" t="n"/>
      <c r="M62" s="4333" t="n"/>
      <c r="N62" s="4333" t="n"/>
      <c r="O62" s="4333" t="n"/>
      <c r="P62" s="4392" t="n"/>
      <c r="Q62" s="4393" t="inlineStr">
        <is>
          <t>運営する事業所の種類</t>
        </is>
      </c>
      <c r="R62" s="4098" t="n"/>
      <c r="S62" s="4098" t="n"/>
      <c r="T62" s="4098" t="n"/>
      <c r="U62" s="4098" t="n"/>
      <c r="V62" s="4099" t="n"/>
      <c r="W62" s="4505" t="n"/>
      <c r="X62" s="4098" t="n"/>
      <c r="Y62" s="4098" t="n"/>
      <c r="Z62" s="4098" t="n"/>
      <c r="AA62" s="4098" t="n"/>
      <c r="AB62" s="4099" t="n"/>
      <c r="AC62" s="4947" t="n"/>
      <c r="AD62" s="4098" t="n"/>
      <c r="AE62" s="4098" t="n"/>
      <c r="AF62" s="4098" t="n"/>
      <c r="AG62" s="4098" t="n"/>
      <c r="AH62" s="4101" t="n"/>
    </row>
    <row r="63" ht="14.1" customHeight="1" s="4080">
      <c r="A63" s="4338" t="inlineStr">
        <is>
          <t>一体的に運営する事業所</t>
        </is>
      </c>
      <c r="J63" s="4107" t="n"/>
      <c r="K63" s="4339" t="n"/>
      <c r="L63" s="4340" t="inlineStr">
        <is>
          <t>有</t>
        </is>
      </c>
      <c r="M63" s="4340" t="inlineStr">
        <is>
          <t>・</t>
        </is>
      </c>
      <c r="O63" s="4340" t="inlineStr">
        <is>
          <t>無</t>
        </is>
      </c>
      <c r="P63" s="4397" t="n"/>
      <c r="Q63" s="4106" t="n"/>
      <c r="V63" s="4107" t="n"/>
      <c r="W63" s="4106" t="n"/>
      <c r="AB63" s="4107" t="n"/>
      <c r="AC63" s="4106" t="n"/>
      <c r="AH63" s="4109" t="n"/>
    </row>
    <row r="64" ht="3.95" customHeight="1" s="4080">
      <c r="A64" s="3063" t="n"/>
      <c r="B64" s="4103" t="n"/>
      <c r="C64" s="4103" t="n"/>
      <c r="D64" s="4103" t="n"/>
      <c r="E64" s="4103" t="n"/>
      <c r="F64" s="4103" t="n"/>
      <c r="G64" s="4103" t="n"/>
      <c r="H64" s="4103" t="n"/>
      <c r="I64" s="4103" t="n"/>
      <c r="J64" s="4104" t="n"/>
      <c r="K64" s="4343" t="n"/>
      <c r="L64" s="4344" t="n"/>
      <c r="M64" s="4344" t="n"/>
      <c r="N64" s="4344" t="n"/>
      <c r="O64" s="4344" t="n"/>
      <c r="P64" s="4398" t="n"/>
      <c r="Q64" s="4102" t="n"/>
      <c r="R64" s="4103" t="n"/>
      <c r="S64" s="4103" t="n"/>
      <c r="T64" s="4103" t="n"/>
      <c r="U64" s="4103" t="n"/>
      <c r="V64" s="4104" t="n"/>
      <c r="W64" s="4102" t="n"/>
      <c r="X64" s="4103" t="n"/>
      <c r="Y64" s="4103" t="n"/>
      <c r="Z64" s="4103" t="n"/>
      <c r="AA64" s="4103" t="n"/>
      <c r="AB64" s="4104" t="n"/>
      <c r="AC64" s="4102" t="n"/>
      <c r="AD64" s="4103" t="n"/>
      <c r="AE64" s="4103" t="n"/>
      <c r="AF64" s="4103" t="n"/>
      <c r="AG64" s="4103" t="n"/>
      <c r="AH64" s="4105" t="n"/>
    </row>
    <row r="65" ht="24" customHeight="1" s="4080">
      <c r="A65" s="4948" t="inlineStr">
        <is>
          <t>前年度
利用者数
(又は推定数)</t>
        </is>
      </c>
      <c r="B65" s="4098" t="n"/>
      <c r="C65" s="4098" t="n"/>
      <c r="D65" s="4099" t="n"/>
      <c r="E65" s="4949" t="n"/>
      <c r="F65" s="4110" t="n"/>
      <c r="G65" s="4111" t="n"/>
      <c r="H65" s="4624" t="inlineStr">
        <is>
          <t>非該当</t>
        </is>
      </c>
      <c r="I65" s="4103" t="n"/>
      <c r="J65" s="4104" t="n"/>
      <c r="K65" s="4624" t="inlineStr">
        <is>
          <t>区分１</t>
        </is>
      </c>
      <c r="L65" s="4103" t="n"/>
      <c r="M65" s="4104" t="n"/>
      <c r="N65" s="2165" t="inlineStr">
        <is>
          <t>区分２</t>
        </is>
      </c>
      <c r="O65" s="4110" t="n"/>
      <c r="P65" s="4111" t="n"/>
      <c r="Q65" s="2165" t="inlineStr">
        <is>
          <t>区分３</t>
        </is>
      </c>
      <c r="R65" s="4110" t="n"/>
      <c r="S65" s="4111" t="n"/>
      <c r="T65" s="2165" t="inlineStr">
        <is>
          <t>区分４</t>
        </is>
      </c>
      <c r="U65" s="4110" t="n"/>
      <c r="V65" s="4111" t="n"/>
      <c r="W65" s="2165" t="inlineStr">
        <is>
          <t>区分５</t>
        </is>
      </c>
      <c r="X65" s="4110" t="n"/>
      <c r="Y65" s="4111" t="n"/>
      <c r="Z65" s="2165" t="inlineStr">
        <is>
          <t>区分６</t>
        </is>
      </c>
      <c r="AA65" s="4110" t="n"/>
      <c r="AB65" s="4111" t="n"/>
      <c r="AC65" s="4628" t="inlineStr">
        <is>
          <t>前年度
開所日数</t>
        </is>
      </c>
      <c r="AD65" s="4110" t="n"/>
      <c r="AE65" s="4111" t="n"/>
      <c r="AF65" s="4627" t="inlineStr">
        <is>
          <t>平均
利用者数</t>
        </is>
      </c>
      <c r="AG65" s="4103" t="n"/>
      <c r="AH65" s="4105" t="n"/>
    </row>
    <row r="66" ht="15" customHeight="1" s="4080">
      <c r="A66" s="4097" t="n"/>
      <c r="D66" s="4107" t="n"/>
      <c r="E66" s="4313" t="inlineStr">
        <is>
          <t>就労定着</t>
        </is>
      </c>
      <c r="F66" s="4110" t="n"/>
      <c r="G66" s="4111" t="n"/>
      <c r="H66" s="4351" t="n"/>
      <c r="I66" s="4110" t="n"/>
      <c r="J66" s="4350" t="inlineStr">
        <is>
          <t>人</t>
        </is>
      </c>
      <c r="K66" s="4351" t="n"/>
      <c r="L66" s="4110" t="n"/>
      <c r="M66" s="4350" t="inlineStr">
        <is>
          <t>人</t>
        </is>
      </c>
      <c r="N66" s="4351" t="n"/>
      <c r="O66" s="4110" t="n"/>
      <c r="P66" s="4350" t="inlineStr">
        <is>
          <t>人</t>
        </is>
      </c>
      <c r="Q66" s="4351" t="n"/>
      <c r="R66" s="4110" t="n"/>
      <c r="S66" s="4350" t="inlineStr">
        <is>
          <t>人</t>
        </is>
      </c>
      <c r="T66" s="4351" t="n"/>
      <c r="U66" s="4110" t="n"/>
      <c r="V66" s="4350" t="inlineStr">
        <is>
          <t>人</t>
        </is>
      </c>
      <c r="W66" s="4351" t="n"/>
      <c r="X66" s="4110" t="n"/>
      <c r="Y66" s="4350" t="inlineStr">
        <is>
          <t>人</t>
        </is>
      </c>
      <c r="Z66" s="4644" t="n"/>
      <c r="AA66" s="4110" t="n"/>
      <c r="AB66" s="3914" t="inlineStr">
        <is>
          <t>人</t>
        </is>
      </c>
      <c r="AC66" s="4644" t="n"/>
      <c r="AD66" s="4110" t="n"/>
      <c r="AE66" s="3914" t="inlineStr">
        <is>
          <t>日</t>
        </is>
      </c>
      <c r="AF66" s="4646">
        <f>IF(AC66=0," ",ROUNDUP((H66+K66+N66+Q66+T66+W66+Z66)/AC66,1))</f>
        <v/>
      </c>
      <c r="AG66" s="4110" t="n"/>
      <c r="AH66" s="4632" t="inlineStr">
        <is>
          <t>人</t>
        </is>
      </c>
    </row>
    <row r="67" ht="50.25" customHeight="1" s="4080" thickBot="1">
      <c r="A67" s="4086" t="n"/>
      <c r="B67" s="4087" t="n"/>
      <c r="C67" s="4087" t="n"/>
      <c r="D67" s="4410" t="n"/>
      <c r="E67" s="4591" t="inlineStr">
        <is>
          <t>一体的に運用する事業所</t>
        </is>
      </c>
      <c r="F67" s="4153" t="n"/>
      <c r="G67" s="4154" t="n"/>
      <c r="H67" s="4805" t="n"/>
      <c r="I67" s="4153" t="n"/>
      <c r="J67" s="4764" t="inlineStr">
        <is>
          <t>人</t>
        </is>
      </c>
      <c r="K67" s="4805" t="n"/>
      <c r="L67" s="4153" t="n"/>
      <c r="M67" s="4764" t="inlineStr">
        <is>
          <t>人</t>
        </is>
      </c>
      <c r="N67" s="4805" t="n"/>
      <c r="O67" s="4153" t="n"/>
      <c r="P67" s="4764" t="inlineStr">
        <is>
          <t>人</t>
        </is>
      </c>
      <c r="Q67" s="4805" t="n"/>
      <c r="R67" s="4153" t="n"/>
      <c r="S67" s="4764" t="inlineStr">
        <is>
          <t>人</t>
        </is>
      </c>
      <c r="T67" s="4805" t="n"/>
      <c r="U67" s="4153" t="n"/>
      <c r="V67" s="4764" t="inlineStr">
        <is>
          <t>人</t>
        </is>
      </c>
      <c r="W67" s="4805" t="n"/>
      <c r="X67" s="4153" t="n"/>
      <c r="Y67" s="4764" t="inlineStr">
        <is>
          <t>人</t>
        </is>
      </c>
      <c r="Z67" s="4950" t="n"/>
      <c r="AA67" s="4153" t="n"/>
      <c r="AB67" s="4951" t="inlineStr">
        <is>
          <t>人</t>
        </is>
      </c>
      <c r="AC67" s="4950" t="n"/>
      <c r="AD67" s="4153" t="n"/>
      <c r="AE67" s="4951" t="inlineStr">
        <is>
          <t>日</t>
        </is>
      </c>
      <c r="AF67" s="4787">
        <f>IF(AC67=0," ",ROUNDUP((H67+K67+N67+Q67+T67+W67+Z67)/AC67,1))</f>
        <v/>
      </c>
      <c r="AG67" s="4153" t="n"/>
      <c r="AH67" s="4767" t="inlineStr">
        <is>
          <t>人</t>
        </is>
      </c>
    </row>
    <row r="68" ht="12" customHeight="1" s="4080" thickBot="1">
      <c r="A68" s="4355" t="inlineStr">
        <is>
          <t>主　　な　　掲　　示　　事　　項</t>
        </is>
      </c>
      <c r="B68" s="4356" t="n"/>
      <c r="C68" s="1999" t="n"/>
      <c r="D68" s="1886" t="inlineStr">
        <is>
          <t>営業日</t>
        </is>
      </c>
      <c r="E68" s="4082" t="n"/>
      <c r="F68" s="4082" t="n"/>
      <c r="G68" s="4082" t="n"/>
      <c r="H68" s="4082" t="n"/>
      <c r="I68" s="4082" t="n"/>
      <c r="J68" s="2002" t="n"/>
      <c r="K68" s="671" t="inlineStr">
        <is>
          <t>月</t>
        </is>
      </c>
      <c r="L68" s="672" t="inlineStr">
        <is>
          <t>火</t>
        </is>
      </c>
      <c r="M68" s="672" t="inlineStr">
        <is>
          <t>水</t>
        </is>
      </c>
      <c r="N68" s="672" t="inlineStr">
        <is>
          <t>木</t>
        </is>
      </c>
      <c r="O68" s="672" t="inlineStr">
        <is>
          <t>金</t>
        </is>
      </c>
      <c r="P68" s="672" t="inlineStr">
        <is>
          <t>土</t>
        </is>
      </c>
      <c r="Q68" s="672" t="inlineStr">
        <is>
          <t>日</t>
        </is>
      </c>
      <c r="R68" s="673" t="inlineStr">
        <is>
          <t>祝</t>
        </is>
      </c>
      <c r="S68" s="2004" t="inlineStr">
        <is>
          <t>休業日</t>
        </is>
      </c>
      <c r="T68" s="2007" t="inlineStr">
        <is>
          <t>年末年始</t>
        </is>
      </c>
      <c r="U68" s="4082" t="n"/>
      <c r="V68" s="2014" t="n"/>
      <c r="W68" s="4082" t="n"/>
      <c r="X68" s="4082" t="n"/>
      <c r="Y68" s="4082" t="n"/>
      <c r="Z68" s="4082" t="n"/>
      <c r="AA68" s="4082" t="n"/>
      <c r="AB68" s="4356" t="n"/>
      <c r="AC68" s="2236" t="inlineStr">
        <is>
          <t>備　考</t>
        </is>
      </c>
      <c r="AD68" s="4479" t="n"/>
      <c r="AE68" s="4082" t="n"/>
      <c r="AF68" s="4082" t="n"/>
      <c r="AG68" s="4082" t="n"/>
      <c r="AH68" s="4083" t="n"/>
    </row>
    <row r="69" ht="12" customHeight="1" s="4080" thickBot="1">
      <c r="A69" s="4097" t="n"/>
      <c r="B69" s="4107" t="n"/>
      <c r="C69" s="4106" t="n"/>
      <c r="J69" s="4107" t="n"/>
      <c r="K69" s="2351" t="inlineStr">
        <is>
          <t xml:space="preserve">　</t>
        </is>
      </c>
      <c r="L69" s="2353" t="n"/>
      <c r="M69" s="2353" t="n"/>
      <c r="N69" s="2353" t="n"/>
      <c r="O69" s="2353" t="n"/>
      <c r="P69" s="2353" t="n"/>
      <c r="Q69" s="2353" t="n"/>
      <c r="R69" s="2355" t="n"/>
      <c r="S69" s="4282" t="n"/>
      <c r="T69" s="2008" t="inlineStr">
        <is>
          <t>夏季</t>
        </is>
      </c>
      <c r="V69" s="937" t="n"/>
      <c r="AB69" s="4107" t="n"/>
      <c r="AC69" s="4282" t="n"/>
      <c r="AD69" s="4192" t="n"/>
      <c r="AH69" s="4109" t="n"/>
    </row>
    <row r="70" ht="12" customHeight="1" s="4080">
      <c r="A70" s="4097" t="n"/>
      <c r="B70" s="4107" t="n"/>
      <c r="C70" s="4420" t="n"/>
      <c r="D70" s="4087" t="n"/>
      <c r="E70" s="4087" t="n"/>
      <c r="F70" s="4087" t="n"/>
      <c r="G70" s="4087" t="n"/>
      <c r="H70" s="4087" t="n"/>
      <c r="I70" s="4087" t="n"/>
      <c r="J70" s="4410" t="n"/>
      <c r="K70" s="4500" t="n"/>
      <c r="L70" s="4501" t="n"/>
      <c r="M70" s="4501" t="n"/>
      <c r="N70" s="4501" t="n"/>
      <c r="O70" s="4501" t="n"/>
      <c r="P70" s="4501" t="n"/>
      <c r="Q70" s="4501" t="n"/>
      <c r="R70" s="4502" t="n"/>
      <c r="S70" s="4421" t="n"/>
      <c r="T70" s="1610" t="inlineStr">
        <is>
          <t>その他</t>
        </is>
      </c>
      <c r="U70" s="4103" t="n"/>
      <c r="V70" s="940" t="n"/>
      <c r="W70" s="4103" t="n"/>
      <c r="X70" s="4103" t="n"/>
      <c r="Y70" s="4103" t="n"/>
      <c r="Z70" s="4103" t="n"/>
      <c r="AA70" s="4103" t="n"/>
      <c r="AB70" s="4104" t="n"/>
      <c r="AC70" s="4421" t="n"/>
      <c r="AD70" s="4480" t="n"/>
      <c r="AE70" s="4087" t="n"/>
      <c r="AF70" s="4087" t="n"/>
      <c r="AG70" s="4087" t="n"/>
      <c r="AH70" s="4088" t="n"/>
    </row>
    <row r="71" ht="3.95" customHeight="1" s="4080">
      <c r="A71" s="4097" t="n"/>
      <c r="B71" s="4107" t="n"/>
      <c r="C71" s="1393" t="n"/>
      <c r="D71" s="1264" t="inlineStr">
        <is>
          <t>営業時間</t>
        </is>
      </c>
      <c r="E71" s="4098" t="n"/>
      <c r="F71" s="4098" t="n"/>
      <c r="G71" s="4098" t="n"/>
      <c r="H71" s="4098" t="n"/>
      <c r="I71" s="4098" t="n"/>
      <c r="J71" s="4223" t="n"/>
      <c r="K71" s="4287" t="inlineStr">
        <is>
          <t>平日</t>
        </is>
      </c>
      <c r="L71" s="4098" t="n"/>
      <c r="M71" s="4190" t="n"/>
      <c r="N71" s="1590" t="n"/>
      <c r="O71" s="4098" t="n"/>
      <c r="P71" s="2842" t="inlineStr">
        <is>
          <t>時</t>
        </is>
      </c>
      <c r="Q71" s="1323" t="n"/>
      <c r="R71" s="1323" t="n"/>
      <c r="S71" s="4288" t="inlineStr">
        <is>
          <t>分～</t>
        </is>
      </c>
      <c r="T71" s="4098" t="n"/>
      <c r="U71" s="108" t="inlineStr">
        <is>
          <t xml:space="preserve">　</t>
        </is>
      </c>
      <c r="V71" s="1591" t="n"/>
      <c r="W71" s="4098" t="n"/>
      <c r="X71" s="2842" t="inlineStr">
        <is>
          <t>時</t>
        </is>
      </c>
      <c r="Y71" s="2834" t="n"/>
      <c r="Z71" s="2834" t="n"/>
      <c r="AA71" s="2842" t="inlineStr">
        <is>
          <t>分</t>
        </is>
      </c>
      <c r="AB71" s="2844" t="n"/>
      <c r="AC71" s="4098" t="n"/>
      <c r="AD71" s="4098" t="n"/>
      <c r="AE71" s="4098" t="n"/>
      <c r="AF71" s="4098" t="n"/>
      <c r="AG71" s="4098" t="n"/>
      <c r="AH71" s="4101" t="n"/>
    </row>
    <row r="72" ht="12" customHeight="1" s="4080">
      <c r="A72" s="4097" t="n"/>
      <c r="B72" s="4107" t="n"/>
      <c r="C72" s="4106" t="n"/>
      <c r="J72" s="4107" t="n"/>
      <c r="K72" s="4106" t="n"/>
      <c r="M72" s="4191" t="n"/>
      <c r="N72" s="1589" t="n"/>
      <c r="Q72" s="1325" t="n"/>
      <c r="U72" s="1257" t="n"/>
      <c r="Y72" s="1580" t="n"/>
      <c r="AH72" s="4109" t="n"/>
    </row>
    <row r="73" ht="3.95" customHeight="1" s="4080">
      <c r="A73" s="4097" t="n"/>
      <c r="B73" s="4107" t="n"/>
      <c r="C73" s="4106" t="n"/>
      <c r="J73" s="4107" t="n"/>
      <c r="K73" s="4145" t="n"/>
      <c r="L73" s="4146" t="n"/>
      <c r="M73" s="4201" t="n"/>
      <c r="N73" s="1586" t="n"/>
      <c r="O73" s="1587" t="n"/>
      <c r="P73" s="4146" t="n"/>
      <c r="Q73" s="1585" t="n"/>
      <c r="R73" s="1585" t="n"/>
      <c r="S73" s="4146" t="n"/>
      <c r="T73" s="4146" t="n"/>
      <c r="U73" s="2253" t="n"/>
      <c r="V73" s="1587" t="n"/>
      <c r="W73" s="1587" t="n"/>
      <c r="X73" s="4146" t="n"/>
      <c r="Y73" s="101" t="n"/>
      <c r="Z73" s="101" t="n"/>
      <c r="AA73" s="4146" t="n"/>
      <c r="AB73" s="4146" t="n"/>
      <c r="AC73" s="4146" t="n"/>
      <c r="AD73" s="4146" t="n"/>
      <c r="AE73" s="4146" t="n"/>
      <c r="AF73" s="4146" t="n"/>
      <c r="AG73" s="4146" t="n"/>
      <c r="AH73" s="4305" t="n"/>
    </row>
    <row r="74" ht="3.95" customHeight="1" s="4080">
      <c r="A74" s="4097" t="n"/>
      <c r="B74" s="4107" t="n"/>
      <c r="C74" s="4106" t="n"/>
      <c r="J74" s="4107" t="n"/>
      <c r="K74" s="4289" t="inlineStr">
        <is>
          <t>土曜</t>
        </is>
      </c>
      <c r="L74" s="4290" t="n"/>
      <c r="M74" s="4291" t="n"/>
      <c r="N74" s="1581" t="n"/>
      <c r="O74" s="4290" t="n"/>
      <c r="P74" s="1514" t="inlineStr">
        <is>
          <t>時</t>
        </is>
      </c>
      <c r="Q74" s="1583" t="n"/>
      <c r="R74" s="1583" t="n"/>
      <c r="S74" s="4292" t="inlineStr">
        <is>
          <t>分～</t>
        </is>
      </c>
      <c r="T74" s="4290" t="n"/>
      <c r="U74" s="98" t="inlineStr">
        <is>
          <t xml:space="preserve">　</t>
        </is>
      </c>
      <c r="V74" s="1582" t="n"/>
      <c r="W74" s="1582" t="n"/>
      <c r="X74" s="1514" t="inlineStr">
        <is>
          <t>時</t>
        </is>
      </c>
      <c r="Y74" s="96" t="n"/>
      <c r="Z74" s="96" t="n"/>
      <c r="AA74" s="1514" t="inlineStr">
        <is>
          <t>分</t>
        </is>
      </c>
      <c r="AB74" s="4481" t="n"/>
      <c r="AC74" s="4290" t="n"/>
      <c r="AD74" s="4290" t="n"/>
      <c r="AE74" s="4290" t="n"/>
      <c r="AF74" s="4290" t="n"/>
      <c r="AG74" s="4290" t="n"/>
      <c r="AH74" s="4482" t="n"/>
    </row>
    <row r="75" ht="12" customHeight="1" s="4080">
      <c r="A75" s="4097" t="n"/>
      <c r="B75" s="4107" t="n"/>
      <c r="C75" s="4106" t="n"/>
      <c r="J75" s="4107" t="n"/>
      <c r="K75" s="4106" t="n"/>
      <c r="M75" s="4191" t="n"/>
      <c r="N75" s="1589" t="n"/>
      <c r="Q75" s="1325" t="n"/>
      <c r="U75" s="1257" t="n"/>
      <c r="Y75" s="1580" t="n"/>
      <c r="AH75" s="4109" t="n"/>
    </row>
    <row r="76" ht="3.95" customHeight="1" s="4080">
      <c r="A76" s="4097" t="n"/>
      <c r="B76" s="4107" t="n"/>
      <c r="C76" s="4106" t="n"/>
      <c r="J76" s="4107" t="n"/>
      <c r="K76" s="4145" t="n"/>
      <c r="L76" s="4146" t="n"/>
      <c r="M76" s="4201" t="n"/>
      <c r="N76" s="1586" t="n"/>
      <c r="O76" s="1587" t="n"/>
      <c r="P76" s="4146" t="n"/>
      <c r="Q76" s="1585" t="n"/>
      <c r="R76" s="1585" t="n"/>
      <c r="S76" s="4146" t="n"/>
      <c r="T76" s="4146" t="n"/>
      <c r="U76" s="103" t="n"/>
      <c r="V76" s="1587" t="n"/>
      <c r="W76" s="1587" t="n"/>
      <c r="X76" s="4146" t="n"/>
      <c r="Y76" s="101" t="n"/>
      <c r="Z76" s="101" t="n"/>
      <c r="AA76" s="4146" t="n"/>
      <c r="AB76" s="4146" t="n"/>
      <c r="AC76" s="4146" t="n"/>
      <c r="AD76" s="4146" t="n"/>
      <c r="AE76" s="4146" t="n"/>
      <c r="AF76" s="4146" t="n"/>
      <c r="AG76" s="4146" t="n"/>
      <c r="AH76" s="4305" t="n"/>
    </row>
    <row r="77" ht="3.95" customHeight="1" s="4080">
      <c r="A77" s="4097" t="n"/>
      <c r="B77" s="4107" t="n"/>
      <c r="C77" s="4106" t="n"/>
      <c r="J77" s="4107" t="n"/>
      <c r="K77" s="4293" t="inlineStr">
        <is>
          <t>日・祝日</t>
        </is>
      </c>
      <c r="L77" s="4290" t="n"/>
      <c r="M77" s="4291" t="n"/>
      <c r="N77" s="1581" t="n"/>
      <c r="O77" s="4290" t="n"/>
      <c r="P77" s="1521" t="inlineStr">
        <is>
          <t>時</t>
        </is>
      </c>
      <c r="Q77" s="1583" t="n"/>
      <c r="R77" s="1583" t="n"/>
      <c r="S77" s="4294" t="inlineStr">
        <is>
          <t>分～</t>
        </is>
      </c>
      <c r="T77" s="4290" t="n"/>
      <c r="U77" s="98" t="inlineStr">
        <is>
          <t xml:space="preserve">　</t>
        </is>
      </c>
      <c r="V77" s="1582" t="n"/>
      <c r="W77" s="1582" t="n"/>
      <c r="X77" s="1521" t="inlineStr">
        <is>
          <t>時</t>
        </is>
      </c>
      <c r="Y77" s="96" t="n"/>
      <c r="Z77" s="96" t="n"/>
      <c r="AA77" s="1521" t="inlineStr">
        <is>
          <t>分</t>
        </is>
      </c>
      <c r="AB77" s="4483" t="n"/>
      <c r="AC77" s="4290" t="n"/>
      <c r="AD77" s="4290" t="n"/>
      <c r="AE77" s="4290" t="n"/>
      <c r="AF77" s="4290" t="n"/>
      <c r="AG77" s="4290" t="n"/>
      <c r="AH77" s="4482" t="n"/>
    </row>
    <row r="78" ht="12" customHeight="1" s="4080">
      <c r="A78" s="4097" t="n"/>
      <c r="B78" s="4107" t="n"/>
      <c r="C78" s="4106" t="n"/>
      <c r="J78" s="4107" t="n"/>
      <c r="K78" s="4106" t="n"/>
      <c r="M78" s="4191" t="n"/>
      <c r="N78" s="1589" t="n"/>
      <c r="Q78" s="1325" t="n"/>
      <c r="U78" s="1257" t="n"/>
      <c r="Y78" s="1580" t="n"/>
      <c r="AH78" s="4109" t="n"/>
    </row>
    <row r="79" ht="3.95" customHeight="1" s="4080">
      <c r="A79" s="4097" t="n"/>
      <c r="B79" s="4107" t="n"/>
      <c r="C79" s="4102" t="n"/>
      <c r="D79" s="4103" t="n"/>
      <c r="E79" s="4103" t="n"/>
      <c r="F79" s="4103" t="n"/>
      <c r="G79" s="4103" t="n"/>
      <c r="H79" s="4103" t="n"/>
      <c r="I79" s="4103" t="n"/>
      <c r="J79" s="4104" t="n"/>
      <c r="K79" s="4102" t="n"/>
      <c r="L79" s="4103" t="n"/>
      <c r="M79" s="4193" t="n"/>
      <c r="N79" s="1588" t="n"/>
      <c r="O79" s="1258" t="n"/>
      <c r="P79" s="4103" t="n"/>
      <c r="Q79" s="1327" t="n"/>
      <c r="R79" s="1327" t="n"/>
      <c r="S79" s="4103" t="n"/>
      <c r="T79" s="4103" t="n"/>
      <c r="U79" s="92" t="n"/>
      <c r="V79" s="1258" t="n"/>
      <c r="W79" s="1258" t="n"/>
      <c r="X79" s="4103" t="n"/>
      <c r="Y79" s="2836" t="n"/>
      <c r="Z79" s="2836" t="n"/>
      <c r="AA79" s="4103" t="n"/>
      <c r="AB79" s="4103" t="n"/>
      <c r="AC79" s="4103" t="n"/>
      <c r="AD79" s="4103" t="n"/>
      <c r="AE79" s="4103" t="n"/>
      <c r="AF79" s="4103" t="n"/>
      <c r="AG79" s="4103" t="n"/>
      <c r="AH79" s="4105" t="n"/>
    </row>
    <row r="80" ht="12" customHeight="1" s="4080">
      <c r="A80" s="4097" t="n"/>
      <c r="B80" s="4107" t="n"/>
      <c r="C80" s="1322" t="n"/>
      <c r="D80" s="1264" t="inlineStr">
        <is>
          <t>サービス提供日</t>
        </is>
      </c>
      <c r="E80" s="4098" t="n"/>
      <c r="F80" s="4098" t="n"/>
      <c r="G80" s="4098" t="n"/>
      <c r="H80" s="4098" t="n"/>
      <c r="I80" s="4098" t="n"/>
      <c r="J80" s="2027" t="n"/>
      <c r="K80" s="2244" t="inlineStr">
        <is>
          <t>月</t>
        </is>
      </c>
      <c r="L80" s="2245" t="inlineStr">
        <is>
          <t>火</t>
        </is>
      </c>
      <c r="M80" s="2245" t="inlineStr">
        <is>
          <t>水</t>
        </is>
      </c>
      <c r="N80" s="2245" t="inlineStr">
        <is>
          <t>木</t>
        </is>
      </c>
      <c r="O80" s="2245" t="inlineStr">
        <is>
          <t>金</t>
        </is>
      </c>
      <c r="P80" s="2245" t="inlineStr">
        <is>
          <t>土</t>
        </is>
      </c>
      <c r="Q80" s="2245" t="inlineStr">
        <is>
          <t>日</t>
        </is>
      </c>
      <c r="R80" s="2249" t="inlineStr">
        <is>
          <t>祝</t>
        </is>
      </c>
      <c r="S80" s="4279" t="inlineStr">
        <is>
          <t>休業日</t>
        </is>
      </c>
      <c r="T80" s="1611" t="inlineStr">
        <is>
          <t>年末年始</t>
        </is>
      </c>
      <c r="U80" s="4098" t="n"/>
      <c r="V80" s="934" t="n"/>
      <c r="W80" s="4098" t="n"/>
      <c r="X80" s="4098" t="n"/>
      <c r="Y80" s="4098" t="n"/>
      <c r="Z80" s="4098" t="n"/>
      <c r="AA80" s="4098" t="n"/>
      <c r="AB80" s="4099" t="n"/>
      <c r="AC80" s="4280" t="inlineStr">
        <is>
          <t>備　考</t>
        </is>
      </c>
      <c r="AD80" s="4281" t="n"/>
      <c r="AE80" s="4098" t="n"/>
      <c r="AF80" s="4098" t="n"/>
      <c r="AG80" s="4098" t="n"/>
      <c r="AH80" s="4101" t="n"/>
    </row>
    <row r="81" ht="12" customHeight="1" s="4080">
      <c r="A81" s="4097" t="n"/>
      <c r="B81" s="4107" t="n"/>
      <c r="C81" s="4106" t="n"/>
      <c r="J81" s="4107" t="n"/>
      <c r="K81" s="2244" t="inlineStr">
        <is>
          <t xml:space="preserve">　</t>
        </is>
      </c>
      <c r="L81" s="2245" t="n"/>
      <c r="M81" s="2245" t="n"/>
      <c r="N81" s="2245" t="n"/>
      <c r="O81" s="2245" t="n"/>
      <c r="P81" s="2245" t="n"/>
      <c r="Q81" s="2245" t="n"/>
      <c r="R81" s="2249" t="n"/>
      <c r="S81" s="4282" t="n"/>
      <c r="T81" s="1609" t="inlineStr">
        <is>
          <t>夏季</t>
        </is>
      </c>
      <c r="V81" s="937" t="n"/>
      <c r="AB81" s="4107" t="n"/>
      <c r="AC81" s="4282" t="n"/>
      <c r="AD81" s="4192" t="n"/>
      <c r="AH81" s="4109" t="n"/>
    </row>
    <row r="82" ht="12" customHeight="1" s="4080">
      <c r="A82" s="4097" t="n"/>
      <c r="B82" s="4107" t="n"/>
      <c r="C82" s="4106" t="n"/>
      <c r="D82" s="4103" t="n"/>
      <c r="E82" s="4103" t="n"/>
      <c r="F82" s="4103" t="n"/>
      <c r="G82" s="4103" t="n"/>
      <c r="H82" s="4103" t="n"/>
      <c r="I82" s="4103" t="n"/>
      <c r="J82" s="4107" t="n"/>
      <c r="K82" s="4283" t="n"/>
      <c r="L82" s="4284" t="n"/>
      <c r="M82" s="4284" t="n"/>
      <c r="N82" s="4284" t="n"/>
      <c r="O82" s="4284" t="n"/>
      <c r="P82" s="4284" t="n"/>
      <c r="Q82" s="4284" t="n"/>
      <c r="R82" s="4285" t="n"/>
      <c r="S82" s="4286" t="n"/>
      <c r="T82" s="1610" t="inlineStr">
        <is>
          <t>その他</t>
        </is>
      </c>
      <c r="U82" s="4103" t="n"/>
      <c r="V82" s="940" t="n"/>
      <c r="W82" s="4103" t="n"/>
      <c r="X82" s="4103" t="n"/>
      <c r="Y82" s="4103" t="n"/>
      <c r="Z82" s="4103" t="n"/>
      <c r="AA82" s="4103" t="n"/>
      <c r="AB82" s="4104" t="n"/>
      <c r="AC82" s="4286" t="n"/>
      <c r="AD82" s="4194" t="n"/>
      <c r="AE82" s="4103" t="n"/>
      <c r="AF82" s="4103" t="n"/>
      <c r="AG82" s="4103" t="n"/>
      <c r="AH82" s="4105" t="n"/>
    </row>
    <row r="83" ht="15.95" customHeight="1" s="4080">
      <c r="A83" s="4097" t="n"/>
      <c r="B83" s="4107" t="n"/>
      <c r="C83" s="1322" t="n"/>
      <c r="D83" s="1402" t="inlineStr">
        <is>
          <t>サービス提供時間</t>
        </is>
      </c>
      <c r="E83" s="4098" t="n"/>
      <c r="F83" s="4098" t="n"/>
      <c r="G83" s="4098" t="n"/>
      <c r="H83" s="4098" t="n"/>
      <c r="I83" s="4098" t="n"/>
      <c r="J83" s="1288" t="n"/>
      <c r="K83" s="2322" t="n"/>
      <c r="L83" s="4110" t="n"/>
      <c r="M83" s="4110" t="n"/>
      <c r="N83" s="1355" t="inlineStr">
        <is>
          <t>時</t>
        </is>
      </c>
      <c r="O83" s="2324" t="n"/>
      <c r="P83" s="4110" t="n"/>
      <c r="Q83" s="2325" t="inlineStr">
        <is>
          <t>分～</t>
        </is>
      </c>
      <c r="R83" s="4110" t="n"/>
      <c r="S83" s="2323" t="n"/>
      <c r="T83" s="4110" t="n"/>
      <c r="U83" s="4110" t="n"/>
      <c r="V83" s="1325" t="inlineStr">
        <is>
          <t>時</t>
        </is>
      </c>
      <c r="W83" s="1645" t="n"/>
      <c r="X83" s="4110" t="n"/>
      <c r="Y83" s="1325" t="inlineStr">
        <is>
          <t>分</t>
        </is>
      </c>
      <c r="Z83" s="2834" t="n"/>
      <c r="AA83" s="4278" t="n"/>
      <c r="AB83" s="4110" t="n"/>
      <c r="AC83" s="4110" t="n"/>
      <c r="AD83" s="4110" t="n"/>
      <c r="AE83" s="4110" t="n"/>
      <c r="AF83" s="4110" t="n"/>
      <c r="AG83" s="4110" t="n"/>
      <c r="AH83" s="4113" t="n"/>
    </row>
    <row r="84" ht="15.95" customHeight="1" s="4080">
      <c r="A84" s="4097" t="n"/>
      <c r="B84" s="4107" t="n"/>
      <c r="C84" s="1393" t="n"/>
      <c r="D84" s="4222" t="inlineStr">
        <is>
          <t>サービスを提供
する主たる対象者</t>
        </is>
      </c>
      <c r="E84" s="4098" t="n"/>
      <c r="F84" s="4098" t="n"/>
      <c r="G84" s="4098" t="n"/>
      <c r="H84" s="4098" t="n"/>
      <c r="I84" s="4098" t="n"/>
      <c r="J84" s="4223" t="n"/>
      <c r="K84" s="4952" t="inlineStr">
        <is>
          <t>身体障害者</t>
        </is>
      </c>
      <c r="L84" s="4138" t="n"/>
      <c r="M84" s="4138" t="n"/>
      <c r="N84" s="4138" t="n"/>
      <c r="O84" s="4138" t="n"/>
      <c r="P84" s="4138" t="n"/>
      <c r="Q84" s="4138" t="n"/>
      <c r="R84" s="4138" t="n"/>
      <c r="S84" s="4138" t="n"/>
      <c r="T84" s="4138" t="n"/>
      <c r="U84" s="4138" t="n"/>
      <c r="V84" s="4139" t="n"/>
      <c r="W84" s="4425" t="inlineStr">
        <is>
          <t>知的障害者</t>
        </is>
      </c>
      <c r="X84" s="4098" t="n"/>
      <c r="Y84" s="4098" t="n"/>
      <c r="Z84" s="4099" t="n"/>
      <c r="AA84" s="4425" t="inlineStr">
        <is>
          <t>精神障害者</t>
        </is>
      </c>
      <c r="AB84" s="4098" t="n"/>
      <c r="AC84" s="4098" t="n"/>
      <c r="AD84" s="4099" t="n"/>
      <c r="AE84" s="4426" t="inlineStr">
        <is>
          <t>難病等対象者</t>
        </is>
      </c>
      <c r="AF84" s="4098" t="n"/>
      <c r="AG84" s="4098" t="n"/>
      <c r="AH84" s="4099" t="n"/>
    </row>
    <row r="85" ht="15.95" customHeight="1" s="4080">
      <c r="A85" s="4097" t="n"/>
      <c r="B85" s="4107" t="n"/>
      <c r="C85" s="4106" t="n"/>
      <c r="J85" s="4107" t="n"/>
      <c r="K85" s="3931" t="inlineStr">
        <is>
          <t>肢体不自由</t>
        </is>
      </c>
      <c r="L85" s="4103" t="n"/>
      <c r="M85" s="4103" t="n"/>
      <c r="N85" s="4193" t="n"/>
      <c r="O85" s="4953" t="inlineStr">
        <is>
          <t>視覚</t>
        </is>
      </c>
      <c r="P85" s="4249" t="n"/>
      <c r="Q85" s="4250" t="inlineStr">
        <is>
          <t>聴覚・言語</t>
        </is>
      </c>
      <c r="R85" s="4140" t="n"/>
      <c r="S85" s="4140" t="n"/>
      <c r="T85" s="4249" t="n"/>
      <c r="U85" s="4954" t="inlineStr">
        <is>
          <t>内部</t>
        </is>
      </c>
      <c r="V85" s="4141" t="n"/>
      <c r="W85" s="4102" t="n"/>
      <c r="X85" s="4103" t="n"/>
      <c r="Y85" s="4103" t="n"/>
      <c r="Z85" s="4104" t="n"/>
      <c r="AA85" s="4102" t="n"/>
      <c r="AB85" s="4103" t="n"/>
      <c r="AC85" s="4103" t="n"/>
      <c r="AD85" s="4104" t="n"/>
      <c r="AE85" s="4102" t="n"/>
      <c r="AF85" s="4103" t="n"/>
      <c r="AG85" s="4103" t="n"/>
      <c r="AH85" s="4104" t="n"/>
    </row>
    <row r="86" ht="15.95" customHeight="1" s="4080">
      <c r="A86" s="4097" t="n"/>
      <c r="B86" s="4107" t="n"/>
      <c r="C86" s="4102" t="n"/>
      <c r="D86" s="4103" t="n"/>
      <c r="E86" s="4103" t="n"/>
      <c r="F86" s="4103" t="n"/>
      <c r="G86" s="4103" t="n"/>
      <c r="H86" s="4103" t="n"/>
      <c r="I86" s="4103" t="n"/>
      <c r="J86" s="4104" t="n"/>
      <c r="K86" s="3096" t="n"/>
      <c r="L86" s="4140" t="n"/>
      <c r="M86" s="4140" t="n"/>
      <c r="N86" s="4249" t="n"/>
      <c r="O86" s="2699" t="inlineStr">
        <is>
          <t xml:space="preserve">　</t>
        </is>
      </c>
      <c r="P86" s="4110" t="n"/>
      <c r="Q86" s="3925" t="n"/>
      <c r="R86" s="4110" t="n"/>
      <c r="S86" s="4110" t="n"/>
      <c r="T86" s="4189" t="n"/>
      <c r="U86" s="1280" t="inlineStr">
        <is>
          <t xml:space="preserve">　</t>
        </is>
      </c>
      <c r="V86" s="4111" t="n"/>
      <c r="W86" s="988" t="n"/>
      <c r="X86" s="4110" t="n"/>
      <c r="Y86" s="4110" t="n"/>
      <c r="Z86" s="4111" t="n"/>
      <c r="AA86" s="1663" t="n"/>
      <c r="AB86" s="4140" t="n"/>
      <c r="AC86" s="4140" t="n"/>
      <c r="AD86" s="4141" t="n"/>
      <c r="AE86" s="1663" t="n"/>
      <c r="AF86" s="4140" t="n"/>
      <c r="AG86" s="4140" t="n"/>
      <c r="AH86" s="4141" t="n"/>
    </row>
    <row r="87" ht="15" customHeight="1" s="4080">
      <c r="A87" s="4097" t="n"/>
      <c r="B87" s="4107" t="n"/>
      <c r="C87" s="1393" t="n"/>
      <c r="D87" s="1264" t="inlineStr">
        <is>
          <t>利用料</t>
        </is>
      </c>
      <c r="E87" s="4110" t="n"/>
      <c r="F87" s="4110" t="n"/>
      <c r="G87" s="4110" t="n"/>
      <c r="H87" s="4110" t="n"/>
      <c r="I87" s="4110" t="n"/>
      <c r="J87" s="1394" t="n"/>
      <c r="K87" s="4636" t="inlineStr">
        <is>
          <t xml:space="preserve">　</t>
        </is>
      </c>
      <c r="L87" s="4110" t="n"/>
      <c r="M87" s="4110" t="n"/>
      <c r="N87" s="4110" t="n"/>
      <c r="O87" s="4110" t="n"/>
      <c r="P87" s="4110" t="n"/>
      <c r="Q87" s="4110" t="n"/>
      <c r="R87" s="4110" t="n"/>
      <c r="S87" s="4110" t="n"/>
      <c r="T87" s="4110" t="n"/>
      <c r="U87" s="4110" t="n"/>
      <c r="V87" s="4110" t="n"/>
      <c r="W87" s="4110" t="n"/>
      <c r="X87" s="4110" t="n"/>
      <c r="Y87" s="4110" t="n"/>
      <c r="Z87" s="4110" t="n"/>
      <c r="AA87" s="4110" t="n"/>
      <c r="AB87" s="4110" t="n"/>
      <c r="AC87" s="4110" t="n"/>
      <c r="AD87" s="4110" t="n"/>
      <c r="AE87" s="4110" t="n"/>
      <c r="AF87" s="4110" t="n"/>
      <c r="AG87" s="4110" t="n"/>
      <c r="AH87" s="4113" t="n"/>
    </row>
    <row r="88" ht="15" customHeight="1" s="4080">
      <c r="A88" s="4097" t="n"/>
      <c r="B88" s="4107" t="n"/>
      <c r="C88" s="1322" t="n"/>
      <c r="D88" s="1264" t="inlineStr">
        <is>
          <t>その他の費用</t>
        </is>
      </c>
      <c r="E88" s="4110" t="n"/>
      <c r="F88" s="4110" t="n"/>
      <c r="G88" s="4110" t="n"/>
      <c r="H88" s="4110" t="n"/>
      <c r="I88" s="4110" t="n"/>
      <c r="J88" s="1331" t="n"/>
      <c r="K88" s="4121" t="inlineStr">
        <is>
          <t xml:space="preserve">　</t>
        </is>
      </c>
      <c r="L88" s="4110" t="n"/>
      <c r="M88" s="4110" t="n"/>
      <c r="N88" s="4110" t="n"/>
      <c r="O88" s="4110" t="n"/>
      <c r="P88" s="4110" t="n"/>
      <c r="Q88" s="4110" t="n"/>
      <c r="R88" s="4110" t="n"/>
      <c r="S88" s="4110" t="n"/>
      <c r="T88" s="4110" t="n"/>
      <c r="U88" s="4110" t="n"/>
      <c r="V88" s="4110" t="n"/>
      <c r="W88" s="4110" t="n"/>
      <c r="X88" s="4110" t="n"/>
      <c r="Y88" s="4110" t="n"/>
      <c r="Z88" s="4110" t="n"/>
      <c r="AA88" s="4110" t="n"/>
      <c r="AB88" s="4110" t="n"/>
      <c r="AC88" s="4110" t="n"/>
      <c r="AD88" s="4110" t="n"/>
      <c r="AE88" s="4110" t="n"/>
      <c r="AF88" s="4110" t="n"/>
      <c r="AG88" s="4110" t="n"/>
      <c r="AH88" s="4113" t="n"/>
    </row>
    <row r="89" ht="24" customHeight="1" s="4080">
      <c r="A89" s="4097" t="n"/>
      <c r="B89" s="4107" t="n"/>
      <c r="C89" s="1300" t="n"/>
      <c r="D89" s="4222" t="inlineStr">
        <is>
          <t>通常の事業の
実施地域</t>
        </is>
      </c>
      <c r="E89" s="4098" t="n"/>
      <c r="F89" s="4098" t="n"/>
      <c r="G89" s="4098" t="n"/>
      <c r="H89" s="4098" t="n"/>
      <c r="I89" s="4098" t="n"/>
      <c r="J89" s="1963" t="n"/>
      <c r="K89" s="3272" t="inlineStr">
        <is>
          <t>1)</t>
        </is>
      </c>
      <c r="L89" s="1406" t="n"/>
      <c r="M89" s="4110" t="n"/>
      <c r="N89" s="4110" t="n"/>
      <c r="O89" s="2325" t="inlineStr">
        <is>
          <t>2)</t>
        </is>
      </c>
      <c r="P89" s="1406" t="n"/>
      <c r="Q89" s="4110" t="n"/>
      <c r="R89" s="4110" t="n"/>
      <c r="S89" s="2325" t="inlineStr">
        <is>
          <t>3)</t>
        </is>
      </c>
      <c r="T89" s="1406" t="n"/>
      <c r="U89" s="4110" t="n"/>
      <c r="V89" s="4110" t="n"/>
      <c r="W89" s="2325" t="inlineStr">
        <is>
          <t>4)</t>
        </is>
      </c>
      <c r="X89" s="1406" t="n"/>
      <c r="Y89" s="4110" t="n"/>
      <c r="Z89" s="4110" t="n"/>
      <c r="AA89" s="2325" t="inlineStr">
        <is>
          <t>5)</t>
        </is>
      </c>
      <c r="AB89" s="1406" t="n"/>
      <c r="AC89" s="4110" t="n"/>
      <c r="AD89" s="4110" t="n"/>
      <c r="AE89" s="4229" t="inlineStr">
        <is>
          <t>備考</t>
        </is>
      </c>
      <c r="AF89" s="4230" t="n"/>
      <c r="AG89" s="4098" t="n"/>
      <c r="AH89" s="4101" t="n"/>
    </row>
    <row r="90" ht="24" customHeight="1" s="4080">
      <c r="A90" s="4097" t="n"/>
      <c r="B90" s="4107" t="n"/>
      <c r="C90" s="4102" t="n"/>
      <c r="D90" s="4103" t="n"/>
      <c r="E90" s="4103" t="n"/>
      <c r="F90" s="4103" t="n"/>
      <c r="G90" s="4103" t="n"/>
      <c r="H90" s="4103" t="n"/>
      <c r="I90" s="4103" t="n"/>
      <c r="J90" s="4104" t="n"/>
      <c r="K90" s="3272" t="inlineStr">
        <is>
          <t>6)</t>
        </is>
      </c>
      <c r="L90" s="1406" t="n"/>
      <c r="M90" s="4110" t="n"/>
      <c r="N90" s="4110" t="n"/>
      <c r="O90" s="2325" t="inlineStr">
        <is>
          <t>7)</t>
        </is>
      </c>
      <c r="P90" s="1406" t="n"/>
      <c r="Q90" s="4110" t="n"/>
      <c r="R90" s="4110" t="n"/>
      <c r="S90" s="2325" t="inlineStr">
        <is>
          <t>8)</t>
        </is>
      </c>
      <c r="T90" s="1406" t="n"/>
      <c r="U90" s="4110" t="n"/>
      <c r="V90" s="4110" t="n"/>
      <c r="W90" s="2325" t="inlineStr">
        <is>
          <t>9)</t>
        </is>
      </c>
      <c r="X90" s="1406" t="n"/>
      <c r="Y90" s="4110" t="n"/>
      <c r="Z90" s="4110" t="n"/>
      <c r="AA90" s="71" t="inlineStr">
        <is>
          <t>10)</t>
        </is>
      </c>
      <c r="AB90" s="1406" t="n"/>
      <c r="AC90" s="4110" t="n"/>
      <c r="AD90" s="4110" t="n"/>
      <c r="AE90" s="4124" t="n"/>
      <c r="AF90" s="4102" t="n"/>
      <c r="AG90" s="4103" t="n"/>
      <c r="AH90" s="4105" t="n"/>
    </row>
    <row r="91" ht="24" customHeight="1" s="4080">
      <c r="A91" s="4097" t="n"/>
      <c r="B91" s="4107" t="n"/>
      <c r="C91" s="4955" t="inlineStr">
        <is>
          <t>その他参考となる事項</t>
        </is>
      </c>
      <c r="D91" s="4099" t="n"/>
      <c r="E91" s="4628" t="inlineStr">
        <is>
          <t>第三者評価の実施状況</t>
        </is>
      </c>
      <c r="F91" s="4110" t="n"/>
      <c r="G91" s="4110" t="n"/>
      <c r="H91" s="4110" t="n"/>
      <c r="I91" s="4110" t="n"/>
      <c r="J91" s="4111" t="n"/>
      <c r="K91" s="3272" t="n"/>
      <c r="L91" s="1406" t="n"/>
      <c r="M91" s="1406" t="n"/>
      <c r="N91" s="1406" t="n"/>
      <c r="O91" s="2325" t="n"/>
      <c r="P91" s="1406" t="n"/>
      <c r="Q91" s="1406" t="n"/>
      <c r="R91" s="1406" t="n"/>
      <c r="S91" s="2325" t="n"/>
      <c r="T91" s="1406" t="n"/>
      <c r="U91" s="1406" t="n"/>
      <c r="V91" s="1406" t="n"/>
      <c r="W91" s="2325" t="n"/>
      <c r="X91" s="1406" t="n"/>
      <c r="Y91" s="1406" t="n"/>
      <c r="Z91" s="1406" t="n"/>
      <c r="AA91" s="71" t="n"/>
      <c r="AB91" s="1406" t="n"/>
      <c r="AC91" s="1406" t="n"/>
      <c r="AD91" s="1406" t="n"/>
      <c r="AE91" s="675" t="n"/>
      <c r="AF91" s="1020" t="n"/>
      <c r="AG91" s="1020" t="n"/>
      <c r="AH91" s="1425" t="n"/>
    </row>
    <row r="92" ht="15" customHeight="1" s="4080">
      <c r="A92" s="4097" t="n"/>
      <c r="B92" s="4107" t="n"/>
      <c r="C92" s="4106" t="n"/>
      <c r="D92" s="4107" t="n"/>
      <c r="E92" s="1439" t="inlineStr">
        <is>
          <t>苦情解決の措置概要</t>
        </is>
      </c>
      <c r="F92" s="4098" t="n"/>
      <c r="G92" s="4098" t="n"/>
      <c r="H92" s="4098" t="n"/>
      <c r="I92" s="4098" t="n"/>
      <c r="J92" s="4099" t="n"/>
      <c r="K92" s="2542" t="inlineStr">
        <is>
          <t>窓　口</t>
        </is>
      </c>
      <c r="L92" s="4110" t="n"/>
      <c r="M92" s="4111" t="n"/>
      <c r="N92" s="4121" t="inlineStr">
        <is>
          <t xml:space="preserve">　</t>
        </is>
      </c>
      <c r="O92" s="4110" t="n"/>
      <c r="P92" s="4110" t="n"/>
      <c r="Q92" s="4110" t="n"/>
      <c r="R92" s="4110" t="n"/>
      <c r="S92" s="4110" t="n"/>
      <c r="T92" s="4110" t="n"/>
      <c r="U92" s="4110" t="n"/>
      <c r="V92" s="4110" t="n"/>
      <c r="W92" s="4110" t="n"/>
      <c r="X92" s="4110" t="n"/>
      <c r="Y92" s="4110" t="n"/>
      <c r="Z92" s="4110" t="n"/>
      <c r="AA92" s="4110" t="n"/>
      <c r="AB92" s="4110" t="n"/>
      <c r="AC92" s="4110" t="n"/>
      <c r="AD92" s="4110" t="n"/>
      <c r="AE92" s="4110" t="n"/>
      <c r="AF92" s="4110" t="n"/>
      <c r="AG92" s="4110" t="n"/>
      <c r="AH92" s="4113" t="n"/>
    </row>
    <row r="93" ht="15" customHeight="1" s="4080">
      <c r="A93" s="4097" t="n"/>
      <c r="B93" s="4107" t="n"/>
      <c r="C93" s="4106" t="n"/>
      <c r="D93" s="4107" t="n"/>
      <c r="E93" s="4103" t="n"/>
      <c r="F93" s="4103" t="n"/>
      <c r="G93" s="4103" t="n"/>
      <c r="H93" s="4103" t="n"/>
      <c r="I93" s="4103" t="n"/>
      <c r="J93" s="4104" t="n"/>
      <c r="K93" s="2542" t="inlineStr">
        <is>
          <t>担当者</t>
        </is>
      </c>
      <c r="L93" s="4110" t="n"/>
      <c r="M93" s="4111" t="n"/>
      <c r="N93" s="4233" t="n"/>
      <c r="O93" s="4110" t="n"/>
      <c r="P93" s="4110" t="n"/>
      <c r="Q93" s="4110" t="n"/>
      <c r="R93" s="4110" t="n"/>
      <c r="S93" s="4110" t="n"/>
      <c r="T93" s="4110" t="n"/>
      <c r="U93" s="4111" t="n"/>
      <c r="V93" s="2163" t="inlineStr">
        <is>
          <t>電話</t>
        </is>
      </c>
      <c r="W93" s="4111" t="n"/>
      <c r="X93" s="882" t="n"/>
      <c r="Y93" s="4110" t="n"/>
      <c r="Z93" s="4110" t="n"/>
      <c r="AA93" s="1492" t="inlineStr">
        <is>
          <t>－</t>
        </is>
      </c>
      <c r="AB93" s="920" t="n"/>
      <c r="AC93" s="4110" t="n"/>
      <c r="AD93" s="4110" t="n"/>
      <c r="AE93" s="1492" t="inlineStr">
        <is>
          <t>－</t>
        </is>
      </c>
      <c r="AF93" s="955" t="n"/>
      <c r="AG93" s="4110" t="n"/>
      <c r="AH93" s="4113" t="n"/>
    </row>
    <row r="94" ht="15" customHeight="1" s="4080">
      <c r="A94" s="4114" t="n"/>
      <c r="B94" s="4104" t="n"/>
      <c r="C94" s="4102" t="n"/>
      <c r="D94" s="4104" t="n"/>
      <c r="E94" s="1394" t="inlineStr">
        <is>
          <t>そ　　 の 　　他</t>
        </is>
      </c>
      <c r="F94" s="4110" t="n"/>
      <c r="G94" s="4110" t="n"/>
      <c r="H94" s="4110" t="n"/>
      <c r="I94" s="4110" t="n"/>
      <c r="J94" s="4111" t="n"/>
      <c r="K94" s="4121" t="n"/>
      <c r="L94" s="4110" t="n"/>
      <c r="M94" s="4110" t="n"/>
      <c r="N94" s="4110" t="n"/>
      <c r="O94" s="4110" t="n"/>
      <c r="P94" s="4110" t="n"/>
      <c r="Q94" s="4110" t="n"/>
      <c r="R94" s="4110" t="n"/>
      <c r="S94" s="4110" t="n"/>
      <c r="T94" s="4110" t="n"/>
      <c r="U94" s="4110" t="n"/>
      <c r="V94" s="4110" t="n"/>
      <c r="W94" s="4110" t="n"/>
      <c r="X94" s="4110" t="n"/>
      <c r="Y94" s="4110" t="n"/>
      <c r="Z94" s="4110" t="n"/>
      <c r="AA94" s="4110" t="n"/>
      <c r="AB94" s="4110" t="n"/>
      <c r="AC94" s="4110" t="n"/>
      <c r="AD94" s="4110" t="n"/>
      <c r="AE94" s="4110" t="n"/>
      <c r="AF94" s="4110" t="n"/>
      <c r="AG94" s="4110" t="n"/>
      <c r="AH94" s="4113" t="n"/>
    </row>
    <row r="95" ht="17.1" customHeight="1" s="4080" thickBot="1">
      <c r="A95" s="4234" t="inlineStr">
        <is>
          <t>添　　付　　書　　類</t>
        </is>
      </c>
      <c r="B95" s="4153" t="n"/>
      <c r="C95" s="4153" t="n"/>
      <c r="D95" s="4153" t="n"/>
      <c r="E95" s="4153" t="n"/>
      <c r="F95" s="4153" t="n"/>
      <c r="G95" s="4153" t="n"/>
      <c r="H95" s="4153" t="n"/>
      <c r="I95" s="4153" t="n"/>
      <c r="J95" s="4154" t="n"/>
      <c r="K95" s="4235" t="inlineStr">
        <is>
          <t xml:space="preserve">　別紙「添付書類一覧表」のとおり</t>
        </is>
      </c>
      <c r="L95" s="4153" t="n"/>
      <c r="M95" s="4153" t="n"/>
      <c r="N95" s="4153" t="n"/>
      <c r="O95" s="4153" t="n"/>
      <c r="P95" s="4153" t="n"/>
      <c r="Q95" s="4153" t="n"/>
      <c r="R95" s="4153" t="n"/>
      <c r="S95" s="4153" t="n"/>
      <c r="T95" s="4153" t="n"/>
      <c r="U95" s="4153" t="n"/>
      <c r="V95" s="4153" t="n"/>
      <c r="W95" s="4153" t="n"/>
      <c r="X95" s="4153" t="n"/>
      <c r="Y95" s="4153" t="n"/>
      <c r="Z95" s="4153" t="n"/>
      <c r="AA95" s="4153" t="n"/>
      <c r="AB95" s="4153" t="n"/>
      <c r="AC95" s="4153" t="n"/>
      <c r="AD95" s="4153" t="n"/>
      <c r="AE95" s="4153" t="n"/>
      <c r="AF95" s="4153" t="n"/>
      <c r="AG95" s="4153" t="n"/>
      <c r="AH95" s="4155" t="n"/>
    </row>
    <row r="97">
      <c r="AD97" s="1667" t="inlineStr">
        <is>
          <t>就労定着支援</t>
        </is>
      </c>
    </row>
  </sheetData>
  <mergeCells count="407">
    <mergeCell ref="T40:V42"/>
    <mergeCell ref="Q86:T86"/>
    <mergeCell ref="K71:M73"/>
    <mergeCell ref="X27:AH29"/>
    <mergeCell ref="AC80:AC82"/>
    <mergeCell ref="F47:H47"/>
    <mergeCell ref="Z66:AA66"/>
    <mergeCell ref="A63:J63"/>
    <mergeCell ref="I50:R50"/>
    <mergeCell ref="N77:O77"/>
    <mergeCell ref="W58:Y58"/>
    <mergeCell ref="V17:AH17"/>
    <mergeCell ref="R81:R82"/>
    <mergeCell ref="H2:L2"/>
    <mergeCell ref="W60:Y60"/>
    <mergeCell ref="Z1:AH1"/>
    <mergeCell ref="AC61:AH61"/>
    <mergeCell ref="D71:I79"/>
    <mergeCell ref="AA2:AA3"/>
    <mergeCell ref="W53:Y53"/>
    <mergeCell ref="AC2:AC3"/>
    <mergeCell ref="J84:J86"/>
    <mergeCell ref="I47:R47"/>
    <mergeCell ref="V44:AH44"/>
    <mergeCell ref="N30:R30"/>
    <mergeCell ref="V31:AH31"/>
    <mergeCell ref="AA11:AB11"/>
    <mergeCell ref="J80:J82"/>
    <mergeCell ref="K74:M76"/>
    <mergeCell ref="AC11:AD11"/>
    <mergeCell ref="U85:V85"/>
    <mergeCell ref="AE11:AF11"/>
    <mergeCell ref="T58:V58"/>
    <mergeCell ref="T67:U67"/>
    <mergeCell ref="Q62:V64"/>
    <mergeCell ref="P90:R90"/>
    <mergeCell ref="T54:V54"/>
    <mergeCell ref="X40:AH42"/>
    <mergeCell ref="AC58:AE58"/>
    <mergeCell ref="T82:U82"/>
    <mergeCell ref="W59:Y59"/>
    <mergeCell ref="Q59:S59"/>
    <mergeCell ref="P74:P76"/>
    <mergeCell ref="X93:Z93"/>
    <mergeCell ref="T60:V60"/>
    <mergeCell ref="C55:J55"/>
    <mergeCell ref="T27:V29"/>
    <mergeCell ref="A1:Y1"/>
    <mergeCell ref="Z67:AA67"/>
    <mergeCell ref="AE89:AE90"/>
    <mergeCell ref="B26:B38"/>
    <mergeCell ref="C46:E51"/>
    <mergeCell ref="C26:E26"/>
    <mergeCell ref="J27:M29"/>
    <mergeCell ref="V35:AA35"/>
    <mergeCell ref="T65:V65"/>
    <mergeCell ref="V34:AA34"/>
    <mergeCell ref="A68:B94"/>
    <mergeCell ref="A62:J62"/>
    <mergeCell ref="F39:I39"/>
    <mergeCell ref="E65:G65"/>
    <mergeCell ref="K56:P56"/>
    <mergeCell ref="X89:Z89"/>
    <mergeCell ref="U86:V86"/>
    <mergeCell ref="AC60:AE60"/>
    <mergeCell ref="Q72:R72"/>
    <mergeCell ref="J89:J90"/>
    <mergeCell ref="C68:C70"/>
    <mergeCell ref="Z2:Z3"/>
    <mergeCell ref="AB2:AB3"/>
    <mergeCell ref="K77:M79"/>
    <mergeCell ref="AD2:AD3"/>
    <mergeCell ref="X71:X73"/>
    <mergeCell ref="X90:Z90"/>
    <mergeCell ref="T26:X26"/>
    <mergeCell ref="L69:L70"/>
    <mergeCell ref="AE84:AH85"/>
    <mergeCell ref="N69:N70"/>
    <mergeCell ref="Z65:AB65"/>
    <mergeCell ref="AD80:AH82"/>
    <mergeCell ref="J40:M42"/>
    <mergeCell ref="P77:P79"/>
    <mergeCell ref="Q54:S54"/>
    <mergeCell ref="N53:P53"/>
    <mergeCell ref="E94:J94"/>
    <mergeCell ref="K58:M58"/>
    <mergeCell ref="C52:J53"/>
    <mergeCell ref="I8:M9"/>
    <mergeCell ref="V49:AA49"/>
    <mergeCell ref="V36:AA36"/>
    <mergeCell ref="N71:O71"/>
    <mergeCell ref="Q61:V61"/>
    <mergeCell ref="K53:M53"/>
    <mergeCell ref="D68:I70"/>
    <mergeCell ref="A11:S11"/>
    <mergeCell ref="V50:AA50"/>
    <mergeCell ref="K57:P57"/>
    <mergeCell ref="K93:M93"/>
    <mergeCell ref="K69:K70"/>
    <mergeCell ref="Q56:V56"/>
    <mergeCell ref="N26:O29"/>
    <mergeCell ref="S74:T76"/>
    <mergeCell ref="N54:P54"/>
    <mergeCell ref="AF50:AG50"/>
    <mergeCell ref="K55:M55"/>
    <mergeCell ref="X74:X76"/>
    <mergeCell ref="V70:AB70"/>
    <mergeCell ref="AF93:AH93"/>
    <mergeCell ref="W32:AH32"/>
    <mergeCell ref="N66:O66"/>
    <mergeCell ref="S80:S82"/>
    <mergeCell ref="U72:W72"/>
    <mergeCell ref="Z21:AH21"/>
    <mergeCell ref="F27:I29"/>
    <mergeCell ref="N92:AH92"/>
    <mergeCell ref="Z23:AH23"/>
    <mergeCell ref="S46:U51"/>
    <mergeCell ref="I10:K10"/>
    <mergeCell ref="C59:J59"/>
    <mergeCell ref="Z59:AB59"/>
    <mergeCell ref="C13:E15"/>
    <mergeCell ref="P13:Q15"/>
    <mergeCell ref="Z24:AH24"/>
    <mergeCell ref="C7:E9"/>
    <mergeCell ref="T70:U70"/>
    <mergeCell ref="C61:J61"/>
    <mergeCell ref="T81:U81"/>
    <mergeCell ref="I37:R37"/>
    <mergeCell ref="P39:S39"/>
    <mergeCell ref="Q75:R75"/>
    <mergeCell ref="W45:AH45"/>
    <mergeCell ref="Q58:S58"/>
    <mergeCell ref="Y72:Z72"/>
    <mergeCell ref="AF37:AG37"/>
    <mergeCell ref="L89:N89"/>
    <mergeCell ref="AF10:AH10"/>
    <mergeCell ref="W86:Z86"/>
    <mergeCell ref="Q60:S60"/>
    <mergeCell ref="AF66:AG66"/>
    <mergeCell ref="S77:T79"/>
    <mergeCell ref="Z25:AA25"/>
    <mergeCell ref="R25:S25"/>
    <mergeCell ref="AA84:AD85"/>
    <mergeCell ref="Q81:Q82"/>
    <mergeCell ref="E91:J91"/>
    <mergeCell ref="W52:AB52"/>
    <mergeCell ref="K23:N24"/>
    <mergeCell ref="N67:O67"/>
    <mergeCell ref="X77:X79"/>
    <mergeCell ref="A65:D67"/>
    <mergeCell ref="T66:U66"/>
    <mergeCell ref="V48:AA48"/>
    <mergeCell ref="K66:L66"/>
    <mergeCell ref="M63:N63"/>
    <mergeCell ref="N81:N82"/>
    <mergeCell ref="AB71:AH73"/>
    <mergeCell ref="P81:P82"/>
    <mergeCell ref="Q10:S10"/>
    <mergeCell ref="K21:N22"/>
    <mergeCell ref="F4:AH4"/>
    <mergeCell ref="U2:X3"/>
    <mergeCell ref="O83:P83"/>
    <mergeCell ref="C71:C79"/>
    <mergeCell ref="Q83:R83"/>
    <mergeCell ref="P7:R7"/>
    <mergeCell ref="C5:E6"/>
    <mergeCell ref="Y11:Z11"/>
    <mergeCell ref="V68:AB68"/>
    <mergeCell ref="AC56:AH56"/>
    <mergeCell ref="A64:J64"/>
    <mergeCell ref="L90:N90"/>
    <mergeCell ref="Y78:Z78"/>
    <mergeCell ref="Q78:R78"/>
    <mergeCell ref="N65:P65"/>
    <mergeCell ref="J13:M15"/>
    <mergeCell ref="F7:I7"/>
    <mergeCell ref="V69:AB69"/>
    <mergeCell ref="F34:H34"/>
    <mergeCell ref="A52:B61"/>
    <mergeCell ref="J68:J70"/>
    <mergeCell ref="C4:E4"/>
    <mergeCell ref="P69:P70"/>
    <mergeCell ref="P21:X21"/>
    <mergeCell ref="A4:B10"/>
    <mergeCell ref="W54:Y54"/>
    <mergeCell ref="P23:X23"/>
    <mergeCell ref="AF59:AH59"/>
    <mergeCell ref="N72:O72"/>
    <mergeCell ref="W43:AH43"/>
    <mergeCell ref="E92:J93"/>
    <mergeCell ref="N93:U93"/>
    <mergeCell ref="V82:AB82"/>
    <mergeCell ref="W66:X66"/>
    <mergeCell ref="C33:E38"/>
    <mergeCell ref="AB74:AH76"/>
    <mergeCell ref="K85:N85"/>
    <mergeCell ref="K83:M83"/>
    <mergeCell ref="O81:O82"/>
    <mergeCell ref="F26:I26"/>
    <mergeCell ref="AC57:AH57"/>
    <mergeCell ref="D84:I86"/>
    <mergeCell ref="T53:V53"/>
    <mergeCell ref="K86:N86"/>
    <mergeCell ref="AB90:AD90"/>
    <mergeCell ref="AC53:AE53"/>
    <mergeCell ref="AF54:AH54"/>
    <mergeCell ref="D80:I82"/>
    <mergeCell ref="R69:R70"/>
    <mergeCell ref="T55:V55"/>
    <mergeCell ref="K94:AH94"/>
    <mergeCell ref="AC55:AE55"/>
    <mergeCell ref="AC47:AD47"/>
    <mergeCell ref="W16:AH16"/>
    <mergeCell ref="B2:F2"/>
    <mergeCell ref="I34:R34"/>
    <mergeCell ref="S71:T73"/>
    <mergeCell ref="W61:AB61"/>
    <mergeCell ref="W18:AH18"/>
    <mergeCell ref="T80:U80"/>
    <mergeCell ref="Z60:AB60"/>
    <mergeCell ref="P24:X24"/>
    <mergeCell ref="C16:M18"/>
    <mergeCell ref="AC50:AD50"/>
    <mergeCell ref="AC25:AD25"/>
    <mergeCell ref="C43:M45"/>
    <mergeCell ref="Z55:AB55"/>
    <mergeCell ref="S16:U18"/>
    <mergeCell ref="N12:O15"/>
    <mergeCell ref="W67:X67"/>
    <mergeCell ref="S43:U45"/>
    <mergeCell ref="S33:U38"/>
    <mergeCell ref="F5:AH6"/>
    <mergeCell ref="AB77:AH79"/>
    <mergeCell ref="U75:W75"/>
    <mergeCell ref="F50:H50"/>
    <mergeCell ref="N32:R32"/>
    <mergeCell ref="Z58:AB58"/>
    <mergeCell ref="D87:I87"/>
    <mergeCell ref="T68:U68"/>
    <mergeCell ref="P26:S26"/>
    <mergeCell ref="N59:P59"/>
    <mergeCell ref="AF2:AF3"/>
    <mergeCell ref="P20:AH20"/>
    <mergeCell ref="AH2:AH3"/>
    <mergeCell ref="J71:J79"/>
    <mergeCell ref="A26:A51"/>
    <mergeCell ref="AB93:AD93"/>
    <mergeCell ref="J7:N7"/>
    <mergeCell ref="T10:W10"/>
    <mergeCell ref="W11:X11"/>
    <mergeCell ref="O85:P85"/>
    <mergeCell ref="W65:Y65"/>
    <mergeCell ref="N45:R45"/>
    <mergeCell ref="Y75:Z75"/>
    <mergeCell ref="C10:E10"/>
    <mergeCell ref="T59:V59"/>
    <mergeCell ref="AA74:AA76"/>
    <mergeCell ref="O86:P86"/>
    <mergeCell ref="T89:V89"/>
    <mergeCell ref="S68:S70"/>
    <mergeCell ref="J12:M12"/>
    <mergeCell ref="AC66:AD66"/>
    <mergeCell ref="K59:M59"/>
    <mergeCell ref="P71:P73"/>
    <mergeCell ref="K52:P52"/>
    <mergeCell ref="C54:J54"/>
    <mergeCell ref="K25:N25"/>
    <mergeCell ref="AC67:AD67"/>
    <mergeCell ref="F37:H37"/>
    <mergeCell ref="X10:Z10"/>
    <mergeCell ref="C56:J56"/>
    <mergeCell ref="AB10:AD10"/>
    <mergeCell ref="V37:AA37"/>
    <mergeCell ref="F40:I42"/>
    <mergeCell ref="T13:V15"/>
    <mergeCell ref="Q57:V57"/>
    <mergeCell ref="V47:AA47"/>
    <mergeCell ref="D88:I88"/>
    <mergeCell ref="U78:W78"/>
    <mergeCell ref="T69:U69"/>
    <mergeCell ref="AF47:AG47"/>
    <mergeCell ref="Q52:V52"/>
    <mergeCell ref="Q55:S55"/>
    <mergeCell ref="H67:I67"/>
    <mergeCell ref="AE2:AE3"/>
    <mergeCell ref="C19:J25"/>
    <mergeCell ref="AG2:AG3"/>
    <mergeCell ref="Y2:Y3"/>
    <mergeCell ref="AA71:AA73"/>
    <mergeCell ref="W83:X83"/>
    <mergeCell ref="N8:N9"/>
    <mergeCell ref="U25:V25"/>
    <mergeCell ref="Q69:Q70"/>
    <mergeCell ref="AC65:AE65"/>
    <mergeCell ref="D83:I83"/>
    <mergeCell ref="P8:AH9"/>
    <mergeCell ref="Q2:S2"/>
    <mergeCell ref="X13:AH15"/>
    <mergeCell ref="T90:V90"/>
    <mergeCell ref="A12:B25"/>
    <mergeCell ref="T12:X12"/>
    <mergeCell ref="AA77:AA79"/>
    <mergeCell ref="C60:J60"/>
    <mergeCell ref="AB89:AD89"/>
    <mergeCell ref="Q53:S53"/>
    <mergeCell ref="AC68:AC70"/>
    <mergeCell ref="F10:H10"/>
    <mergeCell ref="AF89:AH90"/>
    <mergeCell ref="K54:M54"/>
    <mergeCell ref="F13:I15"/>
    <mergeCell ref="N16:R16"/>
    <mergeCell ref="AF67:AG67"/>
    <mergeCell ref="N75:O75"/>
    <mergeCell ref="AE86:AH86"/>
    <mergeCell ref="C57:J58"/>
    <mergeCell ref="N43:R43"/>
    <mergeCell ref="K61:P61"/>
    <mergeCell ref="N60:P60"/>
    <mergeCell ref="W62:AB64"/>
    <mergeCell ref="K67:L67"/>
    <mergeCell ref="O25:P25"/>
    <mergeCell ref="L81:L82"/>
    <mergeCell ref="N55:P55"/>
    <mergeCell ref="K19:N20"/>
    <mergeCell ref="A95:J95"/>
    <mergeCell ref="Q66:R66"/>
    <mergeCell ref="C84:C86"/>
    <mergeCell ref="K60:M60"/>
    <mergeCell ref="W30:AH30"/>
    <mergeCell ref="AC62:AH64"/>
    <mergeCell ref="N58:P58"/>
    <mergeCell ref="P19:AH19"/>
    <mergeCell ref="Z22:AH22"/>
    <mergeCell ref="AC37:AD37"/>
    <mergeCell ref="C12:E12"/>
    <mergeCell ref="K81:K82"/>
    <mergeCell ref="V80:AB80"/>
    <mergeCell ref="M81:M82"/>
    <mergeCell ref="C30:M32"/>
    <mergeCell ref="B39:B51"/>
    <mergeCell ref="AF58:AH58"/>
    <mergeCell ref="N2:O2"/>
    <mergeCell ref="C39:E39"/>
    <mergeCell ref="N18:R18"/>
    <mergeCell ref="S30:U32"/>
    <mergeCell ref="AF60:AH60"/>
    <mergeCell ref="P27:Q29"/>
    <mergeCell ref="K65:M65"/>
    <mergeCell ref="AC52:AH52"/>
    <mergeCell ref="N78:O78"/>
    <mergeCell ref="K87:AH87"/>
    <mergeCell ref="K95:AH95"/>
    <mergeCell ref="K88:AH88"/>
    <mergeCell ref="T39:X39"/>
    <mergeCell ref="N39:O42"/>
    <mergeCell ref="AF65:AH65"/>
    <mergeCell ref="AE25:AF25"/>
    <mergeCell ref="AG25:AH25"/>
    <mergeCell ref="AD68:AH70"/>
    <mergeCell ref="M69:M70"/>
    <mergeCell ref="O69:O70"/>
    <mergeCell ref="K84:V84"/>
    <mergeCell ref="AF55:AH55"/>
    <mergeCell ref="W56:AB56"/>
    <mergeCell ref="Q67:R67"/>
    <mergeCell ref="C27:E29"/>
    <mergeCell ref="H65:J65"/>
    <mergeCell ref="V93:W93"/>
    <mergeCell ref="AC59:AE59"/>
    <mergeCell ref="V81:AB81"/>
    <mergeCell ref="F8:H9"/>
    <mergeCell ref="H66:I66"/>
    <mergeCell ref="Q85:T85"/>
    <mergeCell ref="AA83:AH83"/>
    <mergeCell ref="J26:M26"/>
    <mergeCell ref="AF53:AH53"/>
    <mergeCell ref="Z53:AB53"/>
    <mergeCell ref="AF34:AG34"/>
    <mergeCell ref="M10:O10"/>
    <mergeCell ref="D89:I90"/>
    <mergeCell ref="C89:C90"/>
    <mergeCell ref="P12:S12"/>
    <mergeCell ref="C40:E42"/>
    <mergeCell ref="AC54:AE54"/>
    <mergeCell ref="C91:D94"/>
    <mergeCell ref="Q65:S65"/>
    <mergeCell ref="J39:M39"/>
    <mergeCell ref="U11:V11"/>
    <mergeCell ref="S83:U83"/>
    <mergeCell ref="P40:Q42"/>
    <mergeCell ref="E66:G66"/>
    <mergeCell ref="AC34:AD34"/>
    <mergeCell ref="P89:R89"/>
    <mergeCell ref="F12:I12"/>
    <mergeCell ref="W57:AB57"/>
    <mergeCell ref="AA86:AD86"/>
    <mergeCell ref="K92:M92"/>
    <mergeCell ref="S7:AH7"/>
    <mergeCell ref="E67:G67"/>
    <mergeCell ref="Z54:AB54"/>
    <mergeCell ref="X25:Y25"/>
    <mergeCell ref="W84:Z85"/>
    <mergeCell ref="V71:W71"/>
    <mergeCell ref="N74:O74"/>
    <mergeCell ref="C80:C82"/>
    <mergeCell ref="P22:X22"/>
    <mergeCell ref="W55:Y55"/>
  </mergeCells>
  <conditionalFormatting sqref="AC66:AD67">
    <cfRule type="cellIs" priority="1" operator="lessThanOrEqual" dxfId="0" stopIfTrue="1">
      <formula>0</formula>
    </cfRule>
  </conditionalFormatting>
  <dataValidations count="19">
    <dataValidation sqref="K88:AH88" showDropDown="0" showInputMessage="1" showErrorMessage="1" allowBlank="1" type="list">
      <formula1>"　,運営規程に定めるとおり"</formula1>
    </dataValidation>
    <dataValidation sqref="F4:AH4 F12:M12 F26:M26 F39:M39" showDropDown="0" showInputMessage="1" showErrorMessage="1" allowBlank="1" imeMode="halfKatakana"/>
    <dataValidation sqref="K69:R70 K81:R82 K86 O86 Q86 U86 W86 AA86 AE86" showDropDown="0" showInputMessage="1" showErrorMessage="1" allowBlank="1" type="list">
      <formula1>"　,○"</formula1>
    </dataValidation>
    <dataValidation sqref="I10:K10 J7:N7 O83:P83 T12:X12 T26:X26 T39:X39 U11:V11 W83:X83 X93 Y2:AH3 Y11:Z11 Z83:AA83 AB93:AD93 AC11:AD11 AF93" showDropDown="0" showInputMessage="1" showErrorMessage="1" allowBlank="1" imeMode="fullAlpha"/>
    <dataValidation sqref="K83 S83" showDropDown="0" showInputMessage="1" showErrorMessage="1" allowBlank="1" type="list" imeMode="fullAlpha">
      <formula1>"　,１,２,３,４,５,６,７,８,９,１０,１１,１２,１３,１４,１５,１６,１７,１８,１９,２０,２１,２２,２３,２４"</formula1>
    </dataValidation>
    <dataValidation sqref="N72 N75 N78 U72:V72 U75:V75 U78:V78" showDropDown="0" showInputMessage="1" showErrorMessage="1" allowBlank="1" type="list">
      <formula1>"　,１,２,３,４,５,６,７,８,９,１０,１１,１２,１３,１４,１５,１６,１７,１８,１９,２０,２１,２２,２３,２４"</formula1>
    </dataValidation>
    <dataValidation sqref="M10:O10 Q10:S10 X10:Z10 AB10:AD10 AF10:AH10" showDropDown="0" showInputMessage="1" showErrorMessage="1" allowBlank="1" error="全角数字で入力してください" imeMode="fullAlpha"/>
    <dataValidation sqref="E36:H36 E49:H49 F33:G33 F46:G46 I33:O33 I46:O46 R36 R49 V33:AH33 V46:AH46" showDropDown="0" showInputMessage="1" showErrorMessage="1" allowBlank="1" error="この行には入力できません。_x000a_下の行に入力してください。" prompt="この行には入力できません。_x000a_下の行に入力してください。" imeMode="on"/>
    <dataValidation sqref="F35:H35 F38:H38 F48:H48 F51:H51 O35 O38 O48 O51" showDropDown="0" showInputMessage="1" showErrorMessage="1" allowBlank="1" error="この行には入力できません。_x000a_下の行に入力してください。" prompt="この行には入力できません。_x000a_上の行に入力してください。" imeMode="on"/>
    <dataValidation sqref="V17:AH17"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R25:S25 U25:V25 X25:Y25 AE25:AF25" showDropDown="0" showInputMessage="1" showErrorMessage="1" allowBlank="1" errorStyle="warning"/>
    <dataValidation sqref="O25:P25" showDropDown="0" showInputMessage="1" showErrorMessage="1" allowBlank="1" type="list" errorStyle="warning">
      <formula1>"　,７,８,９,１０,１１"</formula1>
    </dataValidation>
    <dataValidation sqref="AB25" showDropDown="0" showInputMessage="1" showErrorMessage="1" allowBlank="1" error="労働基準法では、１日当たりの労働時間は、原則８時間以内です。_x000a_法人の就業規則、労働基準局への届出等確認してください。" type="list" errorStyle="warning" imeMode="halfAlpha">
      <formula1>"　,１,２,３,４,５,６,７,８"</formula1>
    </dataValidation>
    <dataValidation sqref="I34:R34 I47:R47" showDropDown="0" showInputMessage="1" showErrorMessage="1" allowBlank="1" prompt="プルダウンメニューから選択してください。" type="list">
      <formula1>"　,相談支援業務5年以上,直接支援業務10年以上,直接支援業務5年以上＋有資格,国家資格業務5年以上＋相談支援業務3年以上,国家資格業務5年以上＋直接支援業務3年以上"</formula1>
    </dataValidation>
    <dataValidation sqref="V31:AH31 V44:AH44" showDropDown="0" showInputMessage="1" showErrorMessage="1" allowBlank="1" prompt="サービス管理責任者は、サービス提供職員との兼務はできません。" type="list" errorStyle="warning">
      <formula1>"　,管理者,事務職員,管理者、事務職員"</formula1>
    </dataValidation>
    <dataValidation sqref="H66:AA67 K54:AH56 K59:AH61 K62:P64 Q62 AC62 AC66:AD67" showDropDown="0" showInputMessage="1" showErrorMessage="1" allowBlank="1" imeMode="halfAlpha"/>
    <dataValidation sqref="I37:R37 I50:R50" showDropDown="0" showInputMessage="1" showErrorMessage="1" allowBlank="1" prompt="プルダウンメニューから選択してください。" type="list">
      <formula1>"　,社会福祉主事任用資格,訪問介護員1級,訪問介護員2級,居宅介護従業者1級,居宅介護従業者2級,児童指導員任用資格,保育士,医師,歯科医師,薬剤師,保健師,助産師,看護師,准看護師,理学療法士,作業療法士,社会福祉士,介護福祉士,視能訓練士,義肢装具士,歯科衛生士,言語聴覚士,あん摩マッサージ指圧師,はり師,きゅう師,柔道整復師,栄養士,管理栄養士,精神保健福祉士,社会復帰指導員"</formula1>
    </dataValidation>
    <dataValidation sqref="K87:AH87" showDropDown="0" showInputMessage="1" showErrorMessage="1" allowBlank="1" type="list" errorStyle="warning">
      <formula1>"　,厚生労働大臣が定める額"</formula1>
    </dataValidation>
    <dataValidation sqref="W62:AB64" showDropDown="0" showInputMessage="1" showErrorMessage="1" allowBlank="1" type="list">
      <formula1>$AN$54:$AN$57</formula1>
    </dataValidation>
  </dataValidations>
  <printOptions horizontalCentered="1"/>
  <pageMargins left="0.7086614173228347" right="0.5905511811023623" top="0.3937007874015748" bottom="0.3937007874015748" header="0.5118110236220472" footer="0.5118110236220472"/>
  <pageSetup orientation="portrait" paperSize="9" scale="98"/>
  <rowBreaks count="1" manualBreakCount="1">
    <brk id="67" min="0" max="33" man="1"/>
  </rowBreaks>
  <legacyDrawing xmlns:r="http://schemas.openxmlformats.org/officeDocument/2006/relationships" r:id="anysvml"/>
</worksheet>
</file>

<file path=xl/worksheets/sheet41.xml><?xml version="1.0" encoding="utf-8"?>
<worksheet xmlns="http://schemas.openxmlformats.org/spreadsheetml/2006/main">
  <sheetPr codeName="Sheet40">
    <outlinePr summaryBelow="1" summaryRight="1"/>
    <pageSetUpPr/>
  </sheetPr>
  <dimension ref="A1:AO102"/>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40"/>
    <col hidden="1" style="1667" min="41" max="41"/>
    <col width="9" customWidth="1" style="1667" min="42" max="16384"/>
  </cols>
  <sheetData>
    <row r="1" ht="17.1" customHeight="1" s="4080" thickBot="1">
      <c r="A1" s="1213" t="inlineStr">
        <is>
          <t>付表23　就労定着支援事業所の指定に係る記載事項</t>
        </is>
      </c>
      <c r="Z1" s="677" t="n"/>
      <c r="AA1" s="677" t="n"/>
      <c r="AB1" s="678" t="n"/>
      <c r="AC1" s="678" t="n"/>
      <c r="AD1" s="678" t="n"/>
      <c r="AE1" s="677" t="n"/>
      <c r="AF1" s="677" t="n"/>
      <c r="AG1" s="678" t="n"/>
      <c r="AH1" s="679" t="inlineStr">
        <is>
          <t>（平成30年度6月以降版）</t>
        </is>
      </c>
      <c r="AM1" s="721">
        <f>HYPERLINK("#目次!A1","目次へ戻る")</f>
        <v/>
      </c>
    </row>
    <row r="2" ht="15" customHeight="1" s="4080">
      <c r="A2" s="45" t="n"/>
      <c r="B2" s="1889" t="n"/>
      <c r="C2" s="1889" t="n"/>
      <c r="D2" s="1889" t="n"/>
      <c r="E2" s="1889" t="n"/>
      <c r="F2" s="1889" t="n"/>
      <c r="G2" s="2069" t="n"/>
      <c r="H2" s="1889" t="n"/>
      <c r="I2" s="1889" t="n"/>
      <c r="J2" s="1889" t="n"/>
      <c r="K2" s="1889" t="n"/>
      <c r="L2" s="1889" t="n"/>
      <c r="M2" s="45" t="n"/>
      <c r="N2" s="1889" t="n"/>
      <c r="P2" s="2069" t="n"/>
      <c r="Q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N3" s="197" t="n"/>
      <c r="O3" s="197" t="n"/>
      <c r="P3" s="197"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2506" t="inlineStr">
        <is>
          <t>事業所</t>
        </is>
      </c>
      <c r="B4" s="4356" t="n"/>
      <c r="C4" s="4180" t="inlineStr">
        <is>
          <t>ﾌﾘｶﾞﾅ</t>
        </is>
      </c>
      <c r="D4" s="4093" t="n"/>
      <c r="E4" s="4094" t="n"/>
      <c r="F4" s="4236" t="inlineStr">
        <is>
          <t>ｵｵｻｶｼﾔｸｼｮｼｮｳｶﾞｲﾌｸｼｻｰﾋﾞｽｾﾝﾀｰ</t>
        </is>
      </c>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B5" s="4107" t="n"/>
      <c r="C5" s="4181" t="inlineStr">
        <is>
          <t>名　称</t>
        </is>
      </c>
      <c r="D5" s="4098" t="n"/>
      <c r="E5" s="4099" t="n"/>
      <c r="F5" s="4237" t="inlineStr">
        <is>
          <t>大阪市役所障がい福祉サービスセンター</t>
        </is>
      </c>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B6" s="410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B7" s="4107" t="n"/>
      <c r="C7" s="4181" t="inlineStr">
        <is>
          <t>所在地</t>
        </is>
      </c>
      <c r="D7" s="4098" t="n"/>
      <c r="E7" s="4099" t="n"/>
      <c r="F7" s="1244" t="inlineStr">
        <is>
          <t>郵便番号（</t>
        </is>
      </c>
      <c r="G7" s="4098" t="n"/>
      <c r="H7" s="4098" t="n"/>
      <c r="I7" s="4098" t="n"/>
      <c r="J7" s="1742" t="inlineStr">
        <is>
          <t>５４０－８５７０</t>
        </is>
      </c>
      <c r="K7" s="4098" t="n"/>
      <c r="L7" s="4098" t="n"/>
      <c r="M7" s="4098" t="n"/>
      <c r="N7" s="4098" t="n"/>
      <c r="O7" s="1329" t="inlineStr">
        <is>
          <t>）</t>
        </is>
      </c>
      <c r="P7" s="1397" t="inlineStr">
        <is>
          <t>メールアドレス</t>
        </is>
      </c>
      <c r="Q7" s="4110" t="n"/>
      <c r="R7" s="4110" t="n"/>
      <c r="S7" s="4956" t="inlineStr">
        <is>
          <t>fa0260@city.osaka.lg.jp</t>
        </is>
      </c>
      <c r="T7" s="4110" t="n"/>
      <c r="U7" s="4110" t="n"/>
      <c r="V7" s="4110" t="n"/>
      <c r="W7" s="4110" t="n"/>
      <c r="X7" s="4110" t="n"/>
      <c r="Y7" s="4110" t="n"/>
      <c r="Z7" s="4110" t="n"/>
      <c r="AA7" s="4110" t="n"/>
      <c r="AB7" s="4110" t="n"/>
      <c r="AC7" s="4110" t="n"/>
      <c r="AD7" s="4110" t="n"/>
      <c r="AE7" s="4110" t="n"/>
      <c r="AF7" s="4110" t="n"/>
      <c r="AG7" s="4110" t="n"/>
      <c r="AH7" s="4113" t="n"/>
    </row>
    <row r="8" ht="14.1" customHeight="1" s="4080">
      <c r="A8" s="4097" t="n"/>
      <c r="B8" s="4107" t="n"/>
      <c r="C8" s="4106" t="n"/>
      <c r="E8" s="4107" t="n"/>
      <c r="F8" s="1255" t="inlineStr">
        <is>
          <t>大阪市</t>
        </is>
      </c>
      <c r="I8" s="2875" t="inlineStr">
        <is>
          <t>中央</t>
        </is>
      </c>
      <c r="N8" s="1327" t="inlineStr">
        <is>
          <t>区</t>
        </is>
      </c>
      <c r="P8" s="4957" t="inlineStr">
        <is>
          <t>船場中央三丁目１番７号-331号　船場センタービル７号館3階</t>
        </is>
      </c>
      <c r="Q8" s="4098" t="n"/>
      <c r="R8" s="4098" t="n"/>
      <c r="S8" s="4098" t="n"/>
      <c r="T8" s="4098" t="n"/>
      <c r="U8" s="4098" t="n"/>
      <c r="V8" s="4098" t="n"/>
      <c r="W8" s="4098" t="n"/>
      <c r="X8" s="4098" t="n"/>
      <c r="Y8" s="4098" t="n"/>
      <c r="Z8" s="4098" t="n"/>
      <c r="AA8" s="4098" t="n"/>
      <c r="AB8" s="4098" t="n"/>
      <c r="AC8" s="4098" t="n"/>
      <c r="AD8" s="4098" t="n"/>
      <c r="AE8" s="4098" t="n"/>
      <c r="AF8" s="4098" t="n"/>
      <c r="AG8" s="4098" t="n"/>
      <c r="AH8" s="4101" t="n"/>
    </row>
    <row r="9" ht="3.95" customHeight="1" s="4080">
      <c r="A9" s="4097" t="n"/>
      <c r="B9" s="410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B10" s="4107" t="n"/>
      <c r="C10" s="4181" t="inlineStr">
        <is>
          <t>連絡先</t>
        </is>
      </c>
      <c r="D10" s="4110" t="n"/>
      <c r="E10" s="4111" t="n"/>
      <c r="F10" s="4274" t="inlineStr">
        <is>
          <t>電話番号</t>
        </is>
      </c>
      <c r="G10" s="4110" t="n"/>
      <c r="H10" s="4111" t="n"/>
      <c r="I10" s="1479" t="inlineStr">
        <is>
          <t>06</t>
        </is>
      </c>
      <c r="J10" s="4110" t="n"/>
      <c r="K10" s="4110" t="n"/>
      <c r="L10" s="53" t="inlineStr">
        <is>
          <t>－</t>
        </is>
      </c>
      <c r="M10" s="1150" t="inlineStr">
        <is>
          <t>6241</t>
        </is>
      </c>
      <c r="N10" s="4110" t="n"/>
      <c r="O10" s="4110" t="n"/>
      <c r="P10" s="53" t="inlineStr">
        <is>
          <t>－</t>
        </is>
      </c>
      <c r="Q10" s="1482" t="inlineStr">
        <is>
          <t>6520</t>
        </is>
      </c>
      <c r="R10" s="4110" t="n"/>
      <c r="S10" s="4111" t="n"/>
      <c r="T10" s="4184" t="inlineStr">
        <is>
          <t>ＦＡＸ番号</t>
        </is>
      </c>
      <c r="U10" s="4110" t="n"/>
      <c r="V10" s="4110" t="n"/>
      <c r="W10" s="4111" t="n"/>
      <c r="X10" s="1479" t="inlineStr">
        <is>
          <t>06</t>
        </is>
      </c>
      <c r="Y10" s="4110" t="n"/>
      <c r="Z10" s="4110" t="n"/>
      <c r="AA10" s="53" t="inlineStr">
        <is>
          <t>－</t>
        </is>
      </c>
      <c r="AB10" s="1150" t="inlineStr">
        <is>
          <t>6241</t>
        </is>
      </c>
      <c r="AC10" s="4110" t="n"/>
      <c r="AD10" s="4110" t="n"/>
      <c r="AE10" s="53" t="inlineStr">
        <is>
          <t>－</t>
        </is>
      </c>
      <c r="AF10" s="1483" t="inlineStr">
        <is>
          <t>6608</t>
        </is>
      </c>
      <c r="AG10" s="4110" t="n"/>
      <c r="AH10" s="4113" t="n"/>
    </row>
    <row r="11" ht="17.1" customHeight="1" s="4080">
      <c r="A11" s="4187" t="inlineStr">
        <is>
          <t>当該事業の実施について定めてある定款・寄付行為等又は条例等</t>
        </is>
      </c>
      <c r="B11" s="4110" t="n"/>
      <c r="C11" s="4110" t="n"/>
      <c r="D11" s="4110" t="n"/>
      <c r="E11" s="4110" t="n"/>
      <c r="F11" s="4110" t="n"/>
      <c r="G11" s="4110" t="n"/>
      <c r="H11" s="4110" t="n"/>
      <c r="I11" s="4110" t="n"/>
      <c r="J11" s="4110" t="n"/>
      <c r="K11" s="4110" t="n"/>
      <c r="L11" s="4110" t="n"/>
      <c r="M11" s="4110" t="n"/>
      <c r="N11" s="4110" t="n"/>
      <c r="O11" s="4110" t="n"/>
      <c r="P11" s="4110" t="n"/>
      <c r="Q11" s="4110" t="n"/>
      <c r="R11" s="4110" t="n"/>
      <c r="S11" s="4111" t="n"/>
      <c r="T11" s="54" t="inlineStr">
        <is>
          <t>第</t>
        </is>
      </c>
      <c r="U11" s="1150" t="inlineStr">
        <is>
          <t>２</t>
        </is>
      </c>
      <c r="V11" s="4110" t="n"/>
      <c r="W11" s="1264" t="inlineStr">
        <is>
          <t>条第</t>
        </is>
      </c>
      <c r="X11" s="4110" t="n"/>
      <c r="Y11" s="1150" t="inlineStr">
        <is>
          <t>１</t>
        </is>
      </c>
      <c r="Z11" s="4110" t="n"/>
      <c r="AA11" s="1264" t="inlineStr">
        <is>
          <t>項第</t>
        </is>
      </c>
      <c r="AB11" s="4110" t="n"/>
      <c r="AC11" s="1150" t="inlineStr">
        <is>
          <t>１４</t>
        </is>
      </c>
      <c r="AD11" s="4110" t="n"/>
      <c r="AE11" s="1264" t="inlineStr">
        <is>
          <t>号（</t>
        </is>
      </c>
      <c r="AF11" s="4110" t="n"/>
      <c r="AG11" s="1150" t="inlineStr">
        <is>
          <t>ア</t>
        </is>
      </c>
      <c r="AH11" s="2827" t="inlineStr">
        <is>
          <t>）</t>
        </is>
      </c>
    </row>
    <row r="12" ht="12" customHeight="1" s="4080">
      <c r="A12" s="4188" t="inlineStr">
        <is>
          <t>管　　理　　者</t>
        </is>
      </c>
      <c r="B12" s="4099" t="n"/>
      <c r="C12" s="4184" t="inlineStr">
        <is>
          <t>ﾌﾘｶﾞﾅ</t>
        </is>
      </c>
      <c r="D12" s="4110" t="n"/>
      <c r="E12" s="4111" t="n"/>
      <c r="F12" s="1487" t="inlineStr">
        <is>
          <t>ｵｵｻｶ</t>
        </is>
      </c>
      <c r="G12" s="4110" t="n"/>
      <c r="H12" s="4110" t="n"/>
      <c r="I12" s="4189" t="n"/>
      <c r="J12" s="1488" t="inlineStr">
        <is>
          <t>ﾀﾛｳ</t>
        </is>
      </c>
      <c r="K12" s="4110" t="n"/>
      <c r="L12" s="4110" t="n"/>
      <c r="M12" s="4189" t="n"/>
      <c r="N12" s="4185" t="inlineStr">
        <is>
          <t>住所</t>
        </is>
      </c>
      <c r="O12" s="4099" t="n"/>
      <c r="P12" s="1244" t="inlineStr">
        <is>
          <t>郵便番号（</t>
        </is>
      </c>
      <c r="Q12" s="4098" t="n"/>
      <c r="R12" s="4098" t="n"/>
      <c r="S12" s="4098" t="n"/>
      <c r="T12" s="1742" t="inlineStr">
        <is>
          <t>５４０－０００８</t>
        </is>
      </c>
      <c r="U12" s="4098" t="n"/>
      <c r="V12" s="4098" t="n"/>
      <c r="W12" s="4098" t="n"/>
      <c r="X12" s="4098" t="n"/>
      <c r="Y12" s="1329" t="inlineStr">
        <is>
          <t>）</t>
        </is>
      </c>
      <c r="Z12" s="1017" t="n"/>
      <c r="AA12" s="1017" t="n"/>
      <c r="AB12" s="1017" t="n"/>
      <c r="AC12" s="1017" t="n"/>
      <c r="AD12" s="1017" t="n"/>
      <c r="AE12" s="1017" t="n"/>
      <c r="AF12" s="1017" t="n"/>
      <c r="AG12" s="1017" t="n"/>
      <c r="AH12" s="1424" t="n"/>
    </row>
    <row r="13" ht="12" customHeight="1" s="4080">
      <c r="A13" s="4097" t="n"/>
      <c r="B13" s="4107" t="n"/>
      <c r="C13" s="4184" t="inlineStr">
        <is>
          <t>氏名</t>
        </is>
      </c>
      <c r="D13" s="4098" t="n"/>
      <c r="E13" s="4099" t="n"/>
      <c r="F13" s="1487" t="inlineStr">
        <is>
          <t>大阪</t>
        </is>
      </c>
      <c r="G13" s="4098" t="n"/>
      <c r="H13" s="4098" t="n"/>
      <c r="I13" s="4190" t="n"/>
      <c r="J13" s="1488" t="inlineStr">
        <is>
          <t>太郎</t>
        </is>
      </c>
      <c r="K13" s="4098" t="n"/>
      <c r="L13" s="4098" t="n"/>
      <c r="M13" s="4190" t="n"/>
      <c r="N13" s="4106" t="n"/>
      <c r="O13" s="4107" t="n"/>
      <c r="P13" s="1509" t="inlineStr">
        <is>
          <t>大阪</t>
        </is>
      </c>
      <c r="R13" s="1325" t="inlineStr">
        <is>
          <t>都</t>
        </is>
      </c>
      <c r="S13" s="2378" t="inlineStr">
        <is>
          <t>道</t>
        </is>
      </c>
      <c r="T13" s="1510" t="inlineStr">
        <is>
          <t>大阪</t>
        </is>
      </c>
      <c r="W13" s="2378" t="inlineStr">
        <is>
          <t>郡</t>
        </is>
      </c>
      <c r="X13" s="1512" t="inlineStr">
        <is>
          <t>中央区大手前○丁目○番○号　○○マンション○○○号室</t>
        </is>
      </c>
      <c r="AH13" s="4109" t="n"/>
    </row>
    <row r="14" ht="12" customHeight="1" s="4080">
      <c r="A14" s="4097" t="n"/>
      <c r="B14" s="4107" t="n"/>
      <c r="C14" s="4106" t="n"/>
      <c r="E14" s="4107" t="n"/>
      <c r="F14" s="4106" t="n"/>
      <c r="I14" s="4191" t="n"/>
      <c r="J14" s="4192" t="n"/>
      <c r="M14" s="4191" t="n"/>
      <c r="N14" s="4106" t="n"/>
      <c r="O14" s="4107" t="n"/>
      <c r="P14" s="4106" t="n"/>
      <c r="R14" s="79" t="inlineStr">
        <is>
          <t>府</t>
        </is>
      </c>
      <c r="S14" s="2378" t="inlineStr">
        <is>
          <t>県</t>
        </is>
      </c>
      <c r="W14" s="79" t="inlineStr">
        <is>
          <t>市</t>
        </is>
      </c>
      <c r="AH14" s="4109" t="n"/>
    </row>
    <row r="15" ht="3.95" customHeight="1" s="4080">
      <c r="A15" s="4097" t="n"/>
      <c r="B15" s="4107" t="n"/>
      <c r="C15" s="4102" t="n"/>
      <c r="D15" s="4103" t="n"/>
      <c r="E15" s="4104" t="n"/>
      <c r="F15" s="4102" t="n"/>
      <c r="G15" s="4103" t="n"/>
      <c r="H15" s="4103" t="n"/>
      <c r="I15" s="4193" t="n"/>
      <c r="J15" s="4194" t="n"/>
      <c r="K15" s="4103" t="n"/>
      <c r="L15" s="4103" t="n"/>
      <c r="M15" s="4193" t="n"/>
      <c r="N15" s="4102" t="n"/>
      <c r="O15" s="4104" t="n"/>
      <c r="P15" s="4102" t="n"/>
      <c r="Q15" s="4103" t="n"/>
      <c r="R15" s="1810" t="n"/>
      <c r="S15" s="1810" t="n"/>
      <c r="T15" s="4103" t="n"/>
      <c r="U15" s="4103" t="n"/>
      <c r="V15" s="4103" t="n"/>
      <c r="W15" s="1810" t="n"/>
      <c r="AH15" s="4109" t="n"/>
    </row>
    <row r="16" ht="3.95" customHeight="1" s="4080">
      <c r="A16" s="4097" t="n"/>
      <c r="B16" s="4107" t="n"/>
      <c r="C16" s="1393" t="inlineStr">
        <is>
          <t>他の職務との兼務の有無及び職種</t>
        </is>
      </c>
      <c r="D16" s="4098" t="n"/>
      <c r="E16" s="4098" t="n"/>
      <c r="F16" s="4098" t="n"/>
      <c r="G16" s="4098" t="n"/>
      <c r="H16" s="4098" t="n"/>
      <c r="I16" s="4098" t="n"/>
      <c r="J16" s="4098" t="n"/>
      <c r="K16" s="4098" t="n"/>
      <c r="L16" s="4098" t="n"/>
      <c r="M16" s="4098" t="n"/>
      <c r="N16" s="4195" t="n"/>
      <c r="O16" s="4098" t="n"/>
      <c r="P16" s="4098" t="n"/>
      <c r="Q16" s="4098" t="n"/>
      <c r="R16" s="4099" t="n"/>
      <c r="S16" s="2163" t="inlineStr">
        <is>
          <t>職　　種</t>
        </is>
      </c>
      <c r="T16" s="4098" t="n"/>
      <c r="U16" s="4099" t="n"/>
      <c r="V16" s="1322" t="n"/>
      <c r="W16" s="1335" t="inlineStr">
        <is>
          <t xml:space="preserve">　</t>
        </is>
      </c>
      <c r="X16" s="4098" t="n"/>
      <c r="Y16" s="4098" t="n"/>
      <c r="Z16" s="4098" t="n"/>
      <c r="AA16" s="4098" t="n"/>
      <c r="AB16" s="4098" t="n"/>
      <c r="AC16" s="4098" t="n"/>
      <c r="AD16" s="4098" t="n"/>
      <c r="AE16" s="4098" t="n"/>
      <c r="AF16" s="4098" t="n"/>
      <c r="AG16" s="4098" t="n"/>
      <c r="AH16" s="4101" t="n"/>
    </row>
    <row r="17" ht="12" customHeight="1" s="4080">
      <c r="A17" s="4097" t="n"/>
      <c r="B17" s="4107" t="n"/>
      <c r="C17" s="4106" t="n"/>
      <c r="N17" s="1354" t="n"/>
      <c r="O17" s="1325" t="inlineStr">
        <is>
          <t>有</t>
        </is>
      </c>
      <c r="P17" s="1325" t="inlineStr">
        <is>
          <t>・</t>
        </is>
      </c>
      <c r="Q17" s="80" t="inlineStr">
        <is>
          <t>無</t>
        </is>
      </c>
      <c r="R17" s="1332" t="n"/>
      <c r="S17" s="4106" t="n"/>
      <c r="U17" s="4107" t="n"/>
      <c r="V17" s="4196" t="n"/>
      <c r="AH17" s="4109" t="n"/>
    </row>
    <row r="18" ht="3.95" customHeight="1" s="4080">
      <c r="A18" s="4097" t="n"/>
      <c r="B18" s="4107" t="n"/>
      <c r="C18" s="4102" t="n"/>
      <c r="D18" s="4103" t="n"/>
      <c r="E18" s="4103" t="n"/>
      <c r="F18" s="4103" t="n"/>
      <c r="G18" s="4103" t="n"/>
      <c r="H18" s="4103" t="n"/>
      <c r="I18" s="4103" t="n"/>
      <c r="J18" s="4103" t="n"/>
      <c r="K18" s="4103" t="n"/>
      <c r="L18" s="4103" t="n"/>
      <c r="M18" s="4103" t="n"/>
      <c r="N18" s="4197" t="n"/>
      <c r="O18" s="4103" t="n"/>
      <c r="P18" s="4103" t="n"/>
      <c r="Q18" s="4103" t="n"/>
      <c r="R18" s="4104" t="n"/>
      <c r="S18" s="4102" t="n"/>
      <c r="T18" s="4103" t="n"/>
      <c r="U18" s="4104" t="n"/>
      <c r="V18" s="1326" t="n"/>
      <c r="W18" s="1299" t="n"/>
      <c r="X18" s="4103" t="n"/>
      <c r="Y18" s="4103" t="n"/>
      <c r="Z18" s="4103" t="n"/>
      <c r="AA18" s="4103" t="n"/>
      <c r="AB18" s="4103" t="n"/>
      <c r="AC18" s="4103" t="n"/>
      <c r="AD18" s="4103" t="n"/>
      <c r="AE18" s="4103" t="n"/>
      <c r="AF18" s="4103" t="n"/>
      <c r="AG18" s="4103" t="n"/>
      <c r="AH18" s="4105" t="n"/>
    </row>
    <row r="19" ht="14.1" customHeight="1" s="4080">
      <c r="A19" s="4097" t="n"/>
      <c r="B19" s="4107" t="n"/>
      <c r="C19" s="4940" t="inlineStr">
        <is>
          <t>他の事業所又は
施設を兼務する
場合、当該兼務
する事業所又は
施設の名称等</t>
        </is>
      </c>
      <c r="D19" s="4098" t="n"/>
      <c r="E19" s="4098" t="n"/>
      <c r="F19" s="4098" t="n"/>
      <c r="G19" s="4098" t="n"/>
      <c r="H19" s="4098" t="n"/>
      <c r="I19" s="4098" t="n"/>
      <c r="J19" s="4099" t="n"/>
      <c r="K19" s="4941" t="inlineStr">
        <is>
          <t>名称</t>
        </is>
      </c>
      <c r="L19" s="4098" t="n"/>
      <c r="M19" s="4098" t="n"/>
      <c r="N19" s="4099" t="n"/>
      <c r="O19" s="660" t="inlineStr">
        <is>
          <t>1)</t>
        </is>
      </c>
      <c r="P19" s="3871" t="inlineStr">
        <is>
          <t>大阪市役所障がい福祉サービスセンター</t>
        </is>
      </c>
      <c r="Q19" s="4486" t="n"/>
      <c r="R19" s="4486" t="n"/>
      <c r="S19" s="4486" t="n"/>
      <c r="T19" s="4486" t="n"/>
      <c r="U19" s="4486" t="n"/>
      <c r="V19" s="4486" t="n"/>
      <c r="W19" s="4486" t="n"/>
      <c r="X19" s="4486" t="n"/>
      <c r="Y19" s="4486" t="n"/>
      <c r="Z19" s="4486" t="n"/>
      <c r="AA19" s="4486" t="n"/>
      <c r="AB19" s="4486" t="n"/>
      <c r="AC19" s="4486" t="n"/>
      <c r="AD19" s="4486" t="n"/>
      <c r="AE19" s="4486" t="n"/>
      <c r="AF19" s="4486" t="n"/>
      <c r="AG19" s="4486" t="n"/>
      <c r="AH19" s="4877" t="n"/>
    </row>
    <row r="20" ht="14.1" customHeight="1" s="4080">
      <c r="A20" s="4097" t="n"/>
      <c r="B20" s="4107" t="n"/>
      <c r="C20" s="4106" t="n"/>
      <c r="J20" s="4107" t="n"/>
      <c r="K20" s="4942" t="n"/>
      <c r="L20" s="4317" t="n"/>
      <c r="M20" s="4317" t="n"/>
      <c r="N20" s="4318" t="n"/>
      <c r="O20" s="661" t="inlineStr">
        <is>
          <t>2)</t>
        </is>
      </c>
      <c r="P20" s="3873" t="n"/>
      <c r="Q20" s="4457" t="n"/>
      <c r="R20" s="4457" t="n"/>
      <c r="S20" s="4457" t="n"/>
      <c r="T20" s="4457" t="n"/>
      <c r="U20" s="4457" t="n"/>
      <c r="V20" s="4457" t="n"/>
      <c r="W20" s="4457" t="n"/>
      <c r="X20" s="4457" t="n"/>
      <c r="Y20" s="4457" t="n"/>
      <c r="Z20" s="4457" t="n"/>
      <c r="AA20" s="4457" t="n"/>
      <c r="AB20" s="4457" t="n"/>
      <c r="AC20" s="4457" t="n"/>
      <c r="AD20" s="4457" t="n"/>
      <c r="AE20" s="4457" t="n"/>
      <c r="AF20" s="4457" t="n"/>
      <c r="AG20" s="4457" t="n"/>
      <c r="AH20" s="4943" t="n"/>
    </row>
    <row r="21" ht="14.1" customHeight="1" s="4080">
      <c r="A21" s="4097" t="n"/>
      <c r="B21" s="4107" t="n"/>
      <c r="C21" s="4106" t="n"/>
      <c r="J21" s="4107" t="n"/>
      <c r="K21" s="4944" t="inlineStr">
        <is>
          <t>サービス種類</t>
        </is>
      </c>
      <c r="L21" s="4320" t="n"/>
      <c r="M21" s="4320" t="n"/>
      <c r="N21" s="4321" t="n"/>
      <c r="O21" s="662" t="inlineStr">
        <is>
          <t>1)</t>
        </is>
      </c>
      <c r="P21" s="3880" t="inlineStr">
        <is>
          <t>短期入所</t>
        </is>
      </c>
      <c r="Q21" s="4457" t="n"/>
      <c r="R21" s="4457" t="n"/>
      <c r="S21" s="4457" t="n"/>
      <c r="T21" s="4457" t="n"/>
      <c r="U21" s="4457" t="n"/>
      <c r="V21" s="4457" t="n"/>
      <c r="W21" s="4457" t="n"/>
      <c r="X21" s="4457" t="n"/>
      <c r="Y21" s="663" t="inlineStr">
        <is>
          <t>3)</t>
        </is>
      </c>
      <c r="Z21" s="3881" t="n"/>
      <c r="AA21" s="4457" t="n"/>
      <c r="AB21" s="4457" t="n"/>
      <c r="AC21" s="4457" t="n"/>
      <c r="AD21" s="4457" t="n"/>
      <c r="AE21" s="4457" t="n"/>
      <c r="AF21" s="4457" t="n"/>
      <c r="AG21" s="4457" t="n"/>
      <c r="AH21" s="4943" t="n"/>
    </row>
    <row r="22" ht="14.1" customHeight="1" s="4080">
      <c r="A22" s="4097" t="n"/>
      <c r="B22" s="4107" t="n"/>
      <c r="C22" s="4106" t="n"/>
      <c r="J22" s="4107" t="n"/>
      <c r="K22" s="4942" t="n"/>
      <c r="L22" s="4317" t="n"/>
      <c r="M22" s="4317" t="n"/>
      <c r="N22" s="4318" t="n"/>
      <c r="O22" s="662" t="inlineStr">
        <is>
          <t>2)</t>
        </is>
      </c>
      <c r="P22" s="3880" t="n"/>
      <c r="Q22" s="4457" t="n"/>
      <c r="R22" s="4457" t="n"/>
      <c r="S22" s="4457" t="n"/>
      <c r="T22" s="4457" t="n"/>
      <c r="U22" s="4457" t="n"/>
      <c r="V22" s="4457" t="n"/>
      <c r="W22" s="4457" t="n"/>
      <c r="X22" s="4457" t="n"/>
      <c r="Y22" s="663" t="inlineStr">
        <is>
          <t>4)</t>
        </is>
      </c>
      <c r="Z22" s="3883" t="n"/>
      <c r="AA22" s="4457" t="n"/>
      <c r="AB22" s="4457" t="n"/>
      <c r="AC22" s="4457" t="n"/>
      <c r="AD22" s="4457" t="n"/>
      <c r="AE22" s="4457" t="n"/>
      <c r="AF22" s="4457" t="n"/>
      <c r="AG22" s="4457" t="n"/>
      <c r="AH22" s="4943" t="n"/>
    </row>
    <row r="23" ht="14.1" customHeight="1" s="4080">
      <c r="A23" s="4097" t="n"/>
      <c r="B23" s="4107" t="n"/>
      <c r="C23" s="4106" t="n"/>
      <c r="J23" s="4107" t="n"/>
      <c r="K23" s="4945" t="inlineStr">
        <is>
          <t>職種</t>
        </is>
      </c>
      <c r="L23" s="4320" t="n"/>
      <c r="M23" s="4320" t="n"/>
      <c r="N23" s="4321" t="n"/>
      <c r="O23" s="662" t="inlineStr">
        <is>
          <t>1)</t>
        </is>
      </c>
      <c r="P23" s="3887" t="inlineStr">
        <is>
          <t>管理者</t>
        </is>
      </c>
      <c r="Q23" s="4457" t="n"/>
      <c r="R23" s="4457" t="n"/>
      <c r="S23" s="4457" t="n"/>
      <c r="T23" s="4457" t="n"/>
      <c r="U23" s="4457" t="n"/>
      <c r="V23" s="4457" t="n"/>
      <c r="W23" s="4457" t="n"/>
      <c r="X23" s="4457" t="n"/>
      <c r="Y23" s="663" t="inlineStr">
        <is>
          <t>3)</t>
        </is>
      </c>
      <c r="Z23" s="3883" t="n"/>
      <c r="AA23" s="4457" t="n"/>
      <c r="AB23" s="4457" t="n"/>
      <c r="AC23" s="4457" t="n"/>
      <c r="AD23" s="4457" t="n"/>
      <c r="AE23" s="4457" t="n"/>
      <c r="AF23" s="4457" t="n"/>
      <c r="AG23" s="4457" t="n"/>
      <c r="AH23" s="4943" t="n"/>
    </row>
    <row r="24" ht="14.1" customHeight="1" s="4080">
      <c r="A24" s="4097" t="n"/>
      <c r="B24" s="4107" t="n"/>
      <c r="C24" s="4106" t="n"/>
      <c r="J24" s="4107" t="n"/>
      <c r="K24" s="4942" t="n"/>
      <c r="L24" s="4317" t="n"/>
      <c r="M24" s="4317" t="n"/>
      <c r="N24" s="4318" t="n"/>
      <c r="O24" s="662" t="inlineStr">
        <is>
          <t>2)</t>
        </is>
      </c>
      <c r="P24" s="3887" t="n"/>
      <c r="Q24" s="4457" t="n"/>
      <c r="R24" s="4457" t="n"/>
      <c r="S24" s="4457" t="n"/>
      <c r="T24" s="4457" t="n"/>
      <c r="U24" s="4457" t="n"/>
      <c r="V24" s="4457" t="n"/>
      <c r="W24" s="4457" t="n"/>
      <c r="X24" s="4457" t="n"/>
      <c r="Y24" s="663" t="inlineStr">
        <is>
          <t>4)</t>
        </is>
      </c>
      <c r="Z24" s="3883" t="n"/>
      <c r="AA24" s="4457" t="n"/>
      <c r="AB24" s="4457" t="n"/>
      <c r="AC24" s="4457" t="n"/>
      <c r="AD24" s="4457" t="n"/>
      <c r="AE24" s="4457" t="n"/>
      <c r="AF24" s="4457" t="n"/>
      <c r="AG24" s="4457" t="n"/>
      <c r="AH24" s="4943" t="n"/>
    </row>
    <row r="25" ht="14.1" customHeight="1" s="4080">
      <c r="A25" s="4097" t="n"/>
      <c r="B25" s="4107" t="n"/>
      <c r="C25" s="4102" t="n"/>
      <c r="D25" s="4103" t="n"/>
      <c r="E25" s="4103" t="n"/>
      <c r="F25" s="4103" t="n"/>
      <c r="G25" s="4103" t="n"/>
      <c r="H25" s="4103" t="n"/>
      <c r="I25" s="4103" t="n"/>
      <c r="J25" s="4104" t="n"/>
      <c r="K25" s="4946" t="inlineStr">
        <is>
          <t>勤務時間</t>
        </is>
      </c>
      <c r="L25" s="4459" t="n"/>
      <c r="M25" s="4459" t="n"/>
      <c r="N25" s="4461" t="n"/>
      <c r="O25" s="3891" t="inlineStr">
        <is>
          <t>９</t>
        </is>
      </c>
      <c r="P25" s="4459" t="n"/>
      <c r="Q25" s="3896" t="inlineStr">
        <is>
          <t>：</t>
        </is>
      </c>
      <c r="R25" s="3893" t="inlineStr">
        <is>
          <t>００</t>
        </is>
      </c>
      <c r="S25" s="4459" t="n"/>
      <c r="T25" s="3896" t="inlineStr">
        <is>
          <t>～</t>
        </is>
      </c>
      <c r="U25" s="3892" t="inlineStr">
        <is>
          <t>１７</t>
        </is>
      </c>
      <c r="V25" s="4459" t="n"/>
      <c r="W25" s="3896" t="inlineStr">
        <is>
          <t>：</t>
        </is>
      </c>
      <c r="X25" s="3893" t="inlineStr">
        <is>
          <t>４５</t>
        </is>
      </c>
      <c r="Y25" s="4459" t="n"/>
      <c r="Z25" s="3894" t="inlineStr">
        <is>
          <t>（実働</t>
        </is>
      </c>
      <c r="AA25" s="4459" t="n"/>
      <c r="AB25" s="3895" t="inlineStr">
        <is>
          <t>７</t>
        </is>
      </c>
      <c r="AC25" s="3894" t="inlineStr">
        <is>
          <t>時間</t>
        </is>
      </c>
      <c r="AD25" s="4459" t="n"/>
      <c r="AE25" s="3895" t="inlineStr">
        <is>
          <t>４５</t>
        </is>
      </c>
      <c r="AF25" s="4459" t="n"/>
      <c r="AG25" s="3897" t="inlineStr">
        <is>
          <t>分）</t>
        </is>
      </c>
      <c r="AH25" s="4462" t="n"/>
    </row>
    <row r="26" ht="12" customHeight="1" s="4080">
      <c r="A26" s="1766" t="inlineStr">
        <is>
          <t>サ ー ビ ス 管 理 責 任 者</t>
        </is>
      </c>
      <c r="B26" s="1768" t="inlineStr">
        <is>
          <t>１</t>
        </is>
      </c>
      <c r="C26" s="4184" t="inlineStr">
        <is>
          <t>ﾌﾘｶﾞﾅ</t>
        </is>
      </c>
      <c r="D26" s="4110" t="n"/>
      <c r="E26" s="4111" t="n"/>
      <c r="F26" s="4435" t="inlineStr">
        <is>
          <t>ｼﾔｸｼｮ</t>
        </is>
      </c>
      <c r="G26" s="4110" t="n"/>
      <c r="H26" s="4110" t="n"/>
      <c r="I26" s="4204" t="n"/>
      <c r="J26" s="4436" t="inlineStr">
        <is>
          <t>ﾊﾅｺ</t>
        </is>
      </c>
      <c r="K26" s="4110" t="n"/>
      <c r="L26" s="4110" t="n"/>
      <c r="M26" s="4111" t="n"/>
      <c r="N26" s="2164" t="inlineStr">
        <is>
          <t>住所</t>
        </is>
      </c>
      <c r="O26" s="4099" t="n"/>
      <c r="P26" s="1244" t="inlineStr">
        <is>
          <t>郵便番号（</t>
        </is>
      </c>
      <c r="Q26" s="4098" t="n"/>
      <c r="R26" s="4098" t="n"/>
      <c r="S26" s="4098" t="n"/>
      <c r="T26" s="1742" t="inlineStr">
        <is>
          <t>５４０－０００８</t>
        </is>
      </c>
      <c r="U26" s="4098" t="n"/>
      <c r="V26" s="4098" t="n"/>
      <c r="W26" s="4098" t="n"/>
      <c r="X26" s="4098" t="n"/>
      <c r="Y26" s="1329" t="inlineStr">
        <is>
          <t>）</t>
        </is>
      </c>
      <c r="Z26" s="1017" t="n"/>
      <c r="AA26" s="1017" t="n"/>
      <c r="AB26" s="1017" t="n"/>
      <c r="AC26" s="1017" t="n"/>
      <c r="AD26" s="1017" t="n"/>
      <c r="AE26" s="120" t="n"/>
      <c r="AF26" s="119" t="n"/>
      <c r="AG26" s="119" t="n"/>
      <c r="AH26" s="118" t="n"/>
    </row>
    <row r="27" ht="12" customHeight="1" s="4080">
      <c r="A27" s="4208" t="n"/>
      <c r="B27" s="4107" t="n"/>
      <c r="C27" s="4209" t="inlineStr">
        <is>
          <t>氏　　名</t>
        </is>
      </c>
      <c r="D27" s="4098" t="n"/>
      <c r="E27" s="4099" t="n"/>
      <c r="F27" s="4435" t="inlineStr">
        <is>
          <t>市役所</t>
        </is>
      </c>
      <c r="G27" s="4098" t="n"/>
      <c r="H27" s="4098" t="n"/>
      <c r="I27" s="4210" t="n"/>
      <c r="J27" s="4436" t="inlineStr">
        <is>
          <t>花子</t>
        </is>
      </c>
      <c r="K27" s="4098" t="n"/>
      <c r="L27" s="4098" t="n"/>
      <c r="M27" s="4099" t="n"/>
      <c r="N27" s="4106" t="n"/>
      <c r="O27" s="4107" t="n"/>
      <c r="P27" s="1509" t="inlineStr">
        <is>
          <t>大阪</t>
        </is>
      </c>
      <c r="R27" s="2378" t="inlineStr">
        <is>
          <t>都</t>
        </is>
      </c>
      <c r="S27" s="2378" t="inlineStr">
        <is>
          <t>道</t>
        </is>
      </c>
      <c r="T27" s="2107" t="inlineStr">
        <is>
          <t>大阪</t>
        </is>
      </c>
      <c r="W27" s="2378" t="inlineStr">
        <is>
          <t>郡</t>
        </is>
      </c>
      <c r="X27" s="1696" t="inlineStr">
        <is>
          <t>中央区大手前△丁目△番△号</t>
        </is>
      </c>
      <c r="AH27" s="4109" t="n"/>
    </row>
    <row r="28" ht="12" customHeight="1" s="4080">
      <c r="A28" s="4208" t="n"/>
      <c r="B28" s="4107" t="n"/>
      <c r="C28" s="4106" t="n"/>
      <c r="E28" s="4107" t="n"/>
      <c r="F28" s="4106" t="n"/>
      <c r="I28" s="4212" t="n"/>
      <c r="J28" s="4213" t="n"/>
      <c r="M28" s="4107" t="n"/>
      <c r="N28" s="4106" t="n"/>
      <c r="O28" s="4107" t="n"/>
      <c r="P28" s="4106" t="n"/>
      <c r="R28" s="79" t="inlineStr">
        <is>
          <t>府</t>
        </is>
      </c>
      <c r="S28" s="2378" t="inlineStr">
        <is>
          <t>県</t>
        </is>
      </c>
      <c r="W28" s="79" t="inlineStr">
        <is>
          <t>市</t>
        </is>
      </c>
      <c r="AH28" s="4109" t="n"/>
    </row>
    <row r="29" ht="3" customHeight="1" s="4080">
      <c r="A29" s="4208" t="n"/>
      <c r="B29" s="4107" t="n"/>
      <c r="C29" s="4102" t="n"/>
      <c r="D29" s="4103" t="n"/>
      <c r="E29" s="4104" t="n"/>
      <c r="F29" s="4102" t="n"/>
      <c r="G29" s="4103" t="n"/>
      <c r="H29" s="4103" t="n"/>
      <c r="I29" s="4215" t="n"/>
      <c r="J29" s="4216" t="n"/>
      <c r="K29" s="4103" t="n"/>
      <c r="L29" s="4103" t="n"/>
      <c r="M29" s="4104" t="n"/>
      <c r="N29" s="4102" t="n"/>
      <c r="O29" s="4104" t="n"/>
      <c r="P29" s="4102" t="n"/>
      <c r="Q29" s="4103" t="n"/>
      <c r="R29" s="2378" t="n"/>
      <c r="S29" s="2378" t="n"/>
      <c r="T29" s="4103" t="n"/>
      <c r="U29" s="4103" t="n"/>
      <c r="V29" s="4103" t="n"/>
      <c r="W29" s="63" t="n"/>
      <c r="X29" s="4103" t="n"/>
      <c r="Y29" s="4103" t="n"/>
      <c r="Z29" s="4103" t="n"/>
      <c r="AA29" s="4103" t="n"/>
      <c r="AB29" s="4103" t="n"/>
      <c r="AC29" s="4103" t="n"/>
      <c r="AD29" s="4103" t="n"/>
      <c r="AE29" s="4103" t="n"/>
      <c r="AF29" s="4103" t="n"/>
      <c r="AG29" s="4103" t="n"/>
      <c r="AH29" s="4105" t="n"/>
    </row>
    <row r="30" ht="3.95" customHeight="1" s="4080">
      <c r="A30" s="4208" t="n"/>
      <c r="B30" s="4107" t="n"/>
      <c r="C30" s="1393" t="inlineStr">
        <is>
          <t>他の職務との兼務の有無及び職種</t>
        </is>
      </c>
      <c r="D30" s="4098" t="n"/>
      <c r="E30" s="4098" t="n"/>
      <c r="F30" s="4098" t="n"/>
      <c r="G30" s="4098" t="n"/>
      <c r="H30" s="4098" t="n"/>
      <c r="I30" s="4098" t="n"/>
      <c r="J30" s="4098" t="n"/>
      <c r="K30" s="4098" t="n"/>
      <c r="L30" s="4098" t="n"/>
      <c r="M30" s="4098" t="n"/>
      <c r="N30" s="4195" t="n"/>
      <c r="O30" s="4098" t="n"/>
      <c r="P30" s="4098" t="n"/>
      <c r="Q30" s="4098" t="n"/>
      <c r="R30" s="4099" t="n"/>
      <c r="S30" s="2163" t="inlineStr">
        <is>
          <t>職　　種</t>
        </is>
      </c>
      <c r="T30" s="4098" t="n"/>
      <c r="U30" s="4099" t="n"/>
      <c r="V30" s="1322" t="n"/>
      <c r="W30" s="1335" t="inlineStr">
        <is>
          <t xml:space="preserve">　</t>
        </is>
      </c>
      <c r="X30" s="4098" t="n"/>
      <c r="Y30" s="4098" t="n"/>
      <c r="Z30" s="4098" t="n"/>
      <c r="AA30" s="4098" t="n"/>
      <c r="AB30" s="4098" t="n"/>
      <c r="AC30" s="4098" t="n"/>
      <c r="AD30" s="4098" t="n"/>
      <c r="AE30" s="4098" t="n"/>
      <c r="AF30" s="4098" t="n"/>
      <c r="AG30" s="4098" t="n"/>
      <c r="AH30" s="4101" t="n"/>
    </row>
    <row r="31" ht="12" customHeight="1" s="4080">
      <c r="A31" s="4208" t="n"/>
      <c r="B31" s="4107" t="n"/>
      <c r="C31" s="4106" t="n"/>
      <c r="N31" s="1354" t="n"/>
      <c r="O31" s="1325" t="inlineStr">
        <is>
          <t>有</t>
        </is>
      </c>
      <c r="P31" s="1325" t="inlineStr">
        <is>
          <t>・</t>
        </is>
      </c>
      <c r="Q31" s="80" t="inlineStr">
        <is>
          <t>無</t>
        </is>
      </c>
      <c r="R31" s="1332" t="n"/>
      <c r="S31" s="4106" t="n"/>
      <c r="U31" s="4107" t="n"/>
      <c r="V31" s="4196" t="n"/>
      <c r="AH31" s="4109" t="n"/>
    </row>
    <row r="32" ht="3.95" customHeight="1" s="4080">
      <c r="A32" s="4208" t="n"/>
      <c r="B32" s="4107" t="n"/>
      <c r="C32" s="4102" t="n"/>
      <c r="D32" s="4103" t="n"/>
      <c r="E32" s="4103" t="n"/>
      <c r="F32" s="4103" t="n"/>
      <c r="G32" s="4103" t="n"/>
      <c r="H32" s="4103" t="n"/>
      <c r="I32" s="4103" t="n"/>
      <c r="J32" s="4103" t="n"/>
      <c r="K32" s="4103" t="n"/>
      <c r="L32" s="4103" t="n"/>
      <c r="M32" s="4103" t="n"/>
      <c r="N32" s="4197" t="n"/>
      <c r="O32" s="4103" t="n"/>
      <c r="P32" s="4103" t="n"/>
      <c r="Q32" s="4103" t="n"/>
      <c r="R32" s="4104" t="n"/>
      <c r="S32" s="4102" t="n"/>
      <c r="T32" s="4103" t="n"/>
      <c r="U32" s="4104" t="n"/>
      <c r="V32" s="1326" t="n"/>
      <c r="W32" s="1299" t="n"/>
      <c r="X32" s="4103" t="n"/>
      <c r="Y32" s="4103" t="n"/>
      <c r="Z32" s="4103" t="n"/>
      <c r="AA32" s="4103" t="n"/>
      <c r="AB32" s="4103" t="n"/>
      <c r="AC32" s="4103" t="n"/>
      <c r="AD32" s="4103" t="n"/>
      <c r="AE32" s="4103" t="n"/>
      <c r="AF32" s="4103" t="n"/>
      <c r="AG32" s="4103" t="n"/>
      <c r="AH32" s="4105" t="n"/>
    </row>
    <row r="33" ht="3.95" customHeight="1" s="4080">
      <c r="A33" s="4208" t="n"/>
      <c r="B33" s="4107" t="n"/>
      <c r="C33" s="1826" t="inlineStr">
        <is>
          <t>資格要件</t>
        </is>
      </c>
      <c r="D33" s="4098" t="n"/>
      <c r="E33" s="4098" t="n"/>
      <c r="F33" s="1370" t="n"/>
      <c r="G33" s="2056" t="n"/>
      <c r="H33" s="942" t="n"/>
      <c r="I33" s="2056" t="n"/>
      <c r="J33" s="2056" t="n"/>
      <c r="K33" s="2056" t="n"/>
      <c r="L33" s="2056" t="n"/>
      <c r="M33" s="2056" t="n"/>
      <c r="N33" s="2056" t="n"/>
      <c r="O33" s="2056" t="n"/>
      <c r="P33" s="1402" t="n"/>
      <c r="Q33" s="1402" t="n"/>
      <c r="R33" s="1402" t="n"/>
      <c r="S33" s="4313" t="inlineStr">
        <is>
          <t>研修の
受講状況</t>
        </is>
      </c>
      <c r="T33" s="4098" t="n"/>
      <c r="U33" s="4099" t="n"/>
      <c r="V33" s="1322" t="n"/>
      <c r="W33" s="1323" t="n"/>
      <c r="X33" s="1323" t="n"/>
      <c r="Y33" s="1323" t="n"/>
      <c r="Z33" s="1323" t="n"/>
      <c r="AA33" s="1331" t="n"/>
      <c r="AB33" s="2056" t="n"/>
      <c r="AC33" s="2056" t="n"/>
      <c r="AD33" s="2056" t="n"/>
      <c r="AE33" s="2056" t="n"/>
      <c r="AF33" s="2056" t="n"/>
      <c r="AG33" s="2056" t="n"/>
      <c r="AH33" s="127" t="n"/>
    </row>
    <row r="34" ht="12" customHeight="1" s="4080">
      <c r="A34" s="4208" t="n"/>
      <c r="B34" s="4107" t="n"/>
      <c r="C34" s="4106" t="n"/>
      <c r="F34" s="4314" t="inlineStr">
        <is>
          <t>実務経験</t>
        </is>
      </c>
      <c r="H34" s="4107" t="n"/>
      <c r="I34" s="3186" t="inlineStr">
        <is>
          <t>直接支援業務5年以上＋有資格</t>
        </is>
      </c>
      <c r="S34" s="4106" t="n"/>
      <c r="U34" s="4107" t="n"/>
      <c r="V34" s="4315" t="inlineStr">
        <is>
          <t>相談支援従事者研修</t>
        </is>
      </c>
      <c r="AA34" s="4107" t="n"/>
      <c r="AB34" s="128" t="n"/>
      <c r="AC34" s="4770" t="inlineStr">
        <is>
          <t>受講済</t>
        </is>
      </c>
      <c r="AD34" s="4266" t="n"/>
      <c r="AE34" s="2379" t="inlineStr">
        <is>
          <t>・</t>
        </is>
      </c>
      <c r="AF34" s="1770" t="inlineStr">
        <is>
          <t>未受講</t>
        </is>
      </c>
      <c r="AH34" s="666" t="n"/>
    </row>
    <row r="35" ht="3.95" customHeight="1" s="4080">
      <c r="A35" s="4208" t="n"/>
      <c r="B35" s="4107" t="n"/>
      <c r="C35" s="4106" t="n"/>
      <c r="F35" s="131" t="n"/>
      <c r="G35" s="132" t="n"/>
      <c r="H35" s="133" t="n"/>
      <c r="I35" s="134" t="n"/>
      <c r="J35" s="134" t="n"/>
      <c r="K35" s="134" t="n"/>
      <c r="L35" s="134" t="n"/>
      <c r="M35" s="134" t="n"/>
      <c r="N35" s="134" t="n"/>
      <c r="O35" s="135" t="n"/>
      <c r="P35" s="136" t="n"/>
      <c r="Q35" s="136" t="n"/>
      <c r="R35" s="137" t="n"/>
      <c r="S35" s="4106" t="n"/>
      <c r="U35" s="4107" t="n"/>
      <c r="V35" s="4316" t="n"/>
      <c r="W35" s="4317" t="n"/>
      <c r="X35" s="4317" t="n"/>
      <c r="Y35" s="4317" t="n"/>
      <c r="Z35" s="4317" t="n"/>
      <c r="AA35" s="4318" t="n"/>
      <c r="AB35" s="138" t="n"/>
      <c r="AC35" s="138" t="n"/>
      <c r="AD35" s="138" t="n"/>
      <c r="AE35" s="138" t="n"/>
      <c r="AF35" s="138" t="n"/>
      <c r="AG35" s="138" t="n"/>
      <c r="AH35" s="156" t="n"/>
    </row>
    <row r="36" ht="3.95" customHeight="1" s="4080">
      <c r="A36" s="4208" t="n"/>
      <c r="B36" s="4107" t="n"/>
      <c r="C36" s="4106" t="n"/>
      <c r="F36" s="140" t="n"/>
      <c r="G36" s="141" t="n"/>
      <c r="H36" s="142" t="n"/>
      <c r="I36" s="143" t="n"/>
      <c r="J36" s="143" t="n"/>
      <c r="K36" s="144" t="n"/>
      <c r="L36" s="141" t="n"/>
      <c r="M36" s="141" t="n"/>
      <c r="N36" s="141" t="n"/>
      <c r="O36" s="141" t="n"/>
      <c r="P36" s="145" t="n"/>
      <c r="Q36" s="145" t="n"/>
      <c r="R36" s="146" t="n"/>
      <c r="S36" s="4106" t="n"/>
      <c r="U36" s="4107" t="n"/>
      <c r="V36" s="4319" t="n"/>
      <c r="W36" s="4320" t="n"/>
      <c r="X36" s="4320" t="n"/>
      <c r="Y36" s="4320" t="n"/>
      <c r="Z36" s="4320" t="n"/>
      <c r="AA36" s="4321" t="n"/>
      <c r="AB36" s="141" t="n"/>
      <c r="AC36" s="141" t="n"/>
      <c r="AD36" s="141" t="n"/>
      <c r="AE36" s="141" t="n"/>
      <c r="AF36" s="141" t="n"/>
      <c r="AG36" s="141" t="n"/>
      <c r="AH36" s="667" t="n"/>
    </row>
    <row r="37" ht="12" customHeight="1" s="4080">
      <c r="A37" s="4208" t="n"/>
      <c r="B37" s="4107" t="n"/>
      <c r="C37" s="4106" t="n"/>
      <c r="F37" s="4314" t="inlineStr">
        <is>
          <t>資格種類</t>
        </is>
      </c>
      <c r="H37" s="4107" t="n"/>
      <c r="I37" s="2098" t="inlineStr">
        <is>
          <t>介護福祉士</t>
        </is>
      </c>
      <c r="S37" s="4106" t="n"/>
      <c r="U37" s="4107" t="n"/>
      <c r="V37" s="4322" t="inlineStr">
        <is>
          <t>サービス管理責任者研修</t>
        </is>
      </c>
      <c r="AA37" s="4107" t="n"/>
      <c r="AB37" s="1355" t="n"/>
      <c r="AC37" s="4770" t="inlineStr">
        <is>
          <t>受講済</t>
        </is>
      </c>
      <c r="AD37" s="4266" t="n"/>
      <c r="AE37" s="2379" t="inlineStr">
        <is>
          <t>・</t>
        </is>
      </c>
      <c r="AF37" s="1770" t="inlineStr">
        <is>
          <t>未受講</t>
        </is>
      </c>
      <c r="AH37" s="1321" t="n"/>
    </row>
    <row r="38" ht="3.95" customHeight="1" s="4080">
      <c r="A38" s="4208" t="n"/>
      <c r="B38" s="4107" t="n"/>
      <c r="C38" s="4102" t="n"/>
      <c r="D38" s="4103" t="n"/>
      <c r="E38" s="4103" t="n"/>
      <c r="F38" s="1374" t="n"/>
      <c r="G38" s="2059" t="n"/>
      <c r="H38" s="1375" t="n"/>
      <c r="I38" s="134" t="n"/>
      <c r="J38" s="134" t="n"/>
      <c r="K38" s="134" t="n"/>
      <c r="L38" s="134" t="n"/>
      <c r="M38" s="134" t="n"/>
      <c r="N38" s="134" t="n"/>
      <c r="O38" s="2059" t="n"/>
      <c r="P38" s="1413" t="n"/>
      <c r="Q38" s="1413" t="n"/>
      <c r="R38" s="1413" t="n"/>
      <c r="S38" s="4102" t="n"/>
      <c r="T38" s="4103" t="n"/>
      <c r="U38" s="4104" t="n"/>
      <c r="V38" s="1412" t="n"/>
      <c r="W38" s="154" t="n"/>
      <c r="X38" s="154" t="n"/>
      <c r="Y38" s="138" t="n"/>
      <c r="Z38" s="138" t="n"/>
      <c r="AA38" s="155" t="n"/>
      <c r="AB38" s="134" t="n"/>
      <c r="AC38" s="134" t="n"/>
      <c r="AD38" s="134" t="n"/>
      <c r="AE38" s="134" t="n"/>
      <c r="AF38" s="134" t="n"/>
      <c r="AG38" s="134" t="n"/>
      <c r="AH38" s="156" t="n"/>
    </row>
    <row r="39" ht="12" customHeight="1" s="4080">
      <c r="A39" s="4208" t="n"/>
      <c r="B39" s="1768" t="inlineStr">
        <is>
          <t>２</t>
        </is>
      </c>
      <c r="C39" s="4184" t="inlineStr">
        <is>
          <t>ﾌﾘｶﾞﾅ</t>
        </is>
      </c>
      <c r="D39" s="4110" t="n"/>
      <c r="E39" s="4111" t="n"/>
      <c r="F39" s="4203" t="n"/>
      <c r="G39" s="4110" t="n"/>
      <c r="H39" s="4110" t="n"/>
      <c r="I39" s="4204" t="n"/>
      <c r="J39" s="4205" t="n"/>
      <c r="K39" s="4110" t="n"/>
      <c r="L39" s="4110" t="n"/>
      <c r="M39" s="4111" t="n"/>
      <c r="N39" s="2164" t="inlineStr">
        <is>
          <t>住所</t>
        </is>
      </c>
      <c r="O39" s="4099" t="n"/>
      <c r="P39" s="1244" t="inlineStr">
        <is>
          <t>郵便番号（</t>
        </is>
      </c>
      <c r="Q39" s="4098" t="n"/>
      <c r="R39" s="4098" t="n"/>
      <c r="S39" s="4098" t="n"/>
      <c r="T39" s="1287" t="n"/>
      <c r="U39" s="4098" t="n"/>
      <c r="V39" s="4098" t="n"/>
      <c r="W39" s="4098" t="n"/>
      <c r="X39" s="4098" t="n"/>
      <c r="Y39" s="1329" t="inlineStr">
        <is>
          <t>）</t>
        </is>
      </c>
      <c r="Z39" s="1017" t="n"/>
      <c r="AA39" s="1017" t="n"/>
      <c r="AB39" s="1017" t="n"/>
      <c r="AC39" s="1017" t="n"/>
      <c r="AD39" s="1017" t="n"/>
      <c r="AE39" s="120" t="n"/>
      <c r="AF39" s="119" t="n"/>
      <c r="AG39" s="119" t="n"/>
      <c r="AH39" s="118" t="n"/>
    </row>
    <row r="40" ht="12" customHeight="1" s="4080">
      <c r="A40" s="4208" t="n"/>
      <c r="B40" s="4107" t="n"/>
      <c r="C40" s="4209" t="inlineStr">
        <is>
          <t>氏　　名</t>
        </is>
      </c>
      <c r="D40" s="4098" t="n"/>
      <c r="E40" s="4099" t="n"/>
      <c r="F40" s="4203" t="n"/>
      <c r="G40" s="4098" t="n"/>
      <c r="H40" s="4098" t="n"/>
      <c r="I40" s="4210" t="n"/>
      <c r="J40" s="4205" t="n"/>
      <c r="K40" s="4098" t="n"/>
      <c r="L40" s="4098" t="n"/>
      <c r="M40" s="4099" t="n"/>
      <c r="N40" s="4106" t="n"/>
      <c r="O40" s="4107" t="n"/>
      <c r="P40" s="1318" t="n"/>
      <c r="R40" s="2378" t="inlineStr">
        <is>
          <t>都</t>
        </is>
      </c>
      <c r="S40" s="2378" t="inlineStr">
        <is>
          <t>道</t>
        </is>
      </c>
      <c r="T40" s="1389" t="n"/>
      <c r="W40" s="1325" t="inlineStr">
        <is>
          <t>郡</t>
        </is>
      </c>
      <c r="X40" s="1686" t="n"/>
      <c r="AH40" s="4109" t="n"/>
    </row>
    <row r="41" ht="12" customHeight="1" s="4080">
      <c r="A41" s="4208" t="n"/>
      <c r="B41" s="4107" t="n"/>
      <c r="C41" s="4106" t="n"/>
      <c r="E41" s="4107" t="n"/>
      <c r="F41" s="4106" t="n"/>
      <c r="I41" s="4212" t="n"/>
      <c r="J41" s="4213" t="n"/>
      <c r="M41" s="4107" t="n"/>
      <c r="N41" s="4106" t="n"/>
      <c r="O41" s="4107" t="n"/>
      <c r="P41" s="4106" t="n"/>
      <c r="R41" s="2378" t="inlineStr">
        <is>
          <t>府</t>
        </is>
      </c>
      <c r="S41" s="2378" t="inlineStr">
        <is>
          <t>県</t>
        </is>
      </c>
      <c r="W41" s="2378" t="inlineStr">
        <is>
          <t>市</t>
        </is>
      </c>
      <c r="AH41" s="4109" t="n"/>
    </row>
    <row r="42" ht="3" customHeight="1" s="4080">
      <c r="A42" s="4208" t="n"/>
      <c r="B42" s="4107" t="n"/>
      <c r="C42" s="4102" t="n"/>
      <c r="D42" s="4103" t="n"/>
      <c r="E42" s="4104" t="n"/>
      <c r="F42" s="4102" t="n"/>
      <c r="G42" s="4103" t="n"/>
      <c r="H42" s="4103" t="n"/>
      <c r="I42" s="4215" t="n"/>
      <c r="J42" s="4216" t="n"/>
      <c r="K42" s="4103" t="n"/>
      <c r="L42" s="4103" t="n"/>
      <c r="M42" s="4104" t="n"/>
      <c r="N42" s="4102" t="n"/>
      <c r="O42" s="4104" t="n"/>
      <c r="P42" s="4102" t="n"/>
      <c r="Q42" s="4103" t="n"/>
      <c r="R42" s="2378" t="n"/>
      <c r="S42" s="2378" t="n"/>
      <c r="T42" s="4103" t="n"/>
      <c r="U42" s="4103" t="n"/>
      <c r="V42" s="4103" t="n"/>
      <c r="W42" s="63" t="n"/>
      <c r="X42" s="4103" t="n"/>
      <c r="Y42" s="4103" t="n"/>
      <c r="Z42" s="4103" t="n"/>
      <c r="AA42" s="4103" t="n"/>
      <c r="AB42" s="4103" t="n"/>
      <c r="AC42" s="4103" t="n"/>
      <c r="AD42" s="4103" t="n"/>
      <c r="AE42" s="4103" t="n"/>
      <c r="AF42" s="4103" t="n"/>
      <c r="AG42" s="4103" t="n"/>
      <c r="AH42" s="4105" t="n"/>
    </row>
    <row r="43" ht="3.95" customHeight="1" s="4080">
      <c r="A43" s="4208" t="n"/>
      <c r="B43" s="4107" t="n"/>
      <c r="C43" s="1393" t="inlineStr">
        <is>
          <t>他の職務との兼務の有無及び職種</t>
        </is>
      </c>
      <c r="D43" s="4098" t="n"/>
      <c r="E43" s="4098" t="n"/>
      <c r="F43" s="4098" t="n"/>
      <c r="G43" s="4098" t="n"/>
      <c r="H43" s="4098" t="n"/>
      <c r="I43" s="4098" t="n"/>
      <c r="J43" s="4098" t="n"/>
      <c r="K43" s="4098" t="n"/>
      <c r="L43" s="4098" t="n"/>
      <c r="M43" s="4098" t="n"/>
      <c r="N43" s="4195" t="n"/>
      <c r="O43" s="4098" t="n"/>
      <c r="P43" s="4098" t="n"/>
      <c r="Q43" s="4098" t="n"/>
      <c r="R43" s="4099" t="n"/>
      <c r="S43" s="2163" t="inlineStr">
        <is>
          <t>職　　種</t>
        </is>
      </c>
      <c r="T43" s="4098" t="n"/>
      <c r="U43" s="4099" t="n"/>
      <c r="V43" s="1322" t="n"/>
      <c r="W43" s="1335" t="inlineStr">
        <is>
          <t xml:space="preserve">　</t>
        </is>
      </c>
      <c r="X43" s="4098" t="n"/>
      <c r="Y43" s="4098" t="n"/>
      <c r="Z43" s="4098" t="n"/>
      <c r="AA43" s="4098" t="n"/>
      <c r="AB43" s="4098" t="n"/>
      <c r="AC43" s="4098" t="n"/>
      <c r="AD43" s="4098" t="n"/>
      <c r="AE43" s="4098" t="n"/>
      <c r="AF43" s="4098" t="n"/>
      <c r="AG43" s="4098" t="n"/>
      <c r="AH43" s="4101" t="n"/>
    </row>
    <row r="44" ht="12" customHeight="1" s="4080">
      <c r="A44" s="4208" t="n"/>
      <c r="B44" s="4107" t="n"/>
      <c r="C44" s="4106" t="n"/>
      <c r="N44" s="1354" t="n"/>
      <c r="O44" s="1325" t="inlineStr">
        <is>
          <t>有</t>
        </is>
      </c>
      <c r="P44" s="1325" t="inlineStr">
        <is>
          <t>・</t>
        </is>
      </c>
      <c r="Q44" s="1325" t="inlineStr">
        <is>
          <t>無</t>
        </is>
      </c>
      <c r="R44" s="1332" t="n"/>
      <c r="S44" s="4106" t="n"/>
      <c r="U44" s="4107" t="n"/>
      <c r="V44" s="4196" t="n"/>
      <c r="AH44" s="4109" t="n"/>
    </row>
    <row r="45" ht="3.95" customHeight="1" s="4080">
      <c r="A45" s="4208" t="n"/>
      <c r="B45" s="4107" t="n"/>
      <c r="C45" s="4102" t="n"/>
      <c r="D45" s="4103" t="n"/>
      <c r="E45" s="4103" t="n"/>
      <c r="F45" s="4103" t="n"/>
      <c r="G45" s="4103" t="n"/>
      <c r="H45" s="4103" t="n"/>
      <c r="I45" s="4103" t="n"/>
      <c r="J45" s="4103" t="n"/>
      <c r="K45" s="4103" t="n"/>
      <c r="L45" s="4103" t="n"/>
      <c r="M45" s="4103" t="n"/>
      <c r="N45" s="4197" t="n"/>
      <c r="O45" s="4103" t="n"/>
      <c r="P45" s="4103" t="n"/>
      <c r="Q45" s="4103" t="n"/>
      <c r="R45" s="4104" t="n"/>
      <c r="S45" s="4102" t="n"/>
      <c r="T45" s="4103" t="n"/>
      <c r="U45" s="4104" t="n"/>
      <c r="V45" s="1326" t="n"/>
      <c r="W45" s="1299" t="n"/>
      <c r="X45" s="4103" t="n"/>
      <c r="Y45" s="4103" t="n"/>
      <c r="Z45" s="4103" t="n"/>
      <c r="AA45" s="4103" t="n"/>
      <c r="AB45" s="4103" t="n"/>
      <c r="AC45" s="4103" t="n"/>
      <c r="AD45" s="4103" t="n"/>
      <c r="AE45" s="4103" t="n"/>
      <c r="AF45" s="4103" t="n"/>
      <c r="AG45" s="4103" t="n"/>
      <c r="AH45" s="4105" t="n"/>
    </row>
    <row r="46" ht="3.95" customHeight="1" s="4080">
      <c r="A46" s="4208" t="n"/>
      <c r="B46" s="4107" t="n"/>
      <c r="C46" s="1784" t="inlineStr">
        <is>
          <t>資格要件</t>
        </is>
      </c>
      <c r="D46" s="4098" t="n"/>
      <c r="E46" s="4098" t="n"/>
      <c r="F46" s="1322" t="n"/>
      <c r="G46" s="1323" t="n"/>
      <c r="H46" s="1414" t="n"/>
      <c r="I46" s="2056" t="n"/>
      <c r="J46" s="2056" t="n"/>
      <c r="K46" s="2056" t="n"/>
      <c r="L46" s="2056" t="n"/>
      <c r="M46" s="2056" t="n"/>
      <c r="N46" s="2056" t="n"/>
      <c r="O46" s="2056" t="n"/>
      <c r="P46" s="1402" t="n"/>
      <c r="Q46" s="1402" t="n"/>
      <c r="R46" s="1402" t="n"/>
      <c r="S46" s="4958" t="inlineStr">
        <is>
          <t>研修の
受講状況</t>
        </is>
      </c>
      <c r="T46" s="4098" t="n"/>
      <c r="U46" s="4099" t="n"/>
      <c r="V46" s="1322" t="n"/>
      <c r="W46" s="1323" t="n"/>
      <c r="X46" s="1323" t="n"/>
      <c r="Y46" s="1323" t="n"/>
      <c r="Z46" s="1323" t="n"/>
      <c r="AA46" s="1331" t="n"/>
      <c r="AB46" s="1323" t="n"/>
      <c r="AC46" s="1323" t="n"/>
      <c r="AD46" s="1323" t="n"/>
      <c r="AE46" s="1323" t="n"/>
      <c r="AF46" s="1323" t="n"/>
      <c r="AG46" s="1323" t="n"/>
      <c r="AH46" s="2297" t="n"/>
    </row>
    <row r="47" ht="12" customHeight="1" s="4080">
      <c r="A47" s="4208" t="n"/>
      <c r="B47" s="4107" t="n"/>
      <c r="C47" s="4106" t="n"/>
      <c r="F47" s="4314" t="inlineStr">
        <is>
          <t>実務経験</t>
        </is>
      </c>
      <c r="H47" s="4107" t="n"/>
      <c r="I47" s="1790" t="n"/>
      <c r="S47" s="4106" t="n"/>
      <c r="U47" s="4107" t="n"/>
      <c r="V47" s="4315" t="inlineStr">
        <is>
          <t>相談支援従事者研修</t>
        </is>
      </c>
      <c r="AA47" s="4107" t="n"/>
      <c r="AB47" s="128" t="n"/>
      <c r="AC47" s="1783" t="inlineStr">
        <is>
          <t>受講済</t>
        </is>
      </c>
      <c r="AE47" s="2379" t="inlineStr">
        <is>
          <t>・</t>
        </is>
      </c>
      <c r="AF47" s="1770" t="inlineStr">
        <is>
          <t>未受講</t>
        </is>
      </c>
      <c r="AH47" s="130" t="n"/>
    </row>
    <row r="48" ht="3.95" customHeight="1" s="4080">
      <c r="A48" s="4208" t="n"/>
      <c r="B48" s="4107" t="n"/>
      <c r="C48" s="4106" t="n"/>
      <c r="F48" s="131" t="n"/>
      <c r="G48" s="132" t="n"/>
      <c r="H48" s="133" t="n"/>
      <c r="I48" s="134" t="n"/>
      <c r="J48" s="134" t="n"/>
      <c r="K48" s="134" t="n"/>
      <c r="L48" s="134" t="n"/>
      <c r="M48" s="134" t="n"/>
      <c r="N48" s="134" t="n"/>
      <c r="O48" s="135" t="n"/>
      <c r="P48" s="136" t="n"/>
      <c r="Q48" s="136" t="n"/>
      <c r="R48" s="137" t="n"/>
      <c r="S48" s="4106" t="n"/>
      <c r="U48" s="4107" t="n"/>
      <c r="V48" s="4323" t="n"/>
      <c r="AA48" s="4107" t="n"/>
      <c r="AB48" s="138" t="n"/>
      <c r="AC48" s="138" t="n"/>
      <c r="AD48" s="138" t="n"/>
      <c r="AE48" s="138" t="n"/>
      <c r="AF48" s="138" t="n"/>
      <c r="AG48" s="138" t="n"/>
      <c r="AH48" s="139" t="n"/>
    </row>
    <row r="49" ht="3.95" customHeight="1" s="4080">
      <c r="A49" s="4208" t="n"/>
      <c r="B49" s="4107" t="n"/>
      <c r="C49" s="4106" t="n"/>
      <c r="F49" s="140" t="n"/>
      <c r="G49" s="141" t="n"/>
      <c r="H49" s="142" t="n"/>
      <c r="I49" s="143" t="n"/>
      <c r="J49" s="143" t="n"/>
      <c r="K49" s="144" t="n"/>
      <c r="L49" s="141" t="n"/>
      <c r="M49" s="141" t="n"/>
      <c r="N49" s="141" t="n"/>
      <c r="O49" s="141" t="n"/>
      <c r="P49" s="145" t="n"/>
      <c r="Q49" s="145" t="n"/>
      <c r="R49" s="146" t="n"/>
      <c r="S49" s="4106" t="n"/>
      <c r="U49" s="4107" t="n"/>
      <c r="V49" s="4324" t="n"/>
      <c r="W49" s="4098" t="n"/>
      <c r="X49" s="4098" t="n"/>
      <c r="Y49" s="4098" t="n"/>
      <c r="Z49" s="4098" t="n"/>
      <c r="AA49" s="4099" t="n"/>
      <c r="AB49" s="141" t="n"/>
      <c r="AC49" s="141" t="n"/>
      <c r="AD49" s="141" t="n"/>
      <c r="AE49" s="141" t="n"/>
      <c r="AF49" s="141" t="n"/>
      <c r="AG49" s="141" t="n"/>
      <c r="AH49" s="147" t="n"/>
    </row>
    <row r="50" ht="12" customHeight="1" s="4080">
      <c r="A50" s="4208" t="n"/>
      <c r="B50" s="4107" t="n"/>
      <c r="C50" s="4106" t="n"/>
      <c r="F50" s="4314" t="inlineStr">
        <is>
          <t>資格種類</t>
        </is>
      </c>
      <c r="H50" s="4107" t="n"/>
      <c r="I50" s="935" t="n"/>
      <c r="S50" s="4106" t="n"/>
      <c r="U50" s="4107" t="n"/>
      <c r="V50" s="4322" t="inlineStr">
        <is>
          <t>サービス管理責任者研修</t>
        </is>
      </c>
      <c r="AA50" s="4107" t="n"/>
      <c r="AB50" s="1355" t="n"/>
      <c r="AC50" s="1783" t="inlineStr">
        <is>
          <t>受講済</t>
        </is>
      </c>
      <c r="AE50" s="2379" t="inlineStr">
        <is>
          <t>・</t>
        </is>
      </c>
      <c r="AF50" s="1770" t="inlineStr">
        <is>
          <t>未受講</t>
        </is>
      </c>
      <c r="AH50" s="148" t="n"/>
    </row>
    <row r="51" ht="3.95" customHeight="1" s="4080">
      <c r="A51" s="4208" t="n"/>
      <c r="B51" s="4107" t="n"/>
      <c r="C51" s="4106" t="n"/>
      <c r="F51" s="1324" t="n"/>
      <c r="G51" s="1325" t="n"/>
      <c r="H51" s="1332" t="n"/>
      <c r="I51" s="1320" t="n"/>
      <c r="J51" s="1320" t="n"/>
      <c r="K51" s="1320" t="n"/>
      <c r="L51" s="1320" t="n"/>
      <c r="M51" s="1320" t="n"/>
      <c r="N51" s="1320" t="n"/>
      <c r="O51" s="2069" t="n"/>
      <c r="P51" s="1391" t="n"/>
      <c r="Q51" s="1391" t="n"/>
      <c r="R51" s="1391" t="n"/>
      <c r="S51" s="4106" t="n"/>
      <c r="U51" s="4107" t="n"/>
      <c r="V51" s="1795" t="n"/>
      <c r="W51" s="472" t="n"/>
      <c r="X51" s="472" t="n"/>
      <c r="Y51" s="680" t="n"/>
      <c r="Z51" s="680" t="n"/>
      <c r="AA51" s="3232" t="n"/>
      <c r="AB51" s="680" t="n"/>
      <c r="AC51" s="680" t="n"/>
      <c r="AD51" s="680" t="n"/>
      <c r="AE51" s="680" t="n"/>
      <c r="AF51" s="680" t="n"/>
      <c r="AG51" s="680" t="n"/>
      <c r="AH51" s="148" t="n"/>
    </row>
    <row r="52" ht="14.1" customHeight="1" s="4080">
      <c r="A52" s="4463" t="inlineStr">
        <is>
          <t>職　員　の　職　種　・　員　数</t>
        </is>
      </c>
      <c r="B52" s="4099" t="n"/>
      <c r="C52" s="4272" t="inlineStr">
        <is>
          <t xml:space="preserve">　　　　　　職種・勤務形態
常勤・非常勤の別</t>
        </is>
      </c>
      <c r="D52" s="4098" t="n"/>
      <c r="E52" s="4098" t="n"/>
      <c r="F52" s="4098" t="n"/>
      <c r="G52" s="4098" t="n"/>
      <c r="H52" s="4098" t="n"/>
      <c r="I52" s="4098" t="n"/>
      <c r="J52" s="4099" t="n"/>
      <c r="K52" s="4185" t="inlineStr">
        <is>
          <t>サービス管理責任者</t>
        </is>
      </c>
      <c r="L52" s="4110" t="n"/>
      <c r="M52" s="4110" t="n"/>
      <c r="N52" s="4110" t="n"/>
      <c r="O52" s="4110" t="n"/>
      <c r="P52" s="4111" t="n"/>
      <c r="Q52" s="4325" t="inlineStr">
        <is>
          <t>就労定着支援員</t>
        </is>
      </c>
      <c r="R52" s="4098" t="n"/>
      <c r="S52" s="4098" t="n"/>
      <c r="T52" s="4098" t="n"/>
      <c r="U52" s="4098" t="n"/>
      <c r="V52" s="4099" t="n"/>
      <c r="W52" s="4325" t="n"/>
      <c r="X52" s="4098" t="n"/>
      <c r="Y52" s="4098" t="n"/>
      <c r="Z52" s="4098" t="n"/>
      <c r="AA52" s="4098" t="n"/>
      <c r="AB52" s="4099" t="n"/>
      <c r="AC52" s="4326" t="n"/>
      <c r="AD52" s="4098" t="n"/>
      <c r="AE52" s="4098" t="n"/>
      <c r="AF52" s="4098" t="n"/>
      <c r="AG52" s="4098" t="n"/>
      <c r="AH52" s="4101" t="n"/>
      <c r="AO52" s="1667" t="inlineStr">
        <is>
          <t>生活介護</t>
        </is>
      </c>
    </row>
    <row r="53" ht="14.1" customHeight="1" s="4080">
      <c r="A53" s="4097" t="n"/>
      <c r="B53" s="4107" t="n"/>
      <c r="C53" s="4102" t="n"/>
      <c r="D53" s="4103" t="n"/>
      <c r="E53" s="4103" t="n"/>
      <c r="F53" s="4103" t="n"/>
      <c r="G53" s="4103" t="n"/>
      <c r="H53" s="4103" t="n"/>
      <c r="I53" s="4103" t="n"/>
      <c r="J53" s="4104" t="n"/>
      <c r="K53" s="1617" t="inlineStr">
        <is>
          <t>専従</t>
        </is>
      </c>
      <c r="L53" s="4110" t="n"/>
      <c r="M53" s="4189" t="n"/>
      <c r="N53" s="1604" t="inlineStr">
        <is>
          <t>兼務</t>
        </is>
      </c>
      <c r="O53" s="4110" t="n"/>
      <c r="P53" s="4111" t="n"/>
      <c r="Q53" s="1617" t="inlineStr">
        <is>
          <t>専従</t>
        </is>
      </c>
      <c r="R53" s="4110" t="n"/>
      <c r="S53" s="4189" t="n"/>
      <c r="T53" s="1603" t="inlineStr">
        <is>
          <t>兼務</t>
        </is>
      </c>
      <c r="U53" s="4110" t="n"/>
      <c r="V53" s="4189" t="n"/>
      <c r="W53" s="1617" t="inlineStr">
        <is>
          <t>専従</t>
        </is>
      </c>
      <c r="X53" s="4110" t="n"/>
      <c r="Y53" s="4189" t="n"/>
      <c r="Z53" s="1603" t="inlineStr">
        <is>
          <t>兼務</t>
        </is>
      </c>
      <c r="AA53" s="4110" t="n"/>
      <c r="AB53" s="4189" t="n"/>
      <c r="AC53" s="1617" t="inlineStr">
        <is>
          <t>専従</t>
        </is>
      </c>
      <c r="AD53" s="4110" t="n"/>
      <c r="AE53" s="4189" t="n"/>
      <c r="AF53" s="1603" t="inlineStr">
        <is>
          <t>兼務</t>
        </is>
      </c>
      <c r="AG53" s="4110" t="n"/>
      <c r="AH53" s="4189" t="n"/>
      <c r="AO53" s="1667" t="inlineStr">
        <is>
          <t>自立訓練</t>
        </is>
      </c>
    </row>
    <row r="54" ht="14.1" customHeight="1" s="4080">
      <c r="A54" s="4097" t="n"/>
      <c r="B54" s="4107" t="n"/>
      <c r="C54" s="4185" t="inlineStr">
        <is>
          <t>常　　　　　勤（人）</t>
        </is>
      </c>
      <c r="D54" s="4110" t="n"/>
      <c r="E54" s="4110" t="n"/>
      <c r="F54" s="4110" t="n"/>
      <c r="G54" s="4110" t="n"/>
      <c r="H54" s="4110" t="n"/>
      <c r="I54" s="4110" t="n"/>
      <c r="J54" s="4111" t="n"/>
      <c r="K54" s="1487" t="n"/>
      <c r="L54" s="4110" t="n"/>
      <c r="M54" s="4189" t="n"/>
      <c r="N54" s="1489" t="inlineStr">
        <is>
          <t>１</t>
        </is>
      </c>
      <c r="O54" s="4110" t="n"/>
      <c r="P54" s="4111" t="n"/>
      <c r="Q54" s="1487" t="n"/>
      <c r="R54" s="4110" t="n"/>
      <c r="S54" s="4189" t="n"/>
      <c r="T54" s="1489" t="n"/>
      <c r="U54" s="4110" t="n"/>
      <c r="V54" s="4111" t="n"/>
      <c r="W54" s="1487" t="n"/>
      <c r="X54" s="4110" t="n"/>
      <c r="Y54" s="4189" t="n"/>
      <c r="Z54" s="1489" t="n"/>
      <c r="AA54" s="4110" t="n"/>
      <c r="AB54" s="4111" t="n"/>
      <c r="AC54" s="1487" t="n"/>
      <c r="AD54" s="4110" t="n"/>
      <c r="AE54" s="4189" t="n"/>
      <c r="AF54" s="2134" t="n"/>
      <c r="AG54" s="4110" t="n"/>
      <c r="AH54" s="4113" t="n"/>
      <c r="AO54" s="1667" t="inlineStr">
        <is>
          <t>就労移行支援</t>
        </is>
      </c>
    </row>
    <row r="55" ht="14.1" customHeight="1" s="4080">
      <c r="A55" s="4097" t="n"/>
      <c r="B55" s="4107" t="n"/>
      <c r="C55" s="4185" t="inlineStr">
        <is>
          <t>非　　常　　勤（人）</t>
        </is>
      </c>
      <c r="D55" s="4110" t="n"/>
      <c r="E55" s="4110" t="n"/>
      <c r="F55" s="4110" t="n"/>
      <c r="G55" s="4110" t="n"/>
      <c r="H55" s="4110" t="n"/>
      <c r="I55" s="4110" t="n"/>
      <c r="J55" s="4111" t="n"/>
      <c r="K55" s="1487" t="n"/>
      <c r="L55" s="4110" t="n"/>
      <c r="M55" s="4189" t="n"/>
      <c r="N55" s="1489" t="n"/>
      <c r="O55" s="4110" t="n"/>
      <c r="P55" s="4111" t="n"/>
      <c r="Q55" s="1487" t="inlineStr">
        <is>
          <t>１</t>
        </is>
      </c>
      <c r="R55" s="4110" t="n"/>
      <c r="S55" s="4189" t="n"/>
      <c r="T55" s="1489" t="n"/>
      <c r="U55" s="4110" t="n"/>
      <c r="V55" s="4111" t="n"/>
      <c r="W55" s="1487" t="n"/>
      <c r="X55" s="4110" t="n"/>
      <c r="Y55" s="4189" t="n"/>
      <c r="Z55" s="1489" t="n"/>
      <c r="AA55" s="4110" t="n"/>
      <c r="AB55" s="4111" t="n"/>
      <c r="AC55" s="1487" t="n"/>
      <c r="AD55" s="4110" t="n"/>
      <c r="AE55" s="4189" t="n"/>
      <c r="AF55" s="2134" t="n"/>
      <c r="AG55" s="4110" t="n"/>
      <c r="AH55" s="4113" t="n"/>
      <c r="AO55" s="1667" t="inlineStr">
        <is>
          <t>就労継続支援</t>
        </is>
      </c>
    </row>
    <row r="56" ht="14.1" customHeight="1" s="4080">
      <c r="A56" s="4097" t="n"/>
      <c r="B56" s="4107" t="n"/>
      <c r="C56" s="4185" t="inlineStr">
        <is>
          <t>常勤換算後の人数（人）</t>
        </is>
      </c>
      <c r="D56" s="4110" t="n"/>
      <c r="E56" s="4110" t="n"/>
      <c r="F56" s="4110" t="n"/>
      <c r="G56" s="4110" t="n"/>
      <c r="H56" s="4110" t="n"/>
      <c r="I56" s="4110" t="n"/>
      <c r="J56" s="4111" t="n"/>
      <c r="K56" s="4599" t="inlineStr">
        <is>
          <t>１．０</t>
        </is>
      </c>
      <c r="L56" s="4110" t="n"/>
      <c r="M56" s="4110" t="n"/>
      <c r="N56" s="4110" t="n"/>
      <c r="O56" s="4110" t="n"/>
      <c r="P56" s="4111" t="n"/>
      <c r="Q56" s="4599" t="inlineStr">
        <is>
          <t>０．７</t>
        </is>
      </c>
      <c r="R56" s="4110" t="n"/>
      <c r="S56" s="4110" t="n"/>
      <c r="T56" s="4110" t="n"/>
      <c r="U56" s="4110" t="n"/>
      <c r="V56" s="4111" t="n"/>
      <c r="W56" s="4599" t="n"/>
      <c r="X56" s="4110" t="n"/>
      <c r="Y56" s="4110" t="n"/>
      <c r="Z56" s="4110" t="n"/>
      <c r="AA56" s="4110" t="n"/>
      <c r="AB56" s="4111" t="n"/>
      <c r="AC56" s="4796" t="n"/>
      <c r="AD56" s="4110" t="n"/>
      <c r="AE56" s="4110" t="n"/>
      <c r="AF56" s="4110" t="n"/>
      <c r="AG56" s="4110" t="n"/>
      <c r="AH56" s="4113" t="n"/>
    </row>
    <row r="57" ht="14.1" customHeight="1" s="4080">
      <c r="A57" s="4097" t="n"/>
      <c r="B57" s="4107" t="n"/>
      <c r="C57" s="4521" t="inlineStr">
        <is>
          <t xml:space="preserve">　　　　　　職種・勤務形態
常勤・非常勤の別</t>
        </is>
      </c>
      <c r="D57" s="4098" t="n"/>
      <c r="E57" s="4098" t="n"/>
      <c r="F57" s="4098" t="n"/>
      <c r="G57" s="4098" t="n"/>
      <c r="H57" s="4098" t="n"/>
      <c r="I57" s="4098" t="n"/>
      <c r="J57" s="4099" t="n"/>
      <c r="K57" s="4959" t="n"/>
      <c r="L57" s="4110" t="n"/>
      <c r="M57" s="4110" t="n"/>
      <c r="N57" s="4110" t="n"/>
      <c r="O57" s="4110" t="n"/>
      <c r="P57" s="4111" t="n"/>
      <c r="Q57" s="4437" t="n"/>
      <c r="R57" s="4098" t="n"/>
      <c r="S57" s="4098" t="n"/>
      <c r="T57" s="4098" t="n"/>
      <c r="U57" s="4098" t="n"/>
      <c r="V57" s="4099" t="n"/>
      <c r="W57" s="4437" t="n"/>
      <c r="X57" s="4098" t="n"/>
      <c r="Y57" s="4098" t="n"/>
      <c r="Z57" s="4098" t="n"/>
      <c r="AA57" s="4098" t="n"/>
      <c r="AB57" s="4099" t="n"/>
      <c r="AC57" s="4506" t="n"/>
      <c r="AD57" s="4098" t="n"/>
      <c r="AE57" s="4098" t="n"/>
      <c r="AF57" s="4098" t="n"/>
      <c r="AG57" s="4098" t="n"/>
      <c r="AH57" s="4101" t="n"/>
    </row>
    <row r="58" ht="14.1" customHeight="1" s="4080">
      <c r="A58" s="4097" t="n"/>
      <c r="B58" s="4107" t="n"/>
      <c r="C58" s="4103" t="n"/>
      <c r="D58" s="4103" t="n"/>
      <c r="E58" s="4103" t="n"/>
      <c r="F58" s="4103" t="n"/>
      <c r="G58" s="4103" t="n"/>
      <c r="H58" s="4103" t="n"/>
      <c r="I58" s="4103" t="n"/>
      <c r="J58" s="4104" t="n"/>
      <c r="K58" s="1617" t="inlineStr">
        <is>
          <t>専従</t>
        </is>
      </c>
      <c r="L58" s="4110" t="n"/>
      <c r="M58" s="4189" t="n"/>
      <c r="N58" s="1603" t="inlineStr">
        <is>
          <t>兼務</t>
        </is>
      </c>
      <c r="O58" s="4110" t="n"/>
      <c r="P58" s="4189" t="n"/>
      <c r="Q58" s="1617" t="inlineStr">
        <is>
          <t>専従</t>
        </is>
      </c>
      <c r="R58" s="4110" t="n"/>
      <c r="S58" s="4189" t="n"/>
      <c r="T58" s="1603" t="inlineStr">
        <is>
          <t>兼務</t>
        </is>
      </c>
      <c r="U58" s="4110" t="n"/>
      <c r="V58" s="4189" t="n"/>
      <c r="W58" s="1617" t="inlineStr">
        <is>
          <t>専従</t>
        </is>
      </c>
      <c r="X58" s="4110" t="n"/>
      <c r="Y58" s="4189" t="n"/>
      <c r="Z58" s="1603" t="inlineStr">
        <is>
          <t>兼務</t>
        </is>
      </c>
      <c r="AA58" s="4110" t="n"/>
      <c r="AB58" s="4189" t="n"/>
      <c r="AC58" s="1617" t="inlineStr">
        <is>
          <t>専従</t>
        </is>
      </c>
      <c r="AD58" s="4110" t="n"/>
      <c r="AE58" s="4189" t="n"/>
      <c r="AF58" s="1603" t="inlineStr">
        <is>
          <t>兼務</t>
        </is>
      </c>
      <c r="AG58" s="4110" t="n"/>
      <c r="AH58" s="4189" t="n"/>
    </row>
    <row r="59" ht="14.1" customHeight="1" s="4080">
      <c r="A59" s="4097" t="n"/>
      <c r="B59" s="4107" t="n"/>
      <c r="C59" s="4185" t="inlineStr">
        <is>
          <t>常　　　　　勤（人）</t>
        </is>
      </c>
      <c r="D59" s="4110" t="n"/>
      <c r="E59" s="4110" t="n"/>
      <c r="F59" s="4110" t="n"/>
      <c r="G59" s="4110" t="n"/>
      <c r="H59" s="4110" t="n"/>
      <c r="I59" s="4110" t="n"/>
      <c r="J59" s="4111" t="n"/>
      <c r="K59" s="1487" t="n"/>
      <c r="L59" s="4110" t="n"/>
      <c r="M59" s="4189" t="n"/>
      <c r="N59" s="1488" t="n"/>
      <c r="O59" s="4110" t="n"/>
      <c r="P59" s="4189" t="n"/>
      <c r="Q59" s="1487" t="n"/>
      <c r="R59" s="4110" t="n"/>
      <c r="S59" s="4189" t="n"/>
      <c r="T59" s="1488" t="n"/>
      <c r="U59" s="4110" t="n"/>
      <c r="V59" s="4189" t="n"/>
      <c r="W59" s="1487" t="n"/>
      <c r="X59" s="4110" t="n"/>
      <c r="Y59" s="4189" t="n"/>
      <c r="Z59" s="1488" t="n"/>
      <c r="AA59" s="4110" t="n"/>
      <c r="AB59" s="4189" t="n"/>
      <c r="AC59" s="1487" t="n"/>
      <c r="AD59" s="4110" t="n"/>
      <c r="AE59" s="4189" t="n"/>
      <c r="AF59" s="1488" t="n"/>
      <c r="AG59" s="4110" t="n"/>
      <c r="AH59" s="4189" t="n"/>
    </row>
    <row r="60" ht="14.1" customHeight="1" s="4080">
      <c r="A60" s="4097" t="n"/>
      <c r="B60" s="4107" t="n"/>
      <c r="C60" s="4329" t="inlineStr">
        <is>
          <t>非　　常　　勤（人）</t>
        </is>
      </c>
      <c r="D60" s="4103" t="n"/>
      <c r="E60" s="4103" t="n"/>
      <c r="F60" s="4103" t="n"/>
      <c r="G60" s="4103" t="n"/>
      <c r="H60" s="4103" t="n"/>
      <c r="I60" s="4103" t="n"/>
      <c r="J60" s="4104" t="n"/>
      <c r="K60" s="1487" t="n"/>
      <c r="L60" s="4110" t="n"/>
      <c r="M60" s="4189" t="n"/>
      <c r="N60" s="1488" t="n"/>
      <c r="O60" s="4110" t="n"/>
      <c r="P60" s="4189" t="n"/>
      <c r="Q60" s="1487" t="n"/>
      <c r="R60" s="4110" t="n"/>
      <c r="S60" s="4189" t="n"/>
      <c r="T60" s="1488" t="n"/>
      <c r="U60" s="4110" t="n"/>
      <c r="V60" s="4189" t="n"/>
      <c r="W60" s="1487" t="n"/>
      <c r="X60" s="4110" t="n"/>
      <c r="Y60" s="4189" t="n"/>
      <c r="Z60" s="1488" t="n"/>
      <c r="AA60" s="4110" t="n"/>
      <c r="AB60" s="4189" t="n"/>
      <c r="AC60" s="1487" t="n"/>
      <c r="AD60" s="4110" t="n"/>
      <c r="AE60" s="4189" t="n"/>
      <c r="AF60" s="1488" t="n"/>
      <c r="AG60" s="4110" t="n"/>
      <c r="AH60" s="4189" t="n"/>
    </row>
    <row r="61" ht="14.1" customHeight="1" s="4080" thickBot="1">
      <c r="A61" s="4086" t="n"/>
      <c r="B61" s="4410" t="n"/>
      <c r="C61" s="2203" t="inlineStr">
        <is>
          <t>常勤換算後の人数（人）</t>
        </is>
      </c>
      <c r="D61" s="4153" t="n"/>
      <c r="E61" s="4153" t="n"/>
      <c r="F61" s="4153" t="n"/>
      <c r="G61" s="4153" t="n"/>
      <c r="H61" s="4153" t="n"/>
      <c r="I61" s="4153" t="n"/>
      <c r="J61" s="4154" t="n"/>
      <c r="K61" s="4960" t="n"/>
      <c r="L61" s="4153" t="n"/>
      <c r="M61" s="4153" t="n"/>
      <c r="N61" s="4153" t="n"/>
      <c r="O61" s="4153" t="n"/>
      <c r="P61" s="4154" t="n"/>
      <c r="Q61" s="4960" t="n"/>
      <c r="R61" s="4153" t="n"/>
      <c r="S61" s="4153" t="n"/>
      <c r="T61" s="4153" t="n"/>
      <c r="U61" s="4153" t="n"/>
      <c r="V61" s="4154" t="n"/>
      <c r="W61" s="4960" t="n"/>
      <c r="X61" s="4153" t="n"/>
      <c r="Y61" s="4153" t="n"/>
      <c r="Z61" s="4153" t="n"/>
      <c r="AA61" s="4153" t="n"/>
      <c r="AB61" s="4154" t="n"/>
      <c r="AC61" s="4961" t="n"/>
      <c r="AD61" s="4153" t="n"/>
      <c r="AE61" s="4153" t="n"/>
      <c r="AF61" s="4153" t="n"/>
      <c r="AG61" s="4153" t="n"/>
      <c r="AH61" s="4155" t="n"/>
    </row>
    <row r="62" ht="3.95" customHeight="1" s="4080">
      <c r="A62" s="3061" t="n"/>
      <c r="B62" s="4098" t="n"/>
      <c r="C62" s="4098" t="n"/>
      <c r="D62" s="4098" t="n"/>
      <c r="E62" s="4098" t="n"/>
      <c r="F62" s="4098" t="n"/>
      <c r="G62" s="4098" t="n"/>
      <c r="H62" s="4098" t="n"/>
      <c r="I62" s="4098" t="n"/>
      <c r="J62" s="4099" t="n"/>
      <c r="K62" s="4332" t="n"/>
      <c r="L62" s="4333" t="n"/>
      <c r="M62" s="4333" t="n"/>
      <c r="N62" s="4333" t="n"/>
      <c r="O62" s="4333" t="n"/>
      <c r="P62" s="4392" t="n"/>
      <c r="Q62" s="4393" t="inlineStr">
        <is>
          <t>事業所の種類</t>
        </is>
      </c>
      <c r="R62" s="4098" t="n"/>
      <c r="S62" s="4098" t="n"/>
      <c r="T62" s="4098" t="n"/>
      <c r="U62" s="4098" t="n"/>
      <c r="V62" s="4099" t="n"/>
      <c r="W62" s="4962" t="inlineStr">
        <is>
          <t>生活介護</t>
        </is>
      </c>
      <c r="X62" s="4082" t="n"/>
      <c r="Y62" s="4082" t="n"/>
      <c r="Z62" s="4082" t="n"/>
      <c r="AA62" s="4082" t="n"/>
      <c r="AB62" s="4356" t="n"/>
      <c r="AC62" s="4963" t="n"/>
      <c r="AD62" s="4082" t="n"/>
      <c r="AE62" s="4082" t="n"/>
      <c r="AF62" s="4082" t="n"/>
      <c r="AG62" s="4082" t="n"/>
      <c r="AH62" s="4083" t="n"/>
    </row>
    <row r="63" ht="14.1" customHeight="1" s="4080">
      <c r="A63" s="4338" t="inlineStr">
        <is>
          <t>一体的に運営する事業所</t>
        </is>
      </c>
      <c r="J63" s="4107" t="n"/>
      <c r="K63" s="4339" t="n"/>
      <c r="L63" s="4340" t="inlineStr">
        <is>
          <t>無</t>
        </is>
      </c>
      <c r="M63" s="4340" t="inlineStr">
        <is>
          <t>・</t>
        </is>
      </c>
      <c r="O63" s="4964" t="inlineStr">
        <is>
          <t>有</t>
        </is>
      </c>
      <c r="P63" s="4397" t="n"/>
      <c r="Q63" s="4106" t="n"/>
      <c r="V63" s="4107" t="n"/>
      <c r="W63" s="4106" t="n"/>
      <c r="AB63" s="4107" t="n"/>
      <c r="AH63" s="4109" t="n"/>
    </row>
    <row r="64" ht="7.5" customHeight="1" s="4080">
      <c r="A64" s="2296" t="n"/>
      <c r="B64" s="2321" t="n"/>
      <c r="C64" s="2321" t="n"/>
      <c r="D64" s="2321" t="n"/>
      <c r="E64" s="2321" t="n"/>
      <c r="F64" s="2321" t="n"/>
      <c r="G64" s="2321" t="n"/>
      <c r="H64" s="2321" t="n"/>
      <c r="I64" s="2321" t="n"/>
      <c r="J64" s="1450" t="n"/>
      <c r="K64" s="4343" t="n"/>
      <c r="L64" s="4344" t="n"/>
      <c r="M64" s="4344" t="n"/>
      <c r="N64" s="4344" t="n"/>
      <c r="O64" s="4344" t="n"/>
      <c r="P64" s="4398" t="n"/>
      <c r="Q64" s="4102" t="n"/>
      <c r="R64" s="4103" t="n"/>
      <c r="S64" s="4103" t="n"/>
      <c r="T64" s="4103" t="n"/>
      <c r="U64" s="4103" t="n"/>
      <c r="V64" s="4104" t="n"/>
      <c r="W64" s="4102" t="n"/>
      <c r="X64" s="4103" t="n"/>
      <c r="Y64" s="4103" t="n"/>
      <c r="Z64" s="4103" t="n"/>
      <c r="AA64" s="4103" t="n"/>
      <c r="AB64" s="4104" t="n"/>
      <c r="AC64" s="4103" t="n"/>
      <c r="AD64" s="4103" t="n"/>
      <c r="AE64" s="4103" t="n"/>
      <c r="AF64" s="4103" t="n"/>
      <c r="AG64" s="4103" t="n"/>
      <c r="AH64" s="4105" t="n"/>
    </row>
    <row r="65" ht="24" customHeight="1" s="4080">
      <c r="A65" s="4948" t="inlineStr">
        <is>
          <t>前年度
利用者数
(又は推定数)</t>
        </is>
      </c>
      <c r="B65" s="4098" t="n"/>
      <c r="C65" s="4098" t="n"/>
      <c r="D65" s="4099" t="n"/>
      <c r="E65" s="4949" t="n"/>
      <c r="F65" s="4110" t="n"/>
      <c r="G65" s="4111" t="n"/>
      <c r="H65" s="2165" t="inlineStr">
        <is>
          <t>非該当</t>
        </is>
      </c>
      <c r="I65" s="4110" t="n"/>
      <c r="J65" s="4111" t="n"/>
      <c r="K65" s="2165" t="inlineStr">
        <is>
          <t>区分１</t>
        </is>
      </c>
      <c r="L65" s="4110" t="n"/>
      <c r="M65" s="4111" t="n"/>
      <c r="N65" s="2165" t="inlineStr">
        <is>
          <t>区分２</t>
        </is>
      </c>
      <c r="O65" s="4110" t="n"/>
      <c r="P65" s="4111" t="n"/>
      <c r="Q65" s="2165" t="inlineStr">
        <is>
          <t>区分３</t>
        </is>
      </c>
      <c r="R65" s="4110" t="n"/>
      <c r="S65" s="4111" t="n"/>
      <c r="T65" s="2165" t="inlineStr">
        <is>
          <t>区分４</t>
        </is>
      </c>
      <c r="U65" s="4110" t="n"/>
      <c r="V65" s="4111" t="n"/>
      <c r="W65" s="2165" t="inlineStr">
        <is>
          <t>区分５</t>
        </is>
      </c>
      <c r="X65" s="4110" t="n"/>
      <c r="Y65" s="4111" t="n"/>
      <c r="Z65" s="2165" t="inlineStr">
        <is>
          <t>区分６</t>
        </is>
      </c>
      <c r="AA65" s="4110" t="n"/>
      <c r="AB65" s="4111" t="n"/>
      <c r="AC65" s="4628" t="inlineStr">
        <is>
          <t>前年度
開所日数</t>
        </is>
      </c>
      <c r="AD65" s="4110" t="n"/>
      <c r="AE65" s="4111" t="n"/>
      <c r="AF65" s="4643" t="inlineStr">
        <is>
          <t>平均
利用者数</t>
        </is>
      </c>
      <c r="AG65" s="4110" t="n"/>
      <c r="AH65" s="4113" t="n"/>
    </row>
    <row r="66" ht="15" customHeight="1" s="4080">
      <c r="A66" s="4097" t="n"/>
      <c r="D66" s="4107" t="n"/>
      <c r="E66" s="4313" t="inlineStr">
        <is>
          <t>就労定着</t>
        </is>
      </c>
      <c r="F66" s="4110" t="n"/>
      <c r="G66" s="4111" t="n"/>
      <c r="H66" s="4644" t="n">
        <v>0</v>
      </c>
      <c r="I66" s="4110" t="n"/>
      <c r="J66" s="4350" t="inlineStr">
        <is>
          <t>人</t>
        </is>
      </c>
      <c r="K66" s="4644" t="n">
        <v>156</v>
      </c>
      <c r="L66" s="4110" t="n"/>
      <c r="M66" s="4350" t="inlineStr">
        <is>
          <t>人</t>
        </is>
      </c>
      <c r="N66" s="4644" t="n">
        <v>1040</v>
      </c>
      <c r="O66" s="4110" t="n"/>
      <c r="P66" s="4350" t="n"/>
      <c r="Q66" s="4644" t="n">
        <v>62</v>
      </c>
      <c r="R66" s="4110" t="n"/>
      <c r="S66" s="4350" t="inlineStr">
        <is>
          <t>人</t>
        </is>
      </c>
      <c r="T66" s="4644" t="n">
        <v>31</v>
      </c>
      <c r="U66" s="4110" t="n"/>
      <c r="V66" s="4350" t="inlineStr">
        <is>
          <t>人</t>
        </is>
      </c>
      <c r="W66" s="4644" t="n">
        <v>14</v>
      </c>
      <c r="X66" s="4110" t="n"/>
      <c r="Y66" s="4350" t="inlineStr">
        <is>
          <t>人</t>
        </is>
      </c>
      <c r="Z66" s="4644" t="n">
        <v>0</v>
      </c>
      <c r="AA66" s="4110" t="n"/>
      <c r="AB66" s="3914" t="inlineStr">
        <is>
          <t>人</t>
        </is>
      </c>
      <c r="AC66" s="4644" t="n">
        <v>260</v>
      </c>
      <c r="AD66" s="4110" t="n"/>
      <c r="AE66" s="3914" t="inlineStr">
        <is>
          <t>日</t>
        </is>
      </c>
      <c r="AF66" s="4646">
        <f>IF(AC66=0," ",ROUNDUP((H66+K66+N66+Q66+T66+W66+Z66)/AC66,1))</f>
        <v/>
      </c>
      <c r="AG66" s="4110" t="n"/>
      <c r="AH66" s="4632" t="inlineStr">
        <is>
          <t>人</t>
        </is>
      </c>
    </row>
    <row r="67" ht="50.25" customHeight="1" s="4080" thickBot="1">
      <c r="A67" s="4086" t="n"/>
      <c r="B67" s="4087" t="n"/>
      <c r="C67" s="4087" t="n"/>
      <c r="D67" s="4410" t="n"/>
      <c r="E67" s="4591" t="inlineStr">
        <is>
          <t>一体的に運用する事業所</t>
        </is>
      </c>
      <c r="F67" s="4153" t="n"/>
      <c r="G67" s="4154" t="n"/>
      <c r="H67" s="4950" t="n">
        <v>1</v>
      </c>
      <c r="I67" s="4153" t="n"/>
      <c r="J67" s="4764" t="inlineStr">
        <is>
          <t>人</t>
        </is>
      </c>
      <c r="K67" s="4950" t="n">
        <v>1560</v>
      </c>
      <c r="L67" s="4153" t="n"/>
      <c r="M67" s="4764" t="inlineStr">
        <is>
          <t>人</t>
        </is>
      </c>
      <c r="N67" s="4950" t="n">
        <v>1040</v>
      </c>
      <c r="O67" s="4153" t="n"/>
      <c r="P67" s="4764" t="inlineStr">
        <is>
          <t>人</t>
        </is>
      </c>
      <c r="Q67" s="4950" t="n">
        <v>620</v>
      </c>
      <c r="R67" s="4153" t="n"/>
      <c r="S67" s="4764" t="inlineStr">
        <is>
          <t>人</t>
        </is>
      </c>
      <c r="T67" s="4950" t="n">
        <v>310</v>
      </c>
      <c r="U67" s="4153" t="n"/>
      <c r="V67" s="4764" t="inlineStr">
        <is>
          <t>人</t>
        </is>
      </c>
      <c r="W67" s="4950" t="n">
        <v>100</v>
      </c>
      <c r="X67" s="4153" t="n"/>
      <c r="Y67" s="4764" t="inlineStr">
        <is>
          <t>人</t>
        </is>
      </c>
      <c r="Z67" s="4950" t="n">
        <v>1</v>
      </c>
      <c r="AA67" s="4153" t="n"/>
      <c r="AB67" s="4951" t="inlineStr">
        <is>
          <t>人</t>
        </is>
      </c>
      <c r="AC67" s="4950" t="n">
        <v>260</v>
      </c>
      <c r="AD67" s="4153" t="n"/>
      <c r="AE67" s="4951" t="inlineStr">
        <is>
          <t>日</t>
        </is>
      </c>
      <c r="AF67" s="4787">
        <f>IF(AC67=0," ",ROUNDUP((H67+K67+N67+Q67+T67+W67+Z67)/AC67,1))</f>
        <v/>
      </c>
      <c r="AG67" s="4153" t="n"/>
      <c r="AH67" s="4767" t="inlineStr">
        <is>
          <t>人</t>
        </is>
      </c>
    </row>
    <row r="68" ht="12" customHeight="1" s="4080" thickBot="1">
      <c r="A68" s="4355" t="inlineStr">
        <is>
          <t>主　　な　　掲　　示　　事　　項</t>
        </is>
      </c>
      <c r="B68" s="4356" t="n"/>
      <c r="C68" s="1999" t="n"/>
      <c r="D68" s="1886" t="inlineStr">
        <is>
          <t>営業日</t>
        </is>
      </c>
      <c r="E68" s="4082" t="n"/>
      <c r="F68" s="4082" t="n"/>
      <c r="G68" s="4082" t="n"/>
      <c r="H68" s="4082" t="n"/>
      <c r="I68" s="4082" t="n"/>
      <c r="J68" s="2002" t="n"/>
      <c r="K68" s="2352" t="inlineStr">
        <is>
          <t>月</t>
        </is>
      </c>
      <c r="L68" s="2354" t="inlineStr">
        <is>
          <t>火</t>
        </is>
      </c>
      <c r="M68" s="2354" t="inlineStr">
        <is>
          <t>水</t>
        </is>
      </c>
      <c r="N68" s="2354" t="inlineStr">
        <is>
          <t>木</t>
        </is>
      </c>
      <c r="O68" s="2354" t="inlineStr">
        <is>
          <t>金</t>
        </is>
      </c>
      <c r="P68" s="2354" t="inlineStr">
        <is>
          <t>土</t>
        </is>
      </c>
      <c r="Q68" s="2354" t="inlineStr">
        <is>
          <t>日</t>
        </is>
      </c>
      <c r="R68" s="2356" t="inlineStr">
        <is>
          <t>祝</t>
        </is>
      </c>
      <c r="S68" s="2004" t="inlineStr">
        <is>
          <t>休業日</t>
        </is>
      </c>
      <c r="T68" s="2006" t="inlineStr">
        <is>
          <t>年末年始</t>
        </is>
      </c>
      <c r="U68" s="4082" t="n"/>
      <c r="V68" s="3985" t="inlineStr">
        <is>
          <t>12/29～1/3</t>
        </is>
      </c>
      <c r="W68" s="4082" t="n"/>
      <c r="X68" s="4082" t="n"/>
      <c r="Y68" s="4082" t="n"/>
      <c r="Z68" s="4082" t="n"/>
      <c r="AA68" s="4082" t="n"/>
      <c r="AB68" s="4356" t="n"/>
      <c r="AC68" s="4418" t="inlineStr">
        <is>
          <t>備考</t>
        </is>
      </c>
      <c r="AD68" s="4965" t="n"/>
      <c r="AE68" s="4082" t="n"/>
      <c r="AF68" s="4082" t="n"/>
      <c r="AG68" s="4082" t="n"/>
      <c r="AH68" s="4083" t="n"/>
    </row>
    <row r="69" ht="12" customHeight="1" s="4080" thickBot="1">
      <c r="A69" s="4097" t="n"/>
      <c r="B69" s="4107" t="n"/>
      <c r="C69" s="4106" t="n"/>
      <c r="J69" s="4107" t="n"/>
      <c r="K69" s="4302" t="inlineStr">
        <is>
          <t>○</t>
        </is>
      </c>
      <c r="L69" s="4303" t="inlineStr">
        <is>
          <t>○</t>
        </is>
      </c>
      <c r="M69" s="4303" t="inlineStr">
        <is>
          <t>○</t>
        </is>
      </c>
      <c r="N69" s="4303" t="inlineStr">
        <is>
          <t>○</t>
        </is>
      </c>
      <c r="O69" s="4303" t="inlineStr">
        <is>
          <t>○</t>
        </is>
      </c>
      <c r="P69" s="4303" t="n"/>
      <c r="Q69" s="4303" t="n"/>
      <c r="R69" s="4309" t="inlineStr">
        <is>
          <t>○</t>
        </is>
      </c>
      <c r="S69" s="4282" t="n"/>
      <c r="T69" s="2008" t="inlineStr">
        <is>
          <t>夏季</t>
        </is>
      </c>
      <c r="V69" s="1744" t="inlineStr">
        <is>
          <t>8/13～8/16</t>
        </is>
      </c>
      <c r="AB69" s="4107" t="n"/>
      <c r="AC69" s="4419" t="n"/>
      <c r="AH69" s="4109" t="n"/>
    </row>
    <row r="70" ht="12" customHeight="1" s="4080">
      <c r="A70" s="4097" t="n"/>
      <c r="B70" s="4107" t="n"/>
      <c r="C70" s="4420" t="n"/>
      <c r="D70" s="4087" t="n"/>
      <c r="E70" s="4087" t="n"/>
      <c r="F70" s="4087" t="n"/>
      <c r="G70" s="4087" t="n"/>
      <c r="H70" s="4087" t="n"/>
      <c r="I70" s="4087" t="n"/>
      <c r="J70" s="4410" t="n"/>
      <c r="K70" s="4283" t="n"/>
      <c r="L70" s="4284" t="n"/>
      <c r="M70" s="4284" t="n"/>
      <c r="N70" s="4284" t="n"/>
      <c r="O70" s="4284" t="n"/>
      <c r="P70" s="4284" t="n"/>
      <c r="Q70" s="4284" t="n"/>
      <c r="R70" s="4285" t="n"/>
      <c r="S70" s="4421" t="n"/>
      <c r="T70" s="2024" t="inlineStr">
        <is>
          <t>その他</t>
        </is>
      </c>
      <c r="U70" s="4103" t="n"/>
      <c r="V70" s="940" t="n"/>
      <c r="W70" s="4103" t="n"/>
      <c r="X70" s="4103" t="n"/>
      <c r="Y70" s="4103" t="n"/>
      <c r="Z70" s="4103" t="n"/>
      <c r="AA70" s="4103" t="n"/>
      <c r="AB70" s="4104" t="n"/>
      <c r="AC70" s="4283" t="n"/>
      <c r="AD70" s="4103" t="n"/>
      <c r="AE70" s="4103" t="n"/>
      <c r="AF70" s="4103" t="n"/>
      <c r="AG70" s="4103" t="n"/>
      <c r="AH70" s="4105" t="n"/>
    </row>
    <row r="71" ht="3.95" customHeight="1" s="4080">
      <c r="A71" s="4097" t="n"/>
      <c r="B71" s="4107" t="n"/>
      <c r="C71" s="1393" t="n"/>
      <c r="D71" s="1264" t="inlineStr">
        <is>
          <t>営業時間</t>
        </is>
      </c>
      <c r="E71" s="4098" t="n"/>
      <c r="F71" s="4098" t="n"/>
      <c r="G71" s="4098" t="n"/>
      <c r="H71" s="4098" t="n"/>
      <c r="I71" s="4098" t="n"/>
      <c r="J71" s="4223" t="n"/>
      <c r="K71" s="4287" t="inlineStr">
        <is>
          <t>平日</t>
        </is>
      </c>
      <c r="L71" s="4098" t="n"/>
      <c r="M71" s="4190" t="n"/>
      <c r="N71" s="1590" t="n"/>
      <c r="O71" s="4098" t="n"/>
      <c r="P71" s="2842" t="inlineStr">
        <is>
          <t>時</t>
        </is>
      </c>
      <c r="Q71" s="1323" t="n"/>
      <c r="R71" s="1323" t="n"/>
      <c r="S71" s="4288" t="inlineStr">
        <is>
          <t>分～</t>
        </is>
      </c>
      <c r="T71" s="4098" t="n"/>
      <c r="U71" s="108" t="inlineStr">
        <is>
          <t xml:space="preserve">　</t>
        </is>
      </c>
      <c r="V71" s="1591" t="n"/>
      <c r="W71" s="4098" t="n"/>
      <c r="X71" s="2842" t="inlineStr">
        <is>
          <t>時</t>
        </is>
      </c>
      <c r="Y71" s="2834" t="n"/>
      <c r="Z71" s="2834" t="n"/>
      <c r="AA71" s="2842" t="inlineStr">
        <is>
          <t>分</t>
        </is>
      </c>
      <c r="AB71" s="1323" t="n"/>
      <c r="AC71" s="4422" t="inlineStr">
        <is>
          <t>備考</t>
        </is>
      </c>
      <c r="AD71" s="1747" t="n"/>
      <c r="AE71" s="4098" t="n"/>
      <c r="AF71" s="4098" t="n"/>
      <c r="AG71" s="4098" t="n"/>
      <c r="AH71" s="4101" t="n"/>
    </row>
    <row r="72" ht="12" customHeight="1" s="4080">
      <c r="A72" s="4097" t="n"/>
      <c r="B72" s="4107" t="n"/>
      <c r="C72" s="4106" t="n"/>
      <c r="J72" s="4107" t="n"/>
      <c r="K72" s="4106" t="n"/>
      <c r="M72" s="4191" t="n"/>
      <c r="N72" s="1733" t="inlineStr">
        <is>
          <t>９</t>
        </is>
      </c>
      <c r="Q72" s="1752" t="inlineStr">
        <is>
          <t>００</t>
        </is>
      </c>
      <c r="U72" s="1734" t="inlineStr">
        <is>
          <t>１７</t>
        </is>
      </c>
      <c r="Y72" s="1732" t="inlineStr">
        <is>
          <t>４５</t>
        </is>
      </c>
      <c r="AB72" s="1325" t="n"/>
      <c r="AC72" s="4419" t="n"/>
      <c r="AH72" s="4109" t="n"/>
    </row>
    <row r="73" ht="3.95" customHeight="1" s="4080">
      <c r="A73" s="4097" t="n"/>
      <c r="B73" s="4107" t="n"/>
      <c r="C73" s="4106" t="n"/>
      <c r="J73" s="4107" t="n"/>
      <c r="K73" s="4145" t="n"/>
      <c r="L73" s="4146" t="n"/>
      <c r="M73" s="4201" t="n"/>
      <c r="N73" s="1586" t="n"/>
      <c r="O73" s="1587" t="n"/>
      <c r="P73" s="4146" t="n"/>
      <c r="Q73" s="1585" t="n"/>
      <c r="R73" s="1585" t="n"/>
      <c r="S73" s="4146" t="n"/>
      <c r="T73" s="4146" t="n"/>
      <c r="U73" s="2253" t="n"/>
      <c r="V73" s="1587" t="n"/>
      <c r="W73" s="1587" t="n"/>
      <c r="X73" s="4146" t="n"/>
      <c r="Y73" s="101" t="n"/>
      <c r="Z73" s="101" t="n"/>
      <c r="AA73" s="4146" t="n"/>
      <c r="AB73" s="1585" t="n"/>
      <c r="AC73" s="4419" t="n"/>
      <c r="AH73" s="4109" t="n"/>
    </row>
    <row r="74" ht="3.95" customHeight="1" s="4080">
      <c r="A74" s="4097" t="n"/>
      <c r="B74" s="4107" t="n"/>
      <c r="C74" s="4106" t="n"/>
      <c r="J74" s="4107" t="n"/>
      <c r="K74" s="4289" t="inlineStr">
        <is>
          <t>土曜</t>
        </is>
      </c>
      <c r="L74" s="4290" t="n"/>
      <c r="M74" s="4291" t="n"/>
      <c r="N74" s="1581" t="n"/>
      <c r="O74" s="4290" t="n"/>
      <c r="P74" s="1514" t="inlineStr">
        <is>
          <t>時</t>
        </is>
      </c>
      <c r="Q74" s="1583" t="n"/>
      <c r="R74" s="1583" t="n"/>
      <c r="S74" s="4292" t="inlineStr">
        <is>
          <t>分～</t>
        </is>
      </c>
      <c r="T74" s="4290" t="n"/>
      <c r="U74" s="98" t="inlineStr">
        <is>
          <t xml:space="preserve">　</t>
        </is>
      </c>
      <c r="V74" s="1582" t="n"/>
      <c r="W74" s="1582" t="n"/>
      <c r="X74" s="1514" t="inlineStr">
        <is>
          <t>時</t>
        </is>
      </c>
      <c r="Y74" s="96" t="n"/>
      <c r="Z74" s="96" t="n"/>
      <c r="AA74" s="1514" t="inlineStr">
        <is>
          <t>分</t>
        </is>
      </c>
      <c r="AB74" s="1583" t="n"/>
      <c r="AC74" s="4419" t="n"/>
      <c r="AH74" s="4109" t="n"/>
    </row>
    <row r="75" ht="12" customHeight="1" s="4080">
      <c r="A75" s="4097" t="n"/>
      <c r="B75" s="4107" t="n"/>
      <c r="C75" s="4106" t="n"/>
      <c r="J75" s="4107" t="n"/>
      <c r="K75" s="4106" t="n"/>
      <c r="M75" s="4191" t="n"/>
      <c r="N75" s="1589" t="n"/>
      <c r="Q75" s="1325" t="n"/>
      <c r="U75" s="1257" t="n"/>
      <c r="Y75" s="1580" t="n"/>
      <c r="AB75" s="1325" t="n"/>
      <c r="AC75" s="4419" t="n"/>
      <c r="AH75" s="4109" t="n"/>
    </row>
    <row r="76" ht="3.95" customHeight="1" s="4080">
      <c r="A76" s="4097" t="n"/>
      <c r="B76" s="4107" t="n"/>
      <c r="C76" s="4106" t="n"/>
      <c r="J76" s="4107" t="n"/>
      <c r="K76" s="4145" t="n"/>
      <c r="L76" s="4146" t="n"/>
      <c r="M76" s="4201" t="n"/>
      <c r="N76" s="1586" t="n"/>
      <c r="O76" s="1587" t="n"/>
      <c r="P76" s="4146" t="n"/>
      <c r="Q76" s="1585" t="n"/>
      <c r="R76" s="1585" t="n"/>
      <c r="S76" s="4146" t="n"/>
      <c r="T76" s="4146" t="n"/>
      <c r="U76" s="103" t="n"/>
      <c r="V76" s="1587" t="n"/>
      <c r="W76" s="1587" t="n"/>
      <c r="X76" s="4146" t="n"/>
      <c r="Y76" s="101" t="n"/>
      <c r="Z76" s="101" t="n"/>
      <c r="AA76" s="4146" t="n"/>
      <c r="AB76" s="1585" t="n"/>
      <c r="AC76" s="4419" t="n"/>
      <c r="AH76" s="4109" t="n"/>
    </row>
    <row r="77" ht="3.95" customHeight="1" s="4080">
      <c r="A77" s="4097" t="n"/>
      <c r="B77" s="4107" t="n"/>
      <c r="C77" s="4106" t="n"/>
      <c r="J77" s="4107" t="n"/>
      <c r="K77" s="4293" t="inlineStr">
        <is>
          <t>日・祝日</t>
        </is>
      </c>
      <c r="L77" s="4290" t="n"/>
      <c r="M77" s="4291" t="n"/>
      <c r="N77" s="1581" t="n"/>
      <c r="O77" s="4290" t="n"/>
      <c r="P77" s="1521" t="inlineStr">
        <is>
          <t>時</t>
        </is>
      </c>
      <c r="Q77" s="1583" t="n"/>
      <c r="R77" s="1583" t="n"/>
      <c r="S77" s="4294" t="inlineStr">
        <is>
          <t>分～</t>
        </is>
      </c>
      <c r="T77" s="4290" t="n"/>
      <c r="U77" s="98" t="inlineStr">
        <is>
          <t xml:space="preserve">　</t>
        </is>
      </c>
      <c r="V77" s="1582" t="n"/>
      <c r="W77" s="1582" t="n"/>
      <c r="X77" s="1521" t="inlineStr">
        <is>
          <t>時</t>
        </is>
      </c>
      <c r="Y77" s="96" t="n"/>
      <c r="Z77" s="96" t="n"/>
      <c r="AA77" s="1521" t="inlineStr">
        <is>
          <t>分</t>
        </is>
      </c>
      <c r="AB77" s="1583" t="n"/>
      <c r="AC77" s="4419" t="n"/>
      <c r="AH77" s="4109" t="n"/>
    </row>
    <row r="78" ht="12" customHeight="1" s="4080">
      <c r="A78" s="4097" t="n"/>
      <c r="B78" s="4107" t="n"/>
      <c r="C78" s="4106" t="n"/>
      <c r="J78" s="4107" t="n"/>
      <c r="K78" s="4106" t="n"/>
      <c r="M78" s="4191" t="n"/>
      <c r="N78" s="1733" t="inlineStr">
        <is>
          <t>９</t>
        </is>
      </c>
      <c r="Q78" s="1752" t="inlineStr">
        <is>
          <t>００</t>
        </is>
      </c>
      <c r="U78" s="1734" t="inlineStr">
        <is>
          <t>１７</t>
        </is>
      </c>
      <c r="Y78" s="1732" t="inlineStr">
        <is>
          <t>４５</t>
        </is>
      </c>
      <c r="AB78" s="1325" t="n"/>
      <c r="AC78" s="4419" t="n"/>
      <c r="AH78" s="4109" t="n"/>
    </row>
    <row r="79" ht="3.95" customHeight="1" s="4080">
      <c r="A79" s="4097" t="n"/>
      <c r="B79" s="4107" t="n"/>
      <c r="C79" s="4102" t="n"/>
      <c r="D79" s="4103" t="n"/>
      <c r="E79" s="4103" t="n"/>
      <c r="F79" s="4103" t="n"/>
      <c r="G79" s="4103" t="n"/>
      <c r="H79" s="4103" t="n"/>
      <c r="I79" s="4103" t="n"/>
      <c r="J79" s="4104" t="n"/>
      <c r="K79" s="4102" t="n"/>
      <c r="L79" s="4103" t="n"/>
      <c r="M79" s="4193" t="n"/>
      <c r="N79" s="1588" t="n"/>
      <c r="O79" s="1258" t="n"/>
      <c r="P79" s="4103" t="n"/>
      <c r="Q79" s="1327" t="n"/>
      <c r="R79" s="1327" t="n"/>
      <c r="S79" s="4103" t="n"/>
      <c r="T79" s="4103" t="n"/>
      <c r="U79" s="92" t="n"/>
      <c r="V79" s="1258" t="n"/>
      <c r="W79" s="1258" t="n"/>
      <c r="X79" s="4103" t="n"/>
      <c r="Y79" s="2836" t="n"/>
      <c r="Z79" s="2836" t="n"/>
      <c r="AA79" s="4103" t="n"/>
      <c r="AB79" s="1327" t="n"/>
      <c r="AC79" s="4283" t="n"/>
      <c r="AD79" s="4103" t="n"/>
      <c r="AE79" s="4103" t="n"/>
      <c r="AF79" s="4103" t="n"/>
      <c r="AG79" s="4103" t="n"/>
      <c r="AH79" s="4105" t="n"/>
    </row>
    <row r="80" ht="12" customHeight="1" s="4080">
      <c r="A80" s="4097" t="n"/>
      <c r="B80" s="4107" t="n"/>
      <c r="C80" s="1393" t="n"/>
      <c r="D80" s="1264" t="inlineStr">
        <is>
          <t>サービス提供日</t>
        </is>
      </c>
      <c r="E80" s="4098" t="n"/>
      <c r="F80" s="4098" t="n"/>
      <c r="G80" s="4098" t="n"/>
      <c r="H80" s="4098" t="n"/>
      <c r="I80" s="4098" t="n"/>
      <c r="J80" s="4423" t="n"/>
      <c r="K80" s="2244" t="inlineStr">
        <is>
          <t>月</t>
        </is>
      </c>
      <c r="L80" s="2245" t="inlineStr">
        <is>
          <t>火</t>
        </is>
      </c>
      <c r="M80" s="2245" t="inlineStr">
        <is>
          <t>水</t>
        </is>
      </c>
      <c r="N80" s="2245" t="inlineStr">
        <is>
          <t>木</t>
        </is>
      </c>
      <c r="O80" s="2245" t="inlineStr">
        <is>
          <t>金</t>
        </is>
      </c>
      <c r="P80" s="2245" t="inlineStr">
        <is>
          <t>土</t>
        </is>
      </c>
      <c r="Q80" s="2245" t="inlineStr">
        <is>
          <t>日</t>
        </is>
      </c>
      <c r="R80" s="2249" t="inlineStr">
        <is>
          <t>祝</t>
        </is>
      </c>
      <c r="S80" s="4279" t="inlineStr">
        <is>
          <t>休業日</t>
        </is>
      </c>
      <c r="T80" s="1611" t="inlineStr">
        <is>
          <t>年末年始</t>
        </is>
      </c>
      <c r="U80" s="4098" t="n"/>
      <c r="V80" s="1717" t="inlineStr">
        <is>
          <t>12/29～1/3</t>
        </is>
      </c>
      <c r="W80" s="4098" t="n"/>
      <c r="X80" s="4098" t="n"/>
      <c r="Y80" s="4098" t="n"/>
      <c r="Z80" s="4098" t="n"/>
      <c r="AA80" s="4098" t="n"/>
      <c r="AB80" s="4099" t="n"/>
      <c r="AC80" s="4424" t="inlineStr">
        <is>
          <t>備考</t>
        </is>
      </c>
      <c r="AD80" s="2793" t="n"/>
      <c r="AE80" s="4098" t="n"/>
      <c r="AF80" s="4098" t="n"/>
      <c r="AG80" s="4098" t="n"/>
      <c r="AH80" s="4101" t="n"/>
    </row>
    <row r="81" ht="12" customHeight="1" s="4080">
      <c r="A81" s="4097" t="n"/>
      <c r="B81" s="4107" t="n"/>
      <c r="C81" s="4106" t="n"/>
      <c r="J81" s="4107" t="n"/>
      <c r="K81" s="4302" t="inlineStr">
        <is>
          <t>○</t>
        </is>
      </c>
      <c r="L81" s="4303" t="inlineStr">
        <is>
          <t>○</t>
        </is>
      </c>
      <c r="M81" s="4303" t="inlineStr">
        <is>
          <t>○</t>
        </is>
      </c>
      <c r="N81" s="4303" t="inlineStr">
        <is>
          <t>○</t>
        </is>
      </c>
      <c r="O81" s="4303" t="inlineStr">
        <is>
          <t>○</t>
        </is>
      </c>
      <c r="P81" s="4303" t="n"/>
      <c r="Q81" s="4303" t="n"/>
      <c r="R81" s="4309" t="inlineStr">
        <is>
          <t>○</t>
        </is>
      </c>
      <c r="S81" s="4282" t="n"/>
      <c r="T81" s="1609" t="inlineStr">
        <is>
          <t>夏季</t>
        </is>
      </c>
      <c r="V81" s="1744" t="inlineStr">
        <is>
          <t>8/13～8/16</t>
        </is>
      </c>
      <c r="AB81" s="4107" t="n"/>
      <c r="AC81" s="4419" t="n"/>
      <c r="AH81" s="4109" t="n"/>
    </row>
    <row r="82" ht="12" customHeight="1" s="4080">
      <c r="A82" s="4097" t="n"/>
      <c r="B82" s="4107" t="n"/>
      <c r="C82" s="4102" t="n"/>
      <c r="D82" s="4103" t="n"/>
      <c r="E82" s="4103" t="n"/>
      <c r="F82" s="4103" t="n"/>
      <c r="G82" s="4103" t="n"/>
      <c r="H82" s="4103" t="n"/>
      <c r="I82" s="4103" t="n"/>
      <c r="J82" s="4104" t="n"/>
      <c r="K82" s="4283" t="n"/>
      <c r="L82" s="4284" t="n"/>
      <c r="M82" s="4284" t="n"/>
      <c r="N82" s="4284" t="n"/>
      <c r="O82" s="4284" t="n"/>
      <c r="P82" s="4284" t="n"/>
      <c r="Q82" s="4284" t="n"/>
      <c r="R82" s="4285" t="n"/>
      <c r="S82" s="4286" t="n"/>
      <c r="T82" s="1610" t="inlineStr">
        <is>
          <t>その他</t>
        </is>
      </c>
      <c r="U82" s="4103" t="n"/>
      <c r="V82" s="940" t="n"/>
      <c r="W82" s="4103" t="n"/>
      <c r="X82" s="4103" t="n"/>
      <c r="Y82" s="4103" t="n"/>
      <c r="Z82" s="4103" t="n"/>
      <c r="AA82" s="4103" t="n"/>
      <c r="AB82" s="4104" t="n"/>
      <c r="AC82" s="4283" t="n"/>
      <c r="AD82" s="4103" t="n"/>
      <c r="AE82" s="4103" t="n"/>
      <c r="AF82" s="4103" t="n"/>
      <c r="AG82" s="4103" t="n"/>
      <c r="AH82" s="4105" t="n"/>
    </row>
    <row r="83" ht="3.95" customHeight="1" s="4080">
      <c r="A83" s="4097" t="n"/>
      <c r="B83" s="4107" t="n"/>
      <c r="C83" s="1393" t="n"/>
      <c r="D83" s="1264" t="inlineStr">
        <is>
          <t>サービス提供時間</t>
        </is>
      </c>
      <c r="E83" s="4098" t="n"/>
      <c r="F83" s="4098" t="n"/>
      <c r="G83" s="4098" t="n"/>
      <c r="H83" s="4098" t="n"/>
      <c r="I83" s="4098" t="n"/>
      <c r="J83" s="4223" t="n"/>
      <c r="K83" s="4295" t="n"/>
      <c r="L83" s="4098" t="n"/>
      <c r="M83" s="4098" t="n"/>
      <c r="N83" s="4098" t="n"/>
      <c r="O83" s="4098" t="n"/>
      <c r="P83" s="4098" t="n"/>
      <c r="Q83" s="4098" t="n"/>
      <c r="R83" s="4098" t="n"/>
      <c r="S83" s="4098" t="n"/>
      <c r="T83" s="4098" t="n"/>
      <c r="U83" s="4098" t="n"/>
      <c r="V83" s="4098" t="n"/>
      <c r="W83" s="4098" t="n"/>
      <c r="X83" s="4098" t="n"/>
      <c r="Y83" s="4098" t="n"/>
      <c r="Z83" s="4098" t="n"/>
      <c r="AA83" s="4098" t="n"/>
      <c r="AB83" s="4098" t="n"/>
      <c r="AC83" s="4098" t="n"/>
      <c r="AD83" s="4098" t="n"/>
      <c r="AE83" s="4098" t="n"/>
      <c r="AF83" s="4098" t="n"/>
      <c r="AG83" s="4098" t="n"/>
      <c r="AH83" s="4101" t="n"/>
    </row>
    <row r="84" ht="12" customHeight="1" s="4080">
      <c r="A84" s="4097" t="n"/>
      <c r="B84" s="4107" t="n"/>
      <c r="C84" s="4106" t="n"/>
      <c r="J84" s="4107" t="n"/>
      <c r="K84" s="224" t="n"/>
      <c r="L84" s="1707" t="inlineStr">
        <is>
          <t>１０</t>
        </is>
      </c>
      <c r="O84" s="1325" t="inlineStr">
        <is>
          <t>時</t>
        </is>
      </c>
      <c r="P84" s="1538" t="inlineStr">
        <is>
          <t>００</t>
        </is>
      </c>
      <c r="R84" s="1325" t="inlineStr">
        <is>
          <t>分～</t>
        </is>
      </c>
      <c r="T84" s="1707" t="inlineStr">
        <is>
          <t>１７</t>
        </is>
      </c>
      <c r="W84" s="1325" t="inlineStr">
        <is>
          <t>時</t>
        </is>
      </c>
      <c r="X84" s="1538" t="inlineStr">
        <is>
          <t>００</t>
        </is>
      </c>
      <c r="Z84" s="1325" t="inlineStr">
        <is>
          <t>分</t>
        </is>
      </c>
      <c r="AA84" s="1325" t="n"/>
      <c r="AC84" s="1325" t="n"/>
      <c r="AF84" s="1668" t="n"/>
      <c r="AH84" s="4109" t="n"/>
    </row>
    <row r="85" ht="3.95" customHeight="1" s="4080">
      <c r="A85" s="4097" t="n"/>
      <c r="B85" s="4107" t="n"/>
      <c r="C85" s="4102" t="n"/>
      <c r="D85" s="4103" t="n"/>
      <c r="E85" s="4103" t="n"/>
      <c r="F85" s="4103" t="n"/>
      <c r="G85" s="4103" t="n"/>
      <c r="H85" s="4103" t="n"/>
      <c r="I85" s="4103" t="n"/>
      <c r="J85" s="4104" t="n"/>
      <c r="K85" s="4296" t="n"/>
      <c r="AH85" s="4109" t="n"/>
    </row>
    <row r="86" ht="12" customHeight="1" s="4080">
      <c r="A86" s="4097" t="n"/>
      <c r="B86" s="4107" t="n"/>
      <c r="C86" s="1393" t="n"/>
      <c r="D86" s="4222" t="inlineStr">
        <is>
          <t>サービスを提供
する主たる対象者</t>
        </is>
      </c>
      <c r="E86" s="4098" t="n"/>
      <c r="F86" s="4098" t="n"/>
      <c r="G86" s="4098" t="n"/>
      <c r="H86" s="4098" t="n"/>
      <c r="I86" s="4098" t="n"/>
      <c r="J86" s="4223" t="n"/>
      <c r="K86" s="1670" t="inlineStr">
        <is>
          <t>身　　　体　　　障　　　害　　　者</t>
        </is>
      </c>
      <c r="L86" s="4138" t="n"/>
      <c r="M86" s="4138" t="n"/>
      <c r="N86" s="4138" t="n"/>
      <c r="O86" s="4138" t="n"/>
      <c r="P86" s="4138" t="n"/>
      <c r="Q86" s="4138" t="n"/>
      <c r="R86" s="4138" t="n"/>
      <c r="S86" s="4138" t="n"/>
      <c r="T86" s="4138" t="n"/>
      <c r="U86" s="4138" t="n"/>
      <c r="V86" s="4139" t="n"/>
      <c r="W86" s="4425" t="inlineStr">
        <is>
          <t>知的障害者</t>
        </is>
      </c>
      <c r="X86" s="4098" t="n"/>
      <c r="Y86" s="4098" t="n"/>
      <c r="Z86" s="4099" t="n"/>
      <c r="AA86" s="4425" t="inlineStr">
        <is>
          <t>精神障害者</t>
        </is>
      </c>
      <c r="AB86" s="4098" t="n"/>
      <c r="AC86" s="4098" t="n"/>
      <c r="AD86" s="4099" t="n"/>
      <c r="AE86" s="4426" t="inlineStr">
        <is>
          <t>難病等対象者</t>
        </is>
      </c>
      <c r="AF86" s="4098" t="n"/>
      <c r="AG86" s="4098" t="n"/>
      <c r="AH86" s="4099" t="n"/>
    </row>
    <row r="87" ht="12" customHeight="1" s="4080">
      <c r="A87" s="4097" t="n"/>
      <c r="B87" s="4107" t="n"/>
      <c r="C87" s="4106" t="n"/>
      <c r="J87" s="4107" t="n"/>
      <c r="K87" s="3931" t="inlineStr">
        <is>
          <t>肢体不自由</t>
        </is>
      </c>
      <c r="L87" s="4103" t="n"/>
      <c r="M87" s="4103" t="n"/>
      <c r="N87" s="4193" t="n"/>
      <c r="O87" s="4953" t="inlineStr">
        <is>
          <t>視覚</t>
        </is>
      </c>
      <c r="P87" s="4249" t="n"/>
      <c r="Q87" s="4250" t="inlineStr">
        <is>
          <t>聴覚・言語</t>
        </is>
      </c>
      <c r="R87" s="4140" t="n"/>
      <c r="S87" s="4140" t="n"/>
      <c r="T87" s="4249" t="n"/>
      <c r="U87" s="4954" t="inlineStr">
        <is>
          <t>内部</t>
        </is>
      </c>
      <c r="V87" s="4141" t="n"/>
      <c r="W87" s="4102" t="n"/>
      <c r="X87" s="4103" t="n"/>
      <c r="Y87" s="4103" t="n"/>
      <c r="Z87" s="4104" t="n"/>
      <c r="AA87" s="4102" t="n"/>
      <c r="AB87" s="4103" t="n"/>
      <c r="AC87" s="4103" t="n"/>
      <c r="AD87" s="4104" t="n"/>
      <c r="AE87" s="4102" t="n"/>
      <c r="AF87" s="4103" t="n"/>
      <c r="AG87" s="4103" t="n"/>
      <c r="AH87" s="4104" t="n"/>
    </row>
    <row r="88" ht="12" customHeight="1" s="4080">
      <c r="A88" s="4097" t="n"/>
      <c r="B88" s="4107" t="n"/>
      <c r="C88" s="4102" t="n"/>
      <c r="D88" s="4103" t="n"/>
      <c r="E88" s="4103" t="n"/>
      <c r="F88" s="4103" t="n"/>
      <c r="G88" s="4103" t="n"/>
      <c r="H88" s="4103" t="n"/>
      <c r="I88" s="4103" t="n"/>
      <c r="J88" s="4104" t="n"/>
      <c r="K88" s="3986" t="inlineStr">
        <is>
          <t>○</t>
        </is>
      </c>
      <c r="L88" s="4140" t="n"/>
      <c r="M88" s="4140" t="n"/>
      <c r="N88" s="4249" t="n"/>
      <c r="O88" s="4966" t="inlineStr">
        <is>
          <t>○</t>
        </is>
      </c>
      <c r="P88" s="4189" t="n"/>
      <c r="Q88" s="3986" t="inlineStr">
        <is>
          <t>○</t>
        </is>
      </c>
      <c r="R88" s="4140" t="n"/>
      <c r="S88" s="4140" t="n"/>
      <c r="T88" s="4249" t="n"/>
      <c r="U88" s="4967" t="inlineStr">
        <is>
          <t>○</t>
        </is>
      </c>
      <c r="V88" s="4111" t="n"/>
      <c r="W88" s="4968" t="inlineStr">
        <is>
          <t>○</t>
        </is>
      </c>
      <c r="X88" s="4110" t="n"/>
      <c r="Y88" s="4110" t="n"/>
      <c r="Z88" s="4111" t="n"/>
      <c r="AA88" s="3993" t="inlineStr">
        <is>
          <t>○</t>
        </is>
      </c>
      <c r="AB88" s="4140" t="n"/>
      <c r="AC88" s="4140" t="n"/>
      <c r="AD88" s="4141" t="n"/>
      <c r="AE88" s="3993" t="inlineStr">
        <is>
          <t>○</t>
        </is>
      </c>
      <c r="AF88" s="4140" t="n"/>
      <c r="AG88" s="4140" t="n"/>
      <c r="AH88" s="4141" t="n"/>
    </row>
    <row r="89" ht="15" customHeight="1" s="4080">
      <c r="A89" s="4097" t="n"/>
      <c r="B89" s="4107" t="n"/>
      <c r="C89" s="1393" t="n"/>
      <c r="D89" s="1264" t="inlineStr">
        <is>
          <t>利用料</t>
        </is>
      </c>
      <c r="E89" s="4110" t="n"/>
      <c r="F89" s="4110" t="n"/>
      <c r="G89" s="4110" t="n"/>
      <c r="H89" s="4110" t="n"/>
      <c r="I89" s="4110" t="n"/>
      <c r="J89" s="1394" t="n"/>
      <c r="K89" s="4647" t="inlineStr">
        <is>
          <t>厚生労働大臣が定める額</t>
        </is>
      </c>
      <c r="L89" s="4110" t="n"/>
      <c r="M89" s="4110" t="n"/>
      <c r="N89" s="4110" t="n"/>
      <c r="O89" s="4110" t="n"/>
      <c r="P89" s="4110" t="n"/>
      <c r="Q89" s="4110" t="n"/>
      <c r="R89" s="4110" t="n"/>
      <c r="S89" s="4110" t="n"/>
      <c r="T89" s="4110" t="n"/>
      <c r="U89" s="4110" t="n"/>
      <c r="V89" s="4110" t="n"/>
      <c r="W89" s="4110" t="n"/>
      <c r="X89" s="4110" t="n"/>
      <c r="Y89" s="4110" t="n"/>
      <c r="Z89" s="4110" t="n"/>
      <c r="AA89" s="4110" t="n"/>
      <c r="AB89" s="4110" t="n"/>
      <c r="AC89" s="4110" t="n"/>
      <c r="AD89" s="4110" t="n"/>
      <c r="AE89" s="4110" t="n"/>
      <c r="AF89" s="4110" t="n"/>
      <c r="AG89" s="4110" t="n"/>
      <c r="AH89" s="4113" t="n"/>
    </row>
    <row r="90" ht="15" customHeight="1" s="4080">
      <c r="A90" s="4097" t="n"/>
      <c r="B90" s="4107" t="n"/>
      <c r="C90" s="1322" t="n"/>
      <c r="D90" s="1264" t="inlineStr">
        <is>
          <t>その他の費用</t>
        </is>
      </c>
      <c r="E90" s="4110" t="n"/>
      <c r="F90" s="4110" t="n"/>
      <c r="G90" s="4110" t="n"/>
      <c r="H90" s="4110" t="n"/>
      <c r="I90" s="4110" t="n"/>
      <c r="J90" s="1331" t="n"/>
      <c r="K90" s="4267" t="inlineStr">
        <is>
          <t>運営規程に定めるとおり</t>
        </is>
      </c>
      <c r="L90" s="4110" t="n"/>
      <c r="M90" s="4110" t="n"/>
      <c r="N90" s="4110" t="n"/>
      <c r="O90" s="4110" t="n"/>
      <c r="P90" s="4110" t="n"/>
      <c r="Q90" s="4110" t="n"/>
      <c r="R90" s="4110" t="n"/>
      <c r="S90" s="4110" t="n"/>
      <c r="T90" s="4110" t="n"/>
      <c r="U90" s="4110" t="n"/>
      <c r="V90" s="4110" t="n"/>
      <c r="W90" s="4110" t="n"/>
      <c r="X90" s="4110" t="n"/>
      <c r="Y90" s="4110" t="n"/>
      <c r="Z90" s="4110" t="n"/>
      <c r="AA90" s="4110" t="n"/>
      <c r="AB90" s="4110" t="n"/>
      <c r="AC90" s="4110" t="n"/>
      <c r="AD90" s="4110" t="n"/>
      <c r="AE90" s="4110" t="n"/>
      <c r="AF90" s="4110" t="n"/>
      <c r="AG90" s="4110" t="n"/>
      <c r="AH90" s="4113" t="n"/>
    </row>
    <row r="91" ht="20.1" customHeight="1" s="4080">
      <c r="A91" s="4097" t="n"/>
      <c r="B91" s="4107" t="n"/>
      <c r="C91" s="1300" t="n"/>
      <c r="D91" s="4222" t="inlineStr">
        <is>
          <t>通常の事業の
実施地域</t>
        </is>
      </c>
      <c r="E91" s="4098" t="n"/>
      <c r="F91" s="4098" t="n"/>
      <c r="G91" s="4098" t="n"/>
      <c r="H91" s="4098" t="n"/>
      <c r="I91" s="4098" t="n"/>
      <c r="J91" s="1963" t="n"/>
      <c r="K91" s="3272" t="inlineStr">
        <is>
          <t>1)</t>
        </is>
      </c>
      <c r="L91" s="1562" t="inlineStr">
        <is>
          <t>大阪市中央区</t>
        </is>
      </c>
      <c r="M91" s="4110" t="n"/>
      <c r="N91" s="4110" t="n"/>
      <c r="O91" s="2325" t="inlineStr">
        <is>
          <t>2)</t>
        </is>
      </c>
      <c r="P91" s="1562" t="inlineStr">
        <is>
          <t>大阪市北区</t>
        </is>
      </c>
      <c r="Q91" s="4110" t="n"/>
      <c r="R91" s="4110" t="n"/>
      <c r="S91" s="2325" t="inlineStr">
        <is>
          <t>3)</t>
        </is>
      </c>
      <c r="T91" s="1562" t="inlineStr">
        <is>
          <t>大阪市天王寺区</t>
        </is>
      </c>
      <c r="U91" s="4110" t="n"/>
      <c r="V91" s="4110" t="n"/>
      <c r="W91" s="2325" t="inlineStr">
        <is>
          <t>4)</t>
        </is>
      </c>
      <c r="X91" s="1562" t="inlineStr">
        <is>
          <t>大阪市東成区</t>
        </is>
      </c>
      <c r="Y91" s="4110" t="n"/>
      <c r="Z91" s="4110" t="n"/>
      <c r="AA91" s="2325" t="inlineStr">
        <is>
          <t>5)</t>
        </is>
      </c>
      <c r="AB91" s="1562" t="inlineStr">
        <is>
          <t>大阪市生野区</t>
        </is>
      </c>
      <c r="AC91" s="4110" t="n"/>
      <c r="AD91" s="4110" t="n"/>
      <c r="AE91" s="4229" t="inlineStr">
        <is>
          <t>備考</t>
        </is>
      </c>
      <c r="AF91" s="4230" t="n"/>
      <c r="AG91" s="4098" t="n"/>
      <c r="AH91" s="4101" t="n"/>
    </row>
    <row r="92" ht="20.1" customHeight="1" s="4080">
      <c r="A92" s="4097" t="n"/>
      <c r="B92" s="4107" t="n"/>
      <c r="C92" s="4102" t="n"/>
      <c r="D92" s="4103" t="n"/>
      <c r="E92" s="4103" t="n"/>
      <c r="F92" s="4103" t="n"/>
      <c r="G92" s="4103" t="n"/>
      <c r="H92" s="4103" t="n"/>
      <c r="I92" s="4103" t="n"/>
      <c r="J92" s="4104" t="n"/>
      <c r="K92" s="3272" t="inlineStr">
        <is>
          <t>6)</t>
        </is>
      </c>
      <c r="L92" s="1562" t="inlineStr">
        <is>
          <t>東大阪市</t>
        </is>
      </c>
      <c r="M92" s="4110" t="n"/>
      <c r="N92" s="4110" t="n"/>
      <c r="O92" s="2325" t="inlineStr">
        <is>
          <t>7)</t>
        </is>
      </c>
      <c r="P92" s="1406" t="n"/>
      <c r="Q92" s="4110" t="n"/>
      <c r="R92" s="4110" t="n"/>
      <c r="S92" s="2325" t="inlineStr">
        <is>
          <t>8)</t>
        </is>
      </c>
      <c r="T92" s="1406" t="n"/>
      <c r="U92" s="4110" t="n"/>
      <c r="V92" s="4110" t="n"/>
      <c r="W92" s="2325" t="inlineStr">
        <is>
          <t>9)</t>
        </is>
      </c>
      <c r="X92" s="1406" t="n"/>
      <c r="Y92" s="4110" t="n"/>
      <c r="Z92" s="4110" t="n"/>
      <c r="AA92" s="71" t="inlineStr">
        <is>
          <t>10)</t>
        </is>
      </c>
      <c r="AB92" s="1406" t="n"/>
      <c r="AC92" s="4110" t="n"/>
      <c r="AD92" s="4110" t="n"/>
      <c r="AE92" s="4124" t="n"/>
      <c r="AF92" s="4102" t="n"/>
      <c r="AG92" s="4103" t="n"/>
      <c r="AH92" s="4105" t="n"/>
    </row>
    <row r="93" ht="3.95" customHeight="1" s="4080">
      <c r="A93" s="4097" t="n"/>
      <c r="B93" s="4107" t="n"/>
      <c r="C93" s="1795" t="n"/>
      <c r="D93" s="1402" t="n"/>
      <c r="E93" s="3328" t="n"/>
      <c r="F93" s="3328" t="n"/>
      <c r="G93" s="3328" t="n"/>
      <c r="H93" s="3328" t="n"/>
      <c r="I93" s="3328" t="n"/>
      <c r="J93" s="3329" t="n"/>
      <c r="K93" s="541" t="n"/>
      <c r="L93" s="1852" t="n"/>
      <c r="M93" s="4098" t="n"/>
      <c r="N93" s="4098" t="n"/>
      <c r="O93" s="3371" t="n"/>
      <c r="P93" s="4363" t="n"/>
      <c r="Q93" s="4098" t="n"/>
      <c r="R93" s="4098" t="n"/>
      <c r="S93" s="4098" t="n"/>
      <c r="T93" s="4098" t="n"/>
      <c r="U93" s="4098" t="n"/>
      <c r="V93" s="4098" t="n"/>
      <c r="W93" s="4098" t="n"/>
      <c r="X93" s="4098" t="n"/>
      <c r="Y93" s="4098" t="n"/>
      <c r="Z93" s="4098" t="n"/>
      <c r="AA93" s="4098" t="n"/>
      <c r="AB93" s="4098" t="n"/>
      <c r="AC93" s="4098" t="n"/>
      <c r="AD93" s="4098" t="n"/>
      <c r="AE93" s="4098" t="n"/>
      <c r="AF93" s="4098" t="n"/>
      <c r="AG93" s="4098" t="n"/>
      <c r="AH93" s="4101" t="n"/>
    </row>
    <row r="94" ht="12" customHeight="1" s="4080">
      <c r="A94" s="4097" t="n"/>
      <c r="B94" s="4107" t="n"/>
      <c r="C94" s="1241" t="n"/>
      <c r="D94" s="2284" t="inlineStr">
        <is>
          <t>食事提供の有無</t>
        </is>
      </c>
      <c r="J94" s="1243" t="n"/>
      <c r="K94" s="4106" t="n"/>
      <c r="L94" s="1829" t="inlineStr">
        <is>
          <t>有</t>
        </is>
      </c>
      <c r="M94" s="1829" t="inlineStr">
        <is>
          <t>・</t>
        </is>
      </c>
      <c r="N94" s="1829" t="inlineStr">
        <is>
          <t>無</t>
        </is>
      </c>
      <c r="O94" s="4107" t="n"/>
      <c r="P94" s="4106" t="n"/>
      <c r="AH94" s="4109" t="n"/>
    </row>
    <row r="95" ht="3.95" customHeight="1" s="4080">
      <c r="A95" s="4097" t="n"/>
      <c r="B95" s="4107" t="n"/>
      <c r="C95" s="1795" t="n"/>
      <c r="D95" s="1413" t="n"/>
      <c r="E95" s="3334" t="n"/>
      <c r="F95" s="3334" t="n"/>
      <c r="G95" s="3334" t="n"/>
      <c r="H95" s="3334" t="n"/>
      <c r="I95" s="3334" t="n"/>
      <c r="J95" s="3335" t="n"/>
      <c r="K95" s="4102" t="n"/>
      <c r="L95" s="2285" t="n"/>
      <c r="M95" s="4103" t="n"/>
      <c r="N95" s="4103" t="n"/>
      <c r="O95" s="4104" t="n"/>
      <c r="P95" s="4102" t="n"/>
      <c r="Q95" s="4103" t="n"/>
      <c r="R95" s="4103" t="n"/>
      <c r="S95" s="4103" t="n"/>
      <c r="T95" s="4103" t="n"/>
      <c r="U95" s="4103" t="n"/>
      <c r="V95" s="4103" t="n"/>
      <c r="W95" s="4103" t="n"/>
      <c r="X95" s="4103" t="n"/>
      <c r="Y95" s="4103" t="n"/>
      <c r="Z95" s="4103" t="n"/>
      <c r="AA95" s="4103" t="n"/>
      <c r="AB95" s="4103" t="n"/>
      <c r="AC95" s="4103" t="n"/>
      <c r="AD95" s="4103" t="n"/>
      <c r="AE95" s="4103" t="n"/>
      <c r="AF95" s="4103" t="n"/>
      <c r="AG95" s="4103" t="n"/>
      <c r="AH95" s="4105" t="n"/>
      <c r="AJ95" s="266" t="n"/>
    </row>
    <row r="96" ht="3.95" customHeight="1" s="4080">
      <c r="A96" s="4097" t="n"/>
      <c r="B96" s="4107" t="n"/>
      <c r="C96" s="4231" t="inlineStr">
        <is>
          <t>その他参考
となる事項</t>
        </is>
      </c>
      <c r="D96" s="4099" t="n"/>
      <c r="E96" s="2753" t="inlineStr">
        <is>
          <t>第三者評価の実施状況</t>
        </is>
      </c>
      <c r="F96" s="4098" t="n"/>
      <c r="G96" s="4098" t="n"/>
      <c r="H96" s="4098" t="n"/>
      <c r="I96" s="4098" t="n"/>
      <c r="J96" s="4099" t="n"/>
      <c r="K96" s="1657" t="n"/>
      <c r="L96" s="1658" t="n"/>
      <c r="M96" s="1658" t="n"/>
      <c r="N96" s="1658" t="n"/>
      <c r="O96" s="1658" t="n"/>
      <c r="P96" s="1658" t="n"/>
      <c r="Q96" s="1658" t="n"/>
      <c r="R96" s="930" t="n"/>
      <c r="AB96" s="1658" t="n"/>
      <c r="AC96" s="1658" t="n"/>
      <c r="AD96" s="1658" t="n"/>
      <c r="AE96" s="1658" t="n"/>
      <c r="AF96" s="1658" t="n"/>
      <c r="AG96" s="1658" t="n"/>
      <c r="AH96" s="1659" t="n"/>
    </row>
    <row r="97" ht="15" customHeight="1" s="4080">
      <c r="A97" s="4097" t="n"/>
      <c r="B97" s="4107" t="n"/>
      <c r="C97" s="4106" t="n"/>
      <c r="D97" s="4107" t="n"/>
      <c r="J97" s="4107" t="n"/>
      <c r="K97" s="1372" t="n"/>
      <c r="L97" s="1432" t="inlineStr">
        <is>
          <t>している</t>
        </is>
      </c>
      <c r="O97" s="1458" t="inlineStr">
        <is>
          <t>(実施先：</t>
        </is>
      </c>
      <c r="AB97" s="1325" t="inlineStr">
        <is>
          <t>)・</t>
        </is>
      </c>
      <c r="AD97" s="4264" t="inlineStr">
        <is>
          <t>していない</t>
        </is>
      </c>
      <c r="AE97" s="4265" t="n"/>
      <c r="AF97" s="4265" t="n"/>
      <c r="AG97" s="4266" t="n"/>
      <c r="AH97" s="1668" t="n"/>
    </row>
    <row r="98" ht="3.95" customHeight="1" s="4080">
      <c r="A98" s="4097" t="n"/>
      <c r="B98" s="4107" t="n"/>
      <c r="C98" s="4106" t="n"/>
      <c r="D98" s="4107" t="n"/>
      <c r="E98" s="4103" t="n"/>
      <c r="F98" s="4103" t="n"/>
      <c r="G98" s="4103" t="n"/>
      <c r="H98" s="4103" t="n"/>
      <c r="I98" s="4103" t="n"/>
      <c r="J98" s="4104" t="n"/>
      <c r="K98" s="1657" t="n"/>
      <c r="L98" s="1658" t="n"/>
      <c r="M98" s="1658" t="n"/>
      <c r="N98" s="1658" t="n"/>
      <c r="O98" s="1658" t="n"/>
      <c r="P98" s="1658" t="n"/>
      <c r="Q98" s="1658" t="n"/>
      <c r="R98" s="4103" t="n"/>
      <c r="S98" s="4103" t="n"/>
      <c r="T98" s="4103" t="n"/>
      <c r="U98" s="4103" t="n"/>
      <c r="V98" s="4103" t="n"/>
      <c r="W98" s="4103" t="n"/>
      <c r="X98" s="4103" t="n"/>
      <c r="Y98" s="4103" t="n"/>
      <c r="Z98" s="4103" t="n"/>
      <c r="AA98" s="4103" t="n"/>
      <c r="AB98" s="1658" t="n"/>
      <c r="AC98" s="1658" t="n"/>
      <c r="AD98" s="1658" t="n"/>
      <c r="AE98" s="1658" t="n"/>
      <c r="AF98" s="1658" t="n"/>
      <c r="AG98" s="1658" t="n"/>
      <c r="AH98" s="1659" t="n"/>
    </row>
    <row r="99" ht="15" customHeight="1" s="4080">
      <c r="A99" s="4097" t="n"/>
      <c r="B99" s="4107" t="n"/>
      <c r="C99" s="4106" t="n"/>
      <c r="D99" s="4107" t="n"/>
      <c r="E99" s="1439" t="inlineStr">
        <is>
          <t>苦情解決の措置概要</t>
        </is>
      </c>
      <c r="F99" s="4098" t="n"/>
      <c r="G99" s="4098" t="n"/>
      <c r="H99" s="4098" t="n"/>
      <c r="I99" s="4098" t="n"/>
      <c r="J99" s="4099" t="n"/>
      <c r="K99" s="2542" t="inlineStr">
        <is>
          <t>窓　口</t>
        </is>
      </c>
      <c r="L99" s="4110" t="n"/>
      <c r="M99" s="4111" t="n"/>
      <c r="N99" s="4267" t="inlineStr">
        <is>
          <t>大阪市役所障がい福祉サービスセンター</t>
        </is>
      </c>
      <c r="O99" s="4110" t="n"/>
      <c r="P99" s="4110" t="n"/>
      <c r="Q99" s="4110" t="n"/>
      <c r="R99" s="4110" t="n"/>
      <c r="S99" s="4110" t="n"/>
      <c r="T99" s="4110" t="n"/>
      <c r="U99" s="4110" t="n"/>
      <c r="V99" s="4110" t="n"/>
      <c r="W99" s="4110" t="n"/>
      <c r="X99" s="4110" t="n"/>
      <c r="Y99" s="4110" t="n"/>
      <c r="Z99" s="4110" t="n"/>
      <c r="AA99" s="4110" t="n"/>
      <c r="AB99" s="4110" t="n"/>
      <c r="AC99" s="4110" t="n"/>
      <c r="AD99" s="4110" t="n"/>
      <c r="AE99" s="4110" t="n"/>
      <c r="AF99" s="4110" t="n"/>
      <c r="AG99" s="4110" t="n"/>
      <c r="AH99" s="4113" t="n"/>
    </row>
    <row r="100" ht="15" customHeight="1" s="4080">
      <c r="A100" s="4097" t="n"/>
      <c r="B100" s="4107" t="n"/>
      <c r="C100" s="4106" t="n"/>
      <c r="D100" s="4107" t="n"/>
      <c r="E100" s="4103" t="n"/>
      <c r="F100" s="4103" t="n"/>
      <c r="G100" s="4103" t="n"/>
      <c r="H100" s="4103" t="n"/>
      <c r="I100" s="4103" t="n"/>
      <c r="J100" s="4104" t="n"/>
      <c r="K100" s="2542" t="inlineStr">
        <is>
          <t>担当者</t>
        </is>
      </c>
      <c r="L100" s="4110" t="n"/>
      <c r="M100" s="4111" t="n"/>
      <c r="N100" s="4233" t="inlineStr">
        <is>
          <t>市役所花子</t>
        </is>
      </c>
      <c r="O100" s="4110" t="n"/>
      <c r="P100" s="4110" t="n"/>
      <c r="Q100" s="4110" t="n"/>
      <c r="R100" s="4110" t="n"/>
      <c r="S100" s="4110" t="n"/>
      <c r="T100" s="4110" t="n"/>
      <c r="U100" s="4111" t="n"/>
      <c r="V100" s="2163" t="inlineStr">
        <is>
          <t>電話</t>
        </is>
      </c>
      <c r="W100" s="4111" t="n"/>
      <c r="X100" s="1479" t="inlineStr">
        <is>
          <t>06</t>
        </is>
      </c>
      <c r="Y100" s="4110" t="n"/>
      <c r="Z100" s="4110" t="n"/>
      <c r="AA100" s="1492" t="inlineStr">
        <is>
          <t>－</t>
        </is>
      </c>
      <c r="AB100" s="1150" t="inlineStr">
        <is>
          <t>6241</t>
        </is>
      </c>
      <c r="AC100" s="4110" t="n"/>
      <c r="AD100" s="4110" t="n"/>
      <c r="AE100" s="1492" t="inlineStr">
        <is>
          <t>－</t>
        </is>
      </c>
      <c r="AF100" s="1483" t="inlineStr">
        <is>
          <t>6520</t>
        </is>
      </c>
      <c r="AG100" s="4110" t="n"/>
      <c r="AH100" s="4113" t="n"/>
    </row>
    <row r="101" ht="15" customHeight="1" s="4080">
      <c r="A101" s="4114" t="n"/>
      <c r="B101" s="4104" t="n"/>
      <c r="C101" s="4102" t="n"/>
      <c r="D101" s="4104" t="n"/>
      <c r="E101" s="1394" t="inlineStr">
        <is>
          <t>そ　　 の 　　他</t>
        </is>
      </c>
      <c r="F101" s="4110" t="n"/>
      <c r="G101" s="4110" t="n"/>
      <c r="H101" s="4110" t="n"/>
      <c r="I101" s="4110" t="n"/>
      <c r="J101" s="4111" t="n"/>
      <c r="K101" s="4121" t="n"/>
      <c r="L101" s="4110" t="n"/>
      <c r="M101" s="4110" t="n"/>
      <c r="N101" s="4110" t="n"/>
      <c r="O101" s="4110" t="n"/>
      <c r="P101" s="4110" t="n"/>
      <c r="Q101" s="4110" t="n"/>
      <c r="R101" s="4110" t="n"/>
      <c r="S101" s="4110" t="n"/>
      <c r="T101" s="4110" t="n"/>
      <c r="U101" s="4110" t="n"/>
      <c r="V101" s="4110" t="n"/>
      <c r="W101" s="4110" t="n"/>
      <c r="X101" s="4110" t="n"/>
      <c r="Y101" s="4110" t="n"/>
      <c r="Z101" s="4110" t="n"/>
      <c r="AA101" s="4110" t="n"/>
      <c r="AB101" s="4110" t="n"/>
      <c r="AC101" s="4110" t="n"/>
      <c r="AD101" s="4110" t="n"/>
      <c r="AE101" s="4110" t="n"/>
      <c r="AF101" s="4110" t="n"/>
      <c r="AG101" s="4110" t="n"/>
      <c r="AH101" s="4113" t="n"/>
    </row>
    <row r="102">
      <c r="AE102" s="1667" t="inlineStr">
        <is>
          <t>就労定着</t>
        </is>
      </c>
    </row>
  </sheetData>
  <mergeCells count="417">
    <mergeCell ref="V100:W100"/>
    <mergeCell ref="T40:V42"/>
    <mergeCell ref="K71:M73"/>
    <mergeCell ref="X27:AH29"/>
    <mergeCell ref="AC80:AC82"/>
    <mergeCell ref="F47:H47"/>
    <mergeCell ref="Z66:AA66"/>
    <mergeCell ref="A63:J63"/>
    <mergeCell ref="I50:R50"/>
    <mergeCell ref="N77:O77"/>
    <mergeCell ref="O88:P88"/>
    <mergeCell ref="W58:Y58"/>
    <mergeCell ref="V17:AH17"/>
    <mergeCell ref="R81:R82"/>
    <mergeCell ref="K88:N88"/>
    <mergeCell ref="W60:Y60"/>
    <mergeCell ref="AC61:AH61"/>
    <mergeCell ref="D71:I79"/>
    <mergeCell ref="L95:N95"/>
    <mergeCell ref="W53:Y53"/>
    <mergeCell ref="AC2:AC3"/>
    <mergeCell ref="AA2:AA3"/>
    <mergeCell ref="I47:R47"/>
    <mergeCell ref="V44:AH44"/>
    <mergeCell ref="N30:R30"/>
    <mergeCell ref="L97:N97"/>
    <mergeCell ref="V31:AH31"/>
    <mergeCell ref="J86:J88"/>
    <mergeCell ref="E96:J98"/>
    <mergeCell ref="AA11:AB11"/>
    <mergeCell ref="J80:J82"/>
    <mergeCell ref="K74:M76"/>
    <mergeCell ref="AC11:AD11"/>
    <mergeCell ref="AE11:AF11"/>
    <mergeCell ref="T58:V58"/>
    <mergeCell ref="T67:U67"/>
    <mergeCell ref="K100:M100"/>
    <mergeCell ref="Q62:V64"/>
    <mergeCell ref="T54:V54"/>
    <mergeCell ref="X40:AH42"/>
    <mergeCell ref="A68:B101"/>
    <mergeCell ref="AC58:AE58"/>
    <mergeCell ref="AD97:AG97"/>
    <mergeCell ref="T82:U82"/>
    <mergeCell ref="W59:Y59"/>
    <mergeCell ref="Q59:S59"/>
    <mergeCell ref="P74:P76"/>
    <mergeCell ref="T60:V60"/>
    <mergeCell ref="C55:J55"/>
    <mergeCell ref="AF100:AH100"/>
    <mergeCell ref="T27:V29"/>
    <mergeCell ref="A1:Y1"/>
    <mergeCell ref="Z67:AA67"/>
    <mergeCell ref="E99:J100"/>
    <mergeCell ref="B26:B38"/>
    <mergeCell ref="C46:E51"/>
    <mergeCell ref="C26:E26"/>
    <mergeCell ref="J27:M29"/>
    <mergeCell ref="V35:AA35"/>
    <mergeCell ref="O93:O95"/>
    <mergeCell ref="T65:V65"/>
    <mergeCell ref="V34:AA34"/>
    <mergeCell ref="A62:J62"/>
    <mergeCell ref="F39:I39"/>
    <mergeCell ref="E65:G65"/>
    <mergeCell ref="K56:P56"/>
    <mergeCell ref="AC60:AE60"/>
    <mergeCell ref="Q72:R72"/>
    <mergeCell ref="C68:C70"/>
    <mergeCell ref="Z2:Z3"/>
    <mergeCell ref="AB2:AB3"/>
    <mergeCell ref="K77:M79"/>
    <mergeCell ref="AD2:AD3"/>
    <mergeCell ref="X71:X73"/>
    <mergeCell ref="T26:X26"/>
    <mergeCell ref="L69:L70"/>
    <mergeCell ref="N69:N70"/>
    <mergeCell ref="Z65:AB65"/>
    <mergeCell ref="AD80:AH82"/>
    <mergeCell ref="AE86:AH87"/>
    <mergeCell ref="J40:M42"/>
    <mergeCell ref="P77:P79"/>
    <mergeCell ref="Q54:S54"/>
    <mergeCell ref="N53:P53"/>
    <mergeCell ref="K58:M58"/>
    <mergeCell ref="C52:J53"/>
    <mergeCell ref="I8:M9"/>
    <mergeCell ref="V49:AA49"/>
    <mergeCell ref="W88:Z88"/>
    <mergeCell ref="V36:AA36"/>
    <mergeCell ref="N71:O71"/>
    <mergeCell ref="Q61:V61"/>
    <mergeCell ref="K53:M53"/>
    <mergeCell ref="D68:I70"/>
    <mergeCell ref="A11:S11"/>
    <mergeCell ref="V50:AA50"/>
    <mergeCell ref="K57:P57"/>
    <mergeCell ref="D94:I94"/>
    <mergeCell ref="K69:K70"/>
    <mergeCell ref="Q56:V56"/>
    <mergeCell ref="N26:O29"/>
    <mergeCell ref="S74:T76"/>
    <mergeCell ref="N54:P54"/>
    <mergeCell ref="AF50:AG50"/>
    <mergeCell ref="K83:AH83"/>
    <mergeCell ref="K55:M55"/>
    <mergeCell ref="X74:X76"/>
    <mergeCell ref="V70:AB70"/>
    <mergeCell ref="T92:V92"/>
    <mergeCell ref="W32:AH32"/>
    <mergeCell ref="N66:O66"/>
    <mergeCell ref="S80:S82"/>
    <mergeCell ref="U72:W72"/>
    <mergeCell ref="Z21:AH21"/>
    <mergeCell ref="F27:I29"/>
    <mergeCell ref="Z23:AH23"/>
    <mergeCell ref="S46:U51"/>
    <mergeCell ref="I10:K10"/>
    <mergeCell ref="C96:D101"/>
    <mergeCell ref="C59:J59"/>
    <mergeCell ref="Z59:AB59"/>
    <mergeCell ref="C13:E15"/>
    <mergeCell ref="P13:Q15"/>
    <mergeCell ref="Z24:AH24"/>
    <mergeCell ref="C7:E9"/>
    <mergeCell ref="T70:U70"/>
    <mergeCell ref="C61:J61"/>
    <mergeCell ref="T81:U81"/>
    <mergeCell ref="I37:R37"/>
    <mergeCell ref="P39:S39"/>
    <mergeCell ref="AE88:AH88"/>
    <mergeCell ref="Q75:R75"/>
    <mergeCell ref="W45:AH45"/>
    <mergeCell ref="Q58:S58"/>
    <mergeCell ref="N8:O9"/>
    <mergeCell ref="AE91:AE92"/>
    <mergeCell ref="Y72:Z72"/>
    <mergeCell ref="AF37:AG37"/>
    <mergeCell ref="AF10:AH10"/>
    <mergeCell ref="K85:AH85"/>
    <mergeCell ref="Q60:S60"/>
    <mergeCell ref="AF66:AG66"/>
    <mergeCell ref="S77:T79"/>
    <mergeCell ref="Z25:AA25"/>
    <mergeCell ref="R25:S25"/>
    <mergeCell ref="P93:AH95"/>
    <mergeCell ref="K87:N87"/>
    <mergeCell ref="J91:J92"/>
    <mergeCell ref="Q81:Q82"/>
    <mergeCell ref="W52:AB52"/>
    <mergeCell ref="K23:N24"/>
    <mergeCell ref="N67:O67"/>
    <mergeCell ref="X77:X79"/>
    <mergeCell ref="A65:D67"/>
    <mergeCell ref="T66:U66"/>
    <mergeCell ref="AB92:AD92"/>
    <mergeCell ref="V48:AA48"/>
    <mergeCell ref="K66:L66"/>
    <mergeCell ref="M63:N63"/>
    <mergeCell ref="N81:N82"/>
    <mergeCell ref="P81:P82"/>
    <mergeCell ref="Q10:S10"/>
    <mergeCell ref="K21:N22"/>
    <mergeCell ref="F4:AH4"/>
    <mergeCell ref="U2:X3"/>
    <mergeCell ref="C71:C79"/>
    <mergeCell ref="P7:R7"/>
    <mergeCell ref="C5:E6"/>
    <mergeCell ref="Y11:Z11"/>
    <mergeCell ref="V68:AB68"/>
    <mergeCell ref="AC56:AH56"/>
    <mergeCell ref="Y78:Z78"/>
    <mergeCell ref="Q78:R78"/>
    <mergeCell ref="N65:P65"/>
    <mergeCell ref="J13:M15"/>
    <mergeCell ref="F7:I7"/>
    <mergeCell ref="K101:AH101"/>
    <mergeCell ref="V69:AB69"/>
    <mergeCell ref="T91:V91"/>
    <mergeCell ref="L91:N91"/>
    <mergeCell ref="F34:H34"/>
    <mergeCell ref="A52:B61"/>
    <mergeCell ref="J68:J70"/>
    <mergeCell ref="C4:E4"/>
    <mergeCell ref="P69:P70"/>
    <mergeCell ref="AB100:AD100"/>
    <mergeCell ref="P21:X21"/>
    <mergeCell ref="A4:B10"/>
    <mergeCell ref="W54:Y54"/>
    <mergeCell ref="P23:X23"/>
    <mergeCell ref="AF59:AH59"/>
    <mergeCell ref="N72:O72"/>
    <mergeCell ref="W43:AH43"/>
    <mergeCell ref="L84:N84"/>
    <mergeCell ref="K93:K95"/>
    <mergeCell ref="V82:AB82"/>
    <mergeCell ref="W66:X66"/>
    <mergeCell ref="C33:E38"/>
    <mergeCell ref="O81:O82"/>
    <mergeCell ref="F26:I26"/>
    <mergeCell ref="AC57:AH57"/>
    <mergeCell ref="T53:V53"/>
    <mergeCell ref="AF54:AH54"/>
    <mergeCell ref="AC53:AE53"/>
    <mergeCell ref="L93:N93"/>
    <mergeCell ref="D80:I82"/>
    <mergeCell ref="R69:R70"/>
    <mergeCell ref="T55:V55"/>
    <mergeCell ref="AC55:AE55"/>
    <mergeCell ref="AC47:AD47"/>
    <mergeCell ref="P84:Q84"/>
    <mergeCell ref="R84:S84"/>
    <mergeCell ref="W16:AH16"/>
    <mergeCell ref="I34:R34"/>
    <mergeCell ref="S71:T73"/>
    <mergeCell ref="W61:AB61"/>
    <mergeCell ref="W18:AH18"/>
    <mergeCell ref="T80:U80"/>
    <mergeCell ref="Z60:AB60"/>
    <mergeCell ref="P24:X24"/>
    <mergeCell ref="C16:M18"/>
    <mergeCell ref="AC50:AD50"/>
    <mergeCell ref="AC25:AD25"/>
    <mergeCell ref="AB97:AC97"/>
    <mergeCell ref="C43:M45"/>
    <mergeCell ref="Z55:AB55"/>
    <mergeCell ref="Q88:T88"/>
    <mergeCell ref="S16:U18"/>
    <mergeCell ref="N12:O15"/>
    <mergeCell ref="AC71:AC79"/>
    <mergeCell ref="W67:X67"/>
    <mergeCell ref="S43:U45"/>
    <mergeCell ref="S33:U38"/>
    <mergeCell ref="F5:AH6"/>
    <mergeCell ref="N100:U100"/>
    <mergeCell ref="U75:W75"/>
    <mergeCell ref="F50:H50"/>
    <mergeCell ref="N32:R32"/>
    <mergeCell ref="D86:I88"/>
    <mergeCell ref="Z58:AB58"/>
    <mergeCell ref="K86:V86"/>
    <mergeCell ref="T68:U68"/>
    <mergeCell ref="P26:S26"/>
    <mergeCell ref="N59:P59"/>
    <mergeCell ref="AF2:AF3"/>
    <mergeCell ref="P20:AH20"/>
    <mergeCell ref="AH2:AH3"/>
    <mergeCell ref="J71:J79"/>
    <mergeCell ref="A26:A51"/>
    <mergeCell ref="U87:V87"/>
    <mergeCell ref="AF84:AH84"/>
    <mergeCell ref="J7:N7"/>
    <mergeCell ref="P92:R92"/>
    <mergeCell ref="T10:W10"/>
    <mergeCell ref="W86:Z87"/>
    <mergeCell ref="W11:X11"/>
    <mergeCell ref="W65:Y65"/>
    <mergeCell ref="N45:R45"/>
    <mergeCell ref="Y75:Z75"/>
    <mergeCell ref="C10:E10"/>
    <mergeCell ref="K99:M99"/>
    <mergeCell ref="T59:V59"/>
    <mergeCell ref="AA74:AA76"/>
    <mergeCell ref="S68:S70"/>
    <mergeCell ref="J12:M12"/>
    <mergeCell ref="AC66:AD66"/>
    <mergeCell ref="K59:M59"/>
    <mergeCell ref="P71:P73"/>
    <mergeCell ref="K52:P52"/>
    <mergeCell ref="C54:J54"/>
    <mergeCell ref="C86:C88"/>
    <mergeCell ref="K25:N25"/>
    <mergeCell ref="AC67:AD67"/>
    <mergeCell ref="F37:H37"/>
    <mergeCell ref="X10:Z10"/>
    <mergeCell ref="C56:J56"/>
    <mergeCell ref="AB10:AD10"/>
    <mergeCell ref="D89:I89"/>
    <mergeCell ref="F40:I42"/>
    <mergeCell ref="V37:AA37"/>
    <mergeCell ref="T13:V15"/>
    <mergeCell ref="Q57:V57"/>
    <mergeCell ref="C91:C92"/>
    <mergeCell ref="V47:AA47"/>
    <mergeCell ref="U78:W78"/>
    <mergeCell ref="T69:U69"/>
    <mergeCell ref="D90:I90"/>
    <mergeCell ref="AF47:AG47"/>
    <mergeCell ref="Q52:V52"/>
    <mergeCell ref="X84:Y84"/>
    <mergeCell ref="U88:V88"/>
    <mergeCell ref="Q55:S55"/>
    <mergeCell ref="H67:I67"/>
    <mergeCell ref="AE2:AE3"/>
    <mergeCell ref="X92:Z92"/>
    <mergeCell ref="C19:J25"/>
    <mergeCell ref="AG2:AG3"/>
    <mergeCell ref="Y2:Y3"/>
    <mergeCell ref="AA71:AA73"/>
    <mergeCell ref="AD71:AH79"/>
    <mergeCell ref="U25:V25"/>
    <mergeCell ref="Q69:Q70"/>
    <mergeCell ref="AC65:AE65"/>
    <mergeCell ref="P8:AH9"/>
    <mergeCell ref="Q2:S2"/>
    <mergeCell ref="X13:AH15"/>
    <mergeCell ref="C83:C85"/>
    <mergeCell ref="T12:X12"/>
    <mergeCell ref="A12:B25"/>
    <mergeCell ref="AA77:AA79"/>
    <mergeCell ref="C60:J60"/>
    <mergeCell ref="Q53:S53"/>
    <mergeCell ref="AC68:AC70"/>
    <mergeCell ref="F10:H10"/>
    <mergeCell ref="K54:M54"/>
    <mergeCell ref="O97:Q97"/>
    <mergeCell ref="F13:I15"/>
    <mergeCell ref="N16:R16"/>
    <mergeCell ref="AF67:AG67"/>
    <mergeCell ref="N75:O75"/>
    <mergeCell ref="P91:R91"/>
    <mergeCell ref="C57:J58"/>
    <mergeCell ref="N43:R43"/>
    <mergeCell ref="K61:P61"/>
    <mergeCell ref="T84:V84"/>
    <mergeCell ref="N60:P60"/>
    <mergeCell ref="W62:AB64"/>
    <mergeCell ref="Q87:T87"/>
    <mergeCell ref="X100:Z100"/>
    <mergeCell ref="K67:L67"/>
    <mergeCell ref="O25:P25"/>
    <mergeCell ref="L81:L82"/>
    <mergeCell ref="D83:I85"/>
    <mergeCell ref="N55:P55"/>
    <mergeCell ref="AA84:AB84"/>
    <mergeCell ref="K19:N20"/>
    <mergeCell ref="Q66:R66"/>
    <mergeCell ref="K60:M60"/>
    <mergeCell ref="W30:AH30"/>
    <mergeCell ref="AC62:AH64"/>
    <mergeCell ref="N58:P58"/>
    <mergeCell ref="P19:AH19"/>
    <mergeCell ref="Z22:AH22"/>
    <mergeCell ref="AC37:AD37"/>
    <mergeCell ref="C12:E12"/>
    <mergeCell ref="K81:K82"/>
    <mergeCell ref="M81:M82"/>
    <mergeCell ref="V80:AB80"/>
    <mergeCell ref="C30:M32"/>
    <mergeCell ref="B39:B51"/>
    <mergeCell ref="AF58:AH58"/>
    <mergeCell ref="AC84:AE84"/>
    <mergeCell ref="N2:O2"/>
    <mergeCell ref="C39:E39"/>
    <mergeCell ref="E101:J101"/>
    <mergeCell ref="N18:R18"/>
    <mergeCell ref="S30:U32"/>
    <mergeCell ref="AF60:AH60"/>
    <mergeCell ref="P27:Q29"/>
    <mergeCell ref="K65:M65"/>
    <mergeCell ref="AC52:AH52"/>
    <mergeCell ref="D91:I92"/>
    <mergeCell ref="N78:O78"/>
    <mergeCell ref="AA88:AD88"/>
    <mergeCell ref="K89:AH89"/>
    <mergeCell ref="N39:O42"/>
    <mergeCell ref="T39:X39"/>
    <mergeCell ref="AF65:AH65"/>
    <mergeCell ref="AE25:AF25"/>
    <mergeCell ref="AG25:AH25"/>
    <mergeCell ref="AD68:AH70"/>
    <mergeCell ref="M69:M70"/>
    <mergeCell ref="O69:O70"/>
    <mergeCell ref="K90:AH90"/>
    <mergeCell ref="AF55:AH55"/>
    <mergeCell ref="W56:AB56"/>
    <mergeCell ref="Q67:R67"/>
    <mergeCell ref="C27:E29"/>
    <mergeCell ref="H65:J65"/>
    <mergeCell ref="AC59:AE59"/>
    <mergeCell ref="N99:AH99"/>
    <mergeCell ref="V81:AB81"/>
    <mergeCell ref="F8:H9"/>
    <mergeCell ref="H66:I66"/>
    <mergeCell ref="J83:J85"/>
    <mergeCell ref="J26:M26"/>
    <mergeCell ref="X91:Z91"/>
    <mergeCell ref="AF53:AH53"/>
    <mergeCell ref="AB91:AD91"/>
    <mergeCell ref="Z53:AB53"/>
    <mergeCell ref="O87:P87"/>
    <mergeCell ref="AF34:AG34"/>
    <mergeCell ref="M10:O10"/>
    <mergeCell ref="L92:N92"/>
    <mergeCell ref="P12:S12"/>
    <mergeCell ref="C40:E42"/>
    <mergeCell ref="AC54:AE54"/>
    <mergeCell ref="Q65:S65"/>
    <mergeCell ref="J39:M39"/>
    <mergeCell ref="R96:AA98"/>
    <mergeCell ref="U11:V11"/>
    <mergeCell ref="P40:Q42"/>
    <mergeCell ref="E66:G66"/>
    <mergeCell ref="AC34:AD34"/>
    <mergeCell ref="F12:I12"/>
    <mergeCell ref="W57:AB57"/>
    <mergeCell ref="S7:AH7"/>
    <mergeCell ref="E67:G67"/>
    <mergeCell ref="Z54:AB54"/>
    <mergeCell ref="X25:Y25"/>
    <mergeCell ref="V71:W71"/>
    <mergeCell ref="N74:O74"/>
    <mergeCell ref="C80:C82"/>
    <mergeCell ref="P22:X22"/>
    <mergeCell ref="W55:Y55"/>
    <mergeCell ref="AA86:AD87"/>
    <mergeCell ref="AF91:AH92"/>
  </mergeCells>
  <conditionalFormatting sqref="AC66:AD67">
    <cfRule type="cellIs" priority="1" operator="lessThanOrEqual" dxfId="0" stopIfTrue="1">
      <formula>0</formula>
    </cfRule>
  </conditionalFormatting>
  <dataValidations count="18">
    <dataValidation sqref="K90:AH90" showDropDown="0" showInputMessage="1" showErrorMessage="1" allowBlank="1" type="list">
      <formula1>"　,運営規程に定めるとおり"</formula1>
    </dataValidation>
    <dataValidation sqref="F4:AH4 F12:M12 F26:M26 F39:M39" showDropDown="0" showInputMessage="1" showErrorMessage="1" allowBlank="1" imeMode="halfKatakana"/>
    <dataValidation sqref="K69:R70 K81:R82 K88 O88 Q88 U88 W88 AA88 AE88" showDropDown="0" showInputMessage="1" showErrorMessage="1" allowBlank="1" type="list">
      <formula1>"　,○"</formula1>
    </dataValidation>
    <dataValidation sqref="I10:K10 J7:N7 K54:K56 K59:AH61 N54:N55 Q54:Q56 T12:X12 T26:X26 T39:X39 T54:T55 U11:V11 W54:W56 X100 Y2:AH3 Y11:Z11 Z54:Z55 AB100:AD100 AC11:AD11 AC54:AC56 AF54:AF55 AF100" showDropDown="0" showInputMessage="1" showErrorMessage="1" allowBlank="1" imeMode="fullAlpha"/>
    <dataValidation sqref="L84 N72 N75 N78 T84 U72:V72 U75:V75 U78:V78" showDropDown="0" showInputMessage="1" showErrorMessage="1" allowBlank="1" type="list">
      <formula1>"　,１,２,３,４,５,６,７,８,９,１０,１１,１２,１３,１４,１５,１６,１７,１８,１９,２０,２１,２２,２３,２４"</formula1>
    </dataValidation>
    <dataValidation sqref="M10:O10 Q10:S10 X10:Z10 AB10:AD10 AF10:AH10" showDropDown="0" showInputMessage="1" showErrorMessage="1" allowBlank="1" error="全角数字で入力してください" imeMode="fullAlpha"/>
    <dataValidation sqref="F35:H35 F38:H38 F48:H48 F51:H51 O35 O38 O48 O51" showDropDown="0" showInputMessage="1" showErrorMessage="1" allowBlank="1" error="この行には入力できません。_x000a_下の行に入力してください。" prompt="この行には入力できません。_x000a_上の行に入力してください。" imeMode="on"/>
    <dataValidation sqref="E36:H36 E49:H49 F33:G33 F46:G46 I33:O33 I46:O46 R36 R49 V33:AH33 V46:AH46" showDropDown="0" showInputMessage="1" showErrorMessage="1" allowBlank="1" error="この行には入力できません。_x000a_下の行に入力してください。" prompt="この行には入力できません。_x000a_下の行に入力してください。" imeMode="on"/>
    <dataValidation sqref="V17:AH17"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R25:S25 U25:V25 X25:Y25 AE25:AF25" showDropDown="0" showInputMessage="1" showErrorMessage="1" allowBlank="1" errorStyle="warning"/>
    <dataValidation sqref="O25:P25" showDropDown="0" showInputMessage="1" showErrorMessage="1" allowBlank="1" type="list" errorStyle="warning">
      <formula1>"　,７,８,９,１０,１１"</formula1>
    </dataValidation>
    <dataValidation sqref="AB25" showDropDown="0" showInputMessage="1" showErrorMessage="1" allowBlank="1" error="労働基準法では、１日当たりの労働時間は、原則８時間以内です。_x000a_法人の就業規則、労働基準局への届出等確認してください。" type="list" errorStyle="warning" imeMode="halfAlpha">
      <formula1>"　,１,２,３,４,５,６,７,８"</formula1>
    </dataValidation>
    <dataValidation sqref="V31:AH31 V44:AH44" showDropDown="0" showInputMessage="1" showErrorMessage="1" allowBlank="1" prompt="サービス管理責任者は、サービス提供職員との兼務はできません。" type="list" errorStyle="warning">
      <formula1>"　,管理者,事務職員,管理者、事務職員"</formula1>
    </dataValidation>
    <dataValidation sqref="I34:R34 I47:R47" showDropDown="0" showInputMessage="1" showErrorMessage="1" allowBlank="1" prompt="プルダウンメニューから選択してください。" type="list">
      <formula1>"　,相談支援業務5年以上,直接支援業務10年以上,直接支援業務5年以上＋有資格,国家資格業務5年以上＋相談支援業務3年以上,国家資格業務5年以上＋直接支援業務3年以上"</formula1>
    </dataValidation>
    <dataValidation sqref="Q57:AH57" showDropDown="0" showInputMessage="1" showErrorMessage="1" allowBlank="1" type="list" errorStyle="information">
      <formula1>"　,職業指導員,あん摩マッサージ指圧師,介護職員,保育士,事務職員,調理員,栄養士,運転手"</formula1>
    </dataValidation>
    <dataValidation sqref="H66:AA67 K62:P64 AC66:AD67" showDropDown="0" showInputMessage="1" showErrorMessage="1" allowBlank="1" imeMode="halfAlpha"/>
    <dataValidation sqref="I37:R37 I50:R50" showDropDown="0" showInputMessage="1" showErrorMessage="1" allowBlank="1" prompt="プルダウンメニューから選択してください。" type="list">
      <formula1>"　,社会福祉主事任用資格,訪問介護員1級,訪問介護員2級,居宅介護従業者1級,居宅介護従業者2級,児童指導員任用資格,保育士,医師,歯科医師,薬剤師,保健師,助産師,看護師,准看護師,理学療法士,作業療法士,社会福祉士,介護福祉士,視能訓練士,義肢装具士,歯科衛生士,言語聴覚士,あん摩マッサージ指圧師,はり師,きゅう師,柔道整復師,栄養士,管理栄養士,精神保健福祉士,社会復帰指導員"</formula1>
    </dataValidation>
    <dataValidation sqref="K89:AH89" showDropDown="0" showInputMessage="1" showErrorMessage="1" allowBlank="1" type="list" errorStyle="warning">
      <formula1>"　,厚生労働大臣が定める額"</formula1>
    </dataValidation>
  </dataValidations>
  <hyperlinks>
    <hyperlink xmlns:r="http://schemas.openxmlformats.org/officeDocument/2006/relationships" ref="S7" r:id="rId1"/>
  </hyperlinks>
  <printOptions horizontalCentered="1"/>
  <pageMargins left="0.7086614173228347" right="0.5905511811023623" top="0.3937007874015748" bottom="0.3937007874015748" header="0.5118110236220472" footer="0.5118110236220472"/>
  <pageSetup orientation="portrait" paperSize="9"/>
  <rowBreaks count="1" manualBreakCount="1">
    <brk id="67" min="0" max="33" man="1"/>
  </rowBreaks>
  <legacyDrawing xmlns:r="http://schemas.openxmlformats.org/officeDocument/2006/relationships" r:id="anysvml"/>
</worksheet>
</file>

<file path=xl/worksheets/sheet42.xml><?xml version="1.0" encoding="utf-8"?>
<worksheet xmlns="http://schemas.openxmlformats.org/spreadsheetml/2006/main">
  <sheetPr codeName="Sheet41">
    <outlinePr summaryBelow="1" summaryRight="1"/>
    <pageSetUpPr/>
  </sheetPr>
  <dimension ref="A1:L40"/>
  <sheetViews>
    <sheetView view="pageBreakPreview" zoomScaleNormal="100" zoomScaleSheetLayoutView="100" workbookViewId="0">
      <selection activeCell="G15" sqref="G15"/>
    </sheetView>
  </sheetViews>
  <sheetFormatPr baseColWidth="8" defaultRowHeight="13.5"/>
  <sheetData>
    <row r="1">
      <c r="A1" s="4000" t="inlineStr">
        <is>
          <t>付表23の2</t>
        </is>
      </c>
      <c r="C1" s="682" t="n"/>
      <c r="D1" s="682" t="n"/>
      <c r="E1" s="682" t="n"/>
      <c r="F1" s="682" t="n"/>
      <c r="G1" s="682" t="n"/>
      <c r="H1" s="682" t="n"/>
      <c r="I1" s="682" t="n"/>
    </row>
    <row r="2" ht="26.25" customHeight="1" s="4080">
      <c r="A2" s="682" t="n"/>
      <c r="B2" s="682" t="n"/>
      <c r="C2" s="682" t="n"/>
      <c r="D2" s="682" t="n"/>
      <c r="E2" s="682" t="n"/>
      <c r="F2" s="682" t="n"/>
      <c r="G2" s="4000" t="inlineStr">
        <is>
          <t>令和　　年　　月　　日</t>
        </is>
      </c>
      <c r="L2" s="719">
        <f>HYPERLINK("#目次!A1","目次へ戻る")</f>
        <v/>
      </c>
    </row>
    <row r="4" ht="14.25" customHeight="1" s="4080">
      <c r="A4" s="682" t="n"/>
      <c r="B4" s="682" t="n"/>
      <c r="C4" s="683" t="n"/>
      <c r="D4" s="683" t="inlineStr">
        <is>
          <t>一般就労移行実績</t>
        </is>
      </c>
      <c r="E4" s="683" t="n"/>
      <c r="F4" s="683" t="n"/>
      <c r="G4" s="682" t="n"/>
      <c r="H4" s="682" t="n"/>
      <c r="I4" s="682" t="n"/>
    </row>
    <row r="5" ht="14.25" customHeight="1" s="4080">
      <c r="A5" s="682" t="n"/>
      <c r="B5" s="682" t="n"/>
      <c r="C5" s="683" t="n"/>
      <c r="D5" s="683" t="n"/>
      <c r="E5" s="683" t="n"/>
      <c r="F5" s="683" t="n"/>
      <c r="G5" s="682" t="n"/>
      <c r="H5" s="682" t="n"/>
      <c r="I5" s="682" t="n"/>
    </row>
    <row r="6">
      <c r="A6" s="682" t="n"/>
      <c r="B6" s="682" t="n"/>
      <c r="C6" s="682" t="n"/>
      <c r="D6" s="682" t="n"/>
      <c r="E6" s="682" t="n"/>
      <c r="F6" s="682" t="n"/>
      <c r="G6" s="682" t="n"/>
      <c r="H6" s="682" t="n"/>
      <c r="I6" s="682" t="n"/>
    </row>
    <row r="7">
      <c r="A7" s="682" t="inlineStr">
        <is>
          <t>【申請日の属する日から遡って過去３年間において。一般就労に移行した者を記載すること】</t>
        </is>
      </c>
      <c r="B7" s="682" t="n"/>
      <c r="C7" s="682" t="n"/>
      <c r="D7" s="682" t="n"/>
      <c r="E7" s="682" t="n"/>
      <c r="F7" s="682" t="n"/>
      <c r="G7" s="682" t="n"/>
      <c r="H7" s="682" t="n"/>
      <c r="I7" s="682" t="n"/>
    </row>
    <row r="9" ht="24.95" customHeight="1" s="4080">
      <c r="A9" s="684" t="n"/>
      <c r="B9" s="684" t="inlineStr">
        <is>
          <t>氏名</t>
        </is>
      </c>
      <c r="C9" s="4111" t="n"/>
      <c r="D9" s="684" t="inlineStr">
        <is>
          <t>就職日</t>
        </is>
      </c>
      <c r="E9" s="4111" t="n"/>
      <c r="F9" s="684" t="inlineStr">
        <is>
          <t>就職先事業所名</t>
        </is>
      </c>
      <c r="G9" s="4110" t="n"/>
      <c r="H9" s="4110" t="n"/>
      <c r="I9" s="4111" t="n"/>
    </row>
    <row r="10" ht="24.95" customHeight="1" s="4080">
      <c r="A10" s="684" t="n">
        <v>1</v>
      </c>
      <c r="B10" s="684" t="n"/>
      <c r="C10" s="4111" t="n"/>
      <c r="D10" s="684" t="n"/>
      <c r="E10" s="4111" t="n"/>
      <c r="F10" s="684" t="n"/>
      <c r="G10" s="4110" t="n"/>
      <c r="H10" s="4110" t="n"/>
      <c r="I10" s="4111" t="n"/>
    </row>
    <row r="11" ht="24.95" customHeight="1" s="4080">
      <c r="A11" s="684" t="n">
        <v>2</v>
      </c>
      <c r="B11" s="684" t="n"/>
      <c r="C11" s="4111" t="n"/>
      <c r="D11" s="684" t="n"/>
      <c r="E11" s="4111" t="n"/>
      <c r="F11" s="684" t="n"/>
      <c r="G11" s="4110" t="n"/>
      <c r="H11" s="4110" t="n"/>
      <c r="I11" s="4111" t="n"/>
    </row>
    <row r="12" ht="24.95" customHeight="1" s="4080">
      <c r="A12" s="684" t="n">
        <v>3</v>
      </c>
      <c r="B12" s="684" t="n"/>
      <c r="C12" s="4111" t="n"/>
      <c r="D12" s="684" t="n"/>
      <c r="E12" s="4111" t="n"/>
      <c r="F12" s="684" t="n"/>
      <c r="G12" s="4110" t="n"/>
      <c r="H12" s="4110" t="n"/>
      <c r="I12" s="4111" t="n"/>
    </row>
    <row r="13" ht="24.95" customHeight="1" s="4080">
      <c r="A13" s="684" t="n">
        <v>4</v>
      </c>
      <c r="B13" s="684" t="n"/>
      <c r="C13" s="4111" t="n"/>
      <c r="D13" s="684" t="n"/>
      <c r="E13" s="4111" t="n"/>
      <c r="F13" s="684" t="n"/>
      <c r="G13" s="4110" t="n"/>
      <c r="H13" s="4110" t="n"/>
      <c r="I13" s="4111" t="n"/>
    </row>
    <row r="14" ht="24.95" customHeight="1" s="4080">
      <c r="A14" s="684" t="n">
        <v>5</v>
      </c>
      <c r="B14" s="684" t="n"/>
      <c r="C14" s="4111" t="n"/>
      <c r="D14" s="684" t="n"/>
      <c r="E14" s="4111" t="n"/>
      <c r="F14" s="684" t="n"/>
      <c r="G14" s="4110" t="n"/>
      <c r="H14" s="4110" t="n"/>
      <c r="I14" s="4111" t="n"/>
    </row>
    <row r="15" ht="24.95" customHeight="1" s="4080">
      <c r="A15" s="684" t="n">
        <v>6</v>
      </c>
      <c r="B15" s="684" t="n"/>
      <c r="C15" s="4111" t="n"/>
      <c r="D15" s="684" t="n"/>
      <c r="E15" s="4111" t="n"/>
      <c r="F15" s="684" t="n"/>
      <c r="G15" s="4110" t="n"/>
      <c r="H15" s="4110" t="n"/>
      <c r="I15" s="4111" t="n"/>
    </row>
    <row r="16" ht="24.95" customHeight="1" s="4080">
      <c r="A16" s="684" t="n">
        <v>7</v>
      </c>
      <c r="B16" s="684" t="n"/>
      <c r="C16" s="4111" t="n"/>
      <c r="D16" s="684" t="n"/>
      <c r="E16" s="4111" t="n"/>
      <c r="F16" s="684" t="n"/>
      <c r="G16" s="4110" t="n"/>
      <c r="H16" s="4110" t="n"/>
      <c r="I16" s="4111" t="n"/>
    </row>
    <row r="17" ht="24.95" customHeight="1" s="4080">
      <c r="A17" s="684" t="n">
        <v>8</v>
      </c>
      <c r="B17" s="684" t="n"/>
      <c r="C17" s="4111" t="n"/>
      <c r="D17" s="684" t="n"/>
      <c r="E17" s="4111" t="n"/>
      <c r="F17" s="684" t="n"/>
      <c r="G17" s="4110" t="n"/>
      <c r="H17" s="4110" t="n"/>
      <c r="I17" s="4111" t="n"/>
    </row>
    <row r="18" ht="24.95" customHeight="1" s="4080">
      <c r="A18" s="684" t="n">
        <v>9</v>
      </c>
      <c r="B18" s="684" t="n"/>
      <c r="C18" s="4111" t="n"/>
      <c r="D18" s="684" t="n"/>
      <c r="E18" s="4111" t="n"/>
      <c r="F18" s="684" t="n"/>
      <c r="G18" s="4110" t="n"/>
      <c r="H18" s="4110" t="n"/>
      <c r="I18" s="4111" t="n"/>
    </row>
    <row r="19" ht="24.95" customHeight="1" s="4080">
      <c r="A19" s="684" t="n">
        <v>10</v>
      </c>
      <c r="B19" s="684" t="n"/>
      <c r="C19" s="4111" t="n"/>
      <c r="D19" s="684" t="n"/>
      <c r="E19" s="4111" t="n"/>
      <c r="F19" s="684" t="n"/>
      <c r="G19" s="4110" t="n"/>
      <c r="H19" s="4110" t="n"/>
      <c r="I19" s="4111" t="n"/>
    </row>
    <row r="20" ht="24.95" customHeight="1" s="4080">
      <c r="A20" s="684" t="n">
        <v>11</v>
      </c>
      <c r="B20" s="684" t="n"/>
      <c r="C20" s="4111" t="n"/>
      <c r="D20" s="684" t="n"/>
      <c r="E20" s="4111" t="n"/>
      <c r="F20" s="684" t="n"/>
      <c r="G20" s="4110" t="n"/>
      <c r="H20" s="4110" t="n"/>
      <c r="I20" s="4111" t="n"/>
    </row>
    <row r="21" ht="24.95" customHeight="1" s="4080">
      <c r="A21" s="684" t="n">
        <v>12</v>
      </c>
      <c r="B21" s="684" t="n"/>
      <c r="C21" s="4111" t="n"/>
      <c r="D21" s="684" t="n"/>
      <c r="E21" s="4111" t="n"/>
      <c r="F21" s="684" t="n"/>
      <c r="G21" s="4110" t="n"/>
      <c r="H21" s="4110" t="n"/>
      <c r="I21" s="4111" t="n"/>
    </row>
    <row r="22" ht="24.95" customHeight="1" s="4080">
      <c r="A22" s="684" t="n">
        <v>13</v>
      </c>
      <c r="B22" s="684" t="n"/>
      <c r="C22" s="4111" t="n"/>
      <c r="D22" s="684" t="n"/>
      <c r="E22" s="4111" t="n"/>
      <c r="F22" s="684" t="n"/>
      <c r="G22" s="4110" t="n"/>
      <c r="H22" s="4110" t="n"/>
      <c r="I22" s="4111" t="n"/>
    </row>
    <row r="23" ht="24.95" customHeight="1" s="4080">
      <c r="A23" s="684" t="n">
        <v>14</v>
      </c>
      <c r="B23" s="684" t="n"/>
      <c r="C23" s="4111" t="n"/>
      <c r="D23" s="684" t="n"/>
      <c r="E23" s="4111" t="n"/>
      <c r="F23" s="684" t="n"/>
      <c r="G23" s="4110" t="n"/>
      <c r="H23" s="4110" t="n"/>
      <c r="I23" s="4111" t="n"/>
    </row>
    <row r="24" ht="24.95" customHeight="1" s="4080">
      <c r="A24" s="684" t="n">
        <v>15</v>
      </c>
      <c r="B24" s="684" t="n"/>
      <c r="C24" s="4111" t="n"/>
      <c r="D24" s="684" t="n"/>
      <c r="E24" s="4111" t="n"/>
      <c r="F24" s="684" t="n"/>
      <c r="G24" s="4110" t="n"/>
      <c r="H24" s="4110" t="n"/>
      <c r="I24" s="4111" t="n"/>
    </row>
    <row r="25" ht="24.95" customHeight="1" s="4080">
      <c r="A25" s="684" t="n">
        <v>16</v>
      </c>
      <c r="B25" s="684" t="n"/>
      <c r="C25" s="4111" t="n"/>
      <c r="D25" s="684" t="n"/>
      <c r="E25" s="4111" t="n"/>
      <c r="F25" s="684" t="n"/>
      <c r="G25" s="4110" t="n"/>
      <c r="H25" s="4110" t="n"/>
      <c r="I25" s="4111" t="n"/>
    </row>
    <row r="26" ht="24.95" customHeight="1" s="4080">
      <c r="A26" s="684" t="n">
        <v>17</v>
      </c>
      <c r="B26" s="684" t="n"/>
      <c r="C26" s="4111" t="n"/>
      <c r="D26" s="684" t="n"/>
      <c r="E26" s="4111" t="n"/>
      <c r="F26" s="684" t="n"/>
      <c r="G26" s="4110" t="n"/>
      <c r="H26" s="4110" t="n"/>
      <c r="I26" s="4111" t="n"/>
    </row>
    <row r="27" ht="24.95" customHeight="1" s="4080">
      <c r="A27" s="684" t="n">
        <v>18</v>
      </c>
      <c r="B27" s="684" t="n"/>
      <c r="C27" s="4111" t="n"/>
      <c r="D27" s="684" t="n"/>
      <c r="E27" s="4111" t="n"/>
      <c r="F27" s="684" t="n"/>
      <c r="G27" s="4110" t="n"/>
      <c r="H27" s="4110" t="n"/>
      <c r="I27" s="4111" t="n"/>
    </row>
    <row r="28" ht="24.95" customHeight="1" s="4080">
      <c r="A28" s="684" t="n">
        <v>19</v>
      </c>
      <c r="B28" s="684" t="n"/>
      <c r="C28" s="4111" t="n"/>
      <c r="D28" s="684" t="n"/>
      <c r="E28" s="4111" t="n"/>
      <c r="F28" s="684" t="n"/>
      <c r="G28" s="4110" t="n"/>
      <c r="H28" s="4110" t="n"/>
      <c r="I28" s="4111" t="n"/>
    </row>
    <row r="29" ht="24.95" customHeight="1" s="4080">
      <c r="A29" s="684" t="n">
        <v>20</v>
      </c>
      <c r="B29" s="684" t="n"/>
      <c r="C29" s="4111" t="n"/>
      <c r="D29" s="684" t="n"/>
      <c r="E29" s="4111" t="n"/>
      <c r="F29" s="684" t="n"/>
      <c r="G29" s="4110" t="n"/>
      <c r="H29" s="4110" t="n"/>
      <c r="I29" s="4111" t="n"/>
    </row>
    <row r="32">
      <c r="A32" s="4000" t="inlineStr">
        <is>
          <t>注１</t>
        </is>
      </c>
      <c r="B32" s="682" t="inlineStr">
        <is>
          <t>申請日の属する日から遡って過去３年間において、一般就労に移行した者について記入する。</t>
        </is>
      </c>
      <c r="C32" s="682" t="n"/>
      <c r="D32" s="682" t="n"/>
      <c r="E32" s="682" t="n"/>
      <c r="F32" s="682" t="n"/>
      <c r="G32" s="682" t="n"/>
      <c r="H32" s="682" t="n"/>
      <c r="I32" s="682" t="n"/>
    </row>
    <row r="33">
      <c r="A33" s="682" t="n"/>
      <c r="B33" s="682" t="inlineStr">
        <is>
          <t>一般就労の定義、雇用継続の状況は問わない。</t>
        </is>
      </c>
    </row>
    <row r="35">
      <c r="A35" s="4000" t="inlineStr">
        <is>
          <t>注２</t>
        </is>
      </c>
      <c r="B35" s="682" t="inlineStr">
        <is>
          <t>就労定着支援を申請する事業所ごとに作成し、指定申請書に添付すること。</t>
        </is>
      </c>
    </row>
    <row r="37">
      <c r="A37" s="4000" t="inlineStr">
        <is>
          <t>注３</t>
        </is>
      </c>
      <c r="B37" s="682" t="inlineStr">
        <is>
          <t>申請日の属する日から遡って過去３年間において、一般就労移行者数が３人以上いる場合</t>
        </is>
      </c>
    </row>
    <row r="38">
      <c r="A38" s="682" t="n"/>
      <c r="B38" s="682" t="inlineStr">
        <is>
          <t>は指定要件を満たすことになる</t>
        </is>
      </c>
    </row>
    <row r="40">
      <c r="A40" s="4000" t="inlineStr">
        <is>
          <t>注４</t>
        </is>
      </c>
      <c r="B40" s="682" t="inlineStr">
        <is>
          <t>適宜、欄は追加してください。</t>
        </is>
      </c>
    </row>
  </sheetData>
  <mergeCells count="65">
    <mergeCell ref="D20:E20"/>
    <mergeCell ref="F13:I13"/>
    <mergeCell ref="B16:C16"/>
    <mergeCell ref="F27:I27"/>
    <mergeCell ref="D10:E10"/>
    <mergeCell ref="B25:C25"/>
    <mergeCell ref="F9:I9"/>
    <mergeCell ref="D19:E19"/>
    <mergeCell ref="B22:C22"/>
    <mergeCell ref="D22:E22"/>
    <mergeCell ref="A1:B1"/>
    <mergeCell ref="B27:C27"/>
    <mergeCell ref="B18:C18"/>
    <mergeCell ref="B12:C12"/>
    <mergeCell ref="F14:I14"/>
    <mergeCell ref="D21:E21"/>
    <mergeCell ref="B21:C21"/>
    <mergeCell ref="B11:C11"/>
    <mergeCell ref="D13:E13"/>
    <mergeCell ref="D11:E11"/>
    <mergeCell ref="D27:E27"/>
    <mergeCell ref="F11:I11"/>
    <mergeCell ref="B23:C23"/>
    <mergeCell ref="F29:I29"/>
    <mergeCell ref="F16:I16"/>
    <mergeCell ref="B14:C14"/>
    <mergeCell ref="B17:C17"/>
    <mergeCell ref="F25:I25"/>
    <mergeCell ref="F19:I19"/>
    <mergeCell ref="D17:E17"/>
    <mergeCell ref="F10:I10"/>
    <mergeCell ref="B13:C13"/>
    <mergeCell ref="D16:E16"/>
    <mergeCell ref="F28:I28"/>
    <mergeCell ref="B29:C29"/>
    <mergeCell ref="B19:C19"/>
    <mergeCell ref="B10:C10"/>
    <mergeCell ref="B28:C28"/>
    <mergeCell ref="F24:I24"/>
    <mergeCell ref="F12:I12"/>
    <mergeCell ref="D28:E28"/>
    <mergeCell ref="F21:I21"/>
    <mergeCell ref="F15:I15"/>
    <mergeCell ref="D18:E18"/>
    <mergeCell ref="B9:C9"/>
    <mergeCell ref="F20:I20"/>
    <mergeCell ref="D9:E9"/>
    <mergeCell ref="D12:E12"/>
    <mergeCell ref="D25:E25"/>
    <mergeCell ref="F18:I18"/>
    <mergeCell ref="G2:I2"/>
    <mergeCell ref="B24:C24"/>
    <mergeCell ref="F26:I26"/>
    <mergeCell ref="D24:E24"/>
    <mergeCell ref="F17:I17"/>
    <mergeCell ref="B15:C15"/>
    <mergeCell ref="D15:E15"/>
    <mergeCell ref="D29:E29"/>
    <mergeCell ref="B20:C20"/>
    <mergeCell ref="D23:E23"/>
    <mergeCell ref="D14:E14"/>
    <mergeCell ref="B26:C26"/>
    <mergeCell ref="F23:I23"/>
    <mergeCell ref="D26:E26"/>
    <mergeCell ref="F22:I22"/>
  </mergeCells>
  <pageMargins left="0.7" right="0.7" top="0.75" bottom="0.75" header="0.3" footer="0.3"/>
  <pageSetup orientation="portrait" paperSize="9" scale="91"/>
</worksheet>
</file>

<file path=xl/worksheets/sheet43.xml><?xml version="1.0" encoding="utf-8"?>
<worksheet xmlns="http://schemas.openxmlformats.org/spreadsheetml/2006/main">
  <sheetPr codeName="Sheet42">
    <outlinePr summaryBelow="1" summaryRight="1"/>
    <pageSetUpPr/>
  </sheetPr>
  <dimension ref="A1:L26"/>
  <sheetViews>
    <sheetView view="pageBreakPreview" zoomScaleNormal="100" zoomScaleSheetLayoutView="100" workbookViewId="0">
      <selection activeCell="G15" sqref="G15"/>
    </sheetView>
  </sheetViews>
  <sheetFormatPr baseColWidth="8" defaultRowHeight="13.5"/>
  <cols>
    <col width="13.375" customWidth="1" style="4080" min="2" max="2"/>
  </cols>
  <sheetData>
    <row r="1" ht="20.1" customHeight="1" s="4080">
      <c r="A1" s="1971" t="inlineStr">
        <is>
          <t>付表23の3</t>
        </is>
      </c>
      <c r="G1" s="4001" t="inlineStr">
        <is>
          <t>令和　　年　　月　　日</t>
        </is>
      </c>
      <c r="L1" s="719">
        <f>HYPERLINK("#目次!A1","目次へ戻る")</f>
        <v/>
      </c>
    </row>
    <row r="2" ht="20.1" customHeight="1" s="4080"/>
    <row r="3" ht="20.1" customHeight="1" s="4080">
      <c r="A3" s="1971" t="inlineStr">
        <is>
          <t>（１）利用者の推定数</t>
        </is>
      </c>
    </row>
    <row r="4" ht="20.1" customHeight="1" s="4080">
      <c r="A4" s="1971" t="inlineStr">
        <is>
          <t xml:space="preserve">　　　新規に指定を受ける場合の就労定着支援の利用者の数は、</t>
        </is>
      </c>
    </row>
    <row r="5" ht="20.1" customHeight="1" s="4080">
      <c r="A5" s="1971" t="inlineStr">
        <is>
          <t xml:space="preserve">　　　①新設の時点から６月未満の場合　</t>
        </is>
      </c>
    </row>
    <row r="6" ht="20.1" customHeight="1" s="4080">
      <c r="A6" s="1971" t="inlineStr">
        <is>
          <t xml:space="preserve">　　　　　一体的に運営する就労移行支援等を受けた後に就労し、就労を継続している期間が６月に達した</t>
        </is>
      </c>
    </row>
    <row r="7" ht="20.1" customHeight="1" s="4080">
      <c r="A7" s="1971" t="inlineStr">
        <is>
          <t xml:space="preserve">　　　　　者の数の過去３年間の総数の７０％</t>
        </is>
      </c>
    </row>
    <row r="8" ht="20.1" customHeight="1" s="4080" thickBot="1"/>
    <row r="9" ht="20.1" customHeight="1" s="4080">
      <c r="A9" s="686" t="inlineStr">
        <is>
          <t>平成</t>
        </is>
      </c>
      <c r="B9" s="687" t="inlineStr">
        <is>
          <t>年度</t>
        </is>
      </c>
      <c r="C9" s="688" t="n"/>
      <c r="D9" s="689" t="inlineStr">
        <is>
          <t>人</t>
        </is>
      </c>
    </row>
    <row r="10" ht="20.1" customHeight="1" s="4080">
      <c r="A10" s="686" t="inlineStr">
        <is>
          <t>平成</t>
        </is>
      </c>
      <c r="B10" s="690" t="inlineStr">
        <is>
          <t>年度</t>
        </is>
      </c>
      <c r="C10" s="691" t="n"/>
      <c r="D10" s="692" t="inlineStr">
        <is>
          <t>人</t>
        </is>
      </c>
    </row>
    <row r="11" ht="20.1" customHeight="1" s="4080" thickBot="1">
      <c r="A11" s="686" t="inlineStr">
        <is>
          <t>平成</t>
        </is>
      </c>
      <c r="B11" s="693" t="inlineStr">
        <is>
          <t>年度</t>
        </is>
      </c>
      <c r="C11" s="694" t="n"/>
      <c r="D11" s="695" t="inlineStr">
        <is>
          <t>人</t>
        </is>
      </c>
    </row>
    <row r="12" ht="20.1" customHeight="1" s="4080" thickBot="1">
      <c r="B12" s="696" t="inlineStr">
        <is>
          <t>合　　計</t>
        </is>
      </c>
      <c r="C12" s="697">
        <f>SUM(C9:C11)</f>
        <v/>
      </c>
      <c r="D12" s="698" t="inlineStr">
        <is>
          <t>人</t>
        </is>
      </c>
    </row>
    <row r="13" ht="20.1" customHeight="1" s="4080"/>
    <row r="14" ht="20.1" customHeight="1" s="4080" thickBot="1"/>
    <row r="15" ht="20.1" customHeight="1" s="4080" thickBot="1">
      <c r="A15" s="686" t="n"/>
      <c r="B15" s="697">
        <f>SUM(C12)</f>
        <v/>
      </c>
      <c r="C15" s="1971" t="inlineStr">
        <is>
          <t>×　７０％</t>
        </is>
      </c>
      <c r="D15" s="699" t="inlineStr">
        <is>
          <t>＝</t>
        </is>
      </c>
      <c r="E15" s="697">
        <f>SUM(B15*0.7)</f>
        <v/>
      </c>
      <c r="F15" s="1971" t="inlineStr">
        <is>
          <t>（利用者の推定数）</t>
        </is>
      </c>
    </row>
    <row r="16" ht="20.1" customHeight="1" s="4080">
      <c r="A16" s="686" t="n"/>
      <c r="B16" s="700" t="inlineStr">
        <is>
          <t>（過去３年間の総数）</t>
        </is>
      </c>
      <c r="D16" s="699" t="n"/>
    </row>
    <row r="17" ht="20.1" customHeight="1" s="4080"/>
    <row r="18" ht="20.1" customHeight="1" s="4080">
      <c r="A18" s="1971" t="inlineStr">
        <is>
          <t xml:space="preserve">　　　　②新設の時点から６月以上１年未満の場合</t>
        </is>
      </c>
    </row>
    <row r="19" ht="20.1" customHeight="1" s="4080">
      <c r="A19" s="1971" t="inlineStr">
        <is>
          <t xml:space="preserve">　　　　　　直近の６月における全利用者の延べ数を６で除した数</t>
        </is>
      </c>
    </row>
    <row r="20" ht="20.1" customHeight="1" s="4080"/>
    <row r="21" ht="20.1" customHeight="1" s="4080">
      <c r="A21" s="1971" t="inlineStr">
        <is>
          <t>（２）就労定着支援員の員数について</t>
        </is>
      </c>
    </row>
    <row r="22" ht="20.1" customHeight="1" s="4080">
      <c r="A22" s="1971" t="inlineStr">
        <is>
          <t xml:space="preserve">　　　従業者の配置は、前年度の平均利用者数の数に応じて配置する</t>
        </is>
      </c>
    </row>
    <row r="23" ht="20.1" customHeight="1" s="4080">
      <c r="A23" s="1971" t="inlineStr">
        <is>
          <t xml:space="preserve">　　　ただし、新設の時点から６月未満の場合は、利用者の推定数を４０で除して得た数</t>
        </is>
      </c>
    </row>
    <row r="24" ht="20.1" customHeight="1" s="4080" thickBot="1"/>
    <row r="25" ht="20.1" customHeight="1" s="4080" thickBot="1">
      <c r="B25" s="697">
        <f>SUM(E15)</f>
        <v/>
      </c>
      <c r="C25" s="1971" t="inlineStr">
        <is>
          <t>÷　　４０</t>
        </is>
      </c>
      <c r="D25" s="699" t="inlineStr">
        <is>
          <t>＝</t>
        </is>
      </c>
      <c r="E25" s="697">
        <f>ROUNDDOWN(B25/40,1)</f>
        <v/>
      </c>
      <c r="F25" s="1971" t="inlineStr">
        <is>
          <t>（就労定着支援員の員数）</t>
        </is>
      </c>
    </row>
    <row r="26" ht="20.1" customHeight="1" s="4080">
      <c r="B26" s="700" t="inlineStr">
        <is>
          <t>（利用者の推定数）</t>
        </is>
      </c>
    </row>
    <row r="27" ht="20.1" customHeight="1" s="4080"/>
    <row r="28" ht="20.1" customHeight="1" s="4080"/>
  </sheetData>
  <mergeCells count="2">
    <mergeCell ref="G1:I1"/>
    <mergeCell ref="A1:B1"/>
  </mergeCells>
  <pageMargins left="0.7" right="0.7" top="0.75" bottom="0.75" header="0.3" footer="0.3"/>
  <pageSetup orientation="portrait" paperSize="9" scale="95"/>
  <legacyDrawing xmlns:r="http://schemas.openxmlformats.org/officeDocument/2006/relationships" r:id="anysvml"/>
</worksheet>
</file>

<file path=xl/worksheets/sheet44.xml><?xml version="1.0" encoding="utf-8"?>
<worksheet xmlns="http://schemas.openxmlformats.org/spreadsheetml/2006/main">
  <sheetPr codeName="Sheet43">
    <outlinePr summaryBelow="1" summaryRight="1"/>
    <pageSetUpPr/>
  </sheetPr>
  <dimension ref="A1:AM94"/>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7.1" customHeight="1" s="4080">
      <c r="A1" s="4002" t="inlineStr">
        <is>
          <t>付表24　自立生活援助事業所の指定に係る記載事項</t>
        </is>
      </c>
      <c r="X1" s="4004" t="inlineStr">
        <is>
          <t>（平成30年度6月以降版）</t>
        </is>
      </c>
      <c r="AH1" s="321" t="n"/>
      <c r="AM1" s="719">
        <f>HYPERLINK("#目次!A1","目次へ戻る")</f>
        <v/>
      </c>
    </row>
    <row r="2" ht="17.1" customHeight="1" s="4080" thickBot="1">
      <c r="A2" s="1213" t="n"/>
      <c r="B2" s="1213" t="n"/>
      <c r="C2" s="1213" t="n"/>
      <c r="D2" s="1213" t="n"/>
      <c r="E2" s="1213" t="n"/>
      <c r="F2" s="1213" t="n"/>
      <c r="G2" s="1213" t="n"/>
      <c r="H2" s="1213" t="n"/>
      <c r="I2" s="1213" t="n"/>
      <c r="J2" s="1213" t="n"/>
      <c r="K2" s="1213" t="n"/>
      <c r="L2" s="1213" t="n"/>
      <c r="M2" s="1213" t="n"/>
      <c r="N2" s="1213" t="n"/>
      <c r="O2" s="1213" t="n"/>
      <c r="P2" s="1213" t="n"/>
      <c r="Q2" s="1213" t="n"/>
      <c r="R2" s="1213" t="n"/>
      <c r="S2" s="1213" t="n"/>
      <c r="T2" s="1213" t="n"/>
      <c r="U2" s="1213" t="n"/>
      <c r="V2" s="1213" t="n"/>
      <c r="W2" s="1213" t="n"/>
      <c r="X2" s="4087" t="n"/>
      <c r="Y2" s="4087" t="n"/>
      <c r="Z2" s="4087" t="n"/>
      <c r="AA2" s="4087" t="n"/>
      <c r="AB2" s="4087" t="n"/>
      <c r="AC2" s="4087" t="n"/>
      <c r="AD2" s="4087" t="n"/>
      <c r="AE2" s="4087" t="n"/>
      <c r="AF2" s="4087" t="n"/>
      <c r="AG2" s="4087" t="n"/>
      <c r="AH2" s="1755" t="n"/>
    </row>
    <row r="3" ht="15" customHeight="1" s="4080">
      <c r="A3" s="45" t="n"/>
      <c r="B3" s="1889" t="n"/>
      <c r="G3" s="2069" t="n"/>
      <c r="H3" s="1889" t="n"/>
      <c r="N3" s="1889" t="n"/>
      <c r="P3" s="2069" t="n"/>
      <c r="Q3" s="1889" t="n"/>
      <c r="U3" s="4178" t="inlineStr">
        <is>
          <t>事業所番号</t>
        </is>
      </c>
      <c r="V3" s="4082" t="n"/>
      <c r="W3" s="4082" t="n"/>
      <c r="X3" s="4083" t="n"/>
      <c r="Y3" s="4084" t="n"/>
      <c r="Z3" s="4084" t="n"/>
      <c r="AA3" s="4084" t="n"/>
      <c r="AB3" s="4084" t="n"/>
      <c r="AC3" s="4084" t="n"/>
      <c r="AD3" s="4084" t="n"/>
      <c r="AE3" s="4084" t="n"/>
      <c r="AF3" s="4084" t="n"/>
      <c r="AG3" s="4084" t="n"/>
      <c r="AH3" s="4085" t="n"/>
    </row>
    <row r="4" ht="3.95" customHeight="1" s="4080" thickBot="1">
      <c r="B4" s="45" t="n"/>
      <c r="C4" s="48" t="n"/>
      <c r="D4" s="48" t="n"/>
      <c r="E4" s="48" t="n"/>
      <c r="F4" s="49" t="n"/>
      <c r="G4" s="48" t="n"/>
      <c r="H4" s="48" t="n"/>
      <c r="I4" s="48" t="n"/>
      <c r="J4" s="49" t="n"/>
      <c r="K4" s="48" t="n"/>
      <c r="L4" s="48" t="n"/>
      <c r="M4" s="48" t="n"/>
      <c r="Q4" s="2345" t="n"/>
      <c r="R4" s="2345" t="n"/>
      <c r="S4" s="2345" t="n"/>
      <c r="T4" s="4015" t="n"/>
      <c r="U4" s="4086" t="n"/>
      <c r="V4" s="4087" t="n"/>
      <c r="W4" s="4087" t="n"/>
      <c r="X4" s="4088" t="n"/>
      <c r="Y4" s="4089" t="n"/>
      <c r="Z4" s="4089" t="n"/>
      <c r="AA4" s="4089" t="n"/>
      <c r="AB4" s="4089" t="n"/>
      <c r="AC4" s="4089" t="n"/>
      <c r="AD4" s="4089" t="n"/>
      <c r="AE4" s="4089" t="n"/>
      <c r="AF4" s="4089" t="n"/>
      <c r="AG4" s="4089" t="n"/>
      <c r="AH4" s="4090" t="n"/>
    </row>
    <row r="5" ht="14.1" customHeight="1" s="4080">
      <c r="A5" s="2506" t="inlineStr">
        <is>
          <t>事業所</t>
        </is>
      </c>
      <c r="B5" s="4356" t="n"/>
      <c r="C5" s="4180" t="inlineStr">
        <is>
          <t>ﾌﾘｶﾞﾅ</t>
        </is>
      </c>
      <c r="D5" s="4093" t="n"/>
      <c r="E5" s="4094" t="n"/>
      <c r="F5" s="4095" t="n"/>
      <c r="G5" s="4093" t="n"/>
      <c r="H5" s="4093" t="n"/>
      <c r="I5" s="4093" t="n"/>
      <c r="J5" s="4093" t="n"/>
      <c r="K5" s="4093" t="n"/>
      <c r="L5" s="4093" t="n"/>
      <c r="M5" s="4093" t="n"/>
      <c r="N5" s="4093" t="n"/>
      <c r="O5" s="4093" t="n"/>
      <c r="P5" s="4093" t="n"/>
      <c r="Q5" s="4093" t="n"/>
      <c r="R5" s="4093" t="n"/>
      <c r="S5" s="4093" t="n"/>
      <c r="T5" s="4093" t="n"/>
      <c r="U5" s="4093" t="n"/>
      <c r="V5" s="4093" t="n"/>
      <c r="W5" s="4093" t="n"/>
      <c r="X5" s="4093" t="n"/>
      <c r="Y5" s="4093" t="n"/>
      <c r="Z5" s="4093" t="n"/>
      <c r="AA5" s="4093" t="n"/>
      <c r="AB5" s="4093" t="n"/>
      <c r="AC5" s="4093" t="n"/>
      <c r="AD5" s="4093" t="n"/>
      <c r="AE5" s="4093" t="n"/>
      <c r="AF5" s="4093" t="n"/>
      <c r="AG5" s="4093" t="n"/>
      <c r="AH5" s="4096" t="n"/>
    </row>
    <row r="6" ht="14.1" customHeight="1" s="4080">
      <c r="A6" s="4097" t="n"/>
      <c r="B6" s="4107" t="n"/>
      <c r="C6" s="4181" t="inlineStr">
        <is>
          <t>名　称</t>
        </is>
      </c>
      <c r="D6" s="4098" t="n"/>
      <c r="E6" s="4099" t="n"/>
      <c r="F6" s="4182" t="n"/>
      <c r="G6" s="4098" t="n"/>
      <c r="H6" s="4098" t="n"/>
      <c r="I6" s="4098" t="n"/>
      <c r="J6" s="4098" t="n"/>
      <c r="K6" s="4098" t="n"/>
      <c r="L6" s="4098" t="n"/>
      <c r="M6" s="4098" t="n"/>
      <c r="N6" s="4098" t="n"/>
      <c r="O6" s="4098" t="n"/>
      <c r="P6" s="4098" t="n"/>
      <c r="Q6" s="4098" t="n"/>
      <c r="R6" s="4098" t="n"/>
      <c r="S6" s="4098" t="n"/>
      <c r="T6" s="4098" t="n"/>
      <c r="U6" s="4098" t="n"/>
      <c r="V6" s="4098" t="n"/>
      <c r="W6" s="4098" t="n"/>
      <c r="X6" s="4098" t="n"/>
      <c r="Y6" s="4098" t="n"/>
      <c r="Z6" s="4098" t="n"/>
      <c r="AA6" s="4098" t="n"/>
      <c r="AB6" s="4098" t="n"/>
      <c r="AC6" s="4098" t="n"/>
      <c r="AD6" s="4098" t="n"/>
      <c r="AE6" s="4098" t="n"/>
      <c r="AF6" s="4098" t="n"/>
      <c r="AG6" s="4098" t="n"/>
      <c r="AH6" s="4101" t="n"/>
    </row>
    <row r="7" ht="14.1" customHeight="1" s="4080">
      <c r="A7" s="4097" t="n"/>
      <c r="B7" s="4107" t="n"/>
      <c r="C7" s="4102" t="n"/>
      <c r="D7" s="4103" t="n"/>
      <c r="E7" s="4104" t="n"/>
      <c r="F7" s="4102" t="n"/>
      <c r="G7" s="4103" t="n"/>
      <c r="H7" s="4103" t="n"/>
      <c r="I7" s="4103" t="n"/>
      <c r="J7" s="4103" t="n"/>
      <c r="K7" s="4103" t="n"/>
      <c r="L7" s="4103" t="n"/>
      <c r="M7" s="4103" t="n"/>
      <c r="N7" s="4103" t="n"/>
      <c r="O7" s="4103" t="n"/>
      <c r="P7" s="4103" t="n"/>
      <c r="Q7" s="4103" t="n"/>
      <c r="R7" s="4103" t="n"/>
      <c r="S7" s="4103" t="n"/>
      <c r="T7" s="4103" t="n"/>
      <c r="U7" s="4103" t="n"/>
      <c r="V7" s="4103" t="n"/>
      <c r="W7" s="4103" t="n"/>
      <c r="X7" s="4103" t="n"/>
      <c r="Y7" s="4103" t="n"/>
      <c r="Z7" s="4103" t="n"/>
      <c r="AA7" s="4103" t="n"/>
      <c r="AB7" s="4103" t="n"/>
      <c r="AC7" s="4103" t="n"/>
      <c r="AD7" s="4103" t="n"/>
      <c r="AE7" s="4103" t="n"/>
      <c r="AF7" s="4103" t="n"/>
      <c r="AG7" s="4103" t="n"/>
      <c r="AH7" s="4105" t="n"/>
    </row>
    <row r="8" ht="14.1" customHeight="1" s="4080">
      <c r="A8" s="4097" t="n"/>
      <c r="B8" s="4107" t="n"/>
      <c r="C8" s="4181" t="inlineStr">
        <is>
          <t>所在地</t>
        </is>
      </c>
      <c r="D8" s="4098" t="n"/>
      <c r="E8" s="4099" t="n"/>
      <c r="F8" s="1244" t="inlineStr">
        <is>
          <t>郵便番号（</t>
        </is>
      </c>
      <c r="G8" s="4098" t="n"/>
      <c r="H8" s="4098" t="n"/>
      <c r="I8" s="4098" t="n"/>
      <c r="J8" s="1287" t="n"/>
      <c r="K8" s="4098" t="n"/>
      <c r="L8" s="4098" t="n"/>
      <c r="M8" s="4098" t="n"/>
      <c r="N8" s="4098" t="n"/>
      <c r="O8" s="1329" t="inlineStr">
        <is>
          <t>）</t>
        </is>
      </c>
      <c r="P8" s="1397" t="inlineStr">
        <is>
          <t>メールアドレス</t>
        </is>
      </c>
      <c r="Q8" s="4110" t="n"/>
      <c r="R8" s="4110" t="n"/>
      <c r="S8" s="3408" t="n"/>
      <c r="T8" s="4110" t="n"/>
      <c r="U8" s="4110" t="n"/>
      <c r="V8" s="4110" t="n"/>
      <c r="W8" s="4110" t="n"/>
      <c r="X8" s="4110" t="n"/>
      <c r="Y8" s="4110" t="n"/>
      <c r="Z8" s="4110" t="n"/>
      <c r="AA8" s="4110" t="n"/>
      <c r="AB8" s="4110" t="n"/>
      <c r="AC8" s="4110" t="n"/>
      <c r="AD8" s="4110" t="n"/>
      <c r="AE8" s="4110" t="n"/>
      <c r="AF8" s="4110" t="n"/>
      <c r="AG8" s="4110" t="n"/>
      <c r="AH8" s="4113" t="n"/>
    </row>
    <row r="9" ht="14.1" customHeight="1" s="4080">
      <c r="A9" s="4097" t="n"/>
      <c r="B9" s="4107" t="n"/>
      <c r="C9" s="4106" t="n"/>
      <c r="E9" s="4107" t="n"/>
      <c r="F9" s="1255" t="inlineStr">
        <is>
          <t>大阪市</t>
        </is>
      </c>
      <c r="I9" s="1258" t="n"/>
      <c r="N9" s="1327" t="inlineStr">
        <is>
          <t>区</t>
        </is>
      </c>
      <c r="O9" s="1355" t="n"/>
      <c r="P9" s="4939" t="n"/>
      <c r="Q9" s="4098" t="n"/>
      <c r="R9" s="4098" t="n"/>
      <c r="S9" s="4098" t="n"/>
      <c r="T9" s="4098" t="n"/>
      <c r="U9" s="4098" t="n"/>
      <c r="V9" s="4098" t="n"/>
      <c r="W9" s="4098" t="n"/>
      <c r="X9" s="4098" t="n"/>
      <c r="Y9" s="4098" t="n"/>
      <c r="Z9" s="4098" t="n"/>
      <c r="AA9" s="4098" t="n"/>
      <c r="AB9" s="4098" t="n"/>
      <c r="AC9" s="4098" t="n"/>
      <c r="AD9" s="4098" t="n"/>
      <c r="AE9" s="4098" t="n"/>
      <c r="AF9" s="4098" t="n"/>
      <c r="AG9" s="4098" t="n"/>
      <c r="AH9" s="4101" t="n"/>
    </row>
    <row r="10" ht="3.95" customHeight="1" s="4080">
      <c r="A10" s="4097" t="n"/>
      <c r="B10" s="4107" t="n"/>
      <c r="C10" s="4102" t="n"/>
      <c r="D10" s="4103" t="n"/>
      <c r="E10" s="4104" t="n"/>
      <c r="F10" s="4102" t="n"/>
      <c r="G10" s="4103" t="n"/>
      <c r="H10" s="4103" t="n"/>
      <c r="I10" s="4103" t="n"/>
      <c r="J10" s="4103" t="n"/>
      <c r="K10" s="4103" t="n"/>
      <c r="L10" s="4103" t="n"/>
      <c r="M10" s="4103" t="n"/>
      <c r="N10" s="4103" t="n"/>
      <c r="O10" s="1296" t="n"/>
      <c r="P10" s="4103" t="n"/>
      <c r="Q10" s="4103" t="n"/>
      <c r="R10" s="4103" t="n"/>
      <c r="S10" s="4103" t="n"/>
      <c r="T10" s="4103" t="n"/>
      <c r="U10" s="4103" t="n"/>
      <c r="V10" s="4103" t="n"/>
      <c r="W10" s="4103" t="n"/>
      <c r="X10" s="4103" t="n"/>
      <c r="Y10" s="4103" t="n"/>
      <c r="Z10" s="4103" t="n"/>
      <c r="AA10" s="4103" t="n"/>
      <c r="AB10" s="4103" t="n"/>
      <c r="AC10" s="4103" t="n"/>
      <c r="AD10" s="4103" t="n"/>
      <c r="AE10" s="4103" t="n"/>
      <c r="AF10" s="4103" t="n"/>
      <c r="AG10" s="4103" t="n"/>
      <c r="AH10" s="4105" t="n"/>
    </row>
    <row r="11" ht="15" customHeight="1" s="4080">
      <c r="A11" s="4097" t="n"/>
      <c r="B11" s="4107" t="n"/>
      <c r="C11" s="4181" t="inlineStr">
        <is>
          <t>連絡先</t>
        </is>
      </c>
      <c r="D11" s="4110" t="n"/>
      <c r="E11" s="4111" t="n"/>
      <c r="F11" s="4274" t="inlineStr">
        <is>
          <t>電話番号</t>
        </is>
      </c>
      <c r="G11" s="4110" t="n"/>
      <c r="H11" s="4111" t="n"/>
      <c r="I11" s="882" t="n"/>
      <c r="J11" s="4110" t="n"/>
      <c r="K11" s="4110" t="n"/>
      <c r="L11" s="53" t="inlineStr">
        <is>
          <t>－</t>
        </is>
      </c>
      <c r="M11" s="920" t="n"/>
      <c r="N11" s="4110" t="n"/>
      <c r="O11" s="4110" t="n"/>
      <c r="P11" s="53" t="inlineStr">
        <is>
          <t>－</t>
        </is>
      </c>
      <c r="Q11" s="878" t="n"/>
      <c r="R11" s="4110" t="n"/>
      <c r="S11" s="4111" t="n"/>
      <c r="T11" s="4184" t="inlineStr">
        <is>
          <t>ＦＡＸ番号</t>
        </is>
      </c>
      <c r="U11" s="4110" t="n"/>
      <c r="V11" s="4110" t="n"/>
      <c r="W11" s="4111" t="n"/>
      <c r="X11" s="882" t="n"/>
      <c r="Y11" s="4110" t="n"/>
      <c r="Z11" s="4110" t="n"/>
      <c r="AA11" s="53" t="inlineStr">
        <is>
          <t>－</t>
        </is>
      </c>
      <c r="AB11" s="920" t="n"/>
      <c r="AC11" s="4110" t="n"/>
      <c r="AD11" s="4110" t="n"/>
      <c r="AE11" s="53" t="inlineStr">
        <is>
          <t>－</t>
        </is>
      </c>
      <c r="AF11" s="955" t="n"/>
      <c r="AG11" s="4110" t="n"/>
      <c r="AH11" s="4113" t="n"/>
    </row>
    <row r="12" ht="17.1" customHeight="1" s="4080">
      <c r="A12" s="4187" t="inlineStr">
        <is>
          <t>当該事業の実施について定めてある定款・寄附行為等又は条例等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54" t="n"/>
      <c r="V12" s="4110" t="n"/>
      <c r="W12" s="1264" t="inlineStr">
        <is>
          <t>条第</t>
        </is>
      </c>
      <c r="X12" s="4110" t="n"/>
      <c r="Y12" s="954" t="n"/>
      <c r="Z12" s="4110" t="n"/>
      <c r="AA12" s="1264" t="inlineStr">
        <is>
          <t>項第</t>
        </is>
      </c>
      <c r="AB12" s="4110" t="n"/>
      <c r="AC12" s="954" t="n"/>
      <c r="AD12" s="4110" t="n"/>
      <c r="AE12" s="1264" t="inlineStr">
        <is>
          <t>号（</t>
        </is>
      </c>
      <c r="AF12" s="4110" t="n"/>
      <c r="AG12" s="954" t="n"/>
      <c r="AH12" s="2827" t="inlineStr">
        <is>
          <t>）</t>
        </is>
      </c>
    </row>
    <row r="13" ht="12" customHeight="1" s="4080">
      <c r="A13" s="4188" t="inlineStr">
        <is>
          <t>管　　理　　者</t>
        </is>
      </c>
      <c r="B13" s="4099" t="n"/>
      <c r="C13" s="4184" t="inlineStr">
        <is>
          <t>ﾌﾘｶﾞﾅ</t>
        </is>
      </c>
      <c r="D13" s="4110" t="n"/>
      <c r="E13" s="4111" t="n"/>
      <c r="F13" s="1278" t="n"/>
      <c r="G13" s="4110" t="n"/>
      <c r="H13" s="4110" t="n"/>
      <c r="I13" s="4189" t="n"/>
      <c r="J13" s="1279" t="n"/>
      <c r="K13" s="4110" t="n"/>
      <c r="L13" s="4110" t="n"/>
      <c r="M13" s="4189" t="n"/>
      <c r="N13" s="4185" t="inlineStr">
        <is>
          <t>住所</t>
        </is>
      </c>
      <c r="O13" s="4099" t="n"/>
      <c r="P13" s="1244" t="inlineStr">
        <is>
          <t>郵便番号（</t>
        </is>
      </c>
      <c r="Q13" s="4098" t="n"/>
      <c r="R13" s="4098" t="n"/>
      <c r="S13" s="4098" t="n"/>
      <c r="T13" s="1287" t="n"/>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278" t="n"/>
      <c r="G14" s="4098" t="n"/>
      <c r="H14" s="4098" t="n"/>
      <c r="I14" s="4190" t="n"/>
      <c r="J14" s="1279" t="n"/>
      <c r="K14" s="4098" t="n"/>
      <c r="L14" s="4098" t="n"/>
      <c r="M14" s="4190" t="n"/>
      <c r="N14" s="4106" t="n"/>
      <c r="O14" s="4107" t="n"/>
      <c r="P14" s="1319" t="n"/>
      <c r="R14" s="2378" t="inlineStr">
        <is>
          <t>都</t>
        </is>
      </c>
      <c r="S14" s="2378" t="inlineStr">
        <is>
          <t>道</t>
        </is>
      </c>
      <c r="T14" s="1319" t="n"/>
      <c r="W14" s="2378" t="inlineStr">
        <is>
          <t>郡</t>
        </is>
      </c>
      <c r="X14" s="1321" t="n"/>
      <c r="AH14" s="4109" t="n"/>
    </row>
    <row r="15" ht="12" customHeight="1" s="4080">
      <c r="A15" s="4097" t="n"/>
      <c r="B15" s="4107" t="n"/>
      <c r="C15" s="4106" t="n"/>
      <c r="E15" s="4107" t="n"/>
      <c r="F15" s="4106" t="n"/>
      <c r="I15" s="4191" t="n"/>
      <c r="J15" s="4192" t="n"/>
      <c r="M15" s="4191" t="n"/>
      <c r="N15" s="4106" t="n"/>
      <c r="O15" s="4107" t="n"/>
      <c r="R15" s="2378" t="inlineStr">
        <is>
          <t>府</t>
        </is>
      </c>
      <c r="S15" s="2378" t="inlineStr">
        <is>
          <t>県</t>
        </is>
      </c>
      <c r="W15" s="2378"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3"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1325" t="inlineStr">
        <is>
          <t>無</t>
        </is>
      </c>
      <c r="R18" s="1332" t="n"/>
      <c r="S18" s="4106" t="n"/>
      <c r="U18" s="4107" t="n"/>
      <c r="V18" s="4196"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4.1" customHeight="1" s="4080">
      <c r="A20" s="4097" t="n"/>
      <c r="B20" s="4107" t="n"/>
      <c r="C20" s="2165" t="inlineStr">
        <is>
          <t>他の事業所又は施設を
兼務する場合、当該兼
務する事業所等の名称等</t>
        </is>
      </c>
      <c r="D20" s="4098" t="n"/>
      <c r="E20" s="4098" t="n"/>
      <c r="F20" s="4098" t="n"/>
      <c r="G20" s="4098" t="n"/>
      <c r="H20" s="4098" t="n"/>
      <c r="I20" s="4098" t="n"/>
      <c r="J20" s="4099" t="n"/>
      <c r="K20" s="4941" t="inlineStr">
        <is>
          <t>名称</t>
        </is>
      </c>
      <c r="L20" s="4098" t="n"/>
      <c r="M20" s="4098" t="n"/>
      <c r="N20" s="4099" t="n"/>
      <c r="O20" s="660" t="inlineStr">
        <is>
          <t>1)</t>
        </is>
      </c>
      <c r="P20" s="3871" t="n"/>
      <c r="Q20" s="4486" t="n"/>
      <c r="R20" s="4486" t="n"/>
      <c r="S20" s="4486" t="n"/>
      <c r="T20" s="4486" t="n"/>
      <c r="U20" s="4486" t="n"/>
      <c r="V20" s="4486" t="n"/>
      <c r="W20" s="4486" t="n"/>
      <c r="X20" s="4486" t="n"/>
      <c r="Y20" s="4486" t="n"/>
      <c r="Z20" s="4486" t="n"/>
      <c r="AA20" s="4486" t="n"/>
      <c r="AB20" s="4486" t="n"/>
      <c r="AC20" s="4486" t="n"/>
      <c r="AD20" s="4486" t="n"/>
      <c r="AE20" s="4486" t="n"/>
      <c r="AF20" s="4486" t="n"/>
      <c r="AG20" s="4486" t="n"/>
      <c r="AH20" s="4877" t="n"/>
    </row>
    <row r="21" ht="14.1" customHeight="1" s="4080">
      <c r="A21" s="4097" t="n"/>
      <c r="B21" s="4107" t="n"/>
      <c r="C21" s="4106" t="n"/>
      <c r="J21" s="4107" t="n"/>
      <c r="K21" s="4942" t="n"/>
      <c r="L21" s="4317" t="n"/>
      <c r="M21" s="4317" t="n"/>
      <c r="N21" s="4318" t="n"/>
      <c r="O21" s="661" t="inlineStr">
        <is>
          <t>2)</t>
        </is>
      </c>
      <c r="P21" s="3873" t="n"/>
      <c r="Q21" s="4457" t="n"/>
      <c r="R21" s="4457" t="n"/>
      <c r="S21" s="4457" t="n"/>
      <c r="T21" s="4457" t="n"/>
      <c r="U21" s="4457" t="n"/>
      <c r="V21" s="4457" t="n"/>
      <c r="W21" s="4457" t="n"/>
      <c r="X21" s="4457" t="n"/>
      <c r="Y21" s="4457" t="n"/>
      <c r="Z21" s="4457" t="n"/>
      <c r="AA21" s="4457" t="n"/>
      <c r="AB21" s="4457" t="n"/>
      <c r="AC21" s="4457" t="n"/>
      <c r="AD21" s="4457" t="n"/>
      <c r="AE21" s="4457" t="n"/>
      <c r="AF21" s="4457" t="n"/>
      <c r="AG21" s="4457" t="n"/>
      <c r="AH21" s="4943" t="n"/>
    </row>
    <row r="22" ht="14.1" customHeight="1" s="4080">
      <c r="A22" s="4097" t="n"/>
      <c r="B22" s="4107" t="n"/>
      <c r="C22" s="4106" t="n"/>
      <c r="J22" s="4107" t="n"/>
      <c r="K22" s="4944" t="inlineStr">
        <is>
          <t>サービス種類</t>
        </is>
      </c>
      <c r="L22" s="4320" t="n"/>
      <c r="M22" s="4320" t="n"/>
      <c r="N22" s="4321" t="n"/>
      <c r="O22" s="662" t="inlineStr">
        <is>
          <t>1)</t>
        </is>
      </c>
      <c r="P22" s="3880" t="n"/>
      <c r="Q22" s="4457" t="n"/>
      <c r="R22" s="4457" t="n"/>
      <c r="S22" s="4457" t="n"/>
      <c r="T22" s="4457" t="n"/>
      <c r="U22" s="4457" t="n"/>
      <c r="V22" s="4457" t="n"/>
      <c r="W22" s="4457" t="n"/>
      <c r="X22" s="4457" t="n"/>
      <c r="Y22" s="663" t="inlineStr">
        <is>
          <t>3)</t>
        </is>
      </c>
      <c r="Z22" s="3881" t="n"/>
      <c r="AA22" s="4457" t="n"/>
      <c r="AB22" s="4457" t="n"/>
      <c r="AC22" s="4457" t="n"/>
      <c r="AD22" s="4457" t="n"/>
      <c r="AE22" s="4457" t="n"/>
      <c r="AF22" s="4457" t="n"/>
      <c r="AG22" s="4457" t="n"/>
      <c r="AH22" s="4943" t="n"/>
    </row>
    <row r="23" ht="14.1" customHeight="1" s="4080">
      <c r="A23" s="4097" t="n"/>
      <c r="B23" s="4107" t="n"/>
      <c r="C23" s="4106" t="n"/>
      <c r="J23" s="4107" t="n"/>
      <c r="K23" s="4942" t="n"/>
      <c r="L23" s="4317" t="n"/>
      <c r="M23" s="4317" t="n"/>
      <c r="N23" s="4318" t="n"/>
      <c r="O23" s="662" t="inlineStr">
        <is>
          <t>2)</t>
        </is>
      </c>
      <c r="P23" s="3880" t="n"/>
      <c r="Q23" s="4457" t="n"/>
      <c r="R23" s="4457" t="n"/>
      <c r="S23" s="4457" t="n"/>
      <c r="T23" s="4457" t="n"/>
      <c r="U23" s="4457" t="n"/>
      <c r="V23" s="4457" t="n"/>
      <c r="W23" s="4457" t="n"/>
      <c r="X23" s="4457" t="n"/>
      <c r="Y23" s="663" t="inlineStr">
        <is>
          <t>4)</t>
        </is>
      </c>
      <c r="Z23" s="3883" t="n"/>
      <c r="AA23" s="4457" t="n"/>
      <c r="AB23" s="4457" t="n"/>
      <c r="AC23" s="4457" t="n"/>
      <c r="AD23" s="4457" t="n"/>
      <c r="AE23" s="4457" t="n"/>
      <c r="AF23" s="4457" t="n"/>
      <c r="AG23" s="4457" t="n"/>
      <c r="AH23" s="4943" t="n"/>
    </row>
    <row r="24" ht="14.1" customHeight="1" s="4080">
      <c r="A24" s="4097" t="n"/>
      <c r="B24" s="4107" t="n"/>
      <c r="C24" s="4106" t="n"/>
      <c r="J24" s="4107" t="n"/>
      <c r="K24" s="4945" t="inlineStr">
        <is>
          <t>職種</t>
        </is>
      </c>
      <c r="L24" s="4320" t="n"/>
      <c r="M24" s="4320" t="n"/>
      <c r="N24" s="4321" t="n"/>
      <c r="O24" s="662" t="inlineStr">
        <is>
          <t>1)</t>
        </is>
      </c>
      <c r="P24" s="3887" t="n"/>
      <c r="Q24" s="4457" t="n"/>
      <c r="R24" s="4457" t="n"/>
      <c r="S24" s="4457" t="n"/>
      <c r="T24" s="4457" t="n"/>
      <c r="U24" s="4457" t="n"/>
      <c r="V24" s="4457" t="n"/>
      <c r="W24" s="4457" t="n"/>
      <c r="X24" s="4457" t="n"/>
      <c r="Y24" s="663" t="inlineStr">
        <is>
          <t>3)</t>
        </is>
      </c>
      <c r="Z24" s="3883" t="n"/>
      <c r="AA24" s="4457" t="n"/>
      <c r="AB24" s="4457" t="n"/>
      <c r="AC24" s="4457" t="n"/>
      <c r="AD24" s="4457" t="n"/>
      <c r="AE24" s="4457" t="n"/>
      <c r="AF24" s="4457" t="n"/>
      <c r="AG24" s="4457" t="n"/>
      <c r="AH24" s="4943" t="n"/>
    </row>
    <row r="25" ht="14.1" customHeight="1" s="4080">
      <c r="A25" s="4097" t="n"/>
      <c r="B25" s="4107" t="n"/>
      <c r="C25" s="4106" t="n"/>
      <c r="J25" s="4107" t="n"/>
      <c r="K25" s="4942" t="n"/>
      <c r="L25" s="4317" t="n"/>
      <c r="M25" s="4317" t="n"/>
      <c r="N25" s="4318" t="n"/>
      <c r="O25" s="662" t="inlineStr">
        <is>
          <t>2)</t>
        </is>
      </c>
      <c r="P25" s="3887" t="n"/>
      <c r="Q25" s="4457" t="n"/>
      <c r="R25" s="4457" t="n"/>
      <c r="S25" s="4457" t="n"/>
      <c r="T25" s="4457" t="n"/>
      <c r="U25" s="4457" t="n"/>
      <c r="V25" s="4457" t="n"/>
      <c r="W25" s="4457" t="n"/>
      <c r="X25" s="4457" t="n"/>
      <c r="Y25" s="663" t="inlineStr">
        <is>
          <t>4)</t>
        </is>
      </c>
      <c r="Z25" s="3883" t="n"/>
      <c r="AA25" s="4457" t="n"/>
      <c r="AB25" s="4457" t="n"/>
      <c r="AC25" s="4457" t="n"/>
      <c r="AD25" s="4457" t="n"/>
      <c r="AE25" s="4457" t="n"/>
      <c r="AF25" s="4457" t="n"/>
      <c r="AG25" s="4457" t="n"/>
      <c r="AH25" s="4943" t="n"/>
    </row>
    <row r="26" ht="14.1" customHeight="1" s="4080">
      <c r="A26" s="4097" t="n"/>
      <c r="B26" s="4107" t="n"/>
      <c r="C26" s="4102" t="n"/>
      <c r="D26" s="4103" t="n"/>
      <c r="E26" s="4103" t="n"/>
      <c r="F26" s="4103" t="n"/>
      <c r="G26" s="4103" t="n"/>
      <c r="H26" s="4103" t="n"/>
      <c r="I26" s="4103" t="n"/>
      <c r="J26" s="4104" t="n"/>
      <c r="K26" s="4946" t="inlineStr">
        <is>
          <t>勤務時間</t>
        </is>
      </c>
      <c r="L26" s="4459" t="n"/>
      <c r="M26" s="4459" t="n"/>
      <c r="N26" s="4461" t="n"/>
      <c r="O26" s="3891" t="n"/>
      <c r="P26" s="4459" t="n"/>
      <c r="Q26" s="3896" t="inlineStr">
        <is>
          <t>：</t>
        </is>
      </c>
      <c r="R26" s="3893" t="n"/>
      <c r="S26" s="4459" t="n"/>
      <c r="T26" s="3896" t="inlineStr">
        <is>
          <t>～</t>
        </is>
      </c>
      <c r="U26" s="3892" t="n"/>
      <c r="V26" s="4459" t="n"/>
      <c r="W26" s="3896" t="inlineStr">
        <is>
          <t>：</t>
        </is>
      </c>
      <c r="X26" s="3893" t="n"/>
      <c r="Y26" s="4459" t="n"/>
      <c r="Z26" s="3894" t="inlineStr">
        <is>
          <t>（実働</t>
        </is>
      </c>
      <c r="AA26" s="4459" t="n"/>
      <c r="AB26" s="3895" t="n"/>
      <c r="AC26" s="3894" t="inlineStr">
        <is>
          <t>時間</t>
        </is>
      </c>
      <c r="AD26" s="4459" t="n"/>
      <c r="AE26" s="3895" t="n"/>
      <c r="AF26" s="4459" t="n"/>
      <c r="AG26" s="3897" t="inlineStr">
        <is>
          <t>分）</t>
        </is>
      </c>
      <c r="AH26" s="4462" t="n"/>
    </row>
    <row r="27" ht="12" customHeight="1" s="4080">
      <c r="A27" s="1766" t="inlineStr">
        <is>
          <t>サ ー ビ ス 管 理 責 任 者</t>
        </is>
      </c>
      <c r="B27" s="1768" t="inlineStr">
        <is>
          <t>１</t>
        </is>
      </c>
      <c r="C27" s="4184" t="inlineStr">
        <is>
          <t>ﾌﾘｶﾞﾅ</t>
        </is>
      </c>
      <c r="D27" s="4110" t="n"/>
      <c r="E27" s="4111" t="n"/>
      <c r="F27" s="4203" t="n"/>
      <c r="G27" s="4110" t="n"/>
      <c r="H27" s="4110" t="n"/>
      <c r="I27" s="4204" t="n"/>
      <c r="J27" s="4205" t="n"/>
      <c r="K27" s="4110" t="n"/>
      <c r="L27" s="4110" t="n"/>
      <c r="M27" s="4111" t="n"/>
      <c r="N27" s="2164" t="inlineStr">
        <is>
          <t>住所</t>
        </is>
      </c>
      <c r="O27" s="4099" t="n"/>
      <c r="P27" s="1244" t="inlineStr">
        <is>
          <t>郵便番号（</t>
        </is>
      </c>
      <c r="Q27" s="4098" t="n"/>
      <c r="R27" s="4098" t="n"/>
      <c r="S27" s="4098" t="n"/>
      <c r="T27" s="1287" t="n"/>
      <c r="U27" s="4098" t="n"/>
      <c r="V27" s="4098" t="n"/>
      <c r="W27" s="4098" t="n"/>
      <c r="X27" s="4098" t="n"/>
      <c r="Y27" s="1329" t="inlineStr">
        <is>
          <t>）</t>
        </is>
      </c>
      <c r="Z27" s="1017" t="n"/>
      <c r="AA27" s="1017" t="n"/>
      <c r="AB27" s="1017" t="n"/>
      <c r="AC27" s="1017" t="n"/>
      <c r="AD27" s="1017" t="n"/>
      <c r="AE27" s="120" t="n"/>
      <c r="AF27" s="119" t="n"/>
      <c r="AG27" s="119" t="n"/>
      <c r="AH27" s="118" t="n"/>
    </row>
    <row r="28" ht="12" customHeight="1" s="4080">
      <c r="A28" s="4208" t="n"/>
      <c r="B28" s="4107" t="n"/>
      <c r="C28" s="4209" t="inlineStr">
        <is>
          <t>氏　　名</t>
        </is>
      </c>
      <c r="D28" s="4098" t="n"/>
      <c r="E28" s="4099" t="n"/>
      <c r="F28" s="4203" t="n"/>
      <c r="G28" s="4098" t="n"/>
      <c r="H28" s="4098" t="n"/>
      <c r="I28" s="4210" t="n"/>
      <c r="J28" s="4205" t="n"/>
      <c r="K28" s="4098" t="n"/>
      <c r="L28" s="4098" t="n"/>
      <c r="M28" s="4099" t="n"/>
      <c r="N28" s="4106" t="n"/>
      <c r="O28" s="4107" t="n"/>
      <c r="P28" s="1318" t="n"/>
      <c r="R28" s="2378" t="inlineStr">
        <is>
          <t>都</t>
        </is>
      </c>
      <c r="S28" s="2378" t="inlineStr">
        <is>
          <t>道</t>
        </is>
      </c>
      <c r="T28" s="1389" t="n"/>
      <c r="W28" s="2378" t="inlineStr">
        <is>
          <t>郡</t>
        </is>
      </c>
      <c r="X28" s="1686" t="n"/>
      <c r="AH28" s="4109" t="n"/>
    </row>
    <row r="29" ht="12" customHeight="1" s="4080">
      <c r="A29" s="4208" t="n"/>
      <c r="B29" s="4107" t="n"/>
      <c r="C29" s="4106" t="n"/>
      <c r="E29" s="4107" t="n"/>
      <c r="F29" s="4106" t="n"/>
      <c r="I29" s="4212" t="n"/>
      <c r="J29" s="4213" t="n"/>
      <c r="M29" s="4107" t="n"/>
      <c r="N29" s="4106" t="n"/>
      <c r="O29" s="4107" t="n"/>
      <c r="P29" s="4106" t="n"/>
      <c r="R29" s="2378" t="inlineStr">
        <is>
          <t>府</t>
        </is>
      </c>
      <c r="S29" s="2378" t="inlineStr">
        <is>
          <t>県</t>
        </is>
      </c>
      <c r="W29" s="2378" t="inlineStr">
        <is>
          <t>市</t>
        </is>
      </c>
      <c r="AH29" s="4109" t="n"/>
    </row>
    <row r="30" ht="3" customHeight="1" s="4080">
      <c r="A30" s="4208" t="n"/>
      <c r="B30" s="4107" t="n"/>
      <c r="C30" s="4102" t="n"/>
      <c r="D30" s="4103" t="n"/>
      <c r="E30" s="4104" t="n"/>
      <c r="F30" s="4102" t="n"/>
      <c r="G30" s="4103" t="n"/>
      <c r="H30" s="4103" t="n"/>
      <c r="I30" s="4215" t="n"/>
      <c r="J30" s="4216" t="n"/>
      <c r="K30" s="4103" t="n"/>
      <c r="L30" s="4103" t="n"/>
      <c r="M30" s="4104" t="n"/>
      <c r="N30" s="4102" t="n"/>
      <c r="O30" s="4104" t="n"/>
      <c r="P30" s="4102" t="n"/>
      <c r="Q30" s="4103" t="n"/>
      <c r="R30" s="2378" t="n"/>
      <c r="S30" s="2378" t="n"/>
      <c r="T30" s="4103" t="n"/>
      <c r="U30" s="4103" t="n"/>
      <c r="V30" s="4103" t="n"/>
      <c r="W30" s="63" t="n"/>
      <c r="X30" s="4103" t="n"/>
      <c r="Y30" s="4103" t="n"/>
      <c r="Z30" s="4103" t="n"/>
      <c r="AA30" s="4103" t="n"/>
      <c r="AB30" s="4103" t="n"/>
      <c r="AC30" s="4103" t="n"/>
      <c r="AD30" s="4103" t="n"/>
      <c r="AE30" s="4103" t="n"/>
      <c r="AF30" s="4103" t="n"/>
      <c r="AG30" s="4103" t="n"/>
      <c r="AH30" s="4105" t="n"/>
    </row>
    <row r="31" ht="3.95" customHeight="1" s="4080">
      <c r="A31" s="4208" t="n"/>
      <c r="B31" s="4107" t="n"/>
      <c r="C31" s="1393" t="inlineStr">
        <is>
          <t>他の職務との兼務の有無及び職種</t>
        </is>
      </c>
      <c r="D31" s="4098" t="n"/>
      <c r="E31" s="4098" t="n"/>
      <c r="F31" s="4098" t="n"/>
      <c r="G31" s="4098" t="n"/>
      <c r="H31" s="4098" t="n"/>
      <c r="I31" s="4098" t="n"/>
      <c r="J31" s="4098" t="n"/>
      <c r="K31" s="4098" t="n"/>
      <c r="L31" s="4098" t="n"/>
      <c r="M31" s="4098" t="n"/>
      <c r="N31" s="4195" t="n"/>
      <c r="O31" s="4098" t="n"/>
      <c r="P31" s="4098" t="n"/>
      <c r="Q31" s="4098" t="n"/>
      <c r="R31" s="4099" t="n"/>
      <c r="S31" s="2163" t="inlineStr">
        <is>
          <t>職　　種</t>
        </is>
      </c>
      <c r="T31" s="4098" t="n"/>
      <c r="U31" s="4099" t="n"/>
      <c r="V31" s="1322" t="n"/>
      <c r="W31" s="1335" t="inlineStr">
        <is>
          <t xml:space="preserve">　</t>
        </is>
      </c>
      <c r="X31" s="4098" t="n"/>
      <c r="Y31" s="4098" t="n"/>
      <c r="Z31" s="4098" t="n"/>
      <c r="AA31" s="4098" t="n"/>
      <c r="AB31" s="4098" t="n"/>
      <c r="AC31" s="4098" t="n"/>
      <c r="AD31" s="4098" t="n"/>
      <c r="AE31" s="4098" t="n"/>
      <c r="AF31" s="4098" t="n"/>
      <c r="AG31" s="4098" t="n"/>
      <c r="AH31" s="4101" t="n"/>
    </row>
    <row r="32" ht="12" customHeight="1" s="4080">
      <c r="A32" s="4208" t="n"/>
      <c r="B32" s="4107" t="n"/>
      <c r="C32" s="4106" t="n"/>
      <c r="N32" s="1354" t="n"/>
      <c r="O32" s="1325" t="inlineStr">
        <is>
          <t>有</t>
        </is>
      </c>
      <c r="P32" s="1325" t="inlineStr">
        <is>
          <t>・</t>
        </is>
      </c>
      <c r="Q32" s="1325" t="inlineStr">
        <is>
          <t>無</t>
        </is>
      </c>
      <c r="R32" s="1332" t="n"/>
      <c r="S32" s="4106" t="n"/>
      <c r="U32" s="4107" t="n"/>
      <c r="V32" s="4196" t="n"/>
      <c r="AH32" s="4109" t="n"/>
    </row>
    <row r="33" ht="3.95" customHeight="1" s="4080">
      <c r="A33" s="4208" t="n"/>
      <c r="B33" s="4107" t="n"/>
      <c r="C33" s="4102" t="n"/>
      <c r="D33" s="4103" t="n"/>
      <c r="E33" s="4103" t="n"/>
      <c r="F33" s="4103" t="n"/>
      <c r="G33" s="4103" t="n"/>
      <c r="H33" s="4103" t="n"/>
      <c r="I33" s="4103" t="n"/>
      <c r="J33" s="4103" t="n"/>
      <c r="K33" s="4103" t="n"/>
      <c r="L33" s="4103" t="n"/>
      <c r="M33" s="4103" t="n"/>
      <c r="N33" s="4197" t="n"/>
      <c r="O33" s="4103" t="n"/>
      <c r="P33" s="4103" t="n"/>
      <c r="Q33" s="4103" t="n"/>
      <c r="R33" s="4104" t="n"/>
      <c r="S33" s="4102" t="n"/>
      <c r="T33" s="4103" t="n"/>
      <c r="U33" s="4104" t="n"/>
      <c r="V33" s="1326" t="n"/>
      <c r="W33" s="1299" t="n"/>
      <c r="X33" s="4103" t="n"/>
      <c r="Y33" s="4103" t="n"/>
      <c r="Z33" s="4103" t="n"/>
      <c r="AA33" s="4103" t="n"/>
      <c r="AB33" s="4103" t="n"/>
      <c r="AC33" s="4103" t="n"/>
      <c r="AD33" s="4103" t="n"/>
      <c r="AE33" s="4103" t="n"/>
      <c r="AF33" s="4103" t="n"/>
      <c r="AG33" s="4103" t="n"/>
      <c r="AH33" s="4105" t="n"/>
    </row>
    <row r="34" ht="3.95" customHeight="1" s="4080">
      <c r="A34" s="4208" t="n"/>
      <c r="B34" s="4107" t="n"/>
      <c r="C34" s="1826" t="inlineStr">
        <is>
          <t>資格要件</t>
        </is>
      </c>
      <c r="D34" s="4098" t="n"/>
      <c r="E34" s="4098" t="n"/>
      <c r="F34" s="1322" t="n"/>
      <c r="G34" s="1323" t="n"/>
      <c r="H34" s="1414" t="n"/>
      <c r="I34" s="2056" t="n"/>
      <c r="J34" s="2056" t="n"/>
      <c r="K34" s="2056" t="n"/>
      <c r="L34" s="2056" t="n"/>
      <c r="M34" s="2056" t="n"/>
      <c r="N34" s="2056" t="n"/>
      <c r="O34" s="2056" t="n"/>
      <c r="P34" s="1402" t="n"/>
      <c r="Q34" s="1402" t="n"/>
      <c r="R34" s="1402" t="n"/>
      <c r="S34" s="4313" t="inlineStr">
        <is>
          <t>研修の
受講状況</t>
        </is>
      </c>
      <c r="T34" s="4098" t="n"/>
      <c r="U34" s="4099" t="n"/>
      <c r="V34" s="1322" t="n"/>
      <c r="W34" s="1323" t="n"/>
      <c r="X34" s="1323" t="n"/>
      <c r="Y34" s="1323" t="n"/>
      <c r="Z34" s="1323" t="n"/>
      <c r="AA34" s="1331" t="n"/>
      <c r="AB34" s="2056" t="n"/>
      <c r="AC34" s="2056" t="n"/>
      <c r="AD34" s="2056" t="n"/>
      <c r="AE34" s="2056" t="n"/>
      <c r="AF34" s="2056" t="n"/>
      <c r="AG34" s="2056" t="n"/>
      <c r="AH34" s="127" t="n"/>
    </row>
    <row r="35" ht="12" customHeight="1" s="4080">
      <c r="A35" s="4208" t="n"/>
      <c r="B35" s="4107" t="n"/>
      <c r="C35" s="4106" t="n"/>
      <c r="F35" s="4314" t="inlineStr">
        <is>
          <t>実務経験</t>
        </is>
      </c>
      <c r="H35" s="4107" t="n"/>
      <c r="I35" s="1790" t="n"/>
      <c r="S35" s="4106" t="n"/>
      <c r="U35" s="4107" t="n"/>
      <c r="V35" s="4315" t="inlineStr">
        <is>
          <t>相談支援従事者研修</t>
        </is>
      </c>
      <c r="AA35" s="4107" t="n"/>
      <c r="AB35" s="128" t="n"/>
      <c r="AC35" s="1783" t="inlineStr">
        <is>
          <t>受講済</t>
        </is>
      </c>
      <c r="AE35" s="2379" t="inlineStr">
        <is>
          <t>・</t>
        </is>
      </c>
      <c r="AF35" s="1770" t="inlineStr">
        <is>
          <t>未受講</t>
        </is>
      </c>
      <c r="AH35" s="666" t="n"/>
    </row>
    <row r="36" ht="3.95" customHeight="1" s="4080">
      <c r="A36" s="4208" t="n"/>
      <c r="B36" s="4107" t="n"/>
      <c r="C36" s="4106" t="n"/>
      <c r="F36" s="131" t="n"/>
      <c r="G36" s="132" t="n"/>
      <c r="H36" s="133" t="n"/>
      <c r="I36" s="134" t="n"/>
      <c r="J36" s="134" t="n"/>
      <c r="K36" s="134" t="n"/>
      <c r="L36" s="134" t="n"/>
      <c r="M36" s="134" t="n"/>
      <c r="N36" s="134" t="n"/>
      <c r="O36" s="135" t="n"/>
      <c r="P36" s="136" t="n"/>
      <c r="Q36" s="136" t="n"/>
      <c r="R36" s="137" t="n"/>
      <c r="S36" s="4106" t="n"/>
      <c r="U36" s="4107" t="n"/>
      <c r="V36" s="4316" t="n"/>
      <c r="W36" s="4317" t="n"/>
      <c r="X36" s="4317" t="n"/>
      <c r="Y36" s="4317" t="n"/>
      <c r="Z36" s="4317" t="n"/>
      <c r="AA36" s="4318" t="n"/>
      <c r="AB36" s="138" t="n"/>
      <c r="AC36" s="138" t="n"/>
      <c r="AD36" s="138" t="n"/>
      <c r="AE36" s="138" t="n"/>
      <c r="AF36" s="138" t="n"/>
      <c r="AG36" s="138" t="n"/>
      <c r="AH36" s="156" t="n"/>
    </row>
    <row r="37" ht="3.95" customHeight="1" s="4080">
      <c r="A37" s="4208" t="n"/>
      <c r="B37" s="4107" t="n"/>
      <c r="C37" s="4106" t="n"/>
      <c r="F37" s="140" t="n"/>
      <c r="G37" s="141" t="n"/>
      <c r="H37" s="142" t="n"/>
      <c r="I37" s="143" t="n"/>
      <c r="J37" s="143" t="n"/>
      <c r="K37" s="144" t="n"/>
      <c r="L37" s="141" t="n"/>
      <c r="M37" s="141" t="n"/>
      <c r="N37" s="141" t="n"/>
      <c r="O37" s="141" t="n"/>
      <c r="P37" s="145" t="n"/>
      <c r="Q37" s="145" t="n"/>
      <c r="R37" s="146" t="n"/>
      <c r="S37" s="4106" t="n"/>
      <c r="U37" s="4107" t="n"/>
      <c r="V37" s="4319" t="n"/>
      <c r="W37" s="4320" t="n"/>
      <c r="X37" s="4320" t="n"/>
      <c r="Y37" s="4320" t="n"/>
      <c r="Z37" s="4320" t="n"/>
      <c r="AA37" s="4321" t="n"/>
      <c r="AB37" s="141" t="n"/>
      <c r="AC37" s="141" t="n"/>
      <c r="AD37" s="141" t="n"/>
      <c r="AE37" s="141" t="n"/>
      <c r="AF37" s="141" t="n"/>
      <c r="AG37" s="141" t="n"/>
      <c r="AH37" s="667" t="n"/>
    </row>
    <row r="38" ht="12" customHeight="1" s="4080">
      <c r="A38" s="4208" t="n"/>
      <c r="B38" s="4107" t="n"/>
      <c r="C38" s="4106" t="n"/>
      <c r="F38" s="4314" t="inlineStr">
        <is>
          <t>資格種類</t>
        </is>
      </c>
      <c r="H38" s="4107" t="n"/>
      <c r="I38" s="935" t="inlineStr">
        <is>
          <t xml:space="preserve">　</t>
        </is>
      </c>
      <c r="S38" s="4106" t="n"/>
      <c r="U38" s="4107" t="n"/>
      <c r="V38" s="4322" t="inlineStr">
        <is>
          <t>サービス管理責任者研修</t>
        </is>
      </c>
      <c r="AA38" s="4107" t="n"/>
      <c r="AB38" s="1355" t="n"/>
      <c r="AC38" s="1783" t="inlineStr">
        <is>
          <t>受講済</t>
        </is>
      </c>
      <c r="AE38" s="2379" t="inlineStr">
        <is>
          <t>・</t>
        </is>
      </c>
      <c r="AF38" s="1770" t="inlineStr">
        <is>
          <t>未受講</t>
        </is>
      </c>
      <c r="AH38" s="1321" t="n"/>
    </row>
    <row r="39" ht="3.95" customHeight="1" s="4080">
      <c r="A39" s="4208" t="n"/>
      <c r="B39" s="4107" t="n"/>
      <c r="C39" s="4102" t="n"/>
      <c r="D39" s="4103" t="n"/>
      <c r="E39" s="4103" t="n"/>
      <c r="F39" s="1326" t="n"/>
      <c r="G39" s="1327" t="n"/>
      <c r="H39" s="1333" t="n"/>
      <c r="I39" s="134" t="n"/>
      <c r="J39" s="134" t="n"/>
      <c r="K39" s="134" t="n"/>
      <c r="L39" s="134" t="n"/>
      <c r="M39" s="134" t="n"/>
      <c r="N39" s="134" t="n"/>
      <c r="O39" s="2059" t="n"/>
      <c r="P39" s="1413" t="n"/>
      <c r="Q39" s="1413" t="n"/>
      <c r="R39" s="1413" t="n"/>
      <c r="S39" s="4102" t="n"/>
      <c r="T39" s="4103" t="n"/>
      <c r="U39" s="4104" t="n"/>
      <c r="V39" s="1412" t="n"/>
      <c r="W39" s="154" t="n"/>
      <c r="X39" s="154" t="n"/>
      <c r="Y39" s="138" t="n"/>
      <c r="Z39" s="138" t="n"/>
      <c r="AA39" s="155" t="n"/>
      <c r="AB39" s="134" t="n"/>
      <c r="AC39" s="134" t="n"/>
      <c r="AD39" s="134" t="n"/>
      <c r="AE39" s="134" t="n"/>
      <c r="AF39" s="134" t="n"/>
      <c r="AG39" s="134" t="n"/>
      <c r="AH39" s="156" t="n"/>
    </row>
    <row r="40" ht="12" customHeight="1" s="4080">
      <c r="A40" s="4208" t="n"/>
      <c r="B40" s="1768" t="inlineStr">
        <is>
          <t>２</t>
        </is>
      </c>
      <c r="C40" s="4184" t="inlineStr">
        <is>
          <t>ﾌﾘｶﾞﾅ</t>
        </is>
      </c>
      <c r="D40" s="4110" t="n"/>
      <c r="E40" s="4111" t="n"/>
      <c r="F40" s="4203" t="n"/>
      <c r="G40" s="4110" t="n"/>
      <c r="H40" s="4110" t="n"/>
      <c r="I40" s="4204" t="n"/>
      <c r="J40" s="4205" t="n"/>
      <c r="K40" s="4110" t="n"/>
      <c r="L40" s="4110" t="n"/>
      <c r="M40" s="4111" t="n"/>
      <c r="N40" s="2164" t="inlineStr">
        <is>
          <t>住所</t>
        </is>
      </c>
      <c r="O40" s="4099" t="n"/>
      <c r="P40" s="1244" t="inlineStr">
        <is>
          <t>郵便番号（</t>
        </is>
      </c>
      <c r="Q40" s="4098" t="n"/>
      <c r="R40" s="4098" t="n"/>
      <c r="S40" s="4098" t="n"/>
      <c r="T40" s="1287" t="n"/>
      <c r="U40" s="4098" t="n"/>
      <c r="V40" s="4098" t="n"/>
      <c r="W40" s="4098" t="n"/>
      <c r="X40" s="4098" t="n"/>
      <c r="Y40" s="1329" t="inlineStr">
        <is>
          <t>）</t>
        </is>
      </c>
      <c r="Z40" s="1017" t="n"/>
      <c r="AA40" s="1017" t="n"/>
      <c r="AB40" s="1017" t="n"/>
      <c r="AC40" s="1017" t="n"/>
      <c r="AD40" s="1017" t="n"/>
      <c r="AE40" s="120" t="n"/>
      <c r="AF40" s="119" t="n"/>
      <c r="AG40" s="119" t="n"/>
      <c r="AH40" s="118" t="n"/>
    </row>
    <row r="41" ht="12" customHeight="1" s="4080">
      <c r="A41" s="4208" t="n"/>
      <c r="B41" s="4107" t="n"/>
      <c r="C41" s="4209" t="inlineStr">
        <is>
          <t>氏　　名</t>
        </is>
      </c>
      <c r="D41" s="4098" t="n"/>
      <c r="E41" s="4099" t="n"/>
      <c r="F41" s="4203" t="n"/>
      <c r="G41" s="4098" t="n"/>
      <c r="H41" s="4098" t="n"/>
      <c r="I41" s="4210" t="n"/>
      <c r="J41" s="4205" t="n"/>
      <c r="K41" s="4098" t="n"/>
      <c r="L41" s="4098" t="n"/>
      <c r="M41" s="4099" t="n"/>
      <c r="N41" s="4106" t="n"/>
      <c r="O41" s="4107" t="n"/>
      <c r="P41" s="1318" t="n"/>
      <c r="R41" s="2378" t="inlineStr">
        <is>
          <t>都</t>
        </is>
      </c>
      <c r="S41" s="2378" t="inlineStr">
        <is>
          <t>道</t>
        </is>
      </c>
      <c r="T41" s="1389" t="n"/>
      <c r="W41" s="2378" t="inlineStr">
        <is>
          <t>郡</t>
        </is>
      </c>
      <c r="X41" s="1686" t="n"/>
      <c r="AH41" s="4109" t="n"/>
    </row>
    <row r="42" ht="12" customHeight="1" s="4080">
      <c r="A42" s="4208" t="n"/>
      <c r="B42" s="4107" t="n"/>
      <c r="C42" s="4106" t="n"/>
      <c r="E42" s="4107" t="n"/>
      <c r="F42" s="4106" t="n"/>
      <c r="I42" s="4212" t="n"/>
      <c r="J42" s="4213" t="n"/>
      <c r="M42" s="4107" t="n"/>
      <c r="N42" s="4106" t="n"/>
      <c r="O42" s="4107" t="n"/>
      <c r="P42" s="4106" t="n"/>
      <c r="R42" s="2378" t="inlineStr">
        <is>
          <t>府</t>
        </is>
      </c>
      <c r="S42" s="2378" t="inlineStr">
        <is>
          <t>県</t>
        </is>
      </c>
      <c r="W42" s="2378" t="inlineStr">
        <is>
          <t>市</t>
        </is>
      </c>
      <c r="AH42" s="4109" t="n"/>
    </row>
    <row r="43" ht="3" customHeight="1" s="4080">
      <c r="A43" s="4208" t="n"/>
      <c r="B43" s="4107" t="n"/>
      <c r="C43" s="4102" t="n"/>
      <c r="D43" s="4103" t="n"/>
      <c r="E43" s="4104" t="n"/>
      <c r="F43" s="4102" t="n"/>
      <c r="G43" s="4103" t="n"/>
      <c r="H43" s="4103" t="n"/>
      <c r="I43" s="4215" t="n"/>
      <c r="J43" s="4216" t="n"/>
      <c r="K43" s="4103" t="n"/>
      <c r="L43" s="4103" t="n"/>
      <c r="M43" s="4104" t="n"/>
      <c r="N43" s="4102" t="n"/>
      <c r="O43" s="4104" t="n"/>
      <c r="P43" s="4102" t="n"/>
      <c r="Q43" s="4103" t="n"/>
      <c r="R43" s="2378" t="n"/>
      <c r="S43" s="2378" t="n"/>
      <c r="T43" s="4103" t="n"/>
      <c r="U43" s="4103" t="n"/>
      <c r="V43" s="4103" t="n"/>
      <c r="W43" s="63" t="n"/>
      <c r="X43" s="4103" t="n"/>
      <c r="Y43" s="4103" t="n"/>
      <c r="Z43" s="4103" t="n"/>
      <c r="AA43" s="4103" t="n"/>
      <c r="AB43" s="4103" t="n"/>
      <c r="AC43" s="4103" t="n"/>
      <c r="AD43" s="4103" t="n"/>
      <c r="AE43" s="4103" t="n"/>
      <c r="AF43" s="4103" t="n"/>
      <c r="AG43" s="4103" t="n"/>
      <c r="AH43" s="4105" t="n"/>
    </row>
    <row r="44" ht="3.95" customHeight="1" s="4080">
      <c r="A44" s="4208" t="n"/>
      <c r="B44" s="4107" t="n"/>
      <c r="C44" s="1393" t="inlineStr">
        <is>
          <t>他の職務との兼務の有無及び職種</t>
        </is>
      </c>
      <c r="D44" s="4098" t="n"/>
      <c r="E44" s="4098" t="n"/>
      <c r="F44" s="4098" t="n"/>
      <c r="G44" s="4098" t="n"/>
      <c r="H44" s="4098" t="n"/>
      <c r="I44" s="4098" t="n"/>
      <c r="J44" s="4098" t="n"/>
      <c r="K44" s="4098" t="n"/>
      <c r="L44" s="4098" t="n"/>
      <c r="M44" s="4098" t="n"/>
      <c r="N44" s="4195" t="n"/>
      <c r="O44" s="4098" t="n"/>
      <c r="P44" s="4098" t="n"/>
      <c r="Q44" s="4098" t="n"/>
      <c r="R44" s="4099" t="n"/>
      <c r="S44" s="2163" t="inlineStr">
        <is>
          <t>職　　種</t>
        </is>
      </c>
      <c r="T44" s="4098" t="n"/>
      <c r="U44" s="4099" t="n"/>
      <c r="V44" s="1322" t="n"/>
      <c r="W44" s="1335" t="inlineStr">
        <is>
          <t xml:space="preserve">　</t>
        </is>
      </c>
      <c r="X44" s="4098" t="n"/>
      <c r="Y44" s="4098" t="n"/>
      <c r="Z44" s="4098" t="n"/>
      <c r="AA44" s="4098" t="n"/>
      <c r="AB44" s="4098" t="n"/>
      <c r="AC44" s="4098" t="n"/>
      <c r="AD44" s="4098" t="n"/>
      <c r="AE44" s="4098" t="n"/>
      <c r="AF44" s="4098" t="n"/>
      <c r="AG44" s="4098" t="n"/>
      <c r="AH44" s="4101" t="n"/>
    </row>
    <row r="45" ht="12" customHeight="1" s="4080">
      <c r="A45" s="4208" t="n"/>
      <c r="B45" s="4107" t="n"/>
      <c r="C45" s="4106" t="n"/>
      <c r="N45" s="1354" t="n"/>
      <c r="O45" s="1325" t="inlineStr">
        <is>
          <t>有</t>
        </is>
      </c>
      <c r="P45" s="1325" t="inlineStr">
        <is>
          <t>・</t>
        </is>
      </c>
      <c r="Q45" s="1325" t="inlineStr">
        <is>
          <t>無</t>
        </is>
      </c>
      <c r="R45" s="1332" t="n"/>
      <c r="S45" s="4106" t="n"/>
      <c r="U45" s="4107" t="n"/>
      <c r="V45" s="4196" t="n"/>
      <c r="AH45" s="4109" t="n"/>
    </row>
    <row r="46" ht="3.95" customHeight="1" s="4080">
      <c r="A46" s="4208" t="n"/>
      <c r="B46" s="4107" t="n"/>
      <c r="C46" s="4102" t="n"/>
      <c r="D46" s="4103" t="n"/>
      <c r="E46" s="4103" t="n"/>
      <c r="F46" s="4103" t="n"/>
      <c r="G46" s="4103" t="n"/>
      <c r="H46" s="4103" t="n"/>
      <c r="I46" s="4103" t="n"/>
      <c r="J46" s="4103" t="n"/>
      <c r="K46" s="4103" t="n"/>
      <c r="L46" s="4103" t="n"/>
      <c r="M46" s="4103" t="n"/>
      <c r="N46" s="4197" t="n"/>
      <c r="O46" s="4103" t="n"/>
      <c r="P46" s="4103" t="n"/>
      <c r="Q46" s="4103" t="n"/>
      <c r="R46" s="4104" t="n"/>
      <c r="S46" s="4102" t="n"/>
      <c r="T46" s="4103" t="n"/>
      <c r="U46" s="4104" t="n"/>
      <c r="V46" s="1326" t="n"/>
      <c r="W46" s="1299" t="n"/>
      <c r="X46" s="4103" t="n"/>
      <c r="Y46" s="4103" t="n"/>
      <c r="Z46" s="4103" t="n"/>
      <c r="AA46" s="4103" t="n"/>
      <c r="AB46" s="4103" t="n"/>
      <c r="AC46" s="4103" t="n"/>
      <c r="AD46" s="4103" t="n"/>
      <c r="AE46" s="4103" t="n"/>
      <c r="AF46" s="4103" t="n"/>
      <c r="AG46" s="4103" t="n"/>
      <c r="AH46" s="4105" t="n"/>
    </row>
    <row r="47" ht="3.95" customHeight="1" s="4080">
      <c r="A47" s="4208" t="n"/>
      <c r="B47" s="4107" t="n"/>
      <c r="C47" s="1826" t="inlineStr">
        <is>
          <t>資格要件</t>
        </is>
      </c>
      <c r="D47" s="4098" t="n"/>
      <c r="E47" s="4098" t="n"/>
      <c r="F47" s="1322" t="n"/>
      <c r="G47" s="1323" t="n"/>
      <c r="H47" s="1414" t="n"/>
      <c r="I47" s="2056" t="n"/>
      <c r="J47" s="2056" t="n"/>
      <c r="K47" s="2056" t="n"/>
      <c r="L47" s="2056" t="n"/>
      <c r="M47" s="2056" t="n"/>
      <c r="N47" s="2056" t="n"/>
      <c r="O47" s="2056" t="n"/>
      <c r="P47" s="1402" t="n"/>
      <c r="Q47" s="1402" t="n"/>
      <c r="R47" s="1402" t="n"/>
      <c r="S47" s="4313" t="inlineStr">
        <is>
          <t>研修の
受講状況</t>
        </is>
      </c>
      <c r="T47" s="4098" t="n"/>
      <c r="U47" s="4099" t="n"/>
      <c r="V47" s="1370" t="n"/>
      <c r="W47" s="2056" t="n"/>
      <c r="X47" s="2056" t="n"/>
      <c r="Y47" s="2056" t="n"/>
      <c r="Z47" s="2056" t="n"/>
      <c r="AA47" s="1371" t="n"/>
      <c r="AB47" s="2056" t="n"/>
      <c r="AC47" s="2056" t="n"/>
      <c r="AD47" s="2056" t="n"/>
      <c r="AE47" s="2056" t="n"/>
      <c r="AF47" s="2056" t="n"/>
      <c r="AG47" s="2056" t="n"/>
      <c r="AH47" s="127" t="n"/>
    </row>
    <row r="48" ht="12" customHeight="1" s="4080">
      <c r="A48" s="4208" t="n"/>
      <c r="B48" s="4107" t="n"/>
      <c r="C48" s="4106" t="n"/>
      <c r="F48" s="4314" t="inlineStr">
        <is>
          <t>実務経験</t>
        </is>
      </c>
      <c r="H48" s="4107" t="n"/>
      <c r="I48" s="1790" t="n"/>
      <c r="S48" s="4106" t="n"/>
      <c r="U48" s="4107" t="n"/>
      <c r="V48" s="4315" t="inlineStr">
        <is>
          <t>相談支援従事者研修</t>
        </is>
      </c>
      <c r="AA48" s="4107" t="n"/>
      <c r="AB48" s="128" t="n"/>
      <c r="AC48" s="1783" t="inlineStr">
        <is>
          <t>受講済</t>
        </is>
      </c>
      <c r="AE48" s="2379" t="inlineStr">
        <is>
          <t>・</t>
        </is>
      </c>
      <c r="AF48" s="1770" t="inlineStr">
        <is>
          <t>未受講</t>
        </is>
      </c>
      <c r="AH48" s="666" t="n"/>
    </row>
    <row r="49" ht="3.95" customHeight="1" s="4080">
      <c r="A49" s="4208" t="n"/>
      <c r="B49" s="4107" t="n"/>
      <c r="C49" s="4106" t="n"/>
      <c r="F49" s="131" t="n"/>
      <c r="G49" s="132" t="n"/>
      <c r="H49" s="133" t="n"/>
      <c r="I49" s="134" t="n"/>
      <c r="J49" s="134" t="n"/>
      <c r="K49" s="134" t="n"/>
      <c r="L49" s="134" t="n"/>
      <c r="M49" s="134" t="n"/>
      <c r="N49" s="134" t="n"/>
      <c r="O49" s="135" t="n"/>
      <c r="P49" s="136" t="n"/>
      <c r="Q49" s="136" t="n"/>
      <c r="R49" s="137" t="n"/>
      <c r="S49" s="4106" t="n"/>
      <c r="U49" s="4107" t="n"/>
      <c r="V49" s="4323" t="n"/>
      <c r="AA49" s="4107" t="n"/>
      <c r="AB49" s="138" t="n"/>
      <c r="AC49" s="138" t="n"/>
      <c r="AD49" s="138" t="n"/>
      <c r="AE49" s="138" t="n"/>
      <c r="AF49" s="138" t="n"/>
      <c r="AG49" s="138" t="n"/>
      <c r="AH49" s="156" t="n"/>
    </row>
    <row r="50" ht="3.95" customHeight="1" s="4080">
      <c r="A50" s="4208" t="n"/>
      <c r="B50" s="4107" t="n"/>
      <c r="C50" s="4106" t="n"/>
      <c r="F50" s="140" t="n"/>
      <c r="G50" s="141" t="n"/>
      <c r="H50" s="142" t="n"/>
      <c r="I50" s="143" t="n"/>
      <c r="J50" s="143" t="n"/>
      <c r="K50" s="144" t="n"/>
      <c r="L50" s="141" t="n"/>
      <c r="M50" s="141" t="n"/>
      <c r="N50" s="141" t="n"/>
      <c r="O50" s="141" t="n"/>
      <c r="P50" s="145" t="n"/>
      <c r="Q50" s="145" t="n"/>
      <c r="R50" s="146" t="n"/>
      <c r="S50" s="4106" t="n"/>
      <c r="U50" s="4107" t="n"/>
      <c r="V50" s="4324" t="n"/>
      <c r="W50" s="4098" t="n"/>
      <c r="X50" s="4098" t="n"/>
      <c r="Y50" s="4098" t="n"/>
      <c r="Z50" s="4098" t="n"/>
      <c r="AA50" s="4099" t="n"/>
      <c r="AB50" s="141" t="n"/>
      <c r="AC50" s="141" t="n"/>
      <c r="AD50" s="141" t="n"/>
      <c r="AE50" s="141" t="n"/>
      <c r="AF50" s="141" t="n"/>
      <c r="AG50" s="141" t="n"/>
      <c r="AH50" s="667" t="n"/>
    </row>
    <row r="51" ht="12" customHeight="1" s="4080">
      <c r="A51" s="4208" t="n"/>
      <c r="B51" s="4107" t="n"/>
      <c r="C51" s="4106" t="n"/>
      <c r="F51" s="4314" t="inlineStr">
        <is>
          <t>資格種類</t>
        </is>
      </c>
      <c r="H51" s="4107" t="n"/>
      <c r="I51" s="935" t="inlineStr">
        <is>
          <t xml:space="preserve">　</t>
        </is>
      </c>
      <c r="S51" s="4106" t="n"/>
      <c r="U51" s="4107" t="n"/>
      <c r="V51" s="4322" t="inlineStr">
        <is>
          <t>サービス管理責任者研修</t>
        </is>
      </c>
      <c r="AA51" s="4107" t="n"/>
      <c r="AB51" s="1355" t="n"/>
      <c r="AC51" s="1783" t="inlineStr">
        <is>
          <t>受講済</t>
        </is>
      </c>
      <c r="AE51" s="2379" t="inlineStr">
        <is>
          <t>・</t>
        </is>
      </c>
      <c r="AF51" s="1770" t="inlineStr">
        <is>
          <t>未受講</t>
        </is>
      </c>
      <c r="AH51" s="1321" t="n"/>
    </row>
    <row r="52" ht="3.95" customHeight="1" s="4080">
      <c r="A52" s="4208" t="n"/>
      <c r="B52" s="4107" t="n"/>
      <c r="C52" s="4102" t="n"/>
      <c r="D52" s="4103" t="n"/>
      <c r="E52" s="4103" t="n"/>
      <c r="F52" s="1326" t="n"/>
      <c r="G52" s="1327" t="n"/>
      <c r="H52" s="1333" t="n"/>
      <c r="I52" s="134" t="n"/>
      <c r="J52" s="134" t="n"/>
      <c r="K52" s="134" t="n"/>
      <c r="L52" s="134" t="n"/>
      <c r="M52" s="134" t="n"/>
      <c r="N52" s="134" t="n"/>
      <c r="O52" s="2059" t="n"/>
      <c r="P52" s="1413" t="n"/>
      <c r="Q52" s="1413" t="n"/>
      <c r="R52" s="1413" t="n"/>
      <c r="S52" s="4102" t="n"/>
      <c r="T52" s="4103" t="n"/>
      <c r="U52" s="4104" t="n"/>
      <c r="V52" s="945" t="n"/>
      <c r="W52" s="154" t="n"/>
      <c r="X52" s="154" t="n"/>
      <c r="Y52" s="134" t="n"/>
      <c r="Z52" s="134" t="n"/>
      <c r="AA52" s="669" t="n"/>
      <c r="AB52" s="134" t="n"/>
      <c r="AC52" s="134" t="n"/>
      <c r="AD52" s="134" t="n"/>
      <c r="AE52" s="134" t="n"/>
      <c r="AF52" s="134" t="n"/>
      <c r="AG52" s="134" t="n"/>
      <c r="AH52" s="156" t="n"/>
    </row>
    <row r="53" ht="15.95" customHeight="1" s="4080">
      <c r="A53" s="4490" t="inlineStr">
        <is>
          <t>職員の職種・員数</t>
        </is>
      </c>
      <c r="B53" s="4099" t="n"/>
      <c r="C53" s="4272" t="inlineStr">
        <is>
          <t xml:space="preserve">　　　　　　職種・勤務形態
常勤・非常勤の別</t>
        </is>
      </c>
      <c r="D53" s="4098" t="n"/>
      <c r="E53" s="4098" t="n"/>
      <c r="F53" s="4098" t="n"/>
      <c r="G53" s="4098" t="n"/>
      <c r="H53" s="4098" t="n"/>
      <c r="I53" s="4098" t="n"/>
      <c r="J53" s="4099" t="n"/>
      <c r="K53" s="4185" t="inlineStr">
        <is>
          <t>サービス管理責任者</t>
        </is>
      </c>
      <c r="L53" s="4110" t="n"/>
      <c r="M53" s="4110" t="n"/>
      <c r="N53" s="4110" t="n"/>
      <c r="O53" s="4110" t="n"/>
      <c r="P53" s="4111" t="n"/>
      <c r="Q53" s="4969" t="inlineStr">
        <is>
          <t>地域生活支援員</t>
        </is>
      </c>
      <c r="R53" s="4098" t="n"/>
      <c r="S53" s="4098" t="n"/>
      <c r="T53" s="4098" t="n"/>
      <c r="U53" s="4098" t="n"/>
      <c r="V53" s="4099" t="n"/>
      <c r="W53" s="4325" t="n"/>
      <c r="X53" s="4098" t="n"/>
      <c r="Y53" s="4098" t="n"/>
      <c r="Z53" s="4098" t="n"/>
      <c r="AA53" s="4098" t="n"/>
      <c r="AB53" s="4099" t="n"/>
      <c r="AC53" s="4326" t="n"/>
      <c r="AD53" s="4098" t="n"/>
      <c r="AE53" s="4098" t="n"/>
      <c r="AF53" s="4098" t="n"/>
      <c r="AG53" s="4098" t="n"/>
      <c r="AH53" s="4101" t="n"/>
    </row>
    <row r="54" ht="15.95" customHeight="1" s="4080">
      <c r="A54" s="4097" t="n"/>
      <c r="B54" s="4107" t="n"/>
      <c r="C54" s="4102" t="n"/>
      <c r="D54" s="4103" t="n"/>
      <c r="E54" s="4103" t="n"/>
      <c r="F54" s="4103" t="n"/>
      <c r="G54" s="4103" t="n"/>
      <c r="H54" s="4103" t="n"/>
      <c r="I54" s="4103" t="n"/>
      <c r="J54" s="4104" t="n"/>
      <c r="K54" s="1617" t="inlineStr">
        <is>
          <t>専従</t>
        </is>
      </c>
      <c r="L54" s="4110" t="n"/>
      <c r="M54" s="4189" t="n"/>
      <c r="N54" s="1603" t="inlineStr">
        <is>
          <t>兼務</t>
        </is>
      </c>
      <c r="O54" s="4110" t="n"/>
      <c r="P54" s="4189" t="n"/>
      <c r="Q54" s="1617" t="inlineStr">
        <is>
          <t>専従</t>
        </is>
      </c>
      <c r="R54" s="4110" t="n"/>
      <c r="S54" s="4189" t="n"/>
      <c r="T54" s="1603" t="inlineStr">
        <is>
          <t>兼務</t>
        </is>
      </c>
      <c r="U54" s="4110" t="n"/>
      <c r="V54" s="4189" t="n"/>
      <c r="W54" s="1617" t="inlineStr">
        <is>
          <t>専従</t>
        </is>
      </c>
      <c r="X54" s="4110" t="n"/>
      <c r="Y54" s="4189" t="n"/>
      <c r="Z54" s="1603" t="inlineStr">
        <is>
          <t>兼務</t>
        </is>
      </c>
      <c r="AA54" s="4110" t="n"/>
      <c r="AB54" s="4189" t="n"/>
      <c r="AC54" s="1617" t="inlineStr">
        <is>
          <t>専従</t>
        </is>
      </c>
      <c r="AD54" s="4110" t="n"/>
      <c r="AE54" s="4189" t="n"/>
      <c r="AF54" s="1603" t="inlineStr">
        <is>
          <t>兼務</t>
        </is>
      </c>
      <c r="AG54" s="4110" t="n"/>
      <c r="AH54" s="4189" t="n"/>
    </row>
    <row r="55" ht="15.95" customHeight="1" s="4080">
      <c r="A55" s="4097" t="n"/>
      <c r="B55" s="4107" t="n"/>
      <c r="C55" s="1268" t="inlineStr">
        <is>
          <t>常　　　　　勤（人）</t>
        </is>
      </c>
      <c r="D55" s="4110" t="n"/>
      <c r="E55" s="4110" t="n"/>
      <c r="F55" s="4110" t="n"/>
      <c r="G55" s="4110" t="n"/>
      <c r="H55" s="4110" t="n"/>
      <c r="I55" s="4110" t="n"/>
      <c r="J55" s="4111" t="n"/>
      <c r="K55" s="4275" t="n"/>
      <c r="L55" s="4110" t="n"/>
      <c r="M55" s="4189" t="n"/>
      <c r="N55" s="4276" t="n"/>
      <c r="O55" s="4110" t="n"/>
      <c r="P55" s="4189" t="n"/>
      <c r="Q55" s="4275" t="n"/>
      <c r="R55" s="4110" t="n"/>
      <c r="S55" s="4189" t="n"/>
      <c r="T55" s="4276" t="n"/>
      <c r="U55" s="4110" t="n"/>
      <c r="V55" s="4189" t="n"/>
      <c r="W55" s="4275" t="n"/>
      <c r="X55" s="4110" t="n"/>
      <c r="Y55" s="4189" t="n"/>
      <c r="Z55" s="4276" t="n"/>
      <c r="AA55" s="4110" t="n"/>
      <c r="AB55" s="4189" t="n"/>
      <c r="AC55" s="4275" t="n"/>
      <c r="AD55" s="4110" t="n"/>
      <c r="AE55" s="4189" t="n"/>
      <c r="AF55" s="4276" t="n"/>
      <c r="AG55" s="4110" t="n"/>
      <c r="AH55" s="4189" t="n"/>
    </row>
    <row r="56" ht="15.95" customHeight="1" s="4080">
      <c r="A56" s="4097" t="n"/>
      <c r="B56" s="4107" t="n"/>
      <c r="C56" s="1286" t="inlineStr">
        <is>
          <t>非　　常　　勤（人）</t>
        </is>
      </c>
      <c r="D56" s="4103" t="n"/>
      <c r="E56" s="4103" t="n"/>
      <c r="F56" s="4103" t="n"/>
      <c r="G56" s="4103" t="n"/>
      <c r="H56" s="4103" t="n"/>
      <c r="I56" s="4103" t="n"/>
      <c r="J56" s="4104" t="n"/>
      <c r="K56" s="4275" t="n"/>
      <c r="L56" s="4110" t="n"/>
      <c r="M56" s="4189" t="n"/>
      <c r="N56" s="4276" t="n"/>
      <c r="O56" s="4110" t="n"/>
      <c r="P56" s="4189" t="n"/>
      <c r="Q56" s="4275" t="n"/>
      <c r="R56" s="4110" t="n"/>
      <c r="S56" s="4189" t="n"/>
      <c r="T56" s="4276" t="n"/>
      <c r="U56" s="4110" t="n"/>
      <c r="V56" s="4189" t="n"/>
      <c r="W56" s="4275" t="n"/>
      <c r="X56" s="4110" t="n"/>
      <c r="Y56" s="4189" t="n"/>
      <c r="Z56" s="4276" t="n"/>
      <c r="AA56" s="4110" t="n"/>
      <c r="AB56" s="4189" t="n"/>
      <c r="AC56" s="4275" t="n"/>
      <c r="AD56" s="4110" t="n"/>
      <c r="AE56" s="4189" t="n"/>
      <c r="AF56" s="4276" t="n"/>
      <c r="AG56" s="4110" t="n"/>
      <c r="AH56" s="4189" t="n"/>
    </row>
    <row r="57" ht="15.95" customHeight="1" s="4080">
      <c r="A57" s="4097" t="n"/>
      <c r="B57" s="4107" t="n"/>
      <c r="C57" s="1268" t="inlineStr">
        <is>
          <t>常勤換算後の人数（人）</t>
        </is>
      </c>
      <c r="D57" s="4110" t="n"/>
      <c r="E57" s="4110" t="n"/>
      <c r="F57" s="4110" t="n"/>
      <c r="G57" s="4110" t="n"/>
      <c r="H57" s="4110" t="n"/>
      <c r="I57" s="4110" t="n"/>
      <c r="J57" s="4111" t="n"/>
      <c r="K57" s="4464" t="n"/>
      <c r="L57" s="4110" t="n"/>
      <c r="M57" s="4110" t="n"/>
      <c r="N57" s="4110" t="n"/>
      <c r="O57" s="4110" t="n"/>
      <c r="P57" s="4111" t="n"/>
      <c r="Q57" s="4464" t="n"/>
      <c r="R57" s="4110" t="n"/>
      <c r="S57" s="4110" t="n"/>
      <c r="T57" s="4110" t="n"/>
      <c r="U57" s="4110" t="n"/>
      <c r="V57" s="4111" t="n"/>
      <c r="W57" s="4464" t="n"/>
      <c r="X57" s="4110" t="n"/>
      <c r="Y57" s="4110" t="n"/>
      <c r="Z57" s="4110" t="n"/>
      <c r="AA57" s="4110" t="n"/>
      <c r="AB57" s="4111" t="n"/>
      <c r="AC57" s="4465" t="n"/>
      <c r="AD57" s="4110" t="n"/>
      <c r="AE57" s="4110" t="n"/>
      <c r="AF57" s="4110" t="n"/>
      <c r="AG57" s="4110" t="n"/>
      <c r="AH57" s="4113" t="n"/>
    </row>
    <row r="58" ht="15.95" customHeight="1" s="4080">
      <c r="A58" s="4097" t="n"/>
      <c r="B58" s="4107" t="n"/>
      <c r="C58" s="4272" t="inlineStr">
        <is>
          <t xml:space="preserve">　　　　　　職種・勤務形態
常勤・非常勤の別</t>
        </is>
      </c>
      <c r="D58" s="4098" t="n"/>
      <c r="E58" s="4098" t="n"/>
      <c r="F58" s="4098" t="n"/>
      <c r="G58" s="4098" t="n"/>
      <c r="H58" s="4098" t="n"/>
      <c r="I58" s="4098" t="n"/>
      <c r="J58" s="4099" t="n"/>
      <c r="K58" s="4185" t="n"/>
      <c r="L58" s="4110" t="n"/>
      <c r="M58" s="4110" t="n"/>
      <c r="N58" s="4110" t="n"/>
      <c r="O58" s="4110" t="n"/>
      <c r="P58" s="4111" t="n"/>
      <c r="Q58" s="4325" t="n"/>
      <c r="R58" s="4098" t="n"/>
      <c r="S58" s="4098" t="n"/>
      <c r="T58" s="4098" t="n"/>
      <c r="U58" s="4098" t="n"/>
      <c r="V58" s="4099" t="n"/>
      <c r="W58" s="4325" t="n"/>
      <c r="X58" s="4098" t="n"/>
      <c r="Y58" s="4098" t="n"/>
      <c r="Z58" s="4098" t="n"/>
      <c r="AA58" s="4098" t="n"/>
      <c r="AB58" s="4099" t="n"/>
      <c r="AC58" s="4326" t="n"/>
      <c r="AD58" s="4098" t="n"/>
      <c r="AE58" s="4098" t="n"/>
      <c r="AF58" s="4098" t="n"/>
      <c r="AG58" s="4098" t="n"/>
      <c r="AH58" s="4101" t="n"/>
    </row>
    <row r="59" ht="15.95" customHeight="1" s="4080">
      <c r="A59" s="4097" t="n"/>
      <c r="B59" s="4107" t="n"/>
      <c r="C59" s="4102" t="n"/>
      <c r="D59" s="4103" t="n"/>
      <c r="E59" s="4103" t="n"/>
      <c r="F59" s="4103" t="n"/>
      <c r="G59" s="4103" t="n"/>
      <c r="H59" s="4103" t="n"/>
      <c r="I59" s="4103" t="n"/>
      <c r="J59" s="4104" t="n"/>
      <c r="K59" s="1617" t="inlineStr">
        <is>
          <t>専従</t>
        </is>
      </c>
      <c r="L59" s="4110" t="n"/>
      <c r="M59" s="4189" t="n"/>
      <c r="N59" s="1603" t="inlineStr">
        <is>
          <t>兼務</t>
        </is>
      </c>
      <c r="O59" s="4110" t="n"/>
      <c r="P59" s="4189" t="n"/>
      <c r="Q59" s="1617" t="inlineStr">
        <is>
          <t>専従</t>
        </is>
      </c>
      <c r="R59" s="4110" t="n"/>
      <c r="S59" s="4189" t="n"/>
      <c r="T59" s="1603" t="inlineStr">
        <is>
          <t>兼務</t>
        </is>
      </c>
      <c r="U59" s="4110" t="n"/>
      <c r="V59" s="4189" t="n"/>
      <c r="W59" s="1617" t="inlineStr">
        <is>
          <t>専従</t>
        </is>
      </c>
      <c r="X59" s="4110" t="n"/>
      <c r="Y59" s="4189" t="n"/>
      <c r="Z59" s="1603" t="inlineStr">
        <is>
          <t>兼務</t>
        </is>
      </c>
      <c r="AA59" s="4110" t="n"/>
      <c r="AB59" s="4189" t="n"/>
      <c r="AC59" s="1617" t="inlineStr">
        <is>
          <t>専従</t>
        </is>
      </c>
      <c r="AD59" s="4110" t="n"/>
      <c r="AE59" s="4189" t="n"/>
      <c r="AF59" s="1603" t="inlineStr">
        <is>
          <t>兼務</t>
        </is>
      </c>
      <c r="AG59" s="4110" t="n"/>
      <c r="AH59" s="4189" t="n"/>
    </row>
    <row r="60" ht="15.95" customHeight="1" s="4080">
      <c r="A60" s="4097" t="n"/>
      <c r="B60" s="4107" t="n"/>
      <c r="C60" s="1268" t="inlineStr">
        <is>
          <t>常　　　　　勤（人）</t>
        </is>
      </c>
      <c r="D60" s="4110" t="n"/>
      <c r="E60" s="4110" t="n"/>
      <c r="F60" s="4110" t="n"/>
      <c r="G60" s="4110" t="n"/>
      <c r="H60" s="4110" t="n"/>
      <c r="I60" s="4110" t="n"/>
      <c r="J60" s="4111" t="n"/>
      <c r="K60" s="4275" t="n"/>
      <c r="L60" s="4110" t="n"/>
      <c r="M60" s="4189" t="n"/>
      <c r="N60" s="4276" t="n"/>
      <c r="O60" s="4110" t="n"/>
      <c r="P60" s="4189" t="n"/>
      <c r="Q60" s="4275" t="n"/>
      <c r="R60" s="4110" t="n"/>
      <c r="S60" s="4189" t="n"/>
      <c r="T60" s="4276" t="n"/>
      <c r="U60" s="4110" t="n"/>
      <c r="V60" s="4189" t="n"/>
      <c r="W60" s="4275" t="n"/>
      <c r="X60" s="4110" t="n"/>
      <c r="Y60" s="4189" t="n"/>
      <c r="Z60" s="4276" t="n"/>
      <c r="AA60" s="4110" t="n"/>
      <c r="AB60" s="4189" t="n"/>
      <c r="AC60" s="4275" t="n"/>
      <c r="AD60" s="4110" t="n"/>
      <c r="AE60" s="4189" t="n"/>
      <c r="AF60" s="4276" t="n"/>
      <c r="AG60" s="4110" t="n"/>
      <c r="AH60" s="4189" t="n"/>
    </row>
    <row r="61" ht="15.95" customHeight="1" s="4080">
      <c r="A61" s="4097" t="n"/>
      <c r="B61" s="4107" t="n"/>
      <c r="C61" s="1286" t="inlineStr">
        <is>
          <t>非　　常　　勤（人）</t>
        </is>
      </c>
      <c r="D61" s="4103" t="n"/>
      <c r="E61" s="4103" t="n"/>
      <c r="F61" s="4103" t="n"/>
      <c r="G61" s="4103" t="n"/>
      <c r="H61" s="4103" t="n"/>
      <c r="I61" s="4103" t="n"/>
      <c r="J61" s="4104" t="n"/>
      <c r="K61" s="4275" t="n"/>
      <c r="L61" s="4110" t="n"/>
      <c r="M61" s="4189" t="n"/>
      <c r="N61" s="4276" t="n"/>
      <c r="O61" s="4110" t="n"/>
      <c r="P61" s="4189" t="n"/>
      <c r="Q61" s="4275" t="n"/>
      <c r="R61" s="4110" t="n"/>
      <c r="S61" s="4189" t="n"/>
      <c r="T61" s="4276" t="n"/>
      <c r="U61" s="4110" t="n"/>
      <c r="V61" s="4189" t="n"/>
      <c r="W61" s="4275" t="n"/>
      <c r="X61" s="4110" t="n"/>
      <c r="Y61" s="4189" t="n"/>
      <c r="Z61" s="4276" t="n"/>
      <c r="AA61" s="4110" t="n"/>
      <c r="AB61" s="4189" t="n"/>
      <c r="AC61" s="4275" t="n"/>
      <c r="AD61" s="4110" t="n"/>
      <c r="AE61" s="4189" t="n"/>
      <c r="AF61" s="4276" t="n"/>
      <c r="AG61" s="4110" t="n"/>
      <c r="AH61" s="4189" t="n"/>
    </row>
    <row r="62" ht="17.25" customHeight="1" s="4080">
      <c r="A62" s="4114" t="n"/>
      <c r="B62" s="4104" t="n"/>
      <c r="C62" s="1268" t="inlineStr">
        <is>
          <t>常勤換算後の人数（人）</t>
        </is>
      </c>
      <c r="D62" s="4110" t="n"/>
      <c r="E62" s="4110" t="n"/>
      <c r="F62" s="4110" t="n"/>
      <c r="G62" s="4110" t="n"/>
      <c r="H62" s="4110" t="n"/>
      <c r="I62" s="4110" t="n"/>
      <c r="J62" s="4111" t="n"/>
      <c r="K62" s="4464" t="n"/>
      <c r="L62" s="4110" t="n"/>
      <c r="M62" s="4110" t="n"/>
      <c r="N62" s="4110" t="n"/>
      <c r="O62" s="4110" t="n"/>
      <c r="P62" s="4111" t="n"/>
      <c r="Q62" s="4464" t="n"/>
      <c r="R62" s="4110" t="n"/>
      <c r="S62" s="4110" t="n"/>
      <c r="T62" s="4110" t="n"/>
      <c r="U62" s="4110" t="n"/>
      <c r="V62" s="4111" t="n"/>
      <c r="W62" s="4464" t="n"/>
      <c r="X62" s="4110" t="n"/>
      <c r="Y62" s="4110" t="n"/>
      <c r="Z62" s="4110" t="n"/>
      <c r="AA62" s="4110" t="n"/>
      <c r="AB62" s="4111" t="n"/>
      <c r="AC62" s="4465" t="n"/>
      <c r="AD62" s="4110" t="n"/>
      <c r="AE62" s="4110" t="n"/>
      <c r="AF62" s="4110" t="n"/>
      <c r="AG62" s="4110" t="n"/>
      <c r="AH62" s="4113" t="n"/>
    </row>
    <row r="63" ht="24" customHeight="1" s="4080">
      <c r="A63" s="4970" t="inlineStr">
        <is>
          <t>前年度
利用者数
(又は推定数)</t>
        </is>
      </c>
      <c r="B63" s="4098" t="n"/>
      <c r="C63" s="4098" t="n"/>
      <c r="D63" s="4099" t="n"/>
      <c r="E63" s="4949" t="n"/>
      <c r="F63" s="4110" t="n"/>
      <c r="G63" s="4111" t="n"/>
      <c r="H63" s="4624" t="inlineStr">
        <is>
          <t>非該当</t>
        </is>
      </c>
      <c r="I63" s="4103" t="n"/>
      <c r="J63" s="4104" t="n"/>
      <c r="K63" s="4624" t="inlineStr">
        <is>
          <t>区分１</t>
        </is>
      </c>
      <c r="L63" s="4103" t="n"/>
      <c r="M63" s="4104" t="n"/>
      <c r="N63" s="2165" t="inlineStr">
        <is>
          <t>区分２</t>
        </is>
      </c>
      <c r="O63" s="4110" t="n"/>
      <c r="P63" s="4111" t="n"/>
      <c r="Q63" s="2165" t="inlineStr">
        <is>
          <t>区分３</t>
        </is>
      </c>
      <c r="R63" s="4110" t="n"/>
      <c r="S63" s="4111" t="n"/>
      <c r="T63" s="2165" t="inlineStr">
        <is>
          <t>区分４</t>
        </is>
      </c>
      <c r="U63" s="4110" t="n"/>
      <c r="V63" s="4111" t="n"/>
      <c r="W63" s="2165" t="inlineStr">
        <is>
          <t>区分５</t>
        </is>
      </c>
      <c r="X63" s="4110" t="n"/>
      <c r="Y63" s="4111" t="n"/>
      <c r="Z63" s="2165" t="inlineStr">
        <is>
          <t>区分６</t>
        </is>
      </c>
      <c r="AA63" s="4110" t="n"/>
      <c r="AB63" s="4111" t="n"/>
      <c r="AC63" s="4628" t="inlineStr">
        <is>
          <t>前年度
開所月数</t>
        </is>
      </c>
      <c r="AD63" s="4110" t="n"/>
      <c r="AE63" s="4111" t="n"/>
      <c r="AF63" s="4627" t="inlineStr">
        <is>
          <t>平均
利用者数</t>
        </is>
      </c>
      <c r="AG63" s="4103" t="n"/>
      <c r="AH63" s="4105" t="n"/>
    </row>
    <row r="64" ht="20.25" customHeight="1" s="4080" thickBot="1">
      <c r="A64" s="4097" t="n"/>
      <c r="D64" s="4107" t="n"/>
      <c r="E64" s="4971" t="inlineStr">
        <is>
          <t>自立生活</t>
        </is>
      </c>
      <c r="F64" s="4110" t="n"/>
      <c r="G64" s="4111" t="n"/>
      <c r="H64" s="4351" t="n"/>
      <c r="I64" s="4110" t="n"/>
      <c r="J64" s="4350" t="inlineStr">
        <is>
          <t>人</t>
        </is>
      </c>
      <c r="K64" s="4351" t="n"/>
      <c r="L64" s="4110" t="n"/>
      <c r="M64" s="4350" t="inlineStr">
        <is>
          <t>人</t>
        </is>
      </c>
      <c r="N64" s="4351" t="n"/>
      <c r="O64" s="4110" t="n"/>
      <c r="P64" s="4350" t="inlineStr">
        <is>
          <t>人</t>
        </is>
      </c>
      <c r="Q64" s="4351" t="n"/>
      <c r="R64" s="4110" t="n"/>
      <c r="S64" s="4350" t="inlineStr">
        <is>
          <t>人</t>
        </is>
      </c>
      <c r="T64" s="4351" t="n"/>
      <c r="U64" s="4110" t="n"/>
      <c r="V64" s="4350" t="inlineStr">
        <is>
          <t>人</t>
        </is>
      </c>
      <c r="W64" s="4351" t="n"/>
      <c r="X64" s="4110" t="n"/>
      <c r="Y64" s="4350" t="inlineStr">
        <is>
          <t>人</t>
        </is>
      </c>
      <c r="Z64" s="4644" t="n"/>
      <c r="AA64" s="4110" t="n"/>
      <c r="AB64" s="3914" t="inlineStr">
        <is>
          <t>人</t>
        </is>
      </c>
      <c r="AC64" s="4644" t="n"/>
      <c r="AD64" s="4110" t="n"/>
      <c r="AE64" s="3914" t="inlineStr">
        <is>
          <t>月</t>
        </is>
      </c>
      <c r="AF64" s="4646">
        <f>IF(AC64=0," ",ROUNDUP((H64+K64+N64+Q64+T64+W64+Z64)/AC64,1))</f>
        <v/>
      </c>
      <c r="AG64" s="4110" t="n"/>
      <c r="AH64" s="4632" t="inlineStr">
        <is>
          <t>人</t>
        </is>
      </c>
    </row>
    <row r="65" ht="12" customHeight="1" s="4080" thickBot="1">
      <c r="A65" s="4355" t="inlineStr">
        <is>
          <t>主　　な　　掲　　示　　事　　項</t>
        </is>
      </c>
      <c r="B65" s="4356" t="n"/>
      <c r="C65" s="1999" t="n"/>
      <c r="D65" s="1886" t="inlineStr">
        <is>
          <t>営業日</t>
        </is>
      </c>
      <c r="E65" s="4082" t="n"/>
      <c r="F65" s="4082" t="n"/>
      <c r="G65" s="4082" t="n"/>
      <c r="H65" s="4082" t="n"/>
      <c r="I65" s="4082" t="n"/>
      <c r="J65" s="2002" t="n"/>
      <c r="K65" s="671" t="inlineStr">
        <is>
          <t>月</t>
        </is>
      </c>
      <c r="L65" s="672" t="inlineStr">
        <is>
          <t>火</t>
        </is>
      </c>
      <c r="M65" s="672" t="inlineStr">
        <is>
          <t>水</t>
        </is>
      </c>
      <c r="N65" s="672" t="inlineStr">
        <is>
          <t>木</t>
        </is>
      </c>
      <c r="O65" s="672" t="inlineStr">
        <is>
          <t>金</t>
        </is>
      </c>
      <c r="P65" s="672" t="inlineStr">
        <is>
          <t>土</t>
        </is>
      </c>
      <c r="Q65" s="672" t="inlineStr">
        <is>
          <t>日</t>
        </is>
      </c>
      <c r="R65" s="673" t="inlineStr">
        <is>
          <t>祝</t>
        </is>
      </c>
      <c r="S65" s="2004" t="inlineStr">
        <is>
          <t>休業日</t>
        </is>
      </c>
      <c r="T65" s="2007" t="inlineStr">
        <is>
          <t>年末年始</t>
        </is>
      </c>
      <c r="U65" s="4082" t="n"/>
      <c r="V65" s="2014" t="n"/>
      <c r="W65" s="4082" t="n"/>
      <c r="X65" s="4082" t="n"/>
      <c r="Y65" s="4082" t="n"/>
      <c r="Z65" s="4082" t="n"/>
      <c r="AA65" s="4082" t="n"/>
      <c r="AB65" s="4356" t="n"/>
      <c r="AC65" s="2236" t="inlineStr">
        <is>
          <t>備　考</t>
        </is>
      </c>
      <c r="AD65" s="4479" t="n"/>
      <c r="AE65" s="4082" t="n"/>
      <c r="AF65" s="4082" t="n"/>
      <c r="AG65" s="4082" t="n"/>
      <c r="AH65" s="4083" t="n"/>
    </row>
    <row r="66" ht="12" customHeight="1" s="4080" thickBot="1">
      <c r="A66" s="4097" t="n"/>
      <c r="B66" s="4107" t="n"/>
      <c r="C66" s="4106" t="n"/>
      <c r="J66" s="4107" t="n"/>
      <c r="K66" s="2351" t="inlineStr">
        <is>
          <t xml:space="preserve">　</t>
        </is>
      </c>
      <c r="L66" s="2353" t="n"/>
      <c r="M66" s="2353" t="n"/>
      <c r="N66" s="2353" t="n"/>
      <c r="O66" s="2353" t="n"/>
      <c r="P66" s="2353" t="n"/>
      <c r="Q66" s="2353" t="n"/>
      <c r="R66" s="2355" t="n"/>
      <c r="S66" s="4282" t="n"/>
      <c r="T66" s="2008" t="inlineStr">
        <is>
          <t>夏季</t>
        </is>
      </c>
      <c r="V66" s="937" t="n"/>
      <c r="AB66" s="4107" t="n"/>
      <c r="AC66" s="4282" t="n"/>
      <c r="AD66" s="4192" t="n"/>
      <c r="AH66" s="4109" t="n"/>
    </row>
    <row r="67" ht="12" customHeight="1" s="4080">
      <c r="A67" s="4097" t="n"/>
      <c r="B67" s="4107" t="n"/>
      <c r="C67" s="4420" t="n"/>
      <c r="D67" s="4087" t="n"/>
      <c r="E67" s="4087" t="n"/>
      <c r="F67" s="4087" t="n"/>
      <c r="G67" s="4087" t="n"/>
      <c r="H67" s="4087" t="n"/>
      <c r="I67" s="4087" t="n"/>
      <c r="J67" s="4410" t="n"/>
      <c r="K67" s="4500" t="n"/>
      <c r="L67" s="4501" t="n"/>
      <c r="M67" s="4501" t="n"/>
      <c r="N67" s="4501" t="n"/>
      <c r="O67" s="4501" t="n"/>
      <c r="P67" s="4501" t="n"/>
      <c r="Q67" s="4501" t="n"/>
      <c r="R67" s="4502" t="n"/>
      <c r="S67" s="4421" t="n"/>
      <c r="T67" s="1610" t="inlineStr">
        <is>
          <t>その他</t>
        </is>
      </c>
      <c r="U67" s="4103" t="n"/>
      <c r="V67" s="940" t="n"/>
      <c r="W67" s="4103" t="n"/>
      <c r="X67" s="4103" t="n"/>
      <c r="Y67" s="4103" t="n"/>
      <c r="Z67" s="4103" t="n"/>
      <c r="AA67" s="4103" t="n"/>
      <c r="AB67" s="4104" t="n"/>
      <c r="AC67" s="4421" t="n"/>
      <c r="AD67" s="4480" t="n"/>
      <c r="AE67" s="4087" t="n"/>
      <c r="AF67" s="4087" t="n"/>
      <c r="AG67" s="4087" t="n"/>
      <c r="AH67" s="4088" t="n"/>
    </row>
    <row r="68" ht="3.95" customHeight="1" s="4080">
      <c r="A68" s="4097" t="n"/>
      <c r="B68" s="4107" t="n"/>
      <c r="C68" s="1393" t="n"/>
      <c r="D68" s="1264" t="inlineStr">
        <is>
          <t>営業時間</t>
        </is>
      </c>
      <c r="E68" s="4098" t="n"/>
      <c r="F68" s="4098" t="n"/>
      <c r="G68" s="4098" t="n"/>
      <c r="H68" s="4098" t="n"/>
      <c r="I68" s="4098" t="n"/>
      <c r="J68" s="4223" t="n"/>
      <c r="K68" s="4287" t="inlineStr">
        <is>
          <t>平日</t>
        </is>
      </c>
      <c r="L68" s="4098" t="n"/>
      <c r="M68" s="4190" t="n"/>
      <c r="N68" s="1590" t="n"/>
      <c r="O68" s="4098" t="n"/>
      <c r="P68" s="2842" t="inlineStr">
        <is>
          <t>時</t>
        </is>
      </c>
      <c r="Q68" s="1323" t="n"/>
      <c r="R68" s="1323" t="n"/>
      <c r="S68" s="4288" t="inlineStr">
        <is>
          <t>分～</t>
        </is>
      </c>
      <c r="T68" s="4098" t="n"/>
      <c r="U68" s="108" t="inlineStr">
        <is>
          <t xml:space="preserve">　</t>
        </is>
      </c>
      <c r="V68" s="1591" t="n"/>
      <c r="W68" s="4098" t="n"/>
      <c r="X68" s="2842" t="inlineStr">
        <is>
          <t>時</t>
        </is>
      </c>
      <c r="Y68" s="2834" t="n"/>
      <c r="Z68" s="2834" t="n"/>
      <c r="AA68" s="2842" t="inlineStr">
        <is>
          <t>分</t>
        </is>
      </c>
      <c r="AB68" s="2844" t="n"/>
      <c r="AC68" s="4098" t="n"/>
      <c r="AD68" s="4098" t="n"/>
      <c r="AE68" s="4098" t="n"/>
      <c r="AF68" s="4098" t="n"/>
      <c r="AG68" s="4098" t="n"/>
      <c r="AH68" s="4101" t="n"/>
    </row>
    <row r="69" ht="12" customHeight="1" s="4080">
      <c r="A69" s="4097" t="n"/>
      <c r="B69" s="4107" t="n"/>
      <c r="C69" s="4106" t="n"/>
      <c r="J69" s="4107" t="n"/>
      <c r="K69" s="4106" t="n"/>
      <c r="M69" s="4191" t="n"/>
      <c r="N69" s="1589" t="n"/>
      <c r="Q69" s="1325" t="n"/>
      <c r="U69" s="1257" t="n"/>
      <c r="Y69" s="1580" t="n"/>
      <c r="AH69" s="4109" t="n"/>
    </row>
    <row r="70" ht="3.95" customHeight="1" s="4080">
      <c r="A70" s="4097" t="n"/>
      <c r="B70" s="4107" t="n"/>
      <c r="C70" s="4106" t="n"/>
      <c r="J70" s="4107" t="n"/>
      <c r="K70" s="4145" t="n"/>
      <c r="L70" s="4146" t="n"/>
      <c r="M70" s="4201" t="n"/>
      <c r="N70" s="1586" t="n"/>
      <c r="O70" s="1587" t="n"/>
      <c r="P70" s="4146" t="n"/>
      <c r="Q70" s="1585" t="n"/>
      <c r="R70" s="1585" t="n"/>
      <c r="S70" s="4146" t="n"/>
      <c r="T70" s="4146" t="n"/>
      <c r="U70" s="2253" t="n"/>
      <c r="V70" s="1587" t="n"/>
      <c r="W70" s="1587" t="n"/>
      <c r="X70" s="4146" t="n"/>
      <c r="Y70" s="101" t="n"/>
      <c r="Z70" s="101" t="n"/>
      <c r="AA70" s="4146" t="n"/>
      <c r="AB70" s="4146" t="n"/>
      <c r="AC70" s="4146" t="n"/>
      <c r="AD70" s="4146" t="n"/>
      <c r="AE70" s="4146" t="n"/>
      <c r="AF70" s="4146" t="n"/>
      <c r="AG70" s="4146" t="n"/>
      <c r="AH70" s="4305" t="n"/>
    </row>
    <row r="71" ht="3.95" customHeight="1" s="4080">
      <c r="A71" s="4097" t="n"/>
      <c r="B71" s="4107" t="n"/>
      <c r="C71" s="4106" t="n"/>
      <c r="J71" s="4107" t="n"/>
      <c r="K71" s="4289" t="inlineStr">
        <is>
          <t>土曜</t>
        </is>
      </c>
      <c r="L71" s="4290" t="n"/>
      <c r="M71" s="4291" t="n"/>
      <c r="N71" s="1581" t="n"/>
      <c r="O71" s="4290" t="n"/>
      <c r="P71" s="1514" t="inlineStr">
        <is>
          <t>時</t>
        </is>
      </c>
      <c r="Q71" s="1583" t="n"/>
      <c r="R71" s="1583" t="n"/>
      <c r="S71" s="4292" t="inlineStr">
        <is>
          <t>分～</t>
        </is>
      </c>
      <c r="T71" s="4290" t="n"/>
      <c r="U71" s="98" t="inlineStr">
        <is>
          <t xml:space="preserve">　</t>
        </is>
      </c>
      <c r="V71" s="1582" t="n"/>
      <c r="W71" s="1582" t="n"/>
      <c r="X71" s="1514" t="inlineStr">
        <is>
          <t>時</t>
        </is>
      </c>
      <c r="Y71" s="96" t="n"/>
      <c r="Z71" s="96" t="n"/>
      <c r="AA71" s="1514" t="inlineStr">
        <is>
          <t>分</t>
        </is>
      </c>
      <c r="AB71" s="4481" t="n"/>
      <c r="AC71" s="4290" t="n"/>
      <c r="AD71" s="4290" t="n"/>
      <c r="AE71" s="4290" t="n"/>
      <c r="AF71" s="4290" t="n"/>
      <c r="AG71" s="4290" t="n"/>
      <c r="AH71" s="4482" t="n"/>
    </row>
    <row r="72" ht="12" customHeight="1" s="4080">
      <c r="A72" s="4097" t="n"/>
      <c r="B72" s="4107" t="n"/>
      <c r="C72" s="4106" t="n"/>
      <c r="J72" s="4107" t="n"/>
      <c r="K72" s="4106" t="n"/>
      <c r="M72" s="4191" t="n"/>
      <c r="N72" s="1589" t="n"/>
      <c r="Q72" s="1325" t="n"/>
      <c r="U72" s="1257" t="n"/>
      <c r="Y72" s="1580" t="n"/>
      <c r="AH72" s="4109" t="n"/>
    </row>
    <row r="73" ht="3.95" customHeight="1" s="4080">
      <c r="A73" s="4097" t="n"/>
      <c r="B73" s="4107" t="n"/>
      <c r="C73" s="4106" t="n"/>
      <c r="J73" s="4107" t="n"/>
      <c r="K73" s="4145" t="n"/>
      <c r="L73" s="4146" t="n"/>
      <c r="M73" s="4201" t="n"/>
      <c r="N73" s="1586" t="n"/>
      <c r="O73" s="1587" t="n"/>
      <c r="P73" s="4146" t="n"/>
      <c r="Q73" s="1585" t="n"/>
      <c r="R73" s="1585" t="n"/>
      <c r="S73" s="4146" t="n"/>
      <c r="T73" s="4146" t="n"/>
      <c r="U73" s="103" t="n"/>
      <c r="V73" s="1587" t="n"/>
      <c r="W73" s="1587" t="n"/>
      <c r="X73" s="4146" t="n"/>
      <c r="Y73" s="101" t="n"/>
      <c r="Z73" s="101" t="n"/>
      <c r="AA73" s="4146" t="n"/>
      <c r="AB73" s="4146" t="n"/>
      <c r="AC73" s="4146" t="n"/>
      <c r="AD73" s="4146" t="n"/>
      <c r="AE73" s="4146" t="n"/>
      <c r="AF73" s="4146" t="n"/>
      <c r="AG73" s="4146" t="n"/>
      <c r="AH73" s="4305" t="n"/>
    </row>
    <row r="74" ht="3.95" customHeight="1" s="4080">
      <c r="A74" s="4097" t="n"/>
      <c r="B74" s="4107" t="n"/>
      <c r="C74" s="4106" t="n"/>
      <c r="J74" s="4107" t="n"/>
      <c r="K74" s="4293" t="inlineStr">
        <is>
          <t>日・祝日</t>
        </is>
      </c>
      <c r="L74" s="4290" t="n"/>
      <c r="M74" s="4291" t="n"/>
      <c r="N74" s="1581" t="n"/>
      <c r="O74" s="4290" t="n"/>
      <c r="P74" s="1521" t="inlineStr">
        <is>
          <t>時</t>
        </is>
      </c>
      <c r="Q74" s="1583" t="n"/>
      <c r="R74" s="1583" t="n"/>
      <c r="S74" s="4294" t="inlineStr">
        <is>
          <t>分～</t>
        </is>
      </c>
      <c r="T74" s="4290" t="n"/>
      <c r="U74" s="98" t="inlineStr">
        <is>
          <t xml:space="preserve">　</t>
        </is>
      </c>
      <c r="V74" s="1582" t="n"/>
      <c r="W74" s="1582" t="n"/>
      <c r="X74" s="1521" t="inlineStr">
        <is>
          <t>時</t>
        </is>
      </c>
      <c r="Y74" s="96" t="n"/>
      <c r="Z74" s="96" t="n"/>
      <c r="AA74" s="1521" t="inlineStr">
        <is>
          <t>分</t>
        </is>
      </c>
      <c r="AB74" s="4483" t="n"/>
      <c r="AC74" s="4290" t="n"/>
      <c r="AD74" s="4290" t="n"/>
      <c r="AE74" s="4290" t="n"/>
      <c r="AF74" s="4290" t="n"/>
      <c r="AG74" s="4290" t="n"/>
      <c r="AH74" s="4482" t="n"/>
    </row>
    <row r="75" ht="12" customHeight="1" s="4080">
      <c r="A75" s="4097" t="n"/>
      <c r="B75" s="4107" t="n"/>
      <c r="C75" s="4106" t="n"/>
      <c r="J75" s="4107" t="n"/>
      <c r="K75" s="4106" t="n"/>
      <c r="M75" s="4191" t="n"/>
      <c r="N75" s="1589" t="n"/>
      <c r="Q75" s="1325" t="n"/>
      <c r="U75" s="1257" t="n"/>
      <c r="Y75" s="1580" t="n"/>
      <c r="AH75" s="4109" t="n"/>
    </row>
    <row r="76" ht="3.95" customHeight="1" s="4080">
      <c r="A76" s="4097" t="n"/>
      <c r="B76" s="4107" t="n"/>
      <c r="C76" s="4102" t="n"/>
      <c r="D76" s="4103" t="n"/>
      <c r="E76" s="4103" t="n"/>
      <c r="F76" s="4103" t="n"/>
      <c r="G76" s="4103" t="n"/>
      <c r="H76" s="4103" t="n"/>
      <c r="I76" s="4103" t="n"/>
      <c r="J76" s="4104" t="n"/>
      <c r="K76" s="4102" t="n"/>
      <c r="L76" s="4103" t="n"/>
      <c r="M76" s="4193" t="n"/>
      <c r="N76" s="1588" t="n"/>
      <c r="O76" s="1258" t="n"/>
      <c r="P76" s="4103" t="n"/>
      <c r="Q76" s="1327" t="n"/>
      <c r="R76" s="1327" t="n"/>
      <c r="S76" s="4103" t="n"/>
      <c r="T76" s="4103" t="n"/>
      <c r="U76" s="92" t="n"/>
      <c r="V76" s="1258" t="n"/>
      <c r="W76" s="1258" t="n"/>
      <c r="X76" s="4103" t="n"/>
      <c r="Y76" s="2836" t="n"/>
      <c r="Z76" s="2836" t="n"/>
      <c r="AA76" s="4103" t="n"/>
      <c r="AB76" s="4103" t="n"/>
      <c r="AC76" s="4103" t="n"/>
      <c r="AD76" s="4103" t="n"/>
      <c r="AE76" s="4103" t="n"/>
      <c r="AF76" s="4103" t="n"/>
      <c r="AG76" s="4103" t="n"/>
      <c r="AH76" s="4105" t="n"/>
    </row>
    <row r="77" ht="12" customHeight="1" s="4080">
      <c r="A77" s="4097" t="n"/>
      <c r="B77" s="4107" t="n"/>
      <c r="C77" s="1322" t="n"/>
      <c r="D77" s="1264" t="inlineStr">
        <is>
          <t>サービス提供日</t>
        </is>
      </c>
      <c r="E77" s="4098" t="n"/>
      <c r="F77" s="4098" t="n"/>
      <c r="G77" s="4098" t="n"/>
      <c r="H77" s="4098" t="n"/>
      <c r="I77" s="4098" t="n"/>
      <c r="J77" s="2027" t="n"/>
      <c r="K77" s="2244" t="inlineStr">
        <is>
          <t>月</t>
        </is>
      </c>
      <c r="L77" s="2245" t="inlineStr">
        <is>
          <t>火</t>
        </is>
      </c>
      <c r="M77" s="2245" t="inlineStr">
        <is>
          <t>水</t>
        </is>
      </c>
      <c r="N77" s="2245" t="inlineStr">
        <is>
          <t>木</t>
        </is>
      </c>
      <c r="O77" s="2245" t="inlineStr">
        <is>
          <t>金</t>
        </is>
      </c>
      <c r="P77" s="2245" t="inlineStr">
        <is>
          <t>土</t>
        </is>
      </c>
      <c r="Q77" s="2245" t="inlineStr">
        <is>
          <t>日</t>
        </is>
      </c>
      <c r="R77" s="2249" t="inlineStr">
        <is>
          <t>祝</t>
        </is>
      </c>
      <c r="S77" s="4279" t="inlineStr">
        <is>
          <t>休業日</t>
        </is>
      </c>
      <c r="T77" s="1611" t="inlineStr">
        <is>
          <t>年末年始</t>
        </is>
      </c>
      <c r="U77" s="4098" t="n"/>
      <c r="V77" s="934" t="n"/>
      <c r="W77" s="4098" t="n"/>
      <c r="X77" s="4098" t="n"/>
      <c r="Y77" s="4098" t="n"/>
      <c r="Z77" s="4098" t="n"/>
      <c r="AA77" s="4098" t="n"/>
      <c r="AB77" s="4099" t="n"/>
      <c r="AC77" s="4280" t="inlineStr">
        <is>
          <t>備　考</t>
        </is>
      </c>
      <c r="AD77" s="4281" t="n"/>
      <c r="AE77" s="4098" t="n"/>
      <c r="AF77" s="4098" t="n"/>
      <c r="AG77" s="4098" t="n"/>
      <c r="AH77" s="4101" t="n"/>
    </row>
    <row r="78" ht="12" customHeight="1" s="4080">
      <c r="A78" s="4097" t="n"/>
      <c r="B78" s="4107" t="n"/>
      <c r="C78" s="4106" t="n"/>
      <c r="J78" s="4107" t="n"/>
      <c r="K78" s="2244" t="inlineStr">
        <is>
          <t xml:space="preserve">　</t>
        </is>
      </c>
      <c r="L78" s="2245" t="n"/>
      <c r="M78" s="2245" t="n"/>
      <c r="N78" s="2245" t="n"/>
      <c r="O78" s="2245" t="n"/>
      <c r="P78" s="2245" t="n"/>
      <c r="Q78" s="2245" t="n"/>
      <c r="R78" s="2249" t="n"/>
      <c r="S78" s="4282" t="n"/>
      <c r="T78" s="1609" t="inlineStr">
        <is>
          <t>夏季</t>
        </is>
      </c>
      <c r="V78" s="937" t="n"/>
      <c r="AB78" s="4107" t="n"/>
      <c r="AC78" s="4282" t="n"/>
      <c r="AD78" s="4192" t="n"/>
      <c r="AH78" s="4109" t="n"/>
    </row>
    <row r="79" ht="12" customHeight="1" s="4080">
      <c r="A79" s="4097" t="n"/>
      <c r="B79" s="4107" t="n"/>
      <c r="C79" s="4106" t="n"/>
      <c r="D79" s="4103" t="n"/>
      <c r="E79" s="4103" t="n"/>
      <c r="F79" s="4103" t="n"/>
      <c r="G79" s="4103" t="n"/>
      <c r="H79" s="4103" t="n"/>
      <c r="I79" s="4103" t="n"/>
      <c r="J79" s="4107" t="n"/>
      <c r="K79" s="4283" t="n"/>
      <c r="L79" s="4284" t="n"/>
      <c r="M79" s="4284" t="n"/>
      <c r="N79" s="4284" t="n"/>
      <c r="O79" s="4284" t="n"/>
      <c r="P79" s="4284" t="n"/>
      <c r="Q79" s="4284" t="n"/>
      <c r="R79" s="4285" t="n"/>
      <c r="S79" s="4286" t="n"/>
      <c r="T79" s="1610" t="inlineStr">
        <is>
          <t>その他</t>
        </is>
      </c>
      <c r="U79" s="4103" t="n"/>
      <c r="V79" s="940" t="n"/>
      <c r="W79" s="4103" t="n"/>
      <c r="X79" s="4103" t="n"/>
      <c r="Y79" s="4103" t="n"/>
      <c r="Z79" s="4103" t="n"/>
      <c r="AA79" s="4103" t="n"/>
      <c r="AB79" s="4104" t="n"/>
      <c r="AC79" s="4286" t="n"/>
      <c r="AD79" s="4194" t="n"/>
      <c r="AE79" s="4103" t="n"/>
      <c r="AF79" s="4103" t="n"/>
      <c r="AG79" s="4103" t="n"/>
      <c r="AH79" s="4105" t="n"/>
    </row>
    <row r="80" ht="15.95" customHeight="1" s="4080">
      <c r="A80" s="4097" t="n"/>
      <c r="B80" s="4107" t="n"/>
      <c r="C80" s="1322" t="n"/>
      <c r="D80" s="1402" t="inlineStr">
        <is>
          <t>サービス提供時間</t>
        </is>
      </c>
      <c r="E80" s="4098" t="n"/>
      <c r="F80" s="4098" t="n"/>
      <c r="G80" s="4098" t="n"/>
      <c r="H80" s="4098" t="n"/>
      <c r="I80" s="4098" t="n"/>
      <c r="J80" s="1288" t="n"/>
      <c r="K80" s="2322" t="n"/>
      <c r="L80" s="4110" t="n"/>
      <c r="M80" s="4110" t="n"/>
      <c r="N80" s="1355" t="inlineStr">
        <is>
          <t>時</t>
        </is>
      </c>
      <c r="O80" s="2324" t="n"/>
      <c r="P80" s="4110" t="n"/>
      <c r="Q80" s="2325" t="inlineStr">
        <is>
          <t>分～</t>
        </is>
      </c>
      <c r="R80" s="4110" t="n"/>
      <c r="S80" s="2323" t="n"/>
      <c r="T80" s="4110" t="n"/>
      <c r="U80" s="4110" t="n"/>
      <c r="V80" s="1325" t="inlineStr">
        <is>
          <t>時</t>
        </is>
      </c>
      <c r="W80" s="1645" t="n"/>
      <c r="X80" s="4110" t="n"/>
      <c r="Y80" s="1325" t="inlineStr">
        <is>
          <t>分</t>
        </is>
      </c>
      <c r="Z80" s="2834" t="n"/>
      <c r="AA80" s="4278" t="n"/>
      <c r="AB80" s="4110" t="n"/>
      <c r="AC80" s="4110" t="n"/>
      <c r="AD80" s="4110" t="n"/>
      <c r="AE80" s="4110" t="n"/>
      <c r="AF80" s="4110" t="n"/>
      <c r="AG80" s="4110" t="n"/>
      <c r="AH80" s="4113" t="n"/>
    </row>
    <row r="81" ht="15.95" customHeight="1" s="4080">
      <c r="A81" s="4097" t="n"/>
      <c r="B81" s="4107" t="n"/>
      <c r="C81" s="1393" t="n"/>
      <c r="D81" s="4222" t="inlineStr">
        <is>
          <t>サービスを提供
する主たる対象者</t>
        </is>
      </c>
      <c r="E81" s="4098" t="n"/>
      <c r="F81" s="4098" t="n"/>
      <c r="G81" s="4098" t="n"/>
      <c r="H81" s="4098" t="n"/>
      <c r="I81" s="4098" t="n"/>
      <c r="J81" s="4223" t="n"/>
      <c r="K81" s="4952" t="inlineStr">
        <is>
          <t>身体障害者</t>
        </is>
      </c>
      <c r="L81" s="4138" t="n"/>
      <c r="M81" s="4138" t="n"/>
      <c r="N81" s="4138" t="n"/>
      <c r="O81" s="4138" t="n"/>
      <c r="P81" s="4138" t="n"/>
      <c r="Q81" s="4138" t="n"/>
      <c r="R81" s="4138" t="n"/>
      <c r="S81" s="4138" t="n"/>
      <c r="T81" s="4138" t="n"/>
      <c r="U81" s="4138" t="n"/>
      <c r="V81" s="4139" t="n"/>
      <c r="W81" s="4425" t="inlineStr">
        <is>
          <t>知的障害者</t>
        </is>
      </c>
      <c r="X81" s="4098" t="n"/>
      <c r="Y81" s="4098" t="n"/>
      <c r="Z81" s="4099" t="n"/>
      <c r="AA81" s="4425" t="inlineStr">
        <is>
          <t>精神障害者</t>
        </is>
      </c>
      <c r="AB81" s="4098" t="n"/>
      <c r="AC81" s="4098" t="n"/>
      <c r="AD81" s="4099" t="n"/>
      <c r="AE81" s="4426" t="inlineStr">
        <is>
          <t>難病等対象者</t>
        </is>
      </c>
      <c r="AF81" s="4098" t="n"/>
      <c r="AG81" s="4098" t="n"/>
      <c r="AH81" s="4099" t="n"/>
    </row>
    <row r="82" ht="15.95" customHeight="1" s="4080">
      <c r="A82" s="4097" t="n"/>
      <c r="B82" s="4107" t="n"/>
      <c r="C82" s="4106" t="n"/>
      <c r="J82" s="4107" t="n"/>
      <c r="K82" s="3931" t="inlineStr">
        <is>
          <t>肢体不自由</t>
        </is>
      </c>
      <c r="L82" s="4103" t="n"/>
      <c r="M82" s="4103" t="n"/>
      <c r="N82" s="4193" t="n"/>
      <c r="O82" s="4953" t="inlineStr">
        <is>
          <t>視覚</t>
        </is>
      </c>
      <c r="P82" s="4249" t="n"/>
      <c r="Q82" s="4250" t="inlineStr">
        <is>
          <t>聴覚・言語</t>
        </is>
      </c>
      <c r="R82" s="4140" t="n"/>
      <c r="S82" s="4140" t="n"/>
      <c r="T82" s="4249" t="n"/>
      <c r="U82" s="4954" t="inlineStr">
        <is>
          <t>内部</t>
        </is>
      </c>
      <c r="V82" s="4141" t="n"/>
      <c r="W82" s="4102" t="n"/>
      <c r="X82" s="4103" t="n"/>
      <c r="Y82" s="4103" t="n"/>
      <c r="Z82" s="4104" t="n"/>
      <c r="AA82" s="4102" t="n"/>
      <c r="AB82" s="4103" t="n"/>
      <c r="AC82" s="4103" t="n"/>
      <c r="AD82" s="4104" t="n"/>
      <c r="AE82" s="4102" t="n"/>
      <c r="AF82" s="4103" t="n"/>
      <c r="AG82" s="4103" t="n"/>
      <c r="AH82" s="4104" t="n"/>
    </row>
    <row r="83" ht="15.95" customHeight="1" s="4080">
      <c r="A83" s="4097" t="n"/>
      <c r="B83" s="4107" t="n"/>
      <c r="C83" s="4102" t="n"/>
      <c r="D83" s="4103" t="n"/>
      <c r="E83" s="4103" t="n"/>
      <c r="F83" s="4103" t="n"/>
      <c r="G83" s="4103" t="n"/>
      <c r="H83" s="4103" t="n"/>
      <c r="I83" s="4103" t="n"/>
      <c r="J83" s="4104" t="n"/>
      <c r="K83" s="3096" t="n"/>
      <c r="L83" s="4140" t="n"/>
      <c r="M83" s="4140" t="n"/>
      <c r="N83" s="4249" t="n"/>
      <c r="O83" s="2699" t="inlineStr">
        <is>
          <t xml:space="preserve">　</t>
        </is>
      </c>
      <c r="P83" s="4110" t="n"/>
      <c r="Q83" s="3925" t="n"/>
      <c r="R83" s="4110" t="n"/>
      <c r="S83" s="4110" t="n"/>
      <c r="T83" s="4189" t="n"/>
      <c r="U83" s="1280" t="inlineStr">
        <is>
          <t xml:space="preserve">　</t>
        </is>
      </c>
      <c r="V83" s="4111" t="n"/>
      <c r="W83" s="988" t="n"/>
      <c r="X83" s="4110" t="n"/>
      <c r="Y83" s="4110" t="n"/>
      <c r="Z83" s="4111" t="n"/>
      <c r="AA83" s="1663" t="n"/>
      <c r="AB83" s="4140" t="n"/>
      <c r="AC83" s="4140" t="n"/>
      <c r="AD83" s="4141" t="n"/>
      <c r="AE83" s="1663" t="n"/>
      <c r="AF83" s="4140" t="n"/>
      <c r="AG83" s="4140" t="n"/>
      <c r="AH83" s="4141" t="n"/>
    </row>
    <row r="84" ht="15" customHeight="1" s="4080">
      <c r="A84" s="4097" t="n"/>
      <c r="B84" s="4107" t="n"/>
      <c r="C84" s="1393" t="n"/>
      <c r="D84" s="1264" t="inlineStr">
        <is>
          <t>利用料</t>
        </is>
      </c>
      <c r="E84" s="4110" t="n"/>
      <c r="F84" s="4110" t="n"/>
      <c r="G84" s="4110" t="n"/>
      <c r="H84" s="4110" t="n"/>
      <c r="I84" s="4110" t="n"/>
      <c r="J84" s="1394" t="n"/>
      <c r="K84" s="4636" t="inlineStr">
        <is>
          <t xml:space="preserve">　</t>
        </is>
      </c>
      <c r="L84" s="4110" t="n"/>
      <c r="M84" s="4110" t="n"/>
      <c r="N84" s="4110" t="n"/>
      <c r="O84" s="4110" t="n"/>
      <c r="P84" s="4110" t="n"/>
      <c r="Q84" s="4110" t="n"/>
      <c r="R84" s="4110" t="n"/>
      <c r="S84" s="4110" t="n"/>
      <c r="T84" s="4110" t="n"/>
      <c r="U84" s="4110" t="n"/>
      <c r="V84" s="4110" t="n"/>
      <c r="W84" s="4110" t="n"/>
      <c r="X84" s="4110" t="n"/>
      <c r="Y84" s="4110" t="n"/>
      <c r="Z84" s="4110" t="n"/>
      <c r="AA84" s="4110" t="n"/>
      <c r="AB84" s="4110" t="n"/>
      <c r="AC84" s="4110" t="n"/>
      <c r="AD84" s="4110" t="n"/>
      <c r="AE84" s="4110" t="n"/>
      <c r="AF84" s="4110" t="n"/>
      <c r="AG84" s="4110" t="n"/>
      <c r="AH84" s="4113" t="n"/>
    </row>
    <row r="85" ht="15" customHeight="1" s="4080">
      <c r="A85" s="4097" t="n"/>
      <c r="B85" s="4107" t="n"/>
      <c r="C85" s="1322" t="n"/>
      <c r="D85" s="1264" t="inlineStr">
        <is>
          <t>その他の費用</t>
        </is>
      </c>
      <c r="E85" s="4110" t="n"/>
      <c r="F85" s="4110" t="n"/>
      <c r="G85" s="4110" t="n"/>
      <c r="H85" s="4110" t="n"/>
      <c r="I85" s="4110" t="n"/>
      <c r="J85" s="1331" t="n"/>
      <c r="K85" s="4121" t="n"/>
      <c r="L85" s="4110" t="n"/>
      <c r="M85" s="4110" t="n"/>
      <c r="N85" s="4110" t="n"/>
      <c r="O85" s="4110" t="n"/>
      <c r="P85" s="4110" t="n"/>
      <c r="Q85" s="4110" t="n"/>
      <c r="R85" s="4110" t="n"/>
      <c r="S85" s="4110" t="n"/>
      <c r="T85" s="4110" t="n"/>
      <c r="U85" s="4110" t="n"/>
      <c r="V85" s="4110" t="n"/>
      <c r="W85" s="4110" t="n"/>
      <c r="X85" s="4110" t="n"/>
      <c r="Y85" s="4110" t="n"/>
      <c r="Z85" s="4110" t="n"/>
      <c r="AA85" s="4110" t="n"/>
      <c r="AB85" s="4110" t="n"/>
      <c r="AC85" s="4110" t="n"/>
      <c r="AD85" s="4110" t="n"/>
      <c r="AE85" s="4110" t="n"/>
      <c r="AF85" s="4110" t="n"/>
      <c r="AG85" s="4110" t="n"/>
      <c r="AH85" s="4113" t="n"/>
    </row>
    <row r="86" ht="24" customHeight="1" s="4080">
      <c r="A86" s="4097" t="n"/>
      <c r="B86" s="4107" t="n"/>
      <c r="C86" s="1300" t="n"/>
      <c r="D86" s="4222" t="inlineStr">
        <is>
          <t>通常の事業の
実施地域</t>
        </is>
      </c>
      <c r="E86" s="4098" t="n"/>
      <c r="F86" s="4098" t="n"/>
      <c r="G86" s="4098" t="n"/>
      <c r="H86" s="4098" t="n"/>
      <c r="I86" s="4098" t="n"/>
      <c r="J86" s="1963" t="n"/>
      <c r="K86" s="3272" t="inlineStr">
        <is>
          <t>1)</t>
        </is>
      </c>
      <c r="L86" s="1406" t="n"/>
      <c r="M86" s="4110" t="n"/>
      <c r="N86" s="4110" t="n"/>
      <c r="O86" s="2325" t="inlineStr">
        <is>
          <t>2)</t>
        </is>
      </c>
      <c r="P86" s="1406" t="n"/>
      <c r="Q86" s="4110" t="n"/>
      <c r="R86" s="4110" t="n"/>
      <c r="S86" s="2325" t="inlineStr">
        <is>
          <t>3)</t>
        </is>
      </c>
      <c r="T86" s="1406" t="n"/>
      <c r="U86" s="4110" t="n"/>
      <c r="V86" s="4110" t="n"/>
      <c r="W86" s="2325" t="inlineStr">
        <is>
          <t>4)</t>
        </is>
      </c>
      <c r="X86" s="1406" t="n"/>
      <c r="Y86" s="4110" t="n"/>
      <c r="Z86" s="4110" t="n"/>
      <c r="AA86" s="2325" t="inlineStr">
        <is>
          <t>5)</t>
        </is>
      </c>
      <c r="AB86" s="1406" t="n"/>
      <c r="AC86" s="4110" t="n"/>
      <c r="AD86" s="4110" t="n"/>
      <c r="AE86" s="4229" t="inlineStr">
        <is>
          <t>備考</t>
        </is>
      </c>
      <c r="AF86" s="4230" t="n"/>
      <c r="AG86" s="4098" t="n"/>
      <c r="AH86" s="4101" t="n"/>
    </row>
    <row r="87" ht="24" customHeight="1" s="4080">
      <c r="A87" s="4097" t="n"/>
      <c r="B87" s="4107" t="n"/>
      <c r="C87" s="4102" t="n"/>
      <c r="D87" s="4103" t="n"/>
      <c r="E87" s="4103" t="n"/>
      <c r="F87" s="4103" t="n"/>
      <c r="G87" s="4103" t="n"/>
      <c r="H87" s="4103" t="n"/>
      <c r="I87" s="4103" t="n"/>
      <c r="J87" s="4104" t="n"/>
      <c r="K87" s="3272" t="inlineStr">
        <is>
          <t>6)</t>
        </is>
      </c>
      <c r="L87" s="1406" t="n"/>
      <c r="M87" s="4110" t="n"/>
      <c r="N87" s="4110" t="n"/>
      <c r="O87" s="2325" t="inlineStr">
        <is>
          <t>7)</t>
        </is>
      </c>
      <c r="P87" s="1406" t="n"/>
      <c r="Q87" s="4110" t="n"/>
      <c r="R87" s="4110" t="n"/>
      <c r="S87" s="2325" t="inlineStr">
        <is>
          <t>8)</t>
        </is>
      </c>
      <c r="T87" s="1406" t="n"/>
      <c r="U87" s="4110" t="n"/>
      <c r="V87" s="4110" t="n"/>
      <c r="W87" s="2325" t="inlineStr">
        <is>
          <t>9)</t>
        </is>
      </c>
      <c r="X87" s="1406" t="n"/>
      <c r="Y87" s="4110" t="n"/>
      <c r="Z87" s="4110" t="n"/>
      <c r="AA87" s="71" t="inlineStr">
        <is>
          <t>10)</t>
        </is>
      </c>
      <c r="AB87" s="1406" t="n"/>
      <c r="AC87" s="4110" t="n"/>
      <c r="AD87" s="4110" t="n"/>
      <c r="AE87" s="4124" t="n"/>
      <c r="AF87" s="4102" t="n"/>
      <c r="AG87" s="4103" t="n"/>
      <c r="AH87" s="4105" t="n"/>
    </row>
    <row r="88" ht="24" customHeight="1" s="4080">
      <c r="A88" s="4097" t="n"/>
      <c r="B88" s="4107" t="n"/>
      <c r="C88" s="4955" t="inlineStr">
        <is>
          <t>その他参考となる事項</t>
        </is>
      </c>
      <c r="D88" s="4099" t="n"/>
      <c r="E88" s="2744" t="inlineStr">
        <is>
          <t>第三者評価の実施状況</t>
        </is>
      </c>
      <c r="F88" s="4110" t="n"/>
      <c r="G88" s="4110" t="n"/>
      <c r="H88" s="4110" t="n"/>
      <c r="I88" s="4110" t="n"/>
      <c r="J88" s="4111" t="n"/>
      <c r="K88" s="3272" t="n"/>
      <c r="L88" s="1406" t="n"/>
      <c r="M88" s="1406" t="n"/>
      <c r="N88" s="1406" t="n"/>
      <c r="O88" s="2325" t="n"/>
      <c r="P88" s="1406" t="n"/>
      <c r="Q88" s="1406" t="n"/>
      <c r="R88" s="1406" t="n"/>
      <c r="S88" s="2325" t="n"/>
      <c r="T88" s="1406" t="n"/>
      <c r="U88" s="1406" t="n"/>
      <c r="V88" s="1406" t="n"/>
      <c r="W88" s="2325" t="n"/>
      <c r="X88" s="1406" t="n"/>
      <c r="Y88" s="1406" t="n"/>
      <c r="Z88" s="1406" t="n"/>
      <c r="AA88" s="71" t="n"/>
      <c r="AB88" s="1406" t="n"/>
      <c r="AC88" s="1406" t="n"/>
      <c r="AD88" s="1406" t="n"/>
      <c r="AE88" s="675" t="n"/>
      <c r="AF88" s="1020" t="n"/>
      <c r="AG88" s="1020" t="n"/>
      <c r="AH88" s="1425" t="n"/>
    </row>
    <row r="89" ht="15" customHeight="1" s="4080">
      <c r="A89" s="4097" t="n"/>
      <c r="B89" s="4107" t="n"/>
      <c r="C89" s="4106" t="n"/>
      <c r="D89" s="4107" t="n"/>
      <c r="E89" s="1439" t="inlineStr">
        <is>
          <t>苦情解決の措置概要</t>
        </is>
      </c>
      <c r="F89" s="4098" t="n"/>
      <c r="G89" s="4098" t="n"/>
      <c r="H89" s="4098" t="n"/>
      <c r="I89" s="4098" t="n"/>
      <c r="J89" s="4099" t="n"/>
      <c r="K89" s="2542" t="inlineStr">
        <is>
          <t>窓　口</t>
        </is>
      </c>
      <c r="L89" s="4110" t="n"/>
      <c r="M89" s="4111" t="n"/>
      <c r="N89" s="4121" t="inlineStr">
        <is>
          <t xml:space="preserve">　</t>
        </is>
      </c>
      <c r="O89" s="4110" t="n"/>
      <c r="P89" s="4110" t="n"/>
      <c r="Q89" s="4110" t="n"/>
      <c r="R89" s="4110" t="n"/>
      <c r="S89" s="4110" t="n"/>
      <c r="T89" s="4110" t="n"/>
      <c r="U89" s="4110" t="n"/>
      <c r="V89" s="4110" t="n"/>
      <c r="W89" s="4110" t="n"/>
      <c r="X89" s="4110" t="n"/>
      <c r="Y89" s="4110" t="n"/>
      <c r="Z89" s="4110" t="n"/>
      <c r="AA89" s="4110" t="n"/>
      <c r="AB89" s="4110" t="n"/>
      <c r="AC89" s="4110" t="n"/>
      <c r="AD89" s="4110" t="n"/>
      <c r="AE89" s="4110" t="n"/>
      <c r="AF89" s="4110" t="n"/>
      <c r="AG89" s="4110" t="n"/>
      <c r="AH89" s="4113" t="n"/>
    </row>
    <row r="90" ht="15" customHeight="1" s="4080">
      <c r="A90" s="4097" t="n"/>
      <c r="B90" s="4107" t="n"/>
      <c r="C90" s="4106" t="n"/>
      <c r="D90" s="4107" t="n"/>
      <c r="E90" s="4103" t="n"/>
      <c r="F90" s="4103" t="n"/>
      <c r="G90" s="4103" t="n"/>
      <c r="H90" s="4103" t="n"/>
      <c r="I90" s="4103" t="n"/>
      <c r="J90" s="4104" t="n"/>
      <c r="K90" s="2542" t="inlineStr">
        <is>
          <t>担当者</t>
        </is>
      </c>
      <c r="L90" s="4110" t="n"/>
      <c r="M90" s="4111" t="n"/>
      <c r="N90" s="4233" t="n"/>
      <c r="O90" s="4110" t="n"/>
      <c r="P90" s="4110" t="n"/>
      <c r="Q90" s="4110" t="n"/>
      <c r="R90" s="4110" t="n"/>
      <c r="S90" s="4110" t="n"/>
      <c r="T90" s="4110" t="n"/>
      <c r="U90" s="4111" t="n"/>
      <c r="V90" s="2163" t="inlineStr">
        <is>
          <t>電話</t>
        </is>
      </c>
      <c r="W90" s="4111" t="n"/>
      <c r="X90" s="882" t="n"/>
      <c r="Y90" s="4110" t="n"/>
      <c r="Z90" s="4110" t="n"/>
      <c r="AA90" s="1492" t="inlineStr">
        <is>
          <t>－</t>
        </is>
      </c>
      <c r="AB90" s="920" t="n"/>
      <c r="AC90" s="4110" t="n"/>
      <c r="AD90" s="4110" t="n"/>
      <c r="AE90" s="1492" t="inlineStr">
        <is>
          <t>－</t>
        </is>
      </c>
      <c r="AF90" s="955" t="n"/>
      <c r="AG90" s="4110" t="n"/>
      <c r="AH90" s="4113" t="n"/>
    </row>
    <row r="91" ht="15" customHeight="1" s="4080">
      <c r="A91" s="4114" t="n"/>
      <c r="B91" s="4104" t="n"/>
      <c r="C91" s="4102" t="n"/>
      <c r="D91" s="4104" t="n"/>
      <c r="E91" s="1394" t="inlineStr">
        <is>
          <t>そ　　 の 　　他</t>
        </is>
      </c>
      <c r="F91" s="4110" t="n"/>
      <c r="G91" s="4110" t="n"/>
      <c r="H91" s="4110" t="n"/>
      <c r="I91" s="4110" t="n"/>
      <c r="J91" s="4111" t="n"/>
      <c r="K91" s="4121" t="n"/>
      <c r="L91" s="4110" t="n"/>
      <c r="M91" s="4110" t="n"/>
      <c r="N91" s="4110" t="n"/>
      <c r="O91" s="4110" t="n"/>
      <c r="P91" s="4110" t="n"/>
      <c r="Q91" s="4110" t="n"/>
      <c r="R91" s="4110" t="n"/>
      <c r="S91" s="4110" t="n"/>
      <c r="T91" s="4110" t="n"/>
      <c r="U91" s="4110" t="n"/>
      <c r="V91" s="4110" t="n"/>
      <c r="W91" s="4110" t="n"/>
      <c r="X91" s="4110" t="n"/>
      <c r="Y91" s="4110" t="n"/>
      <c r="Z91" s="4110" t="n"/>
      <c r="AA91" s="4110" t="n"/>
      <c r="AB91" s="4110" t="n"/>
      <c r="AC91" s="4110" t="n"/>
      <c r="AD91" s="4110" t="n"/>
      <c r="AE91" s="4110" t="n"/>
      <c r="AF91" s="4110" t="n"/>
      <c r="AG91" s="4110" t="n"/>
      <c r="AH91" s="4113" t="n"/>
    </row>
    <row r="92" ht="17.1" customHeight="1" s="4080" thickBot="1">
      <c r="A92" s="4234" t="inlineStr">
        <is>
          <t>添　　付　　書　　類</t>
        </is>
      </c>
      <c r="B92" s="4153" t="n"/>
      <c r="C92" s="4153" t="n"/>
      <c r="D92" s="4153" t="n"/>
      <c r="E92" s="4153" t="n"/>
      <c r="F92" s="4153" t="n"/>
      <c r="G92" s="4153" t="n"/>
      <c r="H92" s="4153" t="n"/>
      <c r="I92" s="4153" t="n"/>
      <c r="J92" s="4154" t="n"/>
      <c r="K92" s="4235" t="inlineStr">
        <is>
          <t xml:space="preserve">　別紙「添付書類一覧表」のとおり</t>
        </is>
      </c>
      <c r="L92" s="4153" t="n"/>
      <c r="M92" s="4153" t="n"/>
      <c r="N92" s="4153" t="n"/>
      <c r="O92" s="4153" t="n"/>
      <c r="P92" s="4153" t="n"/>
      <c r="Q92" s="4153" t="n"/>
      <c r="R92" s="4153" t="n"/>
      <c r="S92" s="4153" t="n"/>
      <c r="T92" s="4153" t="n"/>
      <c r="U92" s="4153" t="n"/>
      <c r="V92" s="4153" t="n"/>
      <c r="W92" s="4153" t="n"/>
      <c r="X92" s="4153" t="n"/>
      <c r="Y92" s="4153" t="n"/>
      <c r="Z92" s="4153" t="n"/>
      <c r="AA92" s="4153" t="n"/>
      <c r="AB92" s="4153" t="n"/>
      <c r="AC92" s="4153" t="n"/>
      <c r="AD92" s="4153" t="n"/>
      <c r="AE92" s="4153" t="n"/>
      <c r="AF92" s="4153" t="n"/>
      <c r="AG92" s="4153" t="n"/>
      <c r="AH92" s="4155" t="n"/>
    </row>
    <row r="94">
      <c r="AD94" s="1667" t="inlineStr">
        <is>
          <t>自立生活支援</t>
        </is>
      </c>
    </row>
  </sheetData>
  <mergeCells count="390">
    <mergeCell ref="AC48:AD48"/>
    <mergeCell ref="AF63:AH63"/>
    <mergeCell ref="B3:F3"/>
    <mergeCell ref="K84:AH84"/>
    <mergeCell ref="K56:M56"/>
    <mergeCell ref="C81:C83"/>
    <mergeCell ref="K71:M73"/>
    <mergeCell ref="W62:AB62"/>
    <mergeCell ref="AF86:AH87"/>
    <mergeCell ref="V18:AH18"/>
    <mergeCell ref="S80:U80"/>
    <mergeCell ref="N33:R33"/>
    <mergeCell ref="O26:P26"/>
    <mergeCell ref="T64:U64"/>
    <mergeCell ref="V79:AB79"/>
    <mergeCell ref="W60:Y60"/>
    <mergeCell ref="K26:N26"/>
    <mergeCell ref="U83:V83"/>
    <mergeCell ref="H3:L3"/>
    <mergeCell ref="AD77:AH79"/>
    <mergeCell ref="C47:E52"/>
    <mergeCell ref="K74:M76"/>
    <mergeCell ref="AC62:AH62"/>
    <mergeCell ref="T67:U67"/>
    <mergeCell ref="X87:Z87"/>
    <mergeCell ref="T54:V54"/>
    <mergeCell ref="F13:I13"/>
    <mergeCell ref="L66:L67"/>
    <mergeCell ref="N66:N67"/>
    <mergeCell ref="V45:AH45"/>
    <mergeCell ref="Z56:AB56"/>
    <mergeCell ref="F35:H35"/>
    <mergeCell ref="W80:X80"/>
    <mergeCell ref="W59:Y59"/>
    <mergeCell ref="Q59:S59"/>
    <mergeCell ref="V51:AA51"/>
    <mergeCell ref="A27:A52"/>
    <mergeCell ref="P74:P76"/>
    <mergeCell ref="V65:AB65"/>
    <mergeCell ref="P68:P70"/>
    <mergeCell ref="W61:Y61"/>
    <mergeCell ref="T60:V60"/>
    <mergeCell ref="Q61:S61"/>
    <mergeCell ref="C55:J55"/>
    <mergeCell ref="W81:Z82"/>
    <mergeCell ref="AC64:AD64"/>
    <mergeCell ref="T40:X40"/>
    <mergeCell ref="K66:K67"/>
    <mergeCell ref="M66:M67"/>
    <mergeCell ref="X11:Z11"/>
    <mergeCell ref="V35:AA35"/>
    <mergeCell ref="Z25:AH25"/>
    <mergeCell ref="AC3:AC4"/>
    <mergeCell ref="I48:R48"/>
    <mergeCell ref="AE3:AE4"/>
    <mergeCell ref="AE81:AH82"/>
    <mergeCell ref="F38:H38"/>
    <mergeCell ref="AC60:AE60"/>
    <mergeCell ref="Q72:R72"/>
    <mergeCell ref="X71:X73"/>
    <mergeCell ref="F5:AH5"/>
    <mergeCell ref="AF90:AH90"/>
    <mergeCell ref="AD65:AH67"/>
    <mergeCell ref="X90:Z90"/>
    <mergeCell ref="N9:N10"/>
    <mergeCell ref="W53:AB53"/>
    <mergeCell ref="AB3:AB4"/>
    <mergeCell ref="AD3:AD4"/>
    <mergeCell ref="X68:X70"/>
    <mergeCell ref="Q54:S54"/>
    <mergeCell ref="S65:S67"/>
    <mergeCell ref="K63:M63"/>
    <mergeCell ref="J41:M43"/>
    <mergeCell ref="N61:P61"/>
    <mergeCell ref="P14:Q16"/>
    <mergeCell ref="P86:R86"/>
    <mergeCell ref="C77:C79"/>
    <mergeCell ref="B27:B39"/>
    <mergeCell ref="T65:U65"/>
    <mergeCell ref="V49:AA49"/>
    <mergeCell ref="C27:E27"/>
    <mergeCell ref="AF11:AH11"/>
    <mergeCell ref="H64:I64"/>
    <mergeCell ref="V36:AA36"/>
    <mergeCell ref="N71:O71"/>
    <mergeCell ref="C53:J54"/>
    <mergeCell ref="W17:AH17"/>
    <mergeCell ref="T79:U79"/>
    <mergeCell ref="D86:I87"/>
    <mergeCell ref="Y69:Z69"/>
    <mergeCell ref="Q11:S11"/>
    <mergeCell ref="V50:AA50"/>
    <mergeCell ref="K57:P57"/>
    <mergeCell ref="W83:Z83"/>
    <mergeCell ref="W19:AH19"/>
    <mergeCell ref="X26:Y26"/>
    <mergeCell ref="S74:T76"/>
    <mergeCell ref="N54:P54"/>
    <mergeCell ref="S68:T70"/>
    <mergeCell ref="C17:M19"/>
    <mergeCell ref="T14:V16"/>
    <mergeCell ref="O78:O79"/>
    <mergeCell ref="N56:P56"/>
    <mergeCell ref="K55:M55"/>
    <mergeCell ref="T63:V63"/>
    <mergeCell ref="C14:E16"/>
    <mergeCell ref="X74:X76"/>
    <mergeCell ref="C40:E40"/>
    <mergeCell ref="U72:W72"/>
    <mergeCell ref="N3:O3"/>
    <mergeCell ref="Q64:R64"/>
    <mergeCell ref="N68:O68"/>
    <mergeCell ref="Z23:AH23"/>
    <mergeCell ref="AC35:AD35"/>
    <mergeCell ref="Z59:AB59"/>
    <mergeCell ref="J81:J83"/>
    <mergeCell ref="Z24:AH24"/>
    <mergeCell ref="AF61:AH61"/>
    <mergeCell ref="X86:Z86"/>
    <mergeCell ref="C86:C87"/>
    <mergeCell ref="V77:AB77"/>
    <mergeCell ref="AA80:AH80"/>
    <mergeCell ref="C61:J61"/>
    <mergeCell ref="W44:AH44"/>
    <mergeCell ref="X14:AH16"/>
    <mergeCell ref="O82:P82"/>
    <mergeCell ref="Q62:V62"/>
    <mergeCell ref="P25:X25"/>
    <mergeCell ref="L87:N87"/>
    <mergeCell ref="A12:S12"/>
    <mergeCell ref="Q75:R75"/>
    <mergeCell ref="Y72:Z72"/>
    <mergeCell ref="V66:AB66"/>
    <mergeCell ref="K91:AH91"/>
    <mergeCell ref="S17:U19"/>
    <mergeCell ref="AE83:AH83"/>
    <mergeCell ref="K85:AH85"/>
    <mergeCell ref="Q60:S60"/>
    <mergeCell ref="P41:Q43"/>
    <mergeCell ref="E91:J91"/>
    <mergeCell ref="K53:P53"/>
    <mergeCell ref="N78:N79"/>
    <mergeCell ref="P78:P79"/>
    <mergeCell ref="J77:J79"/>
    <mergeCell ref="T66:U66"/>
    <mergeCell ref="N69:O69"/>
    <mergeCell ref="F11:H11"/>
    <mergeCell ref="J27:M27"/>
    <mergeCell ref="P21:AH21"/>
    <mergeCell ref="V48:AA48"/>
    <mergeCell ref="W33:AH33"/>
    <mergeCell ref="N90:U90"/>
    <mergeCell ref="Z61:AB61"/>
    <mergeCell ref="C88:D91"/>
    <mergeCell ref="T11:W11"/>
    <mergeCell ref="AB71:AH73"/>
    <mergeCell ref="AF48:AG48"/>
    <mergeCell ref="P13:S13"/>
    <mergeCell ref="C41:E43"/>
    <mergeCell ref="K82:N82"/>
    <mergeCell ref="C62:J62"/>
    <mergeCell ref="M78:M79"/>
    <mergeCell ref="D77:I79"/>
    <mergeCell ref="I38:R38"/>
    <mergeCell ref="O83:P83"/>
    <mergeCell ref="C11:E11"/>
    <mergeCell ref="K83:N83"/>
    <mergeCell ref="W46:AH46"/>
    <mergeCell ref="C20:J26"/>
    <mergeCell ref="U3:X4"/>
    <mergeCell ref="AB68:AH70"/>
    <mergeCell ref="J14:M16"/>
    <mergeCell ref="V67:AB67"/>
    <mergeCell ref="J40:M40"/>
    <mergeCell ref="C68:C76"/>
    <mergeCell ref="S8:AH8"/>
    <mergeCell ref="Q80:R80"/>
    <mergeCell ref="C28:E30"/>
    <mergeCell ref="T13:X13"/>
    <mergeCell ref="H63:J63"/>
    <mergeCell ref="K92:AH92"/>
    <mergeCell ref="K89:M89"/>
    <mergeCell ref="F8:I8"/>
    <mergeCell ref="E64:G64"/>
    <mergeCell ref="AA81:AD82"/>
    <mergeCell ref="K24:N25"/>
    <mergeCell ref="AE26:AF26"/>
    <mergeCell ref="V68:W68"/>
    <mergeCell ref="AG26:AH26"/>
    <mergeCell ref="W54:Y54"/>
    <mergeCell ref="K90:M90"/>
    <mergeCell ref="I35:R35"/>
    <mergeCell ref="P23:X23"/>
    <mergeCell ref="W56:Y56"/>
    <mergeCell ref="AF59:AH59"/>
    <mergeCell ref="N72:O72"/>
    <mergeCell ref="AC63:AE63"/>
    <mergeCell ref="W58:AB58"/>
    <mergeCell ref="S47:U52"/>
    <mergeCell ref="AB74:AH76"/>
    <mergeCell ref="AF64:AG64"/>
    <mergeCell ref="AA3:AA4"/>
    <mergeCell ref="Z64:AA64"/>
    <mergeCell ref="AF51:AG51"/>
    <mergeCell ref="Q82:T82"/>
    <mergeCell ref="U69:W69"/>
    <mergeCell ref="N31:R31"/>
    <mergeCell ref="D68:I76"/>
    <mergeCell ref="Y12:Z12"/>
    <mergeCell ref="AA12:AB12"/>
    <mergeCell ref="E89:J90"/>
    <mergeCell ref="AC57:AH57"/>
    <mergeCell ref="D65:I67"/>
    <mergeCell ref="X41:AH43"/>
    <mergeCell ref="AB90:AD90"/>
    <mergeCell ref="AF54:AH54"/>
    <mergeCell ref="F27:I27"/>
    <mergeCell ref="T55:V55"/>
    <mergeCell ref="AC58:AH58"/>
    <mergeCell ref="AC55:AE55"/>
    <mergeCell ref="Z3:Z4"/>
    <mergeCell ref="T78:U78"/>
    <mergeCell ref="S71:T73"/>
    <mergeCell ref="Z60:AB60"/>
    <mergeCell ref="N44:R44"/>
    <mergeCell ref="P24:X24"/>
    <mergeCell ref="J28:M30"/>
    <mergeCell ref="A63:D64"/>
    <mergeCell ref="Z55:AB55"/>
    <mergeCell ref="E88:J88"/>
    <mergeCell ref="M11:O11"/>
    <mergeCell ref="U75:W75"/>
    <mergeCell ref="I51:R51"/>
    <mergeCell ref="A1:W1"/>
    <mergeCell ref="W64:X64"/>
    <mergeCell ref="T41:V43"/>
    <mergeCell ref="N59:P59"/>
    <mergeCell ref="N40:O43"/>
    <mergeCell ref="P20:AH20"/>
    <mergeCell ref="N27:O30"/>
    <mergeCell ref="C13:E13"/>
    <mergeCell ref="B40:B52"/>
    <mergeCell ref="F6:AH7"/>
    <mergeCell ref="O66:O67"/>
    <mergeCell ref="Q66:Q67"/>
    <mergeCell ref="U82:V82"/>
    <mergeCell ref="Y3:Y4"/>
    <mergeCell ref="J68:J76"/>
    <mergeCell ref="T87:V87"/>
    <mergeCell ref="Y75:Z75"/>
    <mergeCell ref="T59:V59"/>
    <mergeCell ref="AA74:AA76"/>
    <mergeCell ref="Q63:S63"/>
    <mergeCell ref="AA68:AA70"/>
    <mergeCell ref="K58:P58"/>
    <mergeCell ref="K59:M59"/>
    <mergeCell ref="N13:O16"/>
    <mergeCell ref="P71:P73"/>
    <mergeCell ref="K61:M61"/>
    <mergeCell ref="C56:J56"/>
    <mergeCell ref="U12:V12"/>
    <mergeCell ref="V37:AA37"/>
    <mergeCell ref="W12:X12"/>
    <mergeCell ref="Q57:V57"/>
    <mergeCell ref="P27:S27"/>
    <mergeCell ref="V38:AA38"/>
    <mergeCell ref="AF3:AF4"/>
    <mergeCell ref="AH3:AH4"/>
    <mergeCell ref="A5:B11"/>
    <mergeCell ref="P28:Q30"/>
    <mergeCell ref="F9:H10"/>
    <mergeCell ref="U26:V26"/>
    <mergeCell ref="Q55:S55"/>
    <mergeCell ref="J8:N8"/>
    <mergeCell ref="L78:L79"/>
    <mergeCell ref="J86:J87"/>
    <mergeCell ref="AA71:AA73"/>
    <mergeCell ref="C8:E10"/>
    <mergeCell ref="T61:V61"/>
    <mergeCell ref="A92:J92"/>
    <mergeCell ref="N46:R46"/>
    <mergeCell ref="F48:H48"/>
    <mergeCell ref="R26:S26"/>
    <mergeCell ref="AB87:AD87"/>
    <mergeCell ref="J13:M13"/>
    <mergeCell ref="A65:B91"/>
    <mergeCell ref="P66:P67"/>
    <mergeCell ref="N64:O64"/>
    <mergeCell ref="R66:R67"/>
    <mergeCell ref="T28:V30"/>
    <mergeCell ref="P40:S40"/>
    <mergeCell ref="D85:I85"/>
    <mergeCell ref="C60:J60"/>
    <mergeCell ref="S77:S79"/>
    <mergeCell ref="AC77:AC79"/>
    <mergeCell ref="AF56:AH56"/>
    <mergeCell ref="K78:K79"/>
    <mergeCell ref="AE86:AE87"/>
    <mergeCell ref="AF35:AG35"/>
    <mergeCell ref="Q3:S3"/>
    <mergeCell ref="I11:K11"/>
    <mergeCell ref="N63:P63"/>
    <mergeCell ref="K54:M54"/>
    <mergeCell ref="D80:I80"/>
    <mergeCell ref="C57:J57"/>
    <mergeCell ref="F41:I43"/>
    <mergeCell ref="T77:U77"/>
    <mergeCell ref="Q58:V58"/>
    <mergeCell ref="V32:AH32"/>
    <mergeCell ref="N75:O75"/>
    <mergeCell ref="AB11:AD11"/>
    <mergeCell ref="N60:P60"/>
    <mergeCell ref="X28:AH30"/>
    <mergeCell ref="AC26:AD26"/>
    <mergeCell ref="T86:V86"/>
    <mergeCell ref="AG3:AG4"/>
    <mergeCell ref="K62:P62"/>
    <mergeCell ref="Q56:S56"/>
    <mergeCell ref="N55:P55"/>
    <mergeCell ref="D84:I84"/>
    <mergeCell ref="V90:W90"/>
    <mergeCell ref="AF38:AG38"/>
    <mergeCell ref="A13:B26"/>
    <mergeCell ref="K60:M60"/>
    <mergeCell ref="F51:H51"/>
    <mergeCell ref="K20:N21"/>
    <mergeCell ref="Z22:AH22"/>
    <mergeCell ref="P9:AH10"/>
    <mergeCell ref="W31:AH31"/>
    <mergeCell ref="K64:L64"/>
    <mergeCell ref="AC12:AD12"/>
    <mergeCell ref="AE12:AF12"/>
    <mergeCell ref="C6:E7"/>
    <mergeCell ref="AF60:AH60"/>
    <mergeCell ref="Q78:Q79"/>
    <mergeCell ref="C31:M33"/>
    <mergeCell ref="N17:R17"/>
    <mergeCell ref="C58:J59"/>
    <mergeCell ref="Q53:V53"/>
    <mergeCell ref="A53:B62"/>
    <mergeCell ref="L86:N86"/>
    <mergeCell ref="N19:R19"/>
    <mergeCell ref="E63:G63"/>
    <mergeCell ref="P8:R8"/>
    <mergeCell ref="AA83:AD83"/>
    <mergeCell ref="F28:I30"/>
    <mergeCell ref="Z26:AA26"/>
    <mergeCell ref="AF55:AH55"/>
    <mergeCell ref="F14:I16"/>
    <mergeCell ref="K22:N23"/>
    <mergeCell ref="T56:V56"/>
    <mergeCell ref="C34:E39"/>
    <mergeCell ref="Q69:R69"/>
    <mergeCell ref="AC59:AE59"/>
    <mergeCell ref="Z63:AB63"/>
    <mergeCell ref="Q83:T83"/>
    <mergeCell ref="AC38:AD38"/>
    <mergeCell ref="AC61:AE61"/>
    <mergeCell ref="V78:AB78"/>
    <mergeCell ref="K80:M80"/>
    <mergeCell ref="AC51:AD51"/>
    <mergeCell ref="S31:U33"/>
    <mergeCell ref="T27:X27"/>
    <mergeCell ref="R78:R79"/>
    <mergeCell ref="D81:I83"/>
    <mergeCell ref="AC53:AH53"/>
    <mergeCell ref="K81:V81"/>
    <mergeCell ref="W63:Y63"/>
    <mergeCell ref="AB86:AD86"/>
    <mergeCell ref="AC65:AC67"/>
    <mergeCell ref="AC54:AE54"/>
    <mergeCell ref="AC56:AE56"/>
    <mergeCell ref="P87:R87"/>
    <mergeCell ref="C44:M46"/>
    <mergeCell ref="I9:M10"/>
    <mergeCell ref="F40:I40"/>
    <mergeCell ref="X1:AG2"/>
    <mergeCell ref="J65:J67"/>
    <mergeCell ref="W57:AB57"/>
    <mergeCell ref="N89:AH89"/>
    <mergeCell ref="O80:P80"/>
    <mergeCell ref="S44:U46"/>
    <mergeCell ref="K68:M70"/>
    <mergeCell ref="C5:E5"/>
    <mergeCell ref="Z54:AB54"/>
    <mergeCell ref="C65:C67"/>
    <mergeCell ref="N74:O74"/>
    <mergeCell ref="P22:X22"/>
    <mergeCell ref="W55:Y55"/>
    <mergeCell ref="S34:U39"/>
  </mergeCells>
  <conditionalFormatting sqref="AC64:AD64">
    <cfRule type="cellIs" priority="1" operator="lessThanOrEqual" dxfId="0" stopIfTrue="1">
      <formula>0</formula>
    </cfRule>
  </conditionalFormatting>
  <dataValidations count="18">
    <dataValidation sqref="K85:AH85" showDropDown="0" showInputMessage="1" showErrorMessage="1" allowBlank="1" type="list">
      <formula1>"　,運営規程に定めるとおり"</formula1>
    </dataValidation>
    <dataValidation sqref="F5:AH5 F13:M13 F27:M27 F40:M40" showDropDown="0" showInputMessage="1" showErrorMessage="1" allowBlank="1" imeMode="halfKatakana"/>
    <dataValidation sqref="K66:R67 K78:R79 K83 O83 Q83 U83 W83 AA83 AE83" showDropDown="0" showInputMessage="1" showErrorMessage="1" allowBlank="1" type="list">
      <formula1>"　,○"</formula1>
    </dataValidation>
    <dataValidation sqref="I11:K11 J8:N8 O80:P80 T13:X13 T27:X27 T40:X40 U12:V12 W80:X80 X90 Y3:AH4 Y12:Z12 Z80:AA80 AB90:AD90 AC12:AD12 AF90" showDropDown="0" showInputMessage="1" showErrorMessage="1" allowBlank="1" imeMode="fullAlpha"/>
    <dataValidation sqref="K80 S80" showDropDown="0" showInputMessage="1" showErrorMessage="1" allowBlank="1" type="list" imeMode="fullAlpha">
      <formula1>"　,１,２,３,４,５,６,７,８,９,１０,１１,１２,１３,１４,１５,１６,１７,１８,１９,２０,２１,２２,２３,２４"</formula1>
    </dataValidation>
    <dataValidation sqref="N69 N72 N75 U69:V69 U72:V72 U75:V75" showDropDown="0" showInputMessage="1" showErrorMessage="1" allowBlank="1" type="list">
      <formula1>"　,１,２,３,４,５,６,７,８,９,１０,１１,１２,１３,１４,１５,１６,１７,１８,１９,２０,２１,２２,２３,２４"</formula1>
    </dataValidation>
    <dataValidation sqref="M11:O11 Q11:S11 X11:Z11 AB11:AD11 AF11:AH11" showDropDown="0" showInputMessage="1" showErrorMessage="1" allowBlank="1" error="全角数字で入力してください" imeMode="fullAlpha"/>
    <dataValidation sqref="E37:H37 E50:H50 F34:G34 F47:G47 I34:O34 I47:O47 R37 R50 V34:AH34 V47:AH47" showDropDown="0" showInputMessage="1" showErrorMessage="1" allowBlank="1" error="この行には入力できません。_x000a_下の行に入力してください。" prompt="この行には入力できません。_x000a_下の行に入力してください。" imeMode="on"/>
    <dataValidation sqref="F36:H36 F39:H39 F49:H49 F52:H52 O36 O39 O49 O52" showDropDown="0" showInputMessage="1" showErrorMessage="1" allowBlank="1" error="この行には入力できません。_x000a_下の行に入力してください。" prompt="この行には入力できません。_x000a_上の行に入力してください。" imeMode="on"/>
    <dataValidation sqref="V18:AH18"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R26:S26 U26:V26 X26:Y26 AE26:AF26" showDropDown="0" showInputMessage="1" showErrorMessage="1" allowBlank="1" errorStyle="warning"/>
    <dataValidation sqref="O26:P26" showDropDown="0" showInputMessage="1" showErrorMessage="1" allowBlank="1" type="list" errorStyle="warning">
      <formula1>"　,７,８,９,１０,１１"</formula1>
    </dataValidation>
    <dataValidation sqref="AB26" showDropDown="0" showInputMessage="1" showErrorMessage="1" allowBlank="1" error="労働基準法では、１日当たりの労働時間は、原則８時間以内です。_x000a_法人の就業規則、労働基準局への届出等確認してください。" type="list" errorStyle="warning" imeMode="halfAlpha">
      <formula1>"　,１,２,３,４,５,６,７,８"</formula1>
    </dataValidation>
    <dataValidation sqref="I35:R35 I48:R48" showDropDown="0" showInputMessage="1" showErrorMessage="1" allowBlank="1" prompt="プルダウンメニューから選択してください。" type="list">
      <formula1>"　,相談支援業務5年以上,直接支援業務10年以上,直接支援業務5年以上＋有資格,国家資格業務5年以上＋相談支援業務3年以上,国家資格業務5年以上＋直接支援業務3年以上"</formula1>
    </dataValidation>
    <dataValidation sqref="V32:AH32 V45:AH45" showDropDown="0" showInputMessage="1" showErrorMessage="1" allowBlank="1" prompt="サービス管理責任者は、サービス提供職員との兼務はできません。" type="list" errorStyle="warning">
      <formula1>"　,管理者,事務職員,管理者、事務職員"</formula1>
    </dataValidation>
    <dataValidation sqref="H64:AA64 K55:AH57 K60:AH62 AC64:AD64" showDropDown="0" showInputMessage="1" showErrorMessage="1" allowBlank="1" imeMode="halfAlpha"/>
    <dataValidation sqref="I38:R38 I51:R51" showDropDown="0" showInputMessage="1" showErrorMessage="1" allowBlank="1" prompt="プルダウンメニューから選択してください。" type="list">
      <formula1>"　,社会福祉主事任用資格,訪問介護員1級,訪問介護員2級,居宅介護従業者1級,居宅介護従業者2級,児童指導員任用資格,保育士,医師,歯科医師,薬剤師,保健師,助産師,看護師,准看護師,理学療法士,作業療法士,社会福祉士,介護福祉士,視能訓練士,義肢装具士,歯科衛生士,言語聴覚士,あん摩マッサージ指圧師,はり師,きゅう師,柔道整復師,栄養士,管理栄養士,精神保健福祉士,社会復帰指導員"</formula1>
    </dataValidation>
    <dataValidation sqref="K84:AH84" showDropDown="0" showInputMessage="1" showErrorMessage="1" allowBlank="1" type="list" errorStyle="warning">
      <formula1>"　,厚生労働大臣が定める額"</formula1>
    </dataValidation>
  </dataValidations>
  <printOptions horizontalCentered="1"/>
  <pageMargins left="0.7086614173228347" right="0.5905511811023623" top="0.3937007874015748" bottom="0.3937007874015748" header="0.5118110236220472" footer="0.5118110236220472"/>
  <pageSetup orientation="portrait" paperSize="9" scale="98"/>
  <rowBreaks count="1" manualBreakCount="1">
    <brk id="64" min="0" max="33" man="1"/>
  </rowBreaks>
  <legacyDrawing xmlns:r="http://schemas.openxmlformats.org/officeDocument/2006/relationships" r:id="anysvml"/>
</worksheet>
</file>

<file path=xl/worksheets/sheet45.xml><?xml version="1.0" encoding="utf-8"?>
<worksheet xmlns="http://schemas.openxmlformats.org/spreadsheetml/2006/main">
  <sheetPr codeName="Sheet44">
    <outlinePr summaryBelow="1" summaryRight="1"/>
    <pageSetUpPr/>
  </sheetPr>
  <dimension ref="A1:AM94"/>
  <sheetViews>
    <sheetView showGridLines="0" view="pageBreakPreview" zoomScaleNormal="100" workbookViewId="0">
      <selection activeCell="G15" sqref="G15"/>
    </sheetView>
  </sheetViews>
  <sheetFormatPr baseColWidth="8" defaultColWidth="9" defaultRowHeight="12"/>
  <cols>
    <col width="2.25" customWidth="1" style="1667" min="1" max="2"/>
    <col width="2.625" customWidth="1" style="1667" min="3" max="34"/>
    <col width="1.625" customWidth="1" style="1667" min="35" max="35"/>
    <col width="9" customWidth="1" style="1667" min="36" max="16384"/>
  </cols>
  <sheetData>
    <row r="1" ht="17.1" customHeight="1" s="4080">
      <c r="A1" s="4002" t="inlineStr">
        <is>
          <t>付表24　自立生活援助事業所の指定に係る記載事項</t>
        </is>
      </c>
      <c r="X1" s="4004" t="inlineStr">
        <is>
          <t>（平成30年度6月以降版）</t>
        </is>
      </c>
      <c r="AM1" s="719">
        <f>HYPERLINK("#目次!A1","目次へ戻る")</f>
        <v/>
      </c>
    </row>
    <row r="2" ht="17.1" customHeight="1" s="4080" thickBot="1">
      <c r="A2" s="1213" t="n"/>
      <c r="B2" s="1213" t="n"/>
      <c r="C2" s="1213" t="n"/>
      <c r="D2" s="1213" t="n"/>
      <c r="E2" s="1213" t="n"/>
      <c r="F2" s="1213" t="n"/>
      <c r="G2" s="1213" t="n"/>
      <c r="H2" s="1213" t="n"/>
      <c r="I2" s="1213" t="n"/>
      <c r="J2" s="1213" t="n"/>
      <c r="K2" s="1213" t="n"/>
      <c r="L2" s="1213" t="n"/>
      <c r="M2" s="1213" t="n"/>
      <c r="N2" s="1213" t="n"/>
      <c r="O2" s="1213" t="n"/>
      <c r="P2" s="1213" t="n"/>
      <c r="Q2" s="1213" t="n"/>
      <c r="R2" s="1213" t="n"/>
      <c r="S2" s="1213" t="n"/>
      <c r="T2" s="1213" t="n"/>
      <c r="U2" s="487" t="n"/>
      <c r="V2" s="487" t="n"/>
      <c r="W2" s="487" t="n"/>
      <c r="X2" s="4087" t="n"/>
      <c r="Y2" s="4087" t="n"/>
      <c r="Z2" s="4087" t="n"/>
      <c r="AA2" s="4087" t="n"/>
      <c r="AB2" s="4087" t="n"/>
      <c r="AC2" s="4087" t="n"/>
      <c r="AD2" s="4087" t="n"/>
      <c r="AE2" s="4087" t="n"/>
      <c r="AF2" s="4087" t="n"/>
      <c r="AG2" s="4087" t="n"/>
      <c r="AH2" s="4087" t="n"/>
    </row>
    <row r="3" ht="15" customHeight="1" s="4080">
      <c r="A3" s="45" t="n"/>
      <c r="B3" s="1889" t="n"/>
      <c r="C3" s="1889" t="n"/>
      <c r="D3" s="1889" t="n"/>
      <c r="E3" s="1889" t="n"/>
      <c r="F3" s="1889" t="n"/>
      <c r="G3" s="2069" t="n"/>
      <c r="H3" s="1889" t="n"/>
      <c r="I3" s="1889" t="n"/>
      <c r="J3" s="1889" t="n"/>
      <c r="K3" s="1889" t="n"/>
      <c r="L3" s="1889" t="n"/>
      <c r="M3" s="45" t="n"/>
      <c r="N3" s="1889" t="n"/>
      <c r="P3" s="2069" t="n"/>
      <c r="Q3" s="1889" t="n"/>
      <c r="U3" s="4178" t="inlineStr">
        <is>
          <t>事業所番号</t>
        </is>
      </c>
      <c r="V3" s="4082" t="n"/>
      <c r="W3" s="4082" t="n"/>
      <c r="X3" s="4083" t="n"/>
      <c r="Y3" s="4084" t="n"/>
      <c r="Z3" s="4084" t="n"/>
      <c r="AA3" s="4084" t="n"/>
      <c r="AB3" s="4084" t="n"/>
      <c r="AC3" s="4084" t="n"/>
      <c r="AD3" s="4084" t="n"/>
      <c r="AE3" s="4084" t="n"/>
      <c r="AF3" s="4084" t="n"/>
      <c r="AG3" s="4084" t="n"/>
      <c r="AH3" s="4085" t="n"/>
    </row>
    <row r="4" ht="3.95" customHeight="1" s="4080" thickBot="1">
      <c r="B4" s="45" t="n"/>
      <c r="C4" s="48" t="n"/>
      <c r="D4" s="48" t="n"/>
      <c r="E4" s="48" t="n"/>
      <c r="F4" s="49" t="n"/>
      <c r="G4" s="48" t="n"/>
      <c r="H4" s="48" t="n"/>
      <c r="I4" s="48" t="n"/>
      <c r="J4" s="49" t="n"/>
      <c r="K4" s="48" t="n"/>
      <c r="L4" s="48" t="n"/>
      <c r="M4" s="48" t="n"/>
      <c r="N4" s="197" t="n"/>
      <c r="O4" s="197" t="n"/>
      <c r="P4" s="197" t="n"/>
      <c r="Q4" s="2345" t="n"/>
      <c r="R4" s="2345" t="n"/>
      <c r="S4" s="2345" t="n"/>
      <c r="T4" s="4015" t="n"/>
      <c r="U4" s="4086" t="n"/>
      <c r="V4" s="4087" t="n"/>
      <c r="W4" s="4087" t="n"/>
      <c r="X4" s="4088" t="n"/>
      <c r="Y4" s="4089" t="n"/>
      <c r="Z4" s="4089" t="n"/>
      <c r="AA4" s="4089" t="n"/>
      <c r="AB4" s="4089" t="n"/>
      <c r="AC4" s="4089" t="n"/>
      <c r="AD4" s="4089" t="n"/>
      <c r="AE4" s="4089" t="n"/>
      <c r="AF4" s="4089" t="n"/>
      <c r="AG4" s="4089" t="n"/>
      <c r="AH4" s="4090" t="n"/>
    </row>
    <row r="5" ht="14.1" customHeight="1" s="4080">
      <c r="A5" s="2506" t="inlineStr">
        <is>
          <t>事業所</t>
        </is>
      </c>
      <c r="B5" s="4356" t="n"/>
      <c r="C5" s="4180" t="inlineStr">
        <is>
          <t>ﾌﾘｶﾞﾅ</t>
        </is>
      </c>
      <c r="D5" s="4093" t="n"/>
      <c r="E5" s="4094" t="n"/>
      <c r="F5" s="4236" t="inlineStr">
        <is>
          <t>ｵｵｻｶｼﾔｸｼｮｼｮｳｶﾞｲﾌｸｼｻｰﾋﾞｽｾﾝﾀｰ</t>
        </is>
      </c>
      <c r="G5" s="4093" t="n"/>
      <c r="H5" s="4093" t="n"/>
      <c r="I5" s="4093" t="n"/>
      <c r="J5" s="4093" t="n"/>
      <c r="K5" s="4093" t="n"/>
      <c r="L5" s="4093" t="n"/>
      <c r="M5" s="4093" t="n"/>
      <c r="N5" s="4093" t="n"/>
      <c r="O5" s="4093" t="n"/>
      <c r="P5" s="4093" t="n"/>
      <c r="Q5" s="4093" t="n"/>
      <c r="R5" s="4093" t="n"/>
      <c r="S5" s="4093" t="n"/>
      <c r="T5" s="4093" t="n"/>
      <c r="U5" s="4093" t="n"/>
      <c r="V5" s="4093" t="n"/>
      <c r="W5" s="4093" t="n"/>
      <c r="X5" s="4093" t="n"/>
      <c r="Y5" s="4093" t="n"/>
      <c r="Z5" s="4093" t="n"/>
      <c r="AA5" s="4093" t="n"/>
      <c r="AB5" s="4093" t="n"/>
      <c r="AC5" s="4093" t="n"/>
      <c r="AD5" s="4093" t="n"/>
      <c r="AE5" s="4093" t="n"/>
      <c r="AF5" s="4093" t="n"/>
      <c r="AG5" s="4093" t="n"/>
      <c r="AH5" s="4096" t="n"/>
    </row>
    <row r="6" ht="14.1" customHeight="1" s="4080">
      <c r="A6" s="4097" t="n"/>
      <c r="B6" s="4107" t="n"/>
      <c r="C6" s="4181" t="inlineStr">
        <is>
          <t>名　称</t>
        </is>
      </c>
      <c r="D6" s="4098" t="n"/>
      <c r="E6" s="4099" t="n"/>
      <c r="F6" s="4237" t="inlineStr">
        <is>
          <t>大阪市役所障がい福祉サービスセンター</t>
        </is>
      </c>
      <c r="G6" s="4098" t="n"/>
      <c r="H6" s="4098" t="n"/>
      <c r="I6" s="4098" t="n"/>
      <c r="J6" s="4098" t="n"/>
      <c r="K6" s="4098" t="n"/>
      <c r="L6" s="4098" t="n"/>
      <c r="M6" s="4098" t="n"/>
      <c r="N6" s="4098" t="n"/>
      <c r="O6" s="4098" t="n"/>
      <c r="P6" s="4098" t="n"/>
      <c r="Q6" s="4098" t="n"/>
      <c r="R6" s="4098" t="n"/>
      <c r="S6" s="4098" t="n"/>
      <c r="T6" s="4098" t="n"/>
      <c r="U6" s="4098" t="n"/>
      <c r="V6" s="4098" t="n"/>
      <c r="W6" s="4098" t="n"/>
      <c r="X6" s="4098" t="n"/>
      <c r="Y6" s="4098" t="n"/>
      <c r="Z6" s="4098" t="n"/>
      <c r="AA6" s="4098" t="n"/>
      <c r="AB6" s="4098" t="n"/>
      <c r="AC6" s="4098" t="n"/>
      <c r="AD6" s="4098" t="n"/>
      <c r="AE6" s="4098" t="n"/>
      <c r="AF6" s="4098" t="n"/>
      <c r="AG6" s="4098" t="n"/>
      <c r="AH6" s="4101" t="n"/>
    </row>
    <row r="7" ht="14.1" customHeight="1" s="4080">
      <c r="A7" s="4097" t="n"/>
      <c r="B7" s="4107" t="n"/>
      <c r="C7" s="4102" t="n"/>
      <c r="D7" s="4103" t="n"/>
      <c r="E7" s="4104" t="n"/>
      <c r="F7" s="4102" t="n"/>
      <c r="G7" s="4103" t="n"/>
      <c r="H7" s="4103" t="n"/>
      <c r="I7" s="4103" t="n"/>
      <c r="J7" s="4103" t="n"/>
      <c r="K7" s="4103" t="n"/>
      <c r="L7" s="4103" t="n"/>
      <c r="M7" s="4103" t="n"/>
      <c r="N7" s="4103" t="n"/>
      <c r="O7" s="4103" t="n"/>
      <c r="P7" s="4103" t="n"/>
      <c r="Q7" s="4103" t="n"/>
      <c r="R7" s="4103" t="n"/>
      <c r="S7" s="4103" t="n"/>
      <c r="T7" s="4103" t="n"/>
      <c r="U7" s="4103" t="n"/>
      <c r="V7" s="4103" t="n"/>
      <c r="W7" s="4103" t="n"/>
      <c r="X7" s="4103" t="n"/>
      <c r="Y7" s="4103" t="n"/>
      <c r="Z7" s="4103" t="n"/>
      <c r="AA7" s="4103" t="n"/>
      <c r="AB7" s="4103" t="n"/>
      <c r="AC7" s="4103" t="n"/>
      <c r="AD7" s="4103" t="n"/>
      <c r="AE7" s="4103" t="n"/>
      <c r="AF7" s="4103" t="n"/>
      <c r="AG7" s="4103" t="n"/>
      <c r="AH7" s="4105" t="n"/>
    </row>
    <row r="8" ht="14.1" customHeight="1" s="4080">
      <c r="A8" s="4097" t="n"/>
      <c r="B8" s="4107" t="n"/>
      <c r="C8" s="4181" t="inlineStr">
        <is>
          <t>所在地</t>
        </is>
      </c>
      <c r="D8" s="4098" t="n"/>
      <c r="E8" s="4099" t="n"/>
      <c r="F8" s="1244" t="inlineStr">
        <is>
          <t>郵便番号（</t>
        </is>
      </c>
      <c r="G8" s="4098" t="n"/>
      <c r="H8" s="4098" t="n"/>
      <c r="I8" s="4098" t="n"/>
      <c r="J8" s="1742" t="inlineStr">
        <is>
          <t>５４０－８５７０</t>
        </is>
      </c>
      <c r="K8" s="4098" t="n"/>
      <c r="L8" s="4098" t="n"/>
      <c r="M8" s="4098" t="n"/>
      <c r="N8" s="4098" t="n"/>
      <c r="O8" s="1329" t="inlineStr">
        <is>
          <t>）</t>
        </is>
      </c>
      <c r="P8" s="1397" t="inlineStr">
        <is>
          <t>メールアドレス</t>
        </is>
      </c>
      <c r="Q8" s="4110" t="n"/>
      <c r="R8" s="4110" t="n"/>
      <c r="S8" s="4956" t="inlineStr">
        <is>
          <t>fa0260@city.osaka.lg.jp</t>
        </is>
      </c>
      <c r="T8" s="4110" t="n"/>
      <c r="U8" s="4110" t="n"/>
      <c r="V8" s="4110" t="n"/>
      <c r="W8" s="4110" t="n"/>
      <c r="X8" s="4110" t="n"/>
      <c r="Y8" s="4110" t="n"/>
      <c r="Z8" s="4110" t="n"/>
      <c r="AA8" s="4110" t="n"/>
      <c r="AB8" s="4110" t="n"/>
      <c r="AC8" s="4110" t="n"/>
      <c r="AD8" s="4110" t="n"/>
      <c r="AE8" s="4110" t="n"/>
      <c r="AF8" s="4110" t="n"/>
      <c r="AG8" s="4110" t="n"/>
      <c r="AH8" s="4113" t="n"/>
    </row>
    <row r="9" ht="14.1" customHeight="1" s="4080">
      <c r="A9" s="4097" t="n"/>
      <c r="B9" s="4107" t="n"/>
      <c r="C9" s="4106" t="n"/>
      <c r="E9" s="4107" t="n"/>
      <c r="F9" s="1255" t="inlineStr">
        <is>
          <t>大阪市</t>
        </is>
      </c>
      <c r="I9" s="2875" t="inlineStr">
        <is>
          <t>中央</t>
        </is>
      </c>
      <c r="N9" s="1327" t="inlineStr">
        <is>
          <t>区</t>
        </is>
      </c>
      <c r="O9" s="1325" t="n"/>
      <c r="P9" s="4957" t="inlineStr">
        <is>
          <t>船場中央三丁目１番７号-331号　船場センタービル７号館3階</t>
        </is>
      </c>
      <c r="Q9" s="4098" t="n"/>
      <c r="R9" s="4098" t="n"/>
      <c r="S9" s="4098" t="n"/>
      <c r="T9" s="4098" t="n"/>
      <c r="U9" s="4098" t="n"/>
      <c r="V9" s="4098" t="n"/>
      <c r="W9" s="4098" t="n"/>
      <c r="X9" s="4098" t="n"/>
      <c r="Y9" s="4098" t="n"/>
      <c r="Z9" s="4098" t="n"/>
      <c r="AA9" s="4098" t="n"/>
      <c r="AB9" s="4098" t="n"/>
      <c r="AC9" s="4098" t="n"/>
      <c r="AD9" s="4098" t="n"/>
      <c r="AE9" s="4098" t="n"/>
      <c r="AF9" s="4098" t="n"/>
      <c r="AG9" s="4098" t="n"/>
      <c r="AH9" s="4101" t="n"/>
    </row>
    <row r="10" ht="3.95" customHeight="1" s="4080">
      <c r="A10" s="4097" t="n"/>
      <c r="B10" s="4107" t="n"/>
      <c r="C10" s="4102" t="n"/>
      <c r="D10" s="4103" t="n"/>
      <c r="E10" s="4104" t="n"/>
      <c r="F10" s="4102" t="n"/>
      <c r="G10" s="4103" t="n"/>
      <c r="H10" s="4103" t="n"/>
      <c r="I10" s="4103" t="n"/>
      <c r="J10" s="4103" t="n"/>
      <c r="K10" s="4103" t="n"/>
      <c r="L10" s="4103" t="n"/>
      <c r="M10" s="4103" t="n"/>
      <c r="N10" s="4103" t="n"/>
      <c r="O10" s="1296" t="n"/>
      <c r="P10" s="4103" t="n"/>
      <c r="Q10" s="4103" t="n"/>
      <c r="R10" s="4103" t="n"/>
      <c r="S10" s="4103" t="n"/>
      <c r="T10" s="4103" t="n"/>
      <c r="U10" s="4103" t="n"/>
      <c r="V10" s="4103" t="n"/>
      <c r="W10" s="4103" t="n"/>
      <c r="X10" s="4103" t="n"/>
      <c r="Y10" s="4103" t="n"/>
      <c r="Z10" s="4103" t="n"/>
      <c r="AA10" s="4103" t="n"/>
      <c r="AB10" s="4103" t="n"/>
      <c r="AC10" s="4103" t="n"/>
      <c r="AD10" s="4103" t="n"/>
      <c r="AE10" s="4103" t="n"/>
      <c r="AF10" s="4103" t="n"/>
      <c r="AG10" s="4103" t="n"/>
      <c r="AH10" s="4105" t="n"/>
    </row>
    <row r="11" ht="15" customHeight="1" s="4080">
      <c r="A11" s="4097" t="n"/>
      <c r="B11" s="4107" t="n"/>
      <c r="C11" s="4181" t="inlineStr">
        <is>
          <t>連絡先</t>
        </is>
      </c>
      <c r="D11" s="4110" t="n"/>
      <c r="E11" s="4111" t="n"/>
      <c r="F11" s="4274" t="inlineStr">
        <is>
          <t>電話番号</t>
        </is>
      </c>
      <c r="G11" s="4110" t="n"/>
      <c r="H11" s="4111" t="n"/>
      <c r="I11" s="1479" t="inlineStr">
        <is>
          <t>06</t>
        </is>
      </c>
      <c r="J11" s="4110" t="n"/>
      <c r="K11" s="4110" t="n"/>
      <c r="L11" s="53" t="inlineStr">
        <is>
          <t>－</t>
        </is>
      </c>
      <c r="M11" s="1150" t="inlineStr">
        <is>
          <t>6241</t>
        </is>
      </c>
      <c r="N11" s="4110" t="n"/>
      <c r="O11" s="4110" t="n"/>
      <c r="P11" s="53" t="inlineStr">
        <is>
          <t>－</t>
        </is>
      </c>
      <c r="Q11" s="1482" t="inlineStr">
        <is>
          <t>6520</t>
        </is>
      </c>
      <c r="R11" s="4110" t="n"/>
      <c r="S11" s="4111" t="n"/>
      <c r="T11" s="4184" t="inlineStr">
        <is>
          <t>ＦＡＸ番号</t>
        </is>
      </c>
      <c r="U11" s="4110" t="n"/>
      <c r="V11" s="4110" t="n"/>
      <c r="W11" s="4111" t="n"/>
      <c r="X11" s="1479" t="inlineStr">
        <is>
          <t>06</t>
        </is>
      </c>
      <c r="Y11" s="4110" t="n"/>
      <c r="Z11" s="4110" t="n"/>
      <c r="AA11" s="53" t="inlineStr">
        <is>
          <t>－</t>
        </is>
      </c>
      <c r="AB11" s="1150" t="inlineStr">
        <is>
          <t>6241</t>
        </is>
      </c>
      <c r="AC11" s="4110" t="n"/>
      <c r="AD11" s="4110" t="n"/>
      <c r="AE11" s="53" t="inlineStr">
        <is>
          <t>－</t>
        </is>
      </c>
      <c r="AF11" s="1483" t="inlineStr">
        <is>
          <t>6608</t>
        </is>
      </c>
      <c r="AG11" s="4110" t="n"/>
      <c r="AH11" s="4113" t="n"/>
    </row>
    <row r="12" ht="17.1" customHeight="1" s="4080">
      <c r="A12" s="4187" t="inlineStr">
        <is>
          <t>当該事業の実施について定めてある定款・寄付行為等又は条例等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1150" t="inlineStr">
        <is>
          <t>２</t>
        </is>
      </c>
      <c r="V12" s="4110" t="n"/>
      <c r="W12" s="1264" t="inlineStr">
        <is>
          <t>条第</t>
        </is>
      </c>
      <c r="X12" s="4110" t="n"/>
      <c r="Y12" s="1150" t="inlineStr">
        <is>
          <t>１</t>
        </is>
      </c>
      <c r="Z12" s="4110" t="n"/>
      <c r="AA12" s="1264" t="inlineStr">
        <is>
          <t>項第</t>
        </is>
      </c>
      <c r="AB12" s="4110" t="n"/>
      <c r="AC12" s="1150" t="inlineStr">
        <is>
          <t>１４</t>
        </is>
      </c>
      <c r="AD12" s="4110" t="n"/>
      <c r="AE12" s="1264" t="inlineStr">
        <is>
          <t>号（</t>
        </is>
      </c>
      <c r="AF12" s="4110" t="n"/>
      <c r="AG12" s="1150" t="inlineStr">
        <is>
          <t>ア</t>
        </is>
      </c>
      <c r="AH12" s="2827" t="inlineStr">
        <is>
          <t>）</t>
        </is>
      </c>
    </row>
    <row r="13" ht="12" customHeight="1" s="4080">
      <c r="A13" s="4188" t="inlineStr">
        <is>
          <t>管　　理　　者</t>
        </is>
      </c>
      <c r="B13" s="4099" t="n"/>
      <c r="C13" s="4184" t="inlineStr">
        <is>
          <t>ﾌﾘｶﾞﾅ</t>
        </is>
      </c>
      <c r="D13" s="4110" t="n"/>
      <c r="E13" s="4111" t="n"/>
      <c r="F13" s="1487" t="inlineStr">
        <is>
          <t>ｵｵｻｶ</t>
        </is>
      </c>
      <c r="G13" s="4110" t="n"/>
      <c r="H13" s="4110" t="n"/>
      <c r="I13" s="4189" t="n"/>
      <c r="J13" s="1488" t="inlineStr">
        <is>
          <t>ﾀﾛｳ</t>
        </is>
      </c>
      <c r="K13" s="4110" t="n"/>
      <c r="L13" s="4110" t="n"/>
      <c r="M13" s="4189" t="n"/>
      <c r="N13" s="4185" t="inlineStr">
        <is>
          <t>住所</t>
        </is>
      </c>
      <c r="O13" s="4099" t="n"/>
      <c r="P13" s="1244" t="inlineStr">
        <is>
          <t>郵便番号（</t>
        </is>
      </c>
      <c r="Q13" s="4098" t="n"/>
      <c r="R13" s="4098" t="n"/>
      <c r="S13" s="4098" t="n"/>
      <c r="T13" s="1742" t="inlineStr">
        <is>
          <t>５４０－０００８</t>
        </is>
      </c>
      <c r="U13" s="4098" t="n"/>
      <c r="V13" s="4098" t="n"/>
      <c r="W13" s="4098" t="n"/>
      <c r="X13" s="4098" t="n"/>
      <c r="Y13" s="1329" t="inlineStr">
        <is>
          <t>）</t>
        </is>
      </c>
      <c r="Z13" s="1017" t="n"/>
      <c r="AA13" s="1017" t="n"/>
      <c r="AB13" s="1017" t="n"/>
      <c r="AC13" s="1017" t="n"/>
      <c r="AD13" s="1017" t="n"/>
      <c r="AE13" s="1017" t="n"/>
      <c r="AF13" s="1017" t="n"/>
      <c r="AG13" s="1017" t="n"/>
      <c r="AH13" s="1424" t="n"/>
    </row>
    <row r="14" ht="12" customHeight="1" s="4080">
      <c r="A14" s="4097" t="n"/>
      <c r="B14" s="4107" t="n"/>
      <c r="C14" s="4184" t="inlineStr">
        <is>
          <t>氏名</t>
        </is>
      </c>
      <c r="D14" s="4098" t="n"/>
      <c r="E14" s="4099" t="n"/>
      <c r="F14" s="1487" t="inlineStr">
        <is>
          <t>大阪</t>
        </is>
      </c>
      <c r="G14" s="4098" t="n"/>
      <c r="H14" s="4098" t="n"/>
      <c r="I14" s="4190" t="n"/>
      <c r="J14" s="1488" t="inlineStr">
        <is>
          <t>太郎</t>
        </is>
      </c>
      <c r="K14" s="4098" t="n"/>
      <c r="L14" s="4098" t="n"/>
      <c r="M14" s="4190" t="n"/>
      <c r="N14" s="4106" t="n"/>
      <c r="O14" s="4107" t="n"/>
      <c r="P14" s="1509" t="inlineStr">
        <is>
          <t>大阪</t>
        </is>
      </c>
      <c r="R14" s="1325" t="inlineStr">
        <is>
          <t>都</t>
        </is>
      </c>
      <c r="S14" s="2378" t="inlineStr">
        <is>
          <t>道</t>
        </is>
      </c>
      <c r="T14" s="1510" t="inlineStr">
        <is>
          <t>大阪</t>
        </is>
      </c>
      <c r="W14" s="2378" t="inlineStr">
        <is>
          <t>郡</t>
        </is>
      </c>
      <c r="X14" s="1512" t="inlineStr">
        <is>
          <t>中央区大手前○丁目○番○号　○○マンション○○○号室</t>
        </is>
      </c>
      <c r="AH14" s="4109" t="n"/>
    </row>
    <row r="15" ht="12" customHeight="1" s="4080">
      <c r="A15" s="4097" t="n"/>
      <c r="B15" s="4107" t="n"/>
      <c r="C15" s="4106" t="n"/>
      <c r="E15" s="4107" t="n"/>
      <c r="F15" s="4106" t="n"/>
      <c r="I15" s="4191" t="n"/>
      <c r="J15" s="4192" t="n"/>
      <c r="M15" s="4191" t="n"/>
      <c r="N15" s="4106" t="n"/>
      <c r="O15" s="4107" t="n"/>
      <c r="P15" s="4106" t="n"/>
      <c r="R15" s="79" t="inlineStr">
        <is>
          <t>府</t>
        </is>
      </c>
      <c r="S15" s="2378" t="inlineStr">
        <is>
          <t>県</t>
        </is>
      </c>
      <c r="W15" s="79" t="inlineStr">
        <is>
          <t>市</t>
        </is>
      </c>
      <c r="AH15" s="4109" t="n"/>
    </row>
    <row r="16" ht="3.95" customHeight="1" s="4080">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Height="1" s="4080">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Height="1" s="4080">
      <c r="A18" s="4097" t="n"/>
      <c r="B18" s="4107" t="n"/>
      <c r="C18" s="4106" t="n"/>
      <c r="N18" s="1354" t="n"/>
      <c r="O18" s="1325" t="inlineStr">
        <is>
          <t>有</t>
        </is>
      </c>
      <c r="P18" s="1325" t="inlineStr">
        <is>
          <t>・</t>
        </is>
      </c>
      <c r="Q18" s="80" t="inlineStr">
        <is>
          <t>無</t>
        </is>
      </c>
      <c r="R18" s="1332" t="n"/>
      <c r="S18" s="4106" t="n"/>
      <c r="U18" s="4107" t="n"/>
      <c r="V18" s="4196" t="n"/>
      <c r="AH18" s="4109" t="n"/>
    </row>
    <row r="19" ht="3.95" customHeight="1" s="4080">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4.1" customHeight="1" s="4080">
      <c r="A20" s="4097" t="n"/>
      <c r="B20" s="4107" t="n"/>
      <c r="C20" s="4940" t="inlineStr">
        <is>
          <t>他の事業所又は
施設を兼務する
場合、当該兼務
する事業所又は
施設の名称等</t>
        </is>
      </c>
      <c r="D20" s="4098" t="n"/>
      <c r="E20" s="4098" t="n"/>
      <c r="F20" s="4098" t="n"/>
      <c r="G20" s="4098" t="n"/>
      <c r="H20" s="4098" t="n"/>
      <c r="I20" s="4098" t="n"/>
      <c r="J20" s="4099" t="n"/>
      <c r="K20" s="4941" t="inlineStr">
        <is>
          <t>名称</t>
        </is>
      </c>
      <c r="L20" s="4098" t="n"/>
      <c r="M20" s="4098" t="n"/>
      <c r="N20" s="4099" t="n"/>
      <c r="O20" s="660" t="inlineStr">
        <is>
          <t>1)</t>
        </is>
      </c>
      <c r="P20" s="3871" t="inlineStr">
        <is>
          <t>大阪市役所障がい福祉サービスセンター</t>
        </is>
      </c>
      <c r="Q20" s="4486" t="n"/>
      <c r="R20" s="4486" t="n"/>
      <c r="S20" s="4486" t="n"/>
      <c r="T20" s="4486" t="n"/>
      <c r="U20" s="4486" t="n"/>
      <c r="V20" s="4486" t="n"/>
      <c r="W20" s="4486" t="n"/>
      <c r="X20" s="4486" t="n"/>
      <c r="Y20" s="4486" t="n"/>
      <c r="Z20" s="4486" t="n"/>
      <c r="AA20" s="4486" t="n"/>
      <c r="AB20" s="4486" t="n"/>
      <c r="AC20" s="4486" t="n"/>
      <c r="AD20" s="4486" t="n"/>
      <c r="AE20" s="4486" t="n"/>
      <c r="AF20" s="4486" t="n"/>
      <c r="AG20" s="4486" t="n"/>
      <c r="AH20" s="4877" t="n"/>
    </row>
    <row r="21" ht="14.1" customHeight="1" s="4080">
      <c r="A21" s="4097" t="n"/>
      <c r="B21" s="4107" t="n"/>
      <c r="C21" s="4106" t="n"/>
      <c r="J21" s="4107" t="n"/>
      <c r="K21" s="4942" t="n"/>
      <c r="L21" s="4317" t="n"/>
      <c r="M21" s="4317" t="n"/>
      <c r="N21" s="4318" t="n"/>
      <c r="O21" s="661" t="inlineStr">
        <is>
          <t>2)</t>
        </is>
      </c>
      <c r="P21" s="3873" t="n"/>
      <c r="Q21" s="4457" t="n"/>
      <c r="R21" s="4457" t="n"/>
      <c r="S21" s="4457" t="n"/>
      <c r="T21" s="4457" t="n"/>
      <c r="U21" s="4457" t="n"/>
      <c r="V21" s="4457" t="n"/>
      <c r="W21" s="4457" t="n"/>
      <c r="X21" s="4457" t="n"/>
      <c r="Y21" s="4457" t="n"/>
      <c r="Z21" s="4457" t="n"/>
      <c r="AA21" s="4457" t="n"/>
      <c r="AB21" s="4457" t="n"/>
      <c r="AC21" s="4457" t="n"/>
      <c r="AD21" s="4457" t="n"/>
      <c r="AE21" s="4457" t="n"/>
      <c r="AF21" s="4457" t="n"/>
      <c r="AG21" s="4457" t="n"/>
      <c r="AH21" s="4943" t="n"/>
    </row>
    <row r="22" ht="14.1" customHeight="1" s="4080">
      <c r="A22" s="4097" t="n"/>
      <c r="B22" s="4107" t="n"/>
      <c r="C22" s="4106" t="n"/>
      <c r="J22" s="4107" t="n"/>
      <c r="K22" s="4944" t="inlineStr">
        <is>
          <t>サービス種類</t>
        </is>
      </c>
      <c r="L22" s="4320" t="n"/>
      <c r="M22" s="4320" t="n"/>
      <c r="N22" s="4321" t="n"/>
      <c r="O22" s="662" t="inlineStr">
        <is>
          <t>1)</t>
        </is>
      </c>
      <c r="P22" s="3880" t="inlineStr">
        <is>
          <t>共同生活援助</t>
        </is>
      </c>
      <c r="Q22" s="4457" t="n"/>
      <c r="R22" s="4457" t="n"/>
      <c r="S22" s="4457" t="n"/>
      <c r="T22" s="4457" t="n"/>
      <c r="U22" s="4457" t="n"/>
      <c r="V22" s="4457" t="n"/>
      <c r="W22" s="4457" t="n"/>
      <c r="X22" s="4457" t="n"/>
      <c r="Y22" s="663" t="inlineStr">
        <is>
          <t>3)</t>
        </is>
      </c>
      <c r="Z22" s="3881" t="n"/>
      <c r="AA22" s="4457" t="n"/>
      <c r="AB22" s="4457" t="n"/>
      <c r="AC22" s="4457" t="n"/>
      <c r="AD22" s="4457" t="n"/>
      <c r="AE22" s="4457" t="n"/>
      <c r="AF22" s="4457" t="n"/>
      <c r="AG22" s="4457" t="n"/>
      <c r="AH22" s="4943" t="n"/>
    </row>
    <row r="23" ht="14.1" customHeight="1" s="4080">
      <c r="A23" s="4097" t="n"/>
      <c r="B23" s="4107" t="n"/>
      <c r="C23" s="4106" t="n"/>
      <c r="J23" s="4107" t="n"/>
      <c r="K23" s="4942" t="n"/>
      <c r="L23" s="4317" t="n"/>
      <c r="M23" s="4317" t="n"/>
      <c r="N23" s="4318" t="n"/>
      <c r="O23" s="662" t="inlineStr">
        <is>
          <t>2)</t>
        </is>
      </c>
      <c r="P23" s="3880" t="n"/>
      <c r="Q23" s="4457" t="n"/>
      <c r="R23" s="4457" t="n"/>
      <c r="S23" s="4457" t="n"/>
      <c r="T23" s="4457" t="n"/>
      <c r="U23" s="4457" t="n"/>
      <c r="V23" s="4457" t="n"/>
      <c r="W23" s="4457" t="n"/>
      <c r="X23" s="4457" t="n"/>
      <c r="Y23" s="663" t="inlineStr">
        <is>
          <t>4)</t>
        </is>
      </c>
      <c r="Z23" s="3883" t="n"/>
      <c r="AA23" s="4457" t="n"/>
      <c r="AB23" s="4457" t="n"/>
      <c r="AC23" s="4457" t="n"/>
      <c r="AD23" s="4457" t="n"/>
      <c r="AE23" s="4457" t="n"/>
      <c r="AF23" s="4457" t="n"/>
      <c r="AG23" s="4457" t="n"/>
      <c r="AH23" s="4943" t="n"/>
    </row>
    <row r="24" ht="14.1" customHeight="1" s="4080">
      <c r="A24" s="4097" t="n"/>
      <c r="B24" s="4107" t="n"/>
      <c r="C24" s="4106" t="n"/>
      <c r="J24" s="4107" t="n"/>
      <c r="K24" s="4945" t="inlineStr">
        <is>
          <t>職種</t>
        </is>
      </c>
      <c r="L24" s="4320" t="n"/>
      <c r="M24" s="4320" t="n"/>
      <c r="N24" s="4321" t="n"/>
      <c r="O24" s="662" t="inlineStr">
        <is>
          <t>1)</t>
        </is>
      </c>
      <c r="P24" s="3887" t="inlineStr">
        <is>
          <t>管理者</t>
        </is>
      </c>
      <c r="Q24" s="4457" t="n"/>
      <c r="R24" s="4457" t="n"/>
      <c r="S24" s="4457" t="n"/>
      <c r="T24" s="4457" t="n"/>
      <c r="U24" s="4457" t="n"/>
      <c r="V24" s="4457" t="n"/>
      <c r="W24" s="4457" t="n"/>
      <c r="X24" s="4457" t="n"/>
      <c r="Y24" s="663" t="inlineStr">
        <is>
          <t>3)</t>
        </is>
      </c>
      <c r="Z24" s="3883" t="n"/>
      <c r="AA24" s="4457" t="n"/>
      <c r="AB24" s="4457" t="n"/>
      <c r="AC24" s="4457" t="n"/>
      <c r="AD24" s="4457" t="n"/>
      <c r="AE24" s="4457" t="n"/>
      <c r="AF24" s="4457" t="n"/>
      <c r="AG24" s="4457" t="n"/>
      <c r="AH24" s="4943" t="n"/>
    </row>
    <row r="25" ht="14.1" customHeight="1" s="4080">
      <c r="A25" s="4097" t="n"/>
      <c r="B25" s="4107" t="n"/>
      <c r="C25" s="4106" t="n"/>
      <c r="J25" s="4107" t="n"/>
      <c r="K25" s="4942" t="n"/>
      <c r="L25" s="4317" t="n"/>
      <c r="M25" s="4317" t="n"/>
      <c r="N25" s="4318" t="n"/>
      <c r="O25" s="662" t="inlineStr">
        <is>
          <t>2)</t>
        </is>
      </c>
      <c r="P25" s="3887" t="n"/>
      <c r="Q25" s="4457" t="n"/>
      <c r="R25" s="4457" t="n"/>
      <c r="S25" s="4457" t="n"/>
      <c r="T25" s="4457" t="n"/>
      <c r="U25" s="4457" t="n"/>
      <c r="V25" s="4457" t="n"/>
      <c r="W25" s="4457" t="n"/>
      <c r="X25" s="4457" t="n"/>
      <c r="Y25" s="663" t="inlineStr">
        <is>
          <t>4)</t>
        </is>
      </c>
      <c r="Z25" s="3883" t="n"/>
      <c r="AA25" s="4457" t="n"/>
      <c r="AB25" s="4457" t="n"/>
      <c r="AC25" s="4457" t="n"/>
      <c r="AD25" s="4457" t="n"/>
      <c r="AE25" s="4457" t="n"/>
      <c r="AF25" s="4457" t="n"/>
      <c r="AG25" s="4457" t="n"/>
      <c r="AH25" s="4943" t="n"/>
    </row>
    <row r="26" ht="14.1" customHeight="1" s="4080">
      <c r="A26" s="4097" t="n"/>
      <c r="B26" s="4107" t="n"/>
      <c r="C26" s="4102" t="n"/>
      <c r="D26" s="4103" t="n"/>
      <c r="E26" s="4103" t="n"/>
      <c r="F26" s="4103" t="n"/>
      <c r="G26" s="4103" t="n"/>
      <c r="H26" s="4103" t="n"/>
      <c r="I26" s="4103" t="n"/>
      <c r="J26" s="4104" t="n"/>
      <c r="K26" s="4946" t="inlineStr">
        <is>
          <t>勤務時間</t>
        </is>
      </c>
      <c r="L26" s="4459" t="n"/>
      <c r="M26" s="4459" t="n"/>
      <c r="N26" s="4461" t="n"/>
      <c r="O26" s="3891" t="inlineStr">
        <is>
          <t>９</t>
        </is>
      </c>
      <c r="P26" s="4459" t="n"/>
      <c r="Q26" s="3896" t="inlineStr">
        <is>
          <t>：</t>
        </is>
      </c>
      <c r="R26" s="3893" t="inlineStr">
        <is>
          <t>００</t>
        </is>
      </c>
      <c r="S26" s="4459" t="n"/>
      <c r="T26" s="3896" t="inlineStr">
        <is>
          <t>～</t>
        </is>
      </c>
      <c r="U26" s="3892" t="inlineStr">
        <is>
          <t>１７</t>
        </is>
      </c>
      <c r="V26" s="4459" t="n"/>
      <c r="W26" s="3896" t="inlineStr">
        <is>
          <t>：</t>
        </is>
      </c>
      <c r="X26" s="3893" t="inlineStr">
        <is>
          <t>４５</t>
        </is>
      </c>
      <c r="Y26" s="4459" t="n"/>
      <c r="Z26" s="3894" t="inlineStr">
        <is>
          <t>（実働</t>
        </is>
      </c>
      <c r="AA26" s="4459" t="n"/>
      <c r="AB26" s="3895" t="inlineStr">
        <is>
          <t>７</t>
        </is>
      </c>
      <c r="AC26" s="3894" t="inlineStr">
        <is>
          <t>時間</t>
        </is>
      </c>
      <c r="AD26" s="4459" t="n"/>
      <c r="AE26" s="3895" t="inlineStr">
        <is>
          <t>４５</t>
        </is>
      </c>
      <c r="AF26" s="4459" t="n"/>
      <c r="AG26" s="3897" t="inlineStr">
        <is>
          <t>分）</t>
        </is>
      </c>
      <c r="AH26" s="4462" t="n"/>
    </row>
    <row r="27" ht="12" customHeight="1" s="4080">
      <c r="A27" s="1766" t="inlineStr">
        <is>
          <t>サ ー ビ ス 管 理 責 任 者</t>
        </is>
      </c>
      <c r="B27" s="1768" t="inlineStr">
        <is>
          <t>１</t>
        </is>
      </c>
      <c r="C27" s="4184" t="inlineStr">
        <is>
          <t>ﾌﾘｶﾞﾅ</t>
        </is>
      </c>
      <c r="D27" s="4110" t="n"/>
      <c r="E27" s="4111" t="n"/>
      <c r="F27" s="4435" t="inlineStr">
        <is>
          <t>ｼﾔｸｼｮ</t>
        </is>
      </c>
      <c r="G27" s="4110" t="n"/>
      <c r="H27" s="4110" t="n"/>
      <c r="I27" s="4204" t="n"/>
      <c r="J27" s="4436" t="inlineStr">
        <is>
          <t>ﾊﾅｺ</t>
        </is>
      </c>
      <c r="K27" s="4110" t="n"/>
      <c r="L27" s="4110" t="n"/>
      <c r="M27" s="4111" t="n"/>
      <c r="N27" s="2164" t="inlineStr">
        <is>
          <t>住所</t>
        </is>
      </c>
      <c r="O27" s="4099" t="n"/>
      <c r="P27" s="1244" t="inlineStr">
        <is>
          <t>郵便番号（</t>
        </is>
      </c>
      <c r="Q27" s="4098" t="n"/>
      <c r="R27" s="4098" t="n"/>
      <c r="S27" s="4098" t="n"/>
      <c r="T27" s="1742" t="inlineStr">
        <is>
          <t>５４０－０００８</t>
        </is>
      </c>
      <c r="U27" s="4098" t="n"/>
      <c r="V27" s="4098" t="n"/>
      <c r="W27" s="4098" t="n"/>
      <c r="X27" s="4098" t="n"/>
      <c r="Y27" s="1329" t="inlineStr">
        <is>
          <t>）</t>
        </is>
      </c>
      <c r="Z27" s="1017" t="n"/>
      <c r="AA27" s="1017" t="n"/>
      <c r="AB27" s="1017" t="n"/>
      <c r="AC27" s="1017" t="n"/>
      <c r="AD27" s="1017" t="n"/>
      <c r="AE27" s="120" t="n"/>
      <c r="AF27" s="119" t="n"/>
      <c r="AG27" s="119" t="n"/>
      <c r="AH27" s="118" t="n"/>
    </row>
    <row r="28" ht="12" customHeight="1" s="4080">
      <c r="A28" s="4208" t="n"/>
      <c r="B28" s="4107" t="n"/>
      <c r="C28" s="4209" t="inlineStr">
        <is>
          <t>氏　　名</t>
        </is>
      </c>
      <c r="D28" s="4098" t="n"/>
      <c r="E28" s="4099" t="n"/>
      <c r="F28" s="4435" t="inlineStr">
        <is>
          <t>市役所</t>
        </is>
      </c>
      <c r="G28" s="4098" t="n"/>
      <c r="H28" s="4098" t="n"/>
      <c r="I28" s="4210" t="n"/>
      <c r="J28" s="4436" t="inlineStr">
        <is>
          <t>花子</t>
        </is>
      </c>
      <c r="K28" s="4098" t="n"/>
      <c r="L28" s="4098" t="n"/>
      <c r="M28" s="4099" t="n"/>
      <c r="N28" s="4106" t="n"/>
      <c r="O28" s="4107" t="n"/>
      <c r="P28" s="1509" t="inlineStr">
        <is>
          <t>大阪</t>
        </is>
      </c>
      <c r="R28" s="2378" t="inlineStr">
        <is>
          <t>都</t>
        </is>
      </c>
      <c r="S28" s="2378" t="inlineStr">
        <is>
          <t>道</t>
        </is>
      </c>
      <c r="T28" s="2107" t="inlineStr">
        <is>
          <t>大阪</t>
        </is>
      </c>
      <c r="W28" s="2378" t="inlineStr">
        <is>
          <t>郡</t>
        </is>
      </c>
      <c r="X28" s="1696" t="inlineStr">
        <is>
          <t>中央区大手前△丁目△番△号</t>
        </is>
      </c>
      <c r="AH28" s="4109" t="n"/>
    </row>
    <row r="29" ht="12" customHeight="1" s="4080">
      <c r="A29" s="4208" t="n"/>
      <c r="B29" s="4107" t="n"/>
      <c r="C29" s="4106" t="n"/>
      <c r="E29" s="4107" t="n"/>
      <c r="F29" s="4106" t="n"/>
      <c r="I29" s="4212" t="n"/>
      <c r="J29" s="4213" t="n"/>
      <c r="M29" s="4107" t="n"/>
      <c r="N29" s="4106" t="n"/>
      <c r="O29" s="4107" t="n"/>
      <c r="P29" s="4106" t="n"/>
      <c r="R29" s="79" t="inlineStr">
        <is>
          <t>府</t>
        </is>
      </c>
      <c r="S29" s="2378" t="inlineStr">
        <is>
          <t>県</t>
        </is>
      </c>
      <c r="W29" s="79" t="inlineStr">
        <is>
          <t>市</t>
        </is>
      </c>
      <c r="AH29" s="4109" t="n"/>
    </row>
    <row r="30" ht="3" customHeight="1" s="4080">
      <c r="A30" s="4208" t="n"/>
      <c r="B30" s="4107" t="n"/>
      <c r="C30" s="4102" t="n"/>
      <c r="D30" s="4103" t="n"/>
      <c r="E30" s="4104" t="n"/>
      <c r="F30" s="4102" t="n"/>
      <c r="G30" s="4103" t="n"/>
      <c r="H30" s="4103" t="n"/>
      <c r="I30" s="4215" t="n"/>
      <c r="J30" s="4216" t="n"/>
      <c r="K30" s="4103" t="n"/>
      <c r="L30" s="4103" t="n"/>
      <c r="M30" s="4104" t="n"/>
      <c r="N30" s="4102" t="n"/>
      <c r="O30" s="4104" t="n"/>
      <c r="P30" s="4102" t="n"/>
      <c r="Q30" s="4103" t="n"/>
      <c r="R30" s="2378" t="n"/>
      <c r="S30" s="2378" t="n"/>
      <c r="T30" s="4103" t="n"/>
      <c r="U30" s="4103" t="n"/>
      <c r="V30" s="4103" t="n"/>
      <c r="W30" s="63" t="n"/>
      <c r="X30" s="4103" t="n"/>
      <c r="Y30" s="4103" t="n"/>
      <c r="Z30" s="4103" t="n"/>
      <c r="AA30" s="4103" t="n"/>
      <c r="AB30" s="4103" t="n"/>
      <c r="AC30" s="4103" t="n"/>
      <c r="AD30" s="4103" t="n"/>
      <c r="AE30" s="4103" t="n"/>
      <c r="AF30" s="4103" t="n"/>
      <c r="AG30" s="4103" t="n"/>
      <c r="AH30" s="4105" t="n"/>
    </row>
    <row r="31" ht="3.95" customHeight="1" s="4080">
      <c r="A31" s="4208" t="n"/>
      <c r="B31" s="4107" t="n"/>
      <c r="C31" s="1393" t="inlineStr">
        <is>
          <t>他の職務との兼務の有無及び職種</t>
        </is>
      </c>
      <c r="D31" s="4098" t="n"/>
      <c r="E31" s="4098" t="n"/>
      <c r="F31" s="4098" t="n"/>
      <c r="G31" s="4098" t="n"/>
      <c r="H31" s="4098" t="n"/>
      <c r="I31" s="4098" t="n"/>
      <c r="J31" s="4098" t="n"/>
      <c r="K31" s="4098" t="n"/>
      <c r="L31" s="4098" t="n"/>
      <c r="M31" s="4098" t="n"/>
      <c r="N31" s="4195" t="n"/>
      <c r="O31" s="4098" t="n"/>
      <c r="P31" s="4098" t="n"/>
      <c r="Q31" s="4098" t="n"/>
      <c r="R31" s="4099" t="n"/>
      <c r="S31" s="2163" t="inlineStr">
        <is>
          <t>職　　種</t>
        </is>
      </c>
      <c r="T31" s="4098" t="n"/>
      <c r="U31" s="4099" t="n"/>
      <c r="V31" s="1322" t="n"/>
      <c r="W31" s="1335" t="inlineStr">
        <is>
          <t xml:space="preserve">　</t>
        </is>
      </c>
      <c r="X31" s="4098" t="n"/>
      <c r="Y31" s="4098" t="n"/>
      <c r="Z31" s="4098" t="n"/>
      <c r="AA31" s="4098" t="n"/>
      <c r="AB31" s="4098" t="n"/>
      <c r="AC31" s="4098" t="n"/>
      <c r="AD31" s="4098" t="n"/>
      <c r="AE31" s="4098" t="n"/>
      <c r="AF31" s="4098" t="n"/>
      <c r="AG31" s="4098" t="n"/>
      <c r="AH31" s="4101" t="n"/>
    </row>
    <row r="32" ht="12" customHeight="1" s="4080">
      <c r="A32" s="4208" t="n"/>
      <c r="B32" s="4107" t="n"/>
      <c r="C32" s="4106" t="n"/>
      <c r="N32" s="1354" t="n"/>
      <c r="O32" s="1325" t="inlineStr">
        <is>
          <t>有</t>
        </is>
      </c>
      <c r="P32" s="1325" t="inlineStr">
        <is>
          <t>・</t>
        </is>
      </c>
      <c r="Q32" s="80" t="inlineStr">
        <is>
          <t>無</t>
        </is>
      </c>
      <c r="R32" s="1332" t="n"/>
      <c r="S32" s="4106" t="n"/>
      <c r="U32" s="4107" t="n"/>
      <c r="V32" s="4196" t="n"/>
      <c r="AH32" s="4109" t="n"/>
    </row>
    <row r="33" ht="3.95" customHeight="1" s="4080">
      <c r="A33" s="4208" t="n"/>
      <c r="B33" s="4107" t="n"/>
      <c r="C33" s="4102" t="n"/>
      <c r="D33" s="4103" t="n"/>
      <c r="E33" s="4103" t="n"/>
      <c r="F33" s="4103" t="n"/>
      <c r="G33" s="4103" t="n"/>
      <c r="H33" s="4103" t="n"/>
      <c r="I33" s="4103" t="n"/>
      <c r="J33" s="4103" t="n"/>
      <c r="K33" s="4103" t="n"/>
      <c r="L33" s="4103" t="n"/>
      <c r="M33" s="4103" t="n"/>
      <c r="N33" s="4197" t="n"/>
      <c r="O33" s="4103" t="n"/>
      <c r="P33" s="4103" t="n"/>
      <c r="Q33" s="4103" t="n"/>
      <c r="R33" s="4104" t="n"/>
      <c r="S33" s="4102" t="n"/>
      <c r="T33" s="4103" t="n"/>
      <c r="U33" s="4104" t="n"/>
      <c r="V33" s="1326" t="n"/>
      <c r="W33" s="1299" t="n"/>
      <c r="X33" s="4103" t="n"/>
      <c r="Y33" s="4103" t="n"/>
      <c r="Z33" s="4103" t="n"/>
      <c r="AA33" s="4103" t="n"/>
      <c r="AB33" s="4103" t="n"/>
      <c r="AC33" s="4103" t="n"/>
      <c r="AD33" s="4103" t="n"/>
      <c r="AE33" s="4103" t="n"/>
      <c r="AF33" s="4103" t="n"/>
      <c r="AG33" s="4103" t="n"/>
      <c r="AH33" s="4105" t="n"/>
    </row>
    <row r="34" ht="3.95" customHeight="1" s="4080">
      <c r="A34" s="4208" t="n"/>
      <c r="B34" s="4107" t="n"/>
      <c r="C34" s="1826" t="inlineStr">
        <is>
          <t>資格要件</t>
        </is>
      </c>
      <c r="D34" s="4098" t="n"/>
      <c r="E34" s="4098" t="n"/>
      <c r="F34" s="1370" t="n"/>
      <c r="G34" s="2056" t="n"/>
      <c r="H34" s="942" t="n"/>
      <c r="I34" s="2056" t="n"/>
      <c r="J34" s="2056" t="n"/>
      <c r="K34" s="2056" t="n"/>
      <c r="L34" s="2056" t="n"/>
      <c r="M34" s="2056" t="n"/>
      <c r="N34" s="2056" t="n"/>
      <c r="O34" s="2056" t="n"/>
      <c r="P34" s="1402" t="n"/>
      <c r="Q34" s="1402" t="n"/>
      <c r="R34" s="1402" t="n"/>
      <c r="S34" s="4313" t="inlineStr">
        <is>
          <t>研修の
受講状況</t>
        </is>
      </c>
      <c r="T34" s="4098" t="n"/>
      <c r="U34" s="4099" t="n"/>
      <c r="V34" s="1322" t="n"/>
      <c r="W34" s="1323" t="n"/>
      <c r="X34" s="1323" t="n"/>
      <c r="Y34" s="1323" t="n"/>
      <c r="Z34" s="1323" t="n"/>
      <c r="AA34" s="1331" t="n"/>
      <c r="AB34" s="2056" t="n"/>
      <c r="AC34" s="2056" t="n"/>
      <c r="AD34" s="2056" t="n"/>
      <c r="AE34" s="2056" t="n"/>
      <c r="AF34" s="2056" t="n"/>
      <c r="AG34" s="2056" t="n"/>
      <c r="AH34" s="127" t="n"/>
    </row>
    <row r="35" ht="12" customHeight="1" s="4080">
      <c r="A35" s="4208" t="n"/>
      <c r="B35" s="4107" t="n"/>
      <c r="C35" s="4106" t="n"/>
      <c r="F35" s="4314" t="inlineStr">
        <is>
          <t>実務経験</t>
        </is>
      </c>
      <c r="H35" s="4107" t="n"/>
      <c r="I35" s="3186" t="inlineStr">
        <is>
          <t>直接支援業務5年以上＋有資格</t>
        </is>
      </c>
      <c r="S35" s="4106" t="n"/>
      <c r="U35" s="4107" t="n"/>
      <c r="V35" s="4315" t="inlineStr">
        <is>
          <t>相談支援従事者研修</t>
        </is>
      </c>
      <c r="AA35" s="4107" t="n"/>
      <c r="AB35" s="128" t="n"/>
      <c r="AC35" s="4770" t="inlineStr">
        <is>
          <t>受講済</t>
        </is>
      </c>
      <c r="AD35" s="4266" t="n"/>
      <c r="AE35" s="2379" t="inlineStr">
        <is>
          <t>・</t>
        </is>
      </c>
      <c r="AF35" s="1770" t="inlineStr">
        <is>
          <t>未受講</t>
        </is>
      </c>
      <c r="AH35" s="666" t="n"/>
    </row>
    <row r="36" ht="3.95" customHeight="1" s="4080">
      <c r="A36" s="4208" t="n"/>
      <c r="B36" s="4107" t="n"/>
      <c r="C36" s="4106" t="n"/>
      <c r="F36" s="131" t="n"/>
      <c r="G36" s="132" t="n"/>
      <c r="H36" s="133" t="n"/>
      <c r="I36" s="134" t="n"/>
      <c r="J36" s="134" t="n"/>
      <c r="K36" s="134" t="n"/>
      <c r="L36" s="134" t="n"/>
      <c r="M36" s="134" t="n"/>
      <c r="N36" s="134" t="n"/>
      <c r="O36" s="135" t="n"/>
      <c r="P36" s="136" t="n"/>
      <c r="Q36" s="136" t="n"/>
      <c r="R36" s="137" t="n"/>
      <c r="S36" s="4106" t="n"/>
      <c r="U36" s="4107" t="n"/>
      <c r="V36" s="4316" t="n"/>
      <c r="W36" s="4317" t="n"/>
      <c r="X36" s="4317" t="n"/>
      <c r="Y36" s="4317" t="n"/>
      <c r="Z36" s="4317" t="n"/>
      <c r="AA36" s="4318" t="n"/>
      <c r="AB36" s="138" t="n"/>
      <c r="AC36" s="138" t="n"/>
      <c r="AD36" s="138" t="n"/>
      <c r="AE36" s="138" t="n"/>
      <c r="AF36" s="138" t="n"/>
      <c r="AG36" s="138" t="n"/>
      <c r="AH36" s="156" t="n"/>
    </row>
    <row r="37" ht="3.95" customHeight="1" s="4080">
      <c r="A37" s="4208" t="n"/>
      <c r="B37" s="4107" t="n"/>
      <c r="C37" s="4106" t="n"/>
      <c r="F37" s="140" t="n"/>
      <c r="G37" s="141" t="n"/>
      <c r="H37" s="142" t="n"/>
      <c r="I37" s="143" t="n"/>
      <c r="J37" s="143" t="n"/>
      <c r="K37" s="144" t="n"/>
      <c r="L37" s="141" t="n"/>
      <c r="M37" s="141" t="n"/>
      <c r="N37" s="141" t="n"/>
      <c r="O37" s="141" t="n"/>
      <c r="P37" s="145" t="n"/>
      <c r="Q37" s="145" t="n"/>
      <c r="R37" s="146" t="n"/>
      <c r="S37" s="4106" t="n"/>
      <c r="U37" s="4107" t="n"/>
      <c r="V37" s="4319" t="n"/>
      <c r="W37" s="4320" t="n"/>
      <c r="X37" s="4320" t="n"/>
      <c r="Y37" s="4320" t="n"/>
      <c r="Z37" s="4320" t="n"/>
      <c r="AA37" s="4321" t="n"/>
      <c r="AB37" s="141" t="n"/>
      <c r="AC37" s="141" t="n"/>
      <c r="AD37" s="141" t="n"/>
      <c r="AE37" s="141" t="n"/>
      <c r="AF37" s="141" t="n"/>
      <c r="AG37" s="141" t="n"/>
      <c r="AH37" s="667" t="n"/>
    </row>
    <row r="38" ht="12" customHeight="1" s="4080">
      <c r="A38" s="4208" t="n"/>
      <c r="B38" s="4107" t="n"/>
      <c r="C38" s="4106" t="n"/>
      <c r="F38" s="4314" t="inlineStr">
        <is>
          <t>資格種類</t>
        </is>
      </c>
      <c r="H38" s="4107" t="n"/>
      <c r="I38" s="2098" t="inlineStr">
        <is>
          <t>介護福祉士</t>
        </is>
      </c>
      <c r="S38" s="4106" t="n"/>
      <c r="U38" s="4107" t="n"/>
      <c r="V38" s="4322" t="inlineStr">
        <is>
          <t>サービス管理責任者研修</t>
        </is>
      </c>
      <c r="AA38" s="4107" t="n"/>
      <c r="AB38" s="1355" t="n"/>
      <c r="AC38" s="4770" t="inlineStr">
        <is>
          <t>受講済</t>
        </is>
      </c>
      <c r="AD38" s="4266" t="n"/>
      <c r="AE38" s="2379" t="inlineStr">
        <is>
          <t>・</t>
        </is>
      </c>
      <c r="AF38" s="1770" t="inlineStr">
        <is>
          <t>未受講</t>
        </is>
      </c>
      <c r="AH38" s="1321" t="n"/>
    </row>
    <row r="39" ht="3.95" customHeight="1" s="4080">
      <c r="A39" s="4208" t="n"/>
      <c r="B39" s="4107" t="n"/>
      <c r="C39" s="4102" t="n"/>
      <c r="D39" s="4103" t="n"/>
      <c r="E39" s="4103" t="n"/>
      <c r="F39" s="1374" t="n"/>
      <c r="G39" s="2059" t="n"/>
      <c r="H39" s="1375" t="n"/>
      <c r="I39" s="134" t="n"/>
      <c r="J39" s="134" t="n"/>
      <c r="K39" s="134" t="n"/>
      <c r="L39" s="134" t="n"/>
      <c r="M39" s="134" t="n"/>
      <c r="N39" s="134" t="n"/>
      <c r="O39" s="2059" t="n"/>
      <c r="P39" s="1413" t="n"/>
      <c r="Q39" s="1413" t="n"/>
      <c r="R39" s="1413" t="n"/>
      <c r="S39" s="4102" t="n"/>
      <c r="T39" s="4103" t="n"/>
      <c r="U39" s="4104" t="n"/>
      <c r="V39" s="1412" t="n"/>
      <c r="W39" s="154" t="n"/>
      <c r="X39" s="154" t="n"/>
      <c r="Y39" s="138" t="n"/>
      <c r="Z39" s="138" t="n"/>
      <c r="AA39" s="155" t="n"/>
      <c r="AB39" s="134" t="n"/>
      <c r="AC39" s="134" t="n"/>
      <c r="AD39" s="134" t="n"/>
      <c r="AE39" s="134" t="n"/>
      <c r="AF39" s="134" t="n"/>
      <c r="AG39" s="134" t="n"/>
      <c r="AH39" s="156" t="n"/>
    </row>
    <row r="40" ht="12" customHeight="1" s="4080">
      <c r="A40" s="4208" t="n"/>
      <c r="B40" s="1768" t="inlineStr">
        <is>
          <t>２</t>
        </is>
      </c>
      <c r="C40" s="4184" t="inlineStr">
        <is>
          <t>ﾌﾘｶﾞﾅ</t>
        </is>
      </c>
      <c r="D40" s="4110" t="n"/>
      <c r="E40" s="4111" t="n"/>
      <c r="F40" s="4203" t="n"/>
      <c r="G40" s="4110" t="n"/>
      <c r="H40" s="4110" t="n"/>
      <c r="I40" s="4204" t="n"/>
      <c r="J40" s="4205" t="n"/>
      <c r="K40" s="4110" t="n"/>
      <c r="L40" s="4110" t="n"/>
      <c r="M40" s="4111" t="n"/>
      <c r="N40" s="2164" t="inlineStr">
        <is>
          <t>住所</t>
        </is>
      </c>
      <c r="O40" s="4099" t="n"/>
      <c r="P40" s="1244" t="inlineStr">
        <is>
          <t>郵便番号（</t>
        </is>
      </c>
      <c r="Q40" s="4098" t="n"/>
      <c r="R40" s="4098" t="n"/>
      <c r="S40" s="4098" t="n"/>
      <c r="T40" s="1287" t="n"/>
      <c r="U40" s="4098" t="n"/>
      <c r="V40" s="4098" t="n"/>
      <c r="W40" s="4098" t="n"/>
      <c r="X40" s="4098" t="n"/>
      <c r="Y40" s="1329" t="inlineStr">
        <is>
          <t>）</t>
        </is>
      </c>
      <c r="Z40" s="1017" t="n"/>
      <c r="AA40" s="1017" t="n"/>
      <c r="AB40" s="1017" t="n"/>
      <c r="AC40" s="1017" t="n"/>
      <c r="AD40" s="1017" t="n"/>
      <c r="AE40" s="120" t="n"/>
      <c r="AF40" s="119" t="n"/>
      <c r="AG40" s="119" t="n"/>
      <c r="AH40" s="118" t="n"/>
    </row>
    <row r="41" ht="12" customHeight="1" s="4080">
      <c r="A41" s="4208" t="n"/>
      <c r="B41" s="4107" t="n"/>
      <c r="C41" s="4209" t="inlineStr">
        <is>
          <t>氏　　名</t>
        </is>
      </c>
      <c r="D41" s="4098" t="n"/>
      <c r="E41" s="4099" t="n"/>
      <c r="F41" s="4203" t="n"/>
      <c r="G41" s="4098" t="n"/>
      <c r="H41" s="4098" t="n"/>
      <c r="I41" s="4210" t="n"/>
      <c r="J41" s="4205" t="n"/>
      <c r="K41" s="4098" t="n"/>
      <c r="L41" s="4098" t="n"/>
      <c r="M41" s="4099" t="n"/>
      <c r="N41" s="4106" t="n"/>
      <c r="O41" s="4107" t="n"/>
      <c r="P41" s="1318" t="n"/>
      <c r="R41" s="2378" t="inlineStr">
        <is>
          <t>都</t>
        </is>
      </c>
      <c r="S41" s="2378" t="inlineStr">
        <is>
          <t>道</t>
        </is>
      </c>
      <c r="T41" s="1389" t="n"/>
      <c r="W41" s="1325" t="inlineStr">
        <is>
          <t>郡</t>
        </is>
      </c>
      <c r="X41" s="1686" t="n"/>
      <c r="AH41" s="4109" t="n"/>
    </row>
    <row r="42" ht="12" customHeight="1" s="4080">
      <c r="A42" s="4208" t="n"/>
      <c r="B42" s="4107" t="n"/>
      <c r="C42" s="4106" t="n"/>
      <c r="E42" s="4107" t="n"/>
      <c r="F42" s="4106" t="n"/>
      <c r="I42" s="4212" t="n"/>
      <c r="J42" s="4213" t="n"/>
      <c r="M42" s="4107" t="n"/>
      <c r="N42" s="4106" t="n"/>
      <c r="O42" s="4107" t="n"/>
      <c r="P42" s="4106" t="n"/>
      <c r="R42" s="2378" t="inlineStr">
        <is>
          <t>府</t>
        </is>
      </c>
      <c r="S42" s="2378" t="inlineStr">
        <is>
          <t>県</t>
        </is>
      </c>
      <c r="W42" s="2378" t="inlineStr">
        <is>
          <t>市</t>
        </is>
      </c>
      <c r="AH42" s="4109" t="n"/>
    </row>
    <row r="43" ht="3" customHeight="1" s="4080">
      <c r="A43" s="4208" t="n"/>
      <c r="B43" s="4107" t="n"/>
      <c r="C43" s="4102" t="n"/>
      <c r="D43" s="4103" t="n"/>
      <c r="E43" s="4104" t="n"/>
      <c r="F43" s="4102" t="n"/>
      <c r="G43" s="4103" t="n"/>
      <c r="H43" s="4103" t="n"/>
      <c r="I43" s="4215" t="n"/>
      <c r="J43" s="4216" t="n"/>
      <c r="K43" s="4103" t="n"/>
      <c r="L43" s="4103" t="n"/>
      <c r="M43" s="4104" t="n"/>
      <c r="N43" s="4102" t="n"/>
      <c r="O43" s="4104" t="n"/>
      <c r="P43" s="4102" t="n"/>
      <c r="Q43" s="4103" t="n"/>
      <c r="R43" s="2378" t="n"/>
      <c r="S43" s="2378" t="n"/>
      <c r="T43" s="4103" t="n"/>
      <c r="U43" s="4103" t="n"/>
      <c r="V43" s="4103" t="n"/>
      <c r="W43" s="63" t="n"/>
      <c r="X43" s="4103" t="n"/>
      <c r="Y43" s="4103" t="n"/>
      <c r="Z43" s="4103" t="n"/>
      <c r="AA43" s="4103" t="n"/>
      <c r="AB43" s="4103" t="n"/>
      <c r="AC43" s="4103" t="n"/>
      <c r="AD43" s="4103" t="n"/>
      <c r="AE43" s="4103" t="n"/>
      <c r="AF43" s="4103" t="n"/>
      <c r="AG43" s="4103" t="n"/>
      <c r="AH43" s="4105" t="n"/>
    </row>
    <row r="44" ht="3.95" customHeight="1" s="4080">
      <c r="A44" s="4208" t="n"/>
      <c r="B44" s="4107" t="n"/>
      <c r="C44" s="1393" t="inlineStr">
        <is>
          <t>他の職務との兼務の有無及び職種</t>
        </is>
      </c>
      <c r="D44" s="4098" t="n"/>
      <c r="E44" s="4098" t="n"/>
      <c r="F44" s="4098" t="n"/>
      <c r="G44" s="4098" t="n"/>
      <c r="H44" s="4098" t="n"/>
      <c r="I44" s="4098" t="n"/>
      <c r="J44" s="4098" t="n"/>
      <c r="K44" s="4098" t="n"/>
      <c r="L44" s="4098" t="n"/>
      <c r="M44" s="4098" t="n"/>
      <c r="N44" s="4195" t="n"/>
      <c r="O44" s="4098" t="n"/>
      <c r="P44" s="4098" t="n"/>
      <c r="Q44" s="4098" t="n"/>
      <c r="R44" s="4099" t="n"/>
      <c r="S44" s="2163" t="inlineStr">
        <is>
          <t>職　　種</t>
        </is>
      </c>
      <c r="T44" s="4098" t="n"/>
      <c r="U44" s="4099" t="n"/>
      <c r="V44" s="1322" t="n"/>
      <c r="W44" s="1335" t="inlineStr">
        <is>
          <t xml:space="preserve">　</t>
        </is>
      </c>
      <c r="X44" s="4098" t="n"/>
      <c r="Y44" s="4098" t="n"/>
      <c r="Z44" s="4098" t="n"/>
      <c r="AA44" s="4098" t="n"/>
      <c r="AB44" s="4098" t="n"/>
      <c r="AC44" s="4098" t="n"/>
      <c r="AD44" s="4098" t="n"/>
      <c r="AE44" s="4098" t="n"/>
      <c r="AF44" s="4098" t="n"/>
      <c r="AG44" s="4098" t="n"/>
      <c r="AH44" s="4101" t="n"/>
    </row>
    <row r="45" ht="12" customHeight="1" s="4080">
      <c r="A45" s="4208" t="n"/>
      <c r="B45" s="4107" t="n"/>
      <c r="C45" s="4106" t="n"/>
      <c r="N45" s="1354" t="n"/>
      <c r="O45" s="1325" t="inlineStr">
        <is>
          <t>有</t>
        </is>
      </c>
      <c r="P45" s="1325" t="inlineStr">
        <is>
          <t>・</t>
        </is>
      </c>
      <c r="Q45" s="1325" t="inlineStr">
        <is>
          <t>無</t>
        </is>
      </c>
      <c r="R45" s="1332" t="n"/>
      <c r="S45" s="4106" t="n"/>
      <c r="U45" s="4107" t="n"/>
      <c r="V45" s="4196" t="n"/>
      <c r="AH45" s="4109" t="n"/>
    </row>
    <row r="46" ht="3.95" customHeight="1" s="4080">
      <c r="A46" s="4208" t="n"/>
      <c r="B46" s="4107" t="n"/>
      <c r="C46" s="4102" t="n"/>
      <c r="D46" s="4103" t="n"/>
      <c r="E46" s="4103" t="n"/>
      <c r="F46" s="4103" t="n"/>
      <c r="G46" s="4103" t="n"/>
      <c r="H46" s="4103" t="n"/>
      <c r="I46" s="4103" t="n"/>
      <c r="J46" s="4103" t="n"/>
      <c r="K46" s="4103" t="n"/>
      <c r="L46" s="4103" t="n"/>
      <c r="M46" s="4103" t="n"/>
      <c r="N46" s="4197" t="n"/>
      <c r="O46" s="4103" t="n"/>
      <c r="P46" s="4103" t="n"/>
      <c r="Q46" s="4103" t="n"/>
      <c r="R46" s="4104" t="n"/>
      <c r="S46" s="4102" t="n"/>
      <c r="T46" s="4103" t="n"/>
      <c r="U46" s="4104" t="n"/>
      <c r="V46" s="1326" t="n"/>
      <c r="W46" s="1299" t="n"/>
      <c r="X46" s="4103" t="n"/>
      <c r="Y46" s="4103" t="n"/>
      <c r="Z46" s="4103" t="n"/>
      <c r="AA46" s="4103" t="n"/>
      <c r="AB46" s="4103" t="n"/>
      <c r="AC46" s="4103" t="n"/>
      <c r="AD46" s="4103" t="n"/>
      <c r="AE46" s="4103" t="n"/>
      <c r="AF46" s="4103" t="n"/>
      <c r="AG46" s="4103" t="n"/>
      <c r="AH46" s="4105" t="n"/>
    </row>
    <row r="47" ht="3.95" customHeight="1" s="4080">
      <c r="A47" s="4208" t="n"/>
      <c r="B47" s="4107" t="n"/>
      <c r="C47" s="1784" t="inlineStr">
        <is>
          <t>資格要件</t>
        </is>
      </c>
      <c r="D47" s="4098" t="n"/>
      <c r="E47" s="4098" t="n"/>
      <c r="F47" s="1322" t="n"/>
      <c r="G47" s="1323" t="n"/>
      <c r="H47" s="1414" t="n"/>
      <c r="I47" s="2056" t="n"/>
      <c r="J47" s="2056" t="n"/>
      <c r="K47" s="2056" t="n"/>
      <c r="L47" s="2056" t="n"/>
      <c r="M47" s="2056" t="n"/>
      <c r="N47" s="2056" t="n"/>
      <c r="O47" s="2056" t="n"/>
      <c r="P47" s="1402" t="n"/>
      <c r="Q47" s="1402" t="n"/>
      <c r="R47" s="1402" t="n"/>
      <c r="S47" s="4958" t="inlineStr">
        <is>
          <t>研修の
受講状況</t>
        </is>
      </c>
      <c r="T47" s="4098" t="n"/>
      <c r="U47" s="4099" t="n"/>
      <c r="V47" s="1322" t="n"/>
      <c r="W47" s="1323" t="n"/>
      <c r="X47" s="1323" t="n"/>
      <c r="Y47" s="1323" t="n"/>
      <c r="Z47" s="1323" t="n"/>
      <c r="AA47" s="1331" t="n"/>
      <c r="AB47" s="1323" t="n"/>
      <c r="AC47" s="1323" t="n"/>
      <c r="AD47" s="1323" t="n"/>
      <c r="AE47" s="1323" t="n"/>
      <c r="AF47" s="1323" t="n"/>
      <c r="AG47" s="1323" t="n"/>
      <c r="AH47" s="2297" t="n"/>
    </row>
    <row r="48" ht="12" customHeight="1" s="4080">
      <c r="A48" s="4208" t="n"/>
      <c r="B48" s="4107" t="n"/>
      <c r="C48" s="4106" t="n"/>
      <c r="F48" s="4314" t="inlineStr">
        <is>
          <t>実務経験</t>
        </is>
      </c>
      <c r="H48" s="4107" t="n"/>
      <c r="I48" s="1790" t="n"/>
      <c r="S48" s="4106" t="n"/>
      <c r="U48" s="4107" t="n"/>
      <c r="V48" s="4315" t="inlineStr">
        <is>
          <t>相談支援従事者研修</t>
        </is>
      </c>
      <c r="AA48" s="4107" t="n"/>
      <c r="AB48" s="128" t="n"/>
      <c r="AC48" s="1783" t="inlineStr">
        <is>
          <t>受講済</t>
        </is>
      </c>
      <c r="AE48" s="2379" t="inlineStr">
        <is>
          <t>・</t>
        </is>
      </c>
      <c r="AF48" s="1770" t="inlineStr">
        <is>
          <t>未受講</t>
        </is>
      </c>
      <c r="AH48" s="130" t="n"/>
    </row>
    <row r="49" ht="3.95" customHeight="1" s="4080">
      <c r="A49" s="4208" t="n"/>
      <c r="B49" s="4107" t="n"/>
      <c r="C49" s="4106" t="n"/>
      <c r="F49" s="131" t="n"/>
      <c r="G49" s="132" t="n"/>
      <c r="H49" s="133" t="n"/>
      <c r="I49" s="134" t="n"/>
      <c r="J49" s="134" t="n"/>
      <c r="K49" s="134" t="n"/>
      <c r="L49" s="134" t="n"/>
      <c r="M49" s="134" t="n"/>
      <c r="N49" s="134" t="n"/>
      <c r="O49" s="135" t="n"/>
      <c r="P49" s="136" t="n"/>
      <c r="Q49" s="136" t="n"/>
      <c r="R49" s="137" t="n"/>
      <c r="S49" s="4106" t="n"/>
      <c r="U49" s="4107" t="n"/>
      <c r="V49" s="4323" t="n"/>
      <c r="AA49" s="4107" t="n"/>
      <c r="AB49" s="138" t="n"/>
      <c r="AC49" s="138" t="n"/>
      <c r="AD49" s="138" t="n"/>
      <c r="AE49" s="138" t="n"/>
      <c r="AF49" s="138" t="n"/>
      <c r="AG49" s="138" t="n"/>
      <c r="AH49" s="139" t="n"/>
    </row>
    <row r="50" ht="3.95" customHeight="1" s="4080">
      <c r="A50" s="4208" t="n"/>
      <c r="B50" s="4107" t="n"/>
      <c r="C50" s="4106" t="n"/>
      <c r="F50" s="140" t="n"/>
      <c r="G50" s="141" t="n"/>
      <c r="H50" s="142" t="n"/>
      <c r="I50" s="143" t="n"/>
      <c r="J50" s="143" t="n"/>
      <c r="K50" s="144" t="n"/>
      <c r="L50" s="141" t="n"/>
      <c r="M50" s="141" t="n"/>
      <c r="N50" s="141" t="n"/>
      <c r="O50" s="141" t="n"/>
      <c r="P50" s="145" t="n"/>
      <c r="Q50" s="145" t="n"/>
      <c r="R50" s="146" t="n"/>
      <c r="S50" s="4106" t="n"/>
      <c r="U50" s="4107" t="n"/>
      <c r="V50" s="4324" t="n"/>
      <c r="W50" s="4098" t="n"/>
      <c r="X50" s="4098" t="n"/>
      <c r="Y50" s="4098" t="n"/>
      <c r="Z50" s="4098" t="n"/>
      <c r="AA50" s="4099" t="n"/>
      <c r="AB50" s="141" t="n"/>
      <c r="AC50" s="141" t="n"/>
      <c r="AD50" s="141" t="n"/>
      <c r="AE50" s="141" t="n"/>
      <c r="AF50" s="141" t="n"/>
      <c r="AG50" s="141" t="n"/>
      <c r="AH50" s="147" t="n"/>
    </row>
    <row r="51" ht="12" customHeight="1" s="4080">
      <c r="A51" s="4208" t="n"/>
      <c r="B51" s="4107" t="n"/>
      <c r="C51" s="4106" t="n"/>
      <c r="F51" s="4314" t="inlineStr">
        <is>
          <t>資格種類</t>
        </is>
      </c>
      <c r="H51" s="4107" t="n"/>
      <c r="I51" s="935" t="n"/>
      <c r="S51" s="4106" t="n"/>
      <c r="U51" s="4107" t="n"/>
      <c r="V51" s="4322" t="inlineStr">
        <is>
          <t>サービス管理責任者研修</t>
        </is>
      </c>
      <c r="AA51" s="4107" t="n"/>
      <c r="AB51" s="1355" t="n"/>
      <c r="AC51" s="1783" t="inlineStr">
        <is>
          <t>受講済</t>
        </is>
      </c>
      <c r="AE51" s="2379" t="inlineStr">
        <is>
          <t>・</t>
        </is>
      </c>
      <c r="AF51" s="1770" t="inlineStr">
        <is>
          <t>未受講</t>
        </is>
      </c>
      <c r="AH51" s="148" t="n"/>
    </row>
    <row r="52" ht="3.95" customHeight="1" s="4080">
      <c r="A52" s="4208" t="n"/>
      <c r="B52" s="4107" t="n"/>
      <c r="C52" s="4106" t="n"/>
      <c r="F52" s="1324" t="n"/>
      <c r="G52" s="1325" t="n"/>
      <c r="H52" s="1332" t="n"/>
      <c r="I52" s="1320" t="n"/>
      <c r="J52" s="1320" t="n"/>
      <c r="K52" s="1320" t="n"/>
      <c r="L52" s="1320" t="n"/>
      <c r="M52" s="1320" t="n"/>
      <c r="N52" s="1320" t="n"/>
      <c r="O52" s="2069" t="n"/>
      <c r="P52" s="1391" t="n"/>
      <c r="Q52" s="1391" t="n"/>
      <c r="R52" s="1391" t="n"/>
      <c r="S52" s="4106" t="n"/>
      <c r="U52" s="4107" t="n"/>
      <c r="V52" s="1795" t="n"/>
      <c r="W52" s="472" t="n"/>
      <c r="X52" s="472" t="n"/>
      <c r="Y52" s="680" t="n"/>
      <c r="Z52" s="680" t="n"/>
      <c r="AA52" s="3232" t="n"/>
      <c r="AB52" s="680" t="n"/>
      <c r="AC52" s="680" t="n"/>
      <c r="AD52" s="680" t="n"/>
      <c r="AE52" s="680" t="n"/>
      <c r="AF52" s="680" t="n"/>
      <c r="AG52" s="680" t="n"/>
      <c r="AH52" s="148" t="n"/>
    </row>
    <row r="53" ht="14.1" customHeight="1" s="4080">
      <c r="A53" s="4463" t="inlineStr">
        <is>
          <t>職　員　の　職　種　・　員　数</t>
        </is>
      </c>
      <c r="B53" s="4099" t="n"/>
      <c r="C53" s="4272" t="inlineStr">
        <is>
          <t xml:space="preserve">　　　　　　職種・勤務形態
常勤・非常勤の別</t>
        </is>
      </c>
      <c r="D53" s="4098" t="n"/>
      <c r="E53" s="4098" t="n"/>
      <c r="F53" s="4098" t="n"/>
      <c r="G53" s="4098" t="n"/>
      <c r="H53" s="4098" t="n"/>
      <c r="I53" s="4098" t="n"/>
      <c r="J53" s="4099" t="n"/>
      <c r="K53" s="4185" t="inlineStr">
        <is>
          <t>サービス管理責任者</t>
        </is>
      </c>
      <c r="L53" s="4110" t="n"/>
      <c r="M53" s="4110" t="n"/>
      <c r="N53" s="4110" t="n"/>
      <c r="O53" s="4110" t="n"/>
      <c r="P53" s="4111" t="n"/>
      <c r="Q53" s="4325" t="inlineStr">
        <is>
          <t>地域生活支援員</t>
        </is>
      </c>
      <c r="R53" s="4098" t="n"/>
      <c r="S53" s="4098" t="n"/>
      <c r="T53" s="4098" t="n"/>
      <c r="U53" s="4098" t="n"/>
      <c r="V53" s="4099" t="n"/>
      <c r="W53" s="4325" t="n"/>
      <c r="X53" s="4098" t="n"/>
      <c r="Y53" s="4098" t="n"/>
      <c r="Z53" s="4098" t="n"/>
      <c r="AA53" s="4098" t="n"/>
      <c r="AB53" s="4099" t="n"/>
      <c r="AC53" s="4326" t="n"/>
      <c r="AD53" s="4098" t="n"/>
      <c r="AE53" s="4098" t="n"/>
      <c r="AF53" s="4098" t="n"/>
      <c r="AG53" s="4098" t="n"/>
      <c r="AH53" s="4101" t="n"/>
    </row>
    <row r="54" ht="14.1" customHeight="1" s="4080">
      <c r="A54" s="4097" t="n"/>
      <c r="B54" s="4107" t="n"/>
      <c r="C54" s="4102" t="n"/>
      <c r="D54" s="4103" t="n"/>
      <c r="E54" s="4103" t="n"/>
      <c r="F54" s="4103" t="n"/>
      <c r="G54" s="4103" t="n"/>
      <c r="H54" s="4103" t="n"/>
      <c r="I54" s="4103" t="n"/>
      <c r="J54" s="4104" t="n"/>
      <c r="K54" s="1617" t="inlineStr">
        <is>
          <t>専従</t>
        </is>
      </c>
      <c r="L54" s="4110" t="n"/>
      <c r="M54" s="4189" t="n"/>
      <c r="N54" s="1604" t="inlineStr">
        <is>
          <t>兼務</t>
        </is>
      </c>
      <c r="O54" s="4110" t="n"/>
      <c r="P54" s="4111" t="n"/>
      <c r="Q54" s="1617" t="inlineStr">
        <is>
          <t>専従</t>
        </is>
      </c>
      <c r="R54" s="4110" t="n"/>
      <c r="S54" s="4189" t="n"/>
      <c r="T54" s="1603" t="inlineStr">
        <is>
          <t>兼務</t>
        </is>
      </c>
      <c r="U54" s="4110" t="n"/>
      <c r="V54" s="4189" t="n"/>
      <c r="W54" s="1617" t="inlineStr">
        <is>
          <t>専従</t>
        </is>
      </c>
      <c r="X54" s="4110" t="n"/>
      <c r="Y54" s="4189" t="n"/>
      <c r="Z54" s="1603" t="inlineStr">
        <is>
          <t>兼務</t>
        </is>
      </c>
      <c r="AA54" s="4110" t="n"/>
      <c r="AB54" s="4189" t="n"/>
      <c r="AC54" s="1617" t="inlineStr">
        <is>
          <t>専従</t>
        </is>
      </c>
      <c r="AD54" s="4110" t="n"/>
      <c r="AE54" s="4189" t="n"/>
      <c r="AF54" s="1603" t="inlineStr">
        <is>
          <t>兼務</t>
        </is>
      </c>
      <c r="AG54" s="4110" t="n"/>
      <c r="AH54" s="4189" t="n"/>
    </row>
    <row r="55" ht="14.1" customHeight="1" s="4080">
      <c r="A55" s="4097" t="n"/>
      <c r="B55" s="4107" t="n"/>
      <c r="C55" s="4185" t="inlineStr">
        <is>
          <t>常　　　　　勤（人）</t>
        </is>
      </c>
      <c r="D55" s="4110" t="n"/>
      <c r="E55" s="4110" t="n"/>
      <c r="F55" s="4110" t="n"/>
      <c r="G55" s="4110" t="n"/>
      <c r="H55" s="4110" t="n"/>
      <c r="I55" s="4110" t="n"/>
      <c r="J55" s="4111" t="n"/>
      <c r="K55" s="1487" t="n"/>
      <c r="L55" s="4110" t="n"/>
      <c r="M55" s="4189" t="n"/>
      <c r="N55" s="1489" t="inlineStr">
        <is>
          <t>１</t>
        </is>
      </c>
      <c r="O55" s="4110" t="n"/>
      <c r="P55" s="4111" t="n"/>
      <c r="Q55" s="1487" t="n"/>
      <c r="R55" s="4110" t="n"/>
      <c r="S55" s="4189" t="n"/>
      <c r="T55" s="1489" t="n"/>
      <c r="U55" s="4110" t="n"/>
      <c r="V55" s="4111" t="n"/>
      <c r="W55" s="1487" t="n"/>
      <c r="X55" s="4110" t="n"/>
      <c r="Y55" s="4189" t="n"/>
      <c r="Z55" s="1489" t="n"/>
      <c r="AA55" s="4110" t="n"/>
      <c r="AB55" s="4111" t="n"/>
      <c r="AC55" s="1487" t="n"/>
      <c r="AD55" s="4110" t="n"/>
      <c r="AE55" s="4189" t="n"/>
      <c r="AF55" s="2134" t="n"/>
      <c r="AG55" s="4110" t="n"/>
      <c r="AH55" s="4113" t="n"/>
    </row>
    <row r="56" ht="14.1" customHeight="1" s="4080">
      <c r="A56" s="4097" t="n"/>
      <c r="B56" s="4107" t="n"/>
      <c r="C56" s="4185" t="inlineStr">
        <is>
          <t>非　　常　　勤（人）</t>
        </is>
      </c>
      <c r="D56" s="4110" t="n"/>
      <c r="E56" s="4110" t="n"/>
      <c r="F56" s="4110" t="n"/>
      <c r="G56" s="4110" t="n"/>
      <c r="H56" s="4110" t="n"/>
      <c r="I56" s="4110" t="n"/>
      <c r="J56" s="4111" t="n"/>
      <c r="K56" s="1487" t="n"/>
      <c r="L56" s="4110" t="n"/>
      <c r="M56" s="4189" t="n"/>
      <c r="N56" s="1489" t="n"/>
      <c r="O56" s="4110" t="n"/>
      <c r="P56" s="4111" t="n"/>
      <c r="Q56" s="1487" t="inlineStr">
        <is>
          <t>１</t>
        </is>
      </c>
      <c r="R56" s="4110" t="n"/>
      <c r="S56" s="4189" t="n"/>
      <c r="T56" s="1489" t="n"/>
      <c r="U56" s="4110" t="n"/>
      <c r="V56" s="4111" t="n"/>
      <c r="W56" s="1487" t="n"/>
      <c r="X56" s="4110" t="n"/>
      <c r="Y56" s="4189" t="n"/>
      <c r="Z56" s="1489" t="n"/>
      <c r="AA56" s="4110" t="n"/>
      <c r="AB56" s="4111" t="n"/>
      <c r="AC56" s="1487" t="n"/>
      <c r="AD56" s="4110" t="n"/>
      <c r="AE56" s="4189" t="n"/>
      <c r="AF56" s="2134" t="n"/>
      <c r="AG56" s="4110" t="n"/>
      <c r="AH56" s="4113" t="n"/>
    </row>
    <row r="57" ht="14.1" customHeight="1" s="4080">
      <c r="A57" s="4097" t="n"/>
      <c r="B57" s="4107" t="n"/>
      <c r="C57" s="4185" t="inlineStr">
        <is>
          <t>常勤換算後の人数（人）</t>
        </is>
      </c>
      <c r="D57" s="4110" t="n"/>
      <c r="E57" s="4110" t="n"/>
      <c r="F57" s="4110" t="n"/>
      <c r="G57" s="4110" t="n"/>
      <c r="H57" s="4110" t="n"/>
      <c r="I57" s="4110" t="n"/>
      <c r="J57" s="4111" t="n"/>
      <c r="K57" s="4599" t="inlineStr">
        <is>
          <t>１．０</t>
        </is>
      </c>
      <c r="L57" s="4110" t="n"/>
      <c r="M57" s="4110" t="n"/>
      <c r="N57" s="4110" t="n"/>
      <c r="O57" s="4110" t="n"/>
      <c r="P57" s="4111" t="n"/>
      <c r="Q57" s="4599" t="inlineStr">
        <is>
          <t>０．２</t>
        </is>
      </c>
      <c r="R57" s="4110" t="n"/>
      <c r="S57" s="4110" t="n"/>
      <c r="T57" s="4110" t="n"/>
      <c r="U57" s="4110" t="n"/>
      <c r="V57" s="4111" t="n"/>
      <c r="W57" s="4599" t="n"/>
      <c r="X57" s="4110" t="n"/>
      <c r="Y57" s="4110" t="n"/>
      <c r="Z57" s="4110" t="n"/>
      <c r="AA57" s="4110" t="n"/>
      <c r="AB57" s="4111" t="n"/>
      <c r="AC57" s="4796" t="n"/>
      <c r="AD57" s="4110" t="n"/>
      <c r="AE57" s="4110" t="n"/>
      <c r="AF57" s="4110" t="n"/>
      <c r="AG57" s="4110" t="n"/>
      <c r="AH57" s="4113" t="n"/>
    </row>
    <row r="58" ht="14.1" customHeight="1" s="4080">
      <c r="A58" s="4097" t="n"/>
      <c r="B58" s="4107" t="n"/>
      <c r="C58" s="4521" t="inlineStr">
        <is>
          <t xml:space="preserve">　　　　　　職種・勤務形態
常勤・非常勤の別</t>
        </is>
      </c>
      <c r="D58" s="4098" t="n"/>
      <c r="E58" s="4098" t="n"/>
      <c r="F58" s="4098" t="n"/>
      <c r="G58" s="4098" t="n"/>
      <c r="H58" s="4098" t="n"/>
      <c r="I58" s="4098" t="n"/>
      <c r="J58" s="4099" t="n"/>
      <c r="K58" s="4959" t="n"/>
      <c r="L58" s="4110" t="n"/>
      <c r="M58" s="4110" t="n"/>
      <c r="N58" s="4110" t="n"/>
      <c r="O58" s="4110" t="n"/>
      <c r="P58" s="4111" t="n"/>
      <c r="Q58" s="4437" t="n"/>
      <c r="R58" s="4098" t="n"/>
      <c r="S58" s="4098" t="n"/>
      <c r="T58" s="4098" t="n"/>
      <c r="U58" s="4098" t="n"/>
      <c r="V58" s="4099" t="n"/>
      <c r="W58" s="4437" t="n"/>
      <c r="X58" s="4098" t="n"/>
      <c r="Y58" s="4098" t="n"/>
      <c r="Z58" s="4098" t="n"/>
      <c r="AA58" s="4098" t="n"/>
      <c r="AB58" s="4099" t="n"/>
      <c r="AC58" s="4506" t="n"/>
      <c r="AD58" s="4098" t="n"/>
      <c r="AE58" s="4098" t="n"/>
      <c r="AF58" s="4098" t="n"/>
      <c r="AG58" s="4098" t="n"/>
      <c r="AH58" s="4101" t="n"/>
    </row>
    <row r="59" ht="14.1" customHeight="1" s="4080">
      <c r="A59" s="4097" t="n"/>
      <c r="B59" s="4107" t="n"/>
      <c r="C59" s="4103" t="n"/>
      <c r="D59" s="4103" t="n"/>
      <c r="E59" s="4103" t="n"/>
      <c r="F59" s="4103" t="n"/>
      <c r="G59" s="4103" t="n"/>
      <c r="H59" s="4103" t="n"/>
      <c r="I59" s="4103" t="n"/>
      <c r="J59" s="4104" t="n"/>
      <c r="K59" s="1617" t="inlineStr">
        <is>
          <t>専従</t>
        </is>
      </c>
      <c r="L59" s="4110" t="n"/>
      <c r="M59" s="4189" t="n"/>
      <c r="N59" s="1603" t="inlineStr">
        <is>
          <t>兼務</t>
        </is>
      </c>
      <c r="O59" s="4110" t="n"/>
      <c r="P59" s="4189" t="n"/>
      <c r="Q59" s="1617" t="inlineStr">
        <is>
          <t>専従</t>
        </is>
      </c>
      <c r="R59" s="4110" t="n"/>
      <c r="S59" s="4189" t="n"/>
      <c r="T59" s="1603" t="inlineStr">
        <is>
          <t>兼務</t>
        </is>
      </c>
      <c r="U59" s="4110" t="n"/>
      <c r="V59" s="4189" t="n"/>
      <c r="W59" s="1617" t="inlineStr">
        <is>
          <t>専従</t>
        </is>
      </c>
      <c r="X59" s="4110" t="n"/>
      <c r="Y59" s="4189" t="n"/>
      <c r="Z59" s="1603" t="inlineStr">
        <is>
          <t>兼務</t>
        </is>
      </c>
      <c r="AA59" s="4110" t="n"/>
      <c r="AB59" s="4189" t="n"/>
      <c r="AC59" s="1617" t="inlineStr">
        <is>
          <t>専従</t>
        </is>
      </c>
      <c r="AD59" s="4110" t="n"/>
      <c r="AE59" s="4189" t="n"/>
      <c r="AF59" s="1603" t="inlineStr">
        <is>
          <t>兼務</t>
        </is>
      </c>
      <c r="AG59" s="4110" t="n"/>
      <c r="AH59" s="4189" t="n"/>
    </row>
    <row r="60" ht="14.1" customHeight="1" s="4080">
      <c r="A60" s="4097" t="n"/>
      <c r="B60" s="4107" t="n"/>
      <c r="C60" s="4185" t="inlineStr">
        <is>
          <t>常　　　　　勤（人）</t>
        </is>
      </c>
      <c r="D60" s="4110" t="n"/>
      <c r="E60" s="4110" t="n"/>
      <c r="F60" s="4110" t="n"/>
      <c r="G60" s="4110" t="n"/>
      <c r="H60" s="4110" t="n"/>
      <c r="I60" s="4110" t="n"/>
      <c r="J60" s="4111" t="n"/>
      <c r="K60" s="1487" t="n"/>
      <c r="L60" s="4110" t="n"/>
      <c r="M60" s="4189" t="n"/>
      <c r="N60" s="1488" t="n"/>
      <c r="O60" s="4110" t="n"/>
      <c r="P60" s="4189" t="n"/>
      <c r="Q60" s="1487" t="n"/>
      <c r="R60" s="4110" t="n"/>
      <c r="S60" s="4189" t="n"/>
      <c r="T60" s="1488" t="n"/>
      <c r="U60" s="4110" t="n"/>
      <c r="V60" s="4189" t="n"/>
      <c r="W60" s="1487" t="n"/>
      <c r="X60" s="4110" t="n"/>
      <c r="Y60" s="4189" t="n"/>
      <c r="Z60" s="1488" t="n"/>
      <c r="AA60" s="4110" t="n"/>
      <c r="AB60" s="4189" t="n"/>
      <c r="AC60" s="1487" t="n"/>
      <c r="AD60" s="4110" t="n"/>
      <c r="AE60" s="4189" t="n"/>
      <c r="AF60" s="1488" t="n"/>
      <c r="AG60" s="4110" t="n"/>
      <c r="AH60" s="4189" t="n"/>
    </row>
    <row r="61" ht="14.1" customHeight="1" s="4080">
      <c r="A61" s="4097" t="n"/>
      <c r="B61" s="4107" t="n"/>
      <c r="C61" s="4329" t="inlineStr">
        <is>
          <t>非　　常　　勤（人）</t>
        </is>
      </c>
      <c r="D61" s="4103" t="n"/>
      <c r="E61" s="4103" t="n"/>
      <c r="F61" s="4103" t="n"/>
      <c r="G61" s="4103" t="n"/>
      <c r="H61" s="4103" t="n"/>
      <c r="I61" s="4103" t="n"/>
      <c r="J61" s="4104" t="n"/>
      <c r="K61" s="1487" t="n"/>
      <c r="L61" s="4110" t="n"/>
      <c r="M61" s="4189" t="n"/>
      <c r="N61" s="1488" t="n"/>
      <c r="O61" s="4110" t="n"/>
      <c r="P61" s="4189" t="n"/>
      <c r="Q61" s="1487" t="n"/>
      <c r="R61" s="4110" t="n"/>
      <c r="S61" s="4189" t="n"/>
      <c r="T61" s="1488" t="n"/>
      <c r="U61" s="4110" t="n"/>
      <c r="V61" s="4189" t="n"/>
      <c r="W61" s="1487" t="n"/>
      <c r="X61" s="4110" t="n"/>
      <c r="Y61" s="4189" t="n"/>
      <c r="Z61" s="1488" t="n"/>
      <c r="AA61" s="4110" t="n"/>
      <c r="AB61" s="4189" t="n"/>
      <c r="AC61" s="1487" t="n"/>
      <c r="AD61" s="4110" t="n"/>
      <c r="AE61" s="4189" t="n"/>
      <c r="AF61" s="1488" t="n"/>
      <c r="AG61" s="4110" t="n"/>
      <c r="AH61" s="4189" t="n"/>
    </row>
    <row r="62" ht="14.1" customHeight="1" s="4080" thickBot="1">
      <c r="A62" s="4086" t="n"/>
      <c r="B62" s="4410" t="n"/>
      <c r="C62" s="2203" t="inlineStr">
        <is>
          <t>常勤換算後の人数（人）</t>
        </is>
      </c>
      <c r="D62" s="4153" t="n"/>
      <c r="E62" s="4153" t="n"/>
      <c r="F62" s="4153" t="n"/>
      <c r="G62" s="4153" t="n"/>
      <c r="H62" s="4153" t="n"/>
      <c r="I62" s="4153" t="n"/>
      <c r="J62" s="4154" t="n"/>
      <c r="K62" s="4960" t="n"/>
      <c r="L62" s="4153" t="n"/>
      <c r="M62" s="4153" t="n"/>
      <c r="N62" s="4153" t="n"/>
      <c r="O62" s="4153" t="n"/>
      <c r="P62" s="4154" t="n"/>
      <c r="Q62" s="4960" t="n"/>
      <c r="R62" s="4153" t="n"/>
      <c r="S62" s="4153" t="n"/>
      <c r="T62" s="4153" t="n"/>
      <c r="U62" s="4153" t="n"/>
      <c r="V62" s="4154" t="n"/>
      <c r="W62" s="4960" t="n"/>
      <c r="X62" s="4153" t="n"/>
      <c r="Y62" s="4153" t="n"/>
      <c r="Z62" s="4153" t="n"/>
      <c r="AA62" s="4153" t="n"/>
      <c r="AB62" s="4154" t="n"/>
      <c r="AC62" s="4961" t="n"/>
      <c r="AD62" s="4153" t="n"/>
      <c r="AE62" s="4153" t="n"/>
      <c r="AF62" s="4153" t="n"/>
      <c r="AG62" s="4153" t="n"/>
      <c r="AH62" s="4155" t="n"/>
    </row>
    <row r="63" ht="24" customHeight="1" s="4080">
      <c r="A63" s="4970" t="inlineStr">
        <is>
          <t>前年度
利用者数
(又は推定数)</t>
        </is>
      </c>
      <c r="B63" s="4098" t="n"/>
      <c r="C63" s="4098" t="n"/>
      <c r="D63" s="4099" t="n"/>
      <c r="E63" s="4949" t="n"/>
      <c r="F63" s="4110" t="n"/>
      <c r="G63" s="4111" t="n"/>
      <c r="H63" s="2165" t="inlineStr">
        <is>
          <t>非該当</t>
        </is>
      </c>
      <c r="I63" s="4110" t="n"/>
      <c r="J63" s="4111" t="n"/>
      <c r="K63" s="2165" t="inlineStr">
        <is>
          <t>区分１</t>
        </is>
      </c>
      <c r="L63" s="4110" t="n"/>
      <c r="M63" s="4111" t="n"/>
      <c r="N63" s="2165" t="inlineStr">
        <is>
          <t>区分２</t>
        </is>
      </c>
      <c r="O63" s="4110" t="n"/>
      <c r="P63" s="4111" t="n"/>
      <c r="Q63" s="2165" t="inlineStr">
        <is>
          <t>区分３</t>
        </is>
      </c>
      <c r="R63" s="4110" t="n"/>
      <c r="S63" s="4111" t="n"/>
      <c r="T63" s="2165" t="inlineStr">
        <is>
          <t>区分４</t>
        </is>
      </c>
      <c r="U63" s="4110" t="n"/>
      <c r="V63" s="4111" t="n"/>
      <c r="W63" s="2165" t="inlineStr">
        <is>
          <t>区分５</t>
        </is>
      </c>
      <c r="X63" s="4110" t="n"/>
      <c r="Y63" s="4111" t="n"/>
      <c r="Z63" s="2165" t="inlineStr">
        <is>
          <t>区分６</t>
        </is>
      </c>
      <c r="AA63" s="4110" t="n"/>
      <c r="AB63" s="4111" t="n"/>
      <c r="AC63" s="4628" t="inlineStr">
        <is>
          <t>前年度
開所月数</t>
        </is>
      </c>
      <c r="AD63" s="4110" t="n"/>
      <c r="AE63" s="4111" t="n"/>
      <c r="AF63" s="4643" t="inlineStr">
        <is>
          <t>平均
利用者数</t>
        </is>
      </c>
      <c r="AG63" s="4110" t="n"/>
      <c r="AH63" s="4113" t="n"/>
    </row>
    <row r="64" ht="21" customHeight="1" s="4080" thickBot="1">
      <c r="A64" s="4097" t="n"/>
      <c r="D64" s="4107" t="n"/>
      <c r="E64" s="4313" t="inlineStr">
        <is>
          <t>自立生活</t>
        </is>
      </c>
      <c r="F64" s="4110" t="n"/>
      <c r="G64" s="4111" t="n"/>
      <c r="H64" s="4644" t="n">
        <v>0</v>
      </c>
      <c r="I64" s="4110" t="n"/>
      <c r="J64" s="4350" t="inlineStr">
        <is>
          <t>人</t>
        </is>
      </c>
      <c r="K64" s="4644" t="n">
        <v>30</v>
      </c>
      <c r="L64" s="4110" t="n"/>
      <c r="M64" s="4350" t="inlineStr">
        <is>
          <t>人</t>
        </is>
      </c>
      <c r="N64" s="4644" t="n">
        <v>40</v>
      </c>
      <c r="O64" s="4110" t="n"/>
      <c r="P64" s="4350" t="inlineStr">
        <is>
          <t>人</t>
        </is>
      </c>
      <c r="Q64" s="4644" t="n">
        <v>30</v>
      </c>
      <c r="R64" s="4110" t="n"/>
      <c r="S64" s="4350" t="inlineStr">
        <is>
          <t>人</t>
        </is>
      </c>
      <c r="T64" s="4644" t="n">
        <v>15</v>
      </c>
      <c r="U64" s="4110" t="n"/>
      <c r="V64" s="4350" t="inlineStr">
        <is>
          <t>人</t>
        </is>
      </c>
      <c r="W64" s="4644" t="n">
        <v>10</v>
      </c>
      <c r="X64" s="4110" t="n"/>
      <c r="Y64" s="4350" t="inlineStr">
        <is>
          <t>人</t>
        </is>
      </c>
      <c r="Z64" s="4644" t="n">
        <v>0</v>
      </c>
      <c r="AA64" s="4110" t="n"/>
      <c r="AB64" s="3914" t="inlineStr">
        <is>
          <t>人</t>
        </is>
      </c>
      <c r="AC64" s="4644" t="n">
        <v>12</v>
      </c>
      <c r="AD64" s="4110" t="n"/>
      <c r="AE64" s="3914" t="inlineStr">
        <is>
          <t>月</t>
        </is>
      </c>
      <c r="AF64" s="4646">
        <f>IF(AC64=0," ",ROUNDUP((H64+K64+N64+Q64+T64+W64+Z64)/AC64,1))</f>
        <v/>
      </c>
      <c r="AG64" s="4110" t="n"/>
      <c r="AH64" s="4632" t="inlineStr">
        <is>
          <t>人</t>
        </is>
      </c>
    </row>
    <row r="65" ht="12" customHeight="1" s="4080" thickBot="1">
      <c r="A65" s="4355" t="inlineStr">
        <is>
          <t>主　　な　　掲　　示　　事　　項</t>
        </is>
      </c>
      <c r="B65" s="4356" t="n"/>
      <c r="C65" s="1999" t="n"/>
      <c r="D65" s="1886" t="inlineStr">
        <is>
          <t>営業日</t>
        </is>
      </c>
      <c r="E65" s="4082" t="n"/>
      <c r="F65" s="4082" t="n"/>
      <c r="G65" s="4082" t="n"/>
      <c r="H65" s="4082" t="n"/>
      <c r="I65" s="4082" t="n"/>
      <c r="J65" s="2002" t="n"/>
      <c r="K65" s="2352" t="inlineStr">
        <is>
          <t>月</t>
        </is>
      </c>
      <c r="L65" s="2354" t="inlineStr">
        <is>
          <t>火</t>
        </is>
      </c>
      <c r="M65" s="2354" t="inlineStr">
        <is>
          <t>水</t>
        </is>
      </c>
      <c r="N65" s="2354" t="inlineStr">
        <is>
          <t>木</t>
        </is>
      </c>
      <c r="O65" s="2354" t="inlineStr">
        <is>
          <t>金</t>
        </is>
      </c>
      <c r="P65" s="2354" t="inlineStr">
        <is>
          <t>土</t>
        </is>
      </c>
      <c r="Q65" s="2354" t="inlineStr">
        <is>
          <t>日</t>
        </is>
      </c>
      <c r="R65" s="2356" t="inlineStr">
        <is>
          <t>祝</t>
        </is>
      </c>
      <c r="S65" s="2004" t="inlineStr">
        <is>
          <t>休業日</t>
        </is>
      </c>
      <c r="T65" s="2006" t="inlineStr">
        <is>
          <t>年末年始</t>
        </is>
      </c>
      <c r="U65" s="4082" t="n"/>
      <c r="V65" s="3985" t="inlineStr">
        <is>
          <t>12/29～1/3</t>
        </is>
      </c>
      <c r="W65" s="4082" t="n"/>
      <c r="X65" s="4082" t="n"/>
      <c r="Y65" s="4082" t="n"/>
      <c r="Z65" s="4082" t="n"/>
      <c r="AA65" s="4082" t="n"/>
      <c r="AB65" s="4356" t="n"/>
      <c r="AC65" s="4418" t="inlineStr">
        <is>
          <t>備考</t>
        </is>
      </c>
      <c r="AD65" s="4965" t="n"/>
      <c r="AE65" s="4082" t="n"/>
      <c r="AF65" s="4082" t="n"/>
      <c r="AG65" s="4082" t="n"/>
      <c r="AH65" s="4083" t="n"/>
    </row>
    <row r="66" ht="12" customHeight="1" s="4080" thickBot="1">
      <c r="A66" s="4097" t="n"/>
      <c r="B66" s="4107" t="n"/>
      <c r="C66" s="4106" t="n"/>
      <c r="J66" s="4107" t="n"/>
      <c r="K66" s="4302" t="inlineStr">
        <is>
          <t>○</t>
        </is>
      </c>
      <c r="L66" s="4303" t="inlineStr">
        <is>
          <t>○</t>
        </is>
      </c>
      <c r="M66" s="4303" t="inlineStr">
        <is>
          <t>○</t>
        </is>
      </c>
      <c r="N66" s="4303" t="inlineStr">
        <is>
          <t>○</t>
        </is>
      </c>
      <c r="O66" s="4303" t="inlineStr">
        <is>
          <t>○</t>
        </is>
      </c>
      <c r="P66" s="4303" t="n"/>
      <c r="Q66" s="4303" t="n"/>
      <c r="R66" s="4309" t="inlineStr">
        <is>
          <t>○</t>
        </is>
      </c>
      <c r="S66" s="4282" t="n"/>
      <c r="T66" s="2008" t="inlineStr">
        <is>
          <t>夏季</t>
        </is>
      </c>
      <c r="V66" s="1744" t="inlineStr">
        <is>
          <t>8/13～8/16</t>
        </is>
      </c>
      <c r="AB66" s="4107" t="n"/>
      <c r="AC66" s="4419" t="n"/>
      <c r="AH66" s="4109" t="n"/>
    </row>
    <row r="67" ht="12" customHeight="1" s="4080">
      <c r="A67" s="4097" t="n"/>
      <c r="B67" s="4107" t="n"/>
      <c r="C67" s="4420" t="n"/>
      <c r="D67" s="4087" t="n"/>
      <c r="E67" s="4087" t="n"/>
      <c r="F67" s="4087" t="n"/>
      <c r="G67" s="4087" t="n"/>
      <c r="H67" s="4087" t="n"/>
      <c r="I67" s="4087" t="n"/>
      <c r="J67" s="4410" t="n"/>
      <c r="K67" s="4283" t="n"/>
      <c r="L67" s="4284" t="n"/>
      <c r="M67" s="4284" t="n"/>
      <c r="N67" s="4284" t="n"/>
      <c r="O67" s="4284" t="n"/>
      <c r="P67" s="4284" t="n"/>
      <c r="Q67" s="4284" t="n"/>
      <c r="R67" s="4285" t="n"/>
      <c r="S67" s="4421" t="n"/>
      <c r="T67" s="2024" t="inlineStr">
        <is>
          <t>その他</t>
        </is>
      </c>
      <c r="U67" s="4103" t="n"/>
      <c r="V67" s="940" t="n"/>
      <c r="W67" s="4103" t="n"/>
      <c r="X67" s="4103" t="n"/>
      <c r="Y67" s="4103" t="n"/>
      <c r="Z67" s="4103" t="n"/>
      <c r="AA67" s="4103" t="n"/>
      <c r="AB67" s="4104" t="n"/>
      <c r="AC67" s="4283" t="n"/>
      <c r="AD67" s="4103" t="n"/>
      <c r="AE67" s="4103" t="n"/>
      <c r="AF67" s="4103" t="n"/>
      <c r="AG67" s="4103" t="n"/>
      <c r="AH67" s="4105" t="n"/>
    </row>
    <row r="68" ht="3.95" customHeight="1" s="4080">
      <c r="A68" s="4097" t="n"/>
      <c r="B68" s="4107" t="n"/>
      <c r="C68" s="1393" t="n"/>
      <c r="D68" s="1264" t="inlineStr">
        <is>
          <t>営業時間</t>
        </is>
      </c>
      <c r="E68" s="4098" t="n"/>
      <c r="F68" s="4098" t="n"/>
      <c r="G68" s="4098" t="n"/>
      <c r="H68" s="4098" t="n"/>
      <c r="I68" s="4098" t="n"/>
      <c r="J68" s="4223" t="n"/>
      <c r="K68" s="4287" t="inlineStr">
        <is>
          <t>平日</t>
        </is>
      </c>
      <c r="L68" s="4098" t="n"/>
      <c r="M68" s="4190" t="n"/>
      <c r="N68" s="1590" t="n"/>
      <c r="O68" s="4098" t="n"/>
      <c r="P68" s="2842" t="inlineStr">
        <is>
          <t>時</t>
        </is>
      </c>
      <c r="Q68" s="1323" t="n"/>
      <c r="R68" s="1323" t="n"/>
      <c r="S68" s="4288" t="inlineStr">
        <is>
          <t>分～</t>
        </is>
      </c>
      <c r="T68" s="4098" t="n"/>
      <c r="U68" s="108" t="inlineStr">
        <is>
          <t xml:space="preserve">　</t>
        </is>
      </c>
      <c r="V68" s="1591" t="n"/>
      <c r="W68" s="4098" t="n"/>
      <c r="X68" s="2842" t="inlineStr">
        <is>
          <t>時</t>
        </is>
      </c>
      <c r="Y68" s="2834" t="n"/>
      <c r="Z68" s="2834" t="n"/>
      <c r="AA68" s="2842" t="inlineStr">
        <is>
          <t>分</t>
        </is>
      </c>
      <c r="AB68" s="1323" t="n"/>
      <c r="AC68" s="4422" t="inlineStr">
        <is>
          <t>備考</t>
        </is>
      </c>
      <c r="AD68" s="1747" t="n"/>
      <c r="AE68" s="4098" t="n"/>
      <c r="AF68" s="4098" t="n"/>
      <c r="AG68" s="4098" t="n"/>
      <c r="AH68" s="4101" t="n"/>
    </row>
    <row r="69" ht="12" customHeight="1" s="4080">
      <c r="A69" s="4097" t="n"/>
      <c r="B69" s="4107" t="n"/>
      <c r="C69" s="4106" t="n"/>
      <c r="J69" s="4107" t="n"/>
      <c r="K69" s="4106" t="n"/>
      <c r="M69" s="4191" t="n"/>
      <c r="N69" s="1733" t="inlineStr">
        <is>
          <t>９</t>
        </is>
      </c>
      <c r="Q69" s="1752" t="inlineStr">
        <is>
          <t>００</t>
        </is>
      </c>
      <c r="U69" s="1734" t="inlineStr">
        <is>
          <t>１７</t>
        </is>
      </c>
      <c r="Y69" s="1732" t="inlineStr">
        <is>
          <t>４５</t>
        </is>
      </c>
      <c r="AB69" s="1325" t="n"/>
      <c r="AC69" s="4419" t="n"/>
      <c r="AH69" s="4109" t="n"/>
    </row>
    <row r="70" ht="3.95" customHeight="1" s="4080">
      <c r="A70" s="4097" t="n"/>
      <c r="B70" s="4107" t="n"/>
      <c r="C70" s="4106" t="n"/>
      <c r="J70" s="4107" t="n"/>
      <c r="K70" s="4145" t="n"/>
      <c r="L70" s="4146" t="n"/>
      <c r="M70" s="4201" t="n"/>
      <c r="N70" s="1586" t="n"/>
      <c r="O70" s="1587" t="n"/>
      <c r="P70" s="4146" t="n"/>
      <c r="Q70" s="1585" t="n"/>
      <c r="R70" s="1585" t="n"/>
      <c r="S70" s="4146" t="n"/>
      <c r="T70" s="4146" t="n"/>
      <c r="U70" s="2253" t="n"/>
      <c r="V70" s="1587" t="n"/>
      <c r="W70" s="1587" t="n"/>
      <c r="X70" s="4146" t="n"/>
      <c r="Y70" s="101" t="n"/>
      <c r="Z70" s="101" t="n"/>
      <c r="AA70" s="4146" t="n"/>
      <c r="AB70" s="1585" t="n"/>
      <c r="AC70" s="4419" t="n"/>
      <c r="AH70" s="4109" t="n"/>
    </row>
    <row r="71" ht="3.95" customHeight="1" s="4080">
      <c r="A71" s="4097" t="n"/>
      <c r="B71" s="4107" t="n"/>
      <c r="C71" s="4106" t="n"/>
      <c r="J71" s="4107" t="n"/>
      <c r="K71" s="4289" t="inlineStr">
        <is>
          <t>土曜</t>
        </is>
      </c>
      <c r="L71" s="4290" t="n"/>
      <c r="M71" s="4291" t="n"/>
      <c r="N71" s="1581" t="n"/>
      <c r="O71" s="4290" t="n"/>
      <c r="P71" s="1514" t="inlineStr">
        <is>
          <t>時</t>
        </is>
      </c>
      <c r="Q71" s="1583" t="n"/>
      <c r="R71" s="1583" t="n"/>
      <c r="S71" s="4292" t="inlineStr">
        <is>
          <t>分～</t>
        </is>
      </c>
      <c r="T71" s="4290" t="n"/>
      <c r="U71" s="98" t="inlineStr">
        <is>
          <t xml:space="preserve">　</t>
        </is>
      </c>
      <c r="V71" s="1582" t="n"/>
      <c r="W71" s="1582" t="n"/>
      <c r="X71" s="1514" t="inlineStr">
        <is>
          <t>時</t>
        </is>
      </c>
      <c r="Y71" s="96" t="n"/>
      <c r="Z71" s="96" t="n"/>
      <c r="AA71" s="1514" t="inlineStr">
        <is>
          <t>分</t>
        </is>
      </c>
      <c r="AB71" s="1583" t="n"/>
      <c r="AC71" s="4419" t="n"/>
      <c r="AH71" s="4109" t="n"/>
    </row>
    <row r="72" ht="12" customHeight="1" s="4080">
      <c r="A72" s="4097" t="n"/>
      <c r="B72" s="4107" t="n"/>
      <c r="C72" s="4106" t="n"/>
      <c r="J72" s="4107" t="n"/>
      <c r="K72" s="4106" t="n"/>
      <c r="M72" s="4191" t="n"/>
      <c r="N72" s="1589" t="n"/>
      <c r="Q72" s="1325" t="n"/>
      <c r="U72" s="1257" t="n"/>
      <c r="Y72" s="1580" t="n"/>
      <c r="AB72" s="1325" t="n"/>
      <c r="AC72" s="4419" t="n"/>
      <c r="AH72" s="4109" t="n"/>
    </row>
    <row r="73" ht="3.95" customHeight="1" s="4080">
      <c r="A73" s="4097" t="n"/>
      <c r="B73" s="4107" t="n"/>
      <c r="C73" s="4106" t="n"/>
      <c r="J73" s="4107" t="n"/>
      <c r="K73" s="4145" t="n"/>
      <c r="L73" s="4146" t="n"/>
      <c r="M73" s="4201" t="n"/>
      <c r="N73" s="1586" t="n"/>
      <c r="O73" s="1587" t="n"/>
      <c r="P73" s="4146" t="n"/>
      <c r="Q73" s="1585" t="n"/>
      <c r="R73" s="1585" t="n"/>
      <c r="S73" s="4146" t="n"/>
      <c r="T73" s="4146" t="n"/>
      <c r="U73" s="103" t="n"/>
      <c r="V73" s="1587" t="n"/>
      <c r="W73" s="1587" t="n"/>
      <c r="X73" s="4146" t="n"/>
      <c r="Y73" s="101" t="n"/>
      <c r="Z73" s="101" t="n"/>
      <c r="AA73" s="4146" t="n"/>
      <c r="AB73" s="1585" t="n"/>
      <c r="AC73" s="4419" t="n"/>
      <c r="AH73" s="4109" t="n"/>
    </row>
    <row r="74" ht="3.95" customHeight="1" s="4080">
      <c r="A74" s="4097" t="n"/>
      <c r="B74" s="4107" t="n"/>
      <c r="C74" s="4106" t="n"/>
      <c r="J74" s="4107" t="n"/>
      <c r="K74" s="4293" t="inlineStr">
        <is>
          <t>日・祝日</t>
        </is>
      </c>
      <c r="L74" s="4290" t="n"/>
      <c r="M74" s="4291" t="n"/>
      <c r="N74" s="1581" t="n"/>
      <c r="O74" s="4290" t="n"/>
      <c r="P74" s="1521" t="inlineStr">
        <is>
          <t>時</t>
        </is>
      </c>
      <c r="Q74" s="1583" t="n"/>
      <c r="R74" s="1583" t="n"/>
      <c r="S74" s="4294" t="inlineStr">
        <is>
          <t>分～</t>
        </is>
      </c>
      <c r="T74" s="4290" t="n"/>
      <c r="U74" s="98" t="inlineStr">
        <is>
          <t xml:space="preserve">　</t>
        </is>
      </c>
      <c r="V74" s="1582" t="n"/>
      <c r="W74" s="1582" t="n"/>
      <c r="X74" s="1521" t="inlineStr">
        <is>
          <t>時</t>
        </is>
      </c>
      <c r="Y74" s="96" t="n"/>
      <c r="Z74" s="96" t="n"/>
      <c r="AA74" s="1521" t="inlineStr">
        <is>
          <t>分</t>
        </is>
      </c>
      <c r="AB74" s="1583" t="n"/>
      <c r="AC74" s="4419" t="n"/>
      <c r="AH74" s="4109" t="n"/>
    </row>
    <row r="75" ht="12" customHeight="1" s="4080">
      <c r="A75" s="4097" t="n"/>
      <c r="B75" s="4107" t="n"/>
      <c r="C75" s="4106" t="n"/>
      <c r="J75" s="4107" t="n"/>
      <c r="K75" s="4106" t="n"/>
      <c r="M75" s="4191" t="n"/>
      <c r="N75" s="1733" t="inlineStr">
        <is>
          <t>９</t>
        </is>
      </c>
      <c r="Q75" s="1752" t="inlineStr">
        <is>
          <t>００</t>
        </is>
      </c>
      <c r="U75" s="1734" t="inlineStr">
        <is>
          <t>１７</t>
        </is>
      </c>
      <c r="Y75" s="1732" t="inlineStr">
        <is>
          <t>４５</t>
        </is>
      </c>
      <c r="AB75" s="1325" t="n"/>
      <c r="AC75" s="4419" t="n"/>
      <c r="AH75" s="4109" t="n"/>
    </row>
    <row r="76" ht="3.95" customHeight="1" s="4080">
      <c r="A76" s="4097" t="n"/>
      <c r="B76" s="4107" t="n"/>
      <c r="C76" s="4102" t="n"/>
      <c r="D76" s="4103" t="n"/>
      <c r="E76" s="4103" t="n"/>
      <c r="F76" s="4103" t="n"/>
      <c r="G76" s="4103" t="n"/>
      <c r="H76" s="4103" t="n"/>
      <c r="I76" s="4103" t="n"/>
      <c r="J76" s="4104" t="n"/>
      <c r="K76" s="4102" t="n"/>
      <c r="L76" s="4103" t="n"/>
      <c r="M76" s="4193" t="n"/>
      <c r="N76" s="1588" t="n"/>
      <c r="O76" s="1258" t="n"/>
      <c r="P76" s="4103" t="n"/>
      <c r="Q76" s="1327" t="n"/>
      <c r="R76" s="1327" t="n"/>
      <c r="S76" s="4103" t="n"/>
      <c r="T76" s="4103" t="n"/>
      <c r="U76" s="92" t="n"/>
      <c r="V76" s="1258" t="n"/>
      <c r="W76" s="1258" t="n"/>
      <c r="X76" s="4103" t="n"/>
      <c r="Y76" s="2836" t="n"/>
      <c r="Z76" s="2836" t="n"/>
      <c r="AA76" s="4103" t="n"/>
      <c r="AB76" s="1327" t="n"/>
      <c r="AC76" s="4283" t="n"/>
      <c r="AD76" s="4103" t="n"/>
      <c r="AE76" s="4103" t="n"/>
      <c r="AF76" s="4103" t="n"/>
      <c r="AG76" s="4103" t="n"/>
      <c r="AH76" s="4105" t="n"/>
    </row>
    <row r="77" ht="12" customHeight="1" s="4080">
      <c r="A77" s="4097" t="n"/>
      <c r="B77" s="4107" t="n"/>
      <c r="C77" s="1393" t="n"/>
      <c r="D77" s="1264" t="inlineStr">
        <is>
          <t>サービス提供日</t>
        </is>
      </c>
      <c r="E77" s="4098" t="n"/>
      <c r="F77" s="4098" t="n"/>
      <c r="G77" s="4098" t="n"/>
      <c r="H77" s="4098" t="n"/>
      <c r="I77" s="4098" t="n"/>
      <c r="J77" s="4423" t="n"/>
      <c r="K77" s="2244" t="inlineStr">
        <is>
          <t>月</t>
        </is>
      </c>
      <c r="L77" s="2245" t="inlineStr">
        <is>
          <t>火</t>
        </is>
      </c>
      <c r="M77" s="2245" t="inlineStr">
        <is>
          <t>水</t>
        </is>
      </c>
      <c r="N77" s="2245" t="inlineStr">
        <is>
          <t>木</t>
        </is>
      </c>
      <c r="O77" s="2245" t="inlineStr">
        <is>
          <t>金</t>
        </is>
      </c>
      <c r="P77" s="2245" t="inlineStr">
        <is>
          <t>土</t>
        </is>
      </c>
      <c r="Q77" s="2245" t="inlineStr">
        <is>
          <t>日</t>
        </is>
      </c>
      <c r="R77" s="2249" t="inlineStr">
        <is>
          <t>祝</t>
        </is>
      </c>
      <c r="S77" s="4279" t="inlineStr">
        <is>
          <t>休業日</t>
        </is>
      </c>
      <c r="T77" s="1611" t="inlineStr">
        <is>
          <t>年末年始</t>
        </is>
      </c>
      <c r="U77" s="4098" t="n"/>
      <c r="V77" s="1717" t="inlineStr">
        <is>
          <t>12/29～1/3</t>
        </is>
      </c>
      <c r="W77" s="4098" t="n"/>
      <c r="X77" s="4098" t="n"/>
      <c r="Y77" s="4098" t="n"/>
      <c r="Z77" s="4098" t="n"/>
      <c r="AA77" s="4098" t="n"/>
      <c r="AB77" s="4099" t="n"/>
      <c r="AC77" s="4424" t="inlineStr">
        <is>
          <t>備考</t>
        </is>
      </c>
      <c r="AD77" s="2793" t="n"/>
      <c r="AE77" s="4098" t="n"/>
      <c r="AF77" s="4098" t="n"/>
      <c r="AG77" s="4098" t="n"/>
      <c r="AH77" s="4101" t="n"/>
    </row>
    <row r="78" ht="12" customHeight="1" s="4080">
      <c r="A78" s="4097" t="n"/>
      <c r="B78" s="4107" t="n"/>
      <c r="C78" s="4106" t="n"/>
      <c r="J78" s="4107" t="n"/>
      <c r="K78" s="4302" t="inlineStr">
        <is>
          <t>○</t>
        </is>
      </c>
      <c r="L78" s="4303" t="inlineStr">
        <is>
          <t>○</t>
        </is>
      </c>
      <c r="M78" s="4303" t="inlineStr">
        <is>
          <t>○</t>
        </is>
      </c>
      <c r="N78" s="4303" t="inlineStr">
        <is>
          <t>○</t>
        </is>
      </c>
      <c r="O78" s="4303" t="inlineStr">
        <is>
          <t>○</t>
        </is>
      </c>
      <c r="P78" s="4303" t="n"/>
      <c r="Q78" s="4303" t="n"/>
      <c r="R78" s="4309" t="inlineStr">
        <is>
          <t>○</t>
        </is>
      </c>
      <c r="S78" s="4282" t="n"/>
      <c r="T78" s="1609" t="inlineStr">
        <is>
          <t>夏季</t>
        </is>
      </c>
      <c r="V78" s="1744" t="inlineStr">
        <is>
          <t>8/13～8/16</t>
        </is>
      </c>
      <c r="AB78" s="4107" t="n"/>
      <c r="AC78" s="4419" t="n"/>
      <c r="AH78" s="4109" t="n"/>
    </row>
    <row r="79" ht="12" customHeight="1" s="4080">
      <c r="A79" s="4097" t="n"/>
      <c r="B79" s="4107" t="n"/>
      <c r="C79" s="4102" t="n"/>
      <c r="D79" s="4103" t="n"/>
      <c r="E79" s="4103" t="n"/>
      <c r="F79" s="4103" t="n"/>
      <c r="G79" s="4103" t="n"/>
      <c r="H79" s="4103" t="n"/>
      <c r="I79" s="4103" t="n"/>
      <c r="J79" s="4104" t="n"/>
      <c r="K79" s="4283" t="n"/>
      <c r="L79" s="4284" t="n"/>
      <c r="M79" s="4284" t="n"/>
      <c r="N79" s="4284" t="n"/>
      <c r="O79" s="4284" t="n"/>
      <c r="P79" s="4284" t="n"/>
      <c r="Q79" s="4284" t="n"/>
      <c r="R79" s="4285" t="n"/>
      <c r="S79" s="4286" t="n"/>
      <c r="T79" s="1610" t="inlineStr">
        <is>
          <t>その他</t>
        </is>
      </c>
      <c r="U79" s="4103" t="n"/>
      <c r="V79" s="940" t="n"/>
      <c r="W79" s="4103" t="n"/>
      <c r="X79" s="4103" t="n"/>
      <c r="Y79" s="4103" t="n"/>
      <c r="Z79" s="4103" t="n"/>
      <c r="AA79" s="4103" t="n"/>
      <c r="AB79" s="4104" t="n"/>
      <c r="AC79" s="4283" t="n"/>
      <c r="AD79" s="4103" t="n"/>
      <c r="AE79" s="4103" t="n"/>
      <c r="AF79" s="4103" t="n"/>
      <c r="AG79" s="4103" t="n"/>
      <c r="AH79" s="4105" t="n"/>
    </row>
    <row r="80" ht="3.95" customHeight="1" s="4080">
      <c r="A80" s="4097" t="n"/>
      <c r="B80" s="4107" t="n"/>
      <c r="C80" s="1393" t="n"/>
      <c r="D80" s="1264" t="inlineStr">
        <is>
          <t>サービス提供時間</t>
        </is>
      </c>
      <c r="E80" s="4098" t="n"/>
      <c r="F80" s="4098" t="n"/>
      <c r="G80" s="4098" t="n"/>
      <c r="H80" s="4098" t="n"/>
      <c r="I80" s="4098" t="n"/>
      <c r="J80" s="4223" t="n"/>
      <c r="K80" s="4295" t="n"/>
      <c r="L80" s="4098" t="n"/>
      <c r="M80" s="4098" t="n"/>
      <c r="N80" s="4098" t="n"/>
      <c r="O80" s="4098" t="n"/>
      <c r="P80" s="4098" t="n"/>
      <c r="Q80" s="4098" t="n"/>
      <c r="R80" s="4098" t="n"/>
      <c r="S80" s="4098" t="n"/>
      <c r="T80" s="4098" t="n"/>
      <c r="U80" s="4098" t="n"/>
      <c r="V80" s="4098" t="n"/>
      <c r="W80" s="4098" t="n"/>
      <c r="X80" s="4098" t="n"/>
      <c r="Y80" s="4098" t="n"/>
      <c r="Z80" s="4098" t="n"/>
      <c r="AA80" s="4098" t="n"/>
      <c r="AB80" s="4098" t="n"/>
      <c r="AC80" s="4098" t="n"/>
      <c r="AD80" s="4098" t="n"/>
      <c r="AE80" s="4098" t="n"/>
      <c r="AF80" s="4098" t="n"/>
      <c r="AG80" s="4098" t="n"/>
      <c r="AH80" s="4101" t="n"/>
    </row>
    <row r="81" ht="12" customHeight="1" s="4080">
      <c r="A81" s="4097" t="n"/>
      <c r="B81" s="4107" t="n"/>
      <c r="C81" s="4106" t="n"/>
      <c r="J81" s="4107" t="n"/>
      <c r="K81" s="224" t="n"/>
      <c r="L81" s="1707" t="inlineStr">
        <is>
          <t>１０</t>
        </is>
      </c>
      <c r="O81" s="1325" t="inlineStr">
        <is>
          <t>時</t>
        </is>
      </c>
      <c r="P81" s="1538" t="inlineStr">
        <is>
          <t>００</t>
        </is>
      </c>
      <c r="R81" s="1325" t="inlineStr">
        <is>
          <t>分～</t>
        </is>
      </c>
      <c r="T81" s="1707" t="inlineStr">
        <is>
          <t>１７</t>
        </is>
      </c>
      <c r="W81" s="1325" t="inlineStr">
        <is>
          <t>時</t>
        </is>
      </c>
      <c r="X81" s="1538" t="inlineStr">
        <is>
          <t>００</t>
        </is>
      </c>
      <c r="Z81" s="1325" t="inlineStr">
        <is>
          <t>分</t>
        </is>
      </c>
      <c r="AA81" s="1325" t="n"/>
      <c r="AC81" s="1325" t="n"/>
      <c r="AF81" s="1668" t="n"/>
      <c r="AH81" s="4109" t="n"/>
    </row>
    <row r="82" ht="3.95" customHeight="1" s="4080">
      <c r="A82" s="4097" t="n"/>
      <c r="B82" s="4107" t="n"/>
      <c r="C82" s="4102" t="n"/>
      <c r="D82" s="4103" t="n"/>
      <c r="E82" s="4103" t="n"/>
      <c r="F82" s="4103" t="n"/>
      <c r="G82" s="4103" t="n"/>
      <c r="H82" s="4103" t="n"/>
      <c r="I82" s="4103" t="n"/>
      <c r="J82" s="4104" t="n"/>
      <c r="K82" s="4296" t="n"/>
      <c r="AH82" s="4109" t="n"/>
    </row>
    <row r="83" ht="12" customHeight="1" s="4080">
      <c r="A83" s="4097" t="n"/>
      <c r="B83" s="4107" t="n"/>
      <c r="C83" s="1393" t="n"/>
      <c r="D83" s="4222" t="inlineStr">
        <is>
          <t>サービスを提供
する主たる対象者</t>
        </is>
      </c>
      <c r="E83" s="4098" t="n"/>
      <c r="F83" s="4098" t="n"/>
      <c r="G83" s="4098" t="n"/>
      <c r="H83" s="4098" t="n"/>
      <c r="I83" s="4098" t="n"/>
      <c r="J83" s="4223" t="n"/>
      <c r="K83" s="1670" t="inlineStr">
        <is>
          <t>身　　　体　　　障　　　害　　　者</t>
        </is>
      </c>
      <c r="L83" s="4138" t="n"/>
      <c r="M83" s="4138" t="n"/>
      <c r="N83" s="4138" t="n"/>
      <c r="O83" s="4138" t="n"/>
      <c r="P83" s="4138" t="n"/>
      <c r="Q83" s="4138" t="n"/>
      <c r="R83" s="4138" t="n"/>
      <c r="S83" s="4138" t="n"/>
      <c r="T83" s="4138" t="n"/>
      <c r="U83" s="4138" t="n"/>
      <c r="V83" s="4139" t="n"/>
      <c r="W83" s="4425" t="inlineStr">
        <is>
          <t>知的障害者</t>
        </is>
      </c>
      <c r="X83" s="4098" t="n"/>
      <c r="Y83" s="4098" t="n"/>
      <c r="Z83" s="4099" t="n"/>
      <c r="AA83" s="4425" t="inlineStr">
        <is>
          <t>精神障害者</t>
        </is>
      </c>
      <c r="AB83" s="4098" t="n"/>
      <c r="AC83" s="4098" t="n"/>
      <c r="AD83" s="4099" t="n"/>
      <c r="AE83" s="4426" t="inlineStr">
        <is>
          <t>難病等対象者</t>
        </is>
      </c>
      <c r="AF83" s="4098" t="n"/>
      <c r="AG83" s="4098" t="n"/>
      <c r="AH83" s="4099" t="n"/>
    </row>
    <row r="84" ht="12" customHeight="1" s="4080">
      <c r="A84" s="4097" t="n"/>
      <c r="B84" s="4107" t="n"/>
      <c r="C84" s="4106" t="n"/>
      <c r="J84" s="4107" t="n"/>
      <c r="K84" s="3931" t="inlineStr">
        <is>
          <t>肢体不自由</t>
        </is>
      </c>
      <c r="L84" s="4103" t="n"/>
      <c r="M84" s="4103" t="n"/>
      <c r="N84" s="4193" t="n"/>
      <c r="O84" s="4953" t="inlineStr">
        <is>
          <t>視覚</t>
        </is>
      </c>
      <c r="P84" s="4249" t="n"/>
      <c r="Q84" s="4250" t="inlineStr">
        <is>
          <t>聴覚・言語</t>
        </is>
      </c>
      <c r="R84" s="4140" t="n"/>
      <c r="S84" s="4140" t="n"/>
      <c r="T84" s="4249" t="n"/>
      <c r="U84" s="4954" t="inlineStr">
        <is>
          <t>内部</t>
        </is>
      </c>
      <c r="V84" s="4141" t="n"/>
      <c r="W84" s="4102" t="n"/>
      <c r="X84" s="4103" t="n"/>
      <c r="Y84" s="4103" t="n"/>
      <c r="Z84" s="4104" t="n"/>
      <c r="AA84" s="4102" t="n"/>
      <c r="AB84" s="4103" t="n"/>
      <c r="AC84" s="4103" t="n"/>
      <c r="AD84" s="4104" t="n"/>
      <c r="AE84" s="4102" t="n"/>
      <c r="AF84" s="4103" t="n"/>
      <c r="AG84" s="4103" t="n"/>
      <c r="AH84" s="4104" t="n"/>
    </row>
    <row r="85" ht="12" customHeight="1" s="4080">
      <c r="A85" s="4097" t="n"/>
      <c r="B85" s="4107" t="n"/>
      <c r="C85" s="4102" t="n"/>
      <c r="D85" s="4103" t="n"/>
      <c r="E85" s="4103" t="n"/>
      <c r="F85" s="4103" t="n"/>
      <c r="G85" s="4103" t="n"/>
      <c r="H85" s="4103" t="n"/>
      <c r="I85" s="4103" t="n"/>
      <c r="J85" s="4104" t="n"/>
      <c r="K85" s="3986" t="inlineStr">
        <is>
          <t>○</t>
        </is>
      </c>
      <c r="L85" s="4140" t="n"/>
      <c r="M85" s="4140" t="n"/>
      <c r="N85" s="4249" t="n"/>
      <c r="O85" s="4966" t="inlineStr">
        <is>
          <t>○</t>
        </is>
      </c>
      <c r="P85" s="4189" t="n"/>
      <c r="Q85" s="3986" t="inlineStr">
        <is>
          <t>○</t>
        </is>
      </c>
      <c r="R85" s="4140" t="n"/>
      <c r="S85" s="4140" t="n"/>
      <c r="T85" s="4249" t="n"/>
      <c r="U85" s="4967" t="inlineStr">
        <is>
          <t>○</t>
        </is>
      </c>
      <c r="V85" s="4111" t="n"/>
      <c r="W85" s="4968" t="inlineStr">
        <is>
          <t>○</t>
        </is>
      </c>
      <c r="X85" s="4110" t="n"/>
      <c r="Y85" s="4110" t="n"/>
      <c r="Z85" s="4111" t="n"/>
      <c r="AA85" s="3993" t="inlineStr">
        <is>
          <t>○</t>
        </is>
      </c>
      <c r="AB85" s="4140" t="n"/>
      <c r="AC85" s="4140" t="n"/>
      <c r="AD85" s="4141" t="n"/>
      <c r="AE85" s="3993" t="inlineStr">
        <is>
          <t>○</t>
        </is>
      </c>
      <c r="AF85" s="4140" t="n"/>
      <c r="AG85" s="4140" t="n"/>
      <c r="AH85" s="4141" t="n"/>
    </row>
    <row r="86" ht="15" customHeight="1" s="4080">
      <c r="A86" s="4097" t="n"/>
      <c r="B86" s="4107" t="n"/>
      <c r="C86" s="1393" t="n"/>
      <c r="D86" s="1264" t="inlineStr">
        <is>
          <t>利用料</t>
        </is>
      </c>
      <c r="E86" s="4110" t="n"/>
      <c r="F86" s="4110" t="n"/>
      <c r="G86" s="4110" t="n"/>
      <c r="H86" s="4110" t="n"/>
      <c r="I86" s="4110" t="n"/>
      <c r="J86" s="1394" t="n"/>
      <c r="K86" s="4647" t="inlineStr">
        <is>
          <t>厚生労働大臣が定める額</t>
        </is>
      </c>
      <c r="L86" s="4110" t="n"/>
      <c r="M86" s="4110" t="n"/>
      <c r="N86" s="4110" t="n"/>
      <c r="O86" s="4110" t="n"/>
      <c r="P86" s="4110" t="n"/>
      <c r="Q86" s="4110" t="n"/>
      <c r="R86" s="4110" t="n"/>
      <c r="S86" s="4110" t="n"/>
      <c r="T86" s="4110" t="n"/>
      <c r="U86" s="4110" t="n"/>
      <c r="V86" s="4110" t="n"/>
      <c r="W86" s="4110" t="n"/>
      <c r="X86" s="4110" t="n"/>
      <c r="Y86" s="4110" t="n"/>
      <c r="Z86" s="4110" t="n"/>
      <c r="AA86" s="4110" t="n"/>
      <c r="AB86" s="4110" t="n"/>
      <c r="AC86" s="4110" t="n"/>
      <c r="AD86" s="4110" t="n"/>
      <c r="AE86" s="4110" t="n"/>
      <c r="AF86" s="4110" t="n"/>
      <c r="AG86" s="4110" t="n"/>
      <c r="AH86" s="4113" t="n"/>
    </row>
    <row r="87" ht="15" customHeight="1" s="4080">
      <c r="A87" s="4097" t="n"/>
      <c r="B87" s="4107" t="n"/>
      <c r="C87" s="1322" t="n"/>
      <c r="D87" s="1264" t="inlineStr">
        <is>
          <t>その他の費用</t>
        </is>
      </c>
      <c r="E87" s="4110" t="n"/>
      <c r="F87" s="4110" t="n"/>
      <c r="G87" s="4110" t="n"/>
      <c r="H87" s="4110" t="n"/>
      <c r="I87" s="4110" t="n"/>
      <c r="J87" s="1331" t="n"/>
      <c r="K87" s="4267" t="inlineStr">
        <is>
          <t>運営規程に定めるとおり</t>
        </is>
      </c>
      <c r="L87" s="4110" t="n"/>
      <c r="M87" s="4110" t="n"/>
      <c r="N87" s="4110" t="n"/>
      <c r="O87" s="4110" t="n"/>
      <c r="P87" s="4110" t="n"/>
      <c r="Q87" s="4110" t="n"/>
      <c r="R87" s="4110" t="n"/>
      <c r="S87" s="4110" t="n"/>
      <c r="T87" s="4110" t="n"/>
      <c r="U87" s="4110" t="n"/>
      <c r="V87" s="4110" t="n"/>
      <c r="W87" s="4110" t="n"/>
      <c r="X87" s="4110" t="n"/>
      <c r="Y87" s="4110" t="n"/>
      <c r="Z87" s="4110" t="n"/>
      <c r="AA87" s="4110" t="n"/>
      <c r="AB87" s="4110" t="n"/>
      <c r="AC87" s="4110" t="n"/>
      <c r="AD87" s="4110" t="n"/>
      <c r="AE87" s="4110" t="n"/>
      <c r="AF87" s="4110" t="n"/>
      <c r="AG87" s="4110" t="n"/>
      <c r="AH87" s="4113" t="n"/>
    </row>
    <row r="88" ht="20.1" customHeight="1" s="4080">
      <c r="A88" s="4097" t="n"/>
      <c r="B88" s="4107" t="n"/>
      <c r="C88" s="1300" t="n"/>
      <c r="D88" s="4222" t="inlineStr">
        <is>
          <t>通常の事業の
実施地域</t>
        </is>
      </c>
      <c r="E88" s="4098" t="n"/>
      <c r="F88" s="4098" t="n"/>
      <c r="G88" s="4098" t="n"/>
      <c r="H88" s="4098" t="n"/>
      <c r="I88" s="4098" t="n"/>
      <c r="J88" s="1963" t="n"/>
      <c r="K88" s="3272" t="inlineStr">
        <is>
          <t>1)</t>
        </is>
      </c>
      <c r="L88" s="1562" t="inlineStr">
        <is>
          <t>大阪市中央区</t>
        </is>
      </c>
      <c r="M88" s="4110" t="n"/>
      <c r="N88" s="4110" t="n"/>
      <c r="O88" s="2325" t="inlineStr">
        <is>
          <t>2)</t>
        </is>
      </c>
      <c r="P88" s="1562" t="inlineStr">
        <is>
          <t>大阪市北区</t>
        </is>
      </c>
      <c r="Q88" s="4110" t="n"/>
      <c r="R88" s="4110" t="n"/>
      <c r="S88" s="2325" t="inlineStr">
        <is>
          <t>3)</t>
        </is>
      </c>
      <c r="T88" s="1562" t="inlineStr">
        <is>
          <t>大阪市天王寺区</t>
        </is>
      </c>
      <c r="U88" s="4110" t="n"/>
      <c r="V88" s="4110" t="n"/>
      <c r="W88" s="2325" t="inlineStr">
        <is>
          <t>4)</t>
        </is>
      </c>
      <c r="X88" s="1562" t="inlineStr">
        <is>
          <t>大阪市東成区</t>
        </is>
      </c>
      <c r="Y88" s="4110" t="n"/>
      <c r="Z88" s="4110" t="n"/>
      <c r="AA88" s="2325" t="inlineStr">
        <is>
          <t>5)</t>
        </is>
      </c>
      <c r="AB88" s="1562" t="inlineStr">
        <is>
          <t>大阪市生野区</t>
        </is>
      </c>
      <c r="AC88" s="4110" t="n"/>
      <c r="AD88" s="4110" t="n"/>
      <c r="AE88" s="4229" t="inlineStr">
        <is>
          <t>備考</t>
        </is>
      </c>
      <c r="AF88" s="4230" t="n"/>
      <c r="AG88" s="4098" t="n"/>
      <c r="AH88" s="4101" t="n"/>
    </row>
    <row r="89" ht="20.1" customHeight="1" s="4080">
      <c r="A89" s="4097" t="n"/>
      <c r="B89" s="4107" t="n"/>
      <c r="C89" s="4102" t="n"/>
      <c r="D89" s="4103" t="n"/>
      <c r="E89" s="4103" t="n"/>
      <c r="F89" s="4103" t="n"/>
      <c r="G89" s="4103" t="n"/>
      <c r="H89" s="4103" t="n"/>
      <c r="I89" s="4103" t="n"/>
      <c r="J89" s="4104" t="n"/>
      <c r="K89" s="3272" t="inlineStr">
        <is>
          <t>6)</t>
        </is>
      </c>
      <c r="L89" s="1562" t="inlineStr">
        <is>
          <t>東大阪市</t>
        </is>
      </c>
      <c r="M89" s="4110" t="n"/>
      <c r="N89" s="4110" t="n"/>
      <c r="O89" s="2325" t="inlineStr">
        <is>
          <t>7)</t>
        </is>
      </c>
      <c r="P89" s="1406" t="n"/>
      <c r="Q89" s="4110" t="n"/>
      <c r="R89" s="4110" t="n"/>
      <c r="S89" s="2325" t="inlineStr">
        <is>
          <t>8)</t>
        </is>
      </c>
      <c r="T89" s="1406" t="n"/>
      <c r="U89" s="4110" t="n"/>
      <c r="V89" s="4110" t="n"/>
      <c r="W89" s="2325" t="inlineStr">
        <is>
          <t>9)</t>
        </is>
      </c>
      <c r="X89" s="1406" t="n"/>
      <c r="Y89" s="4110" t="n"/>
      <c r="Z89" s="4110" t="n"/>
      <c r="AA89" s="71" t="inlineStr">
        <is>
          <t>10)</t>
        </is>
      </c>
      <c r="AB89" s="1406" t="n"/>
      <c r="AC89" s="4110" t="n"/>
      <c r="AD89" s="4110" t="n"/>
      <c r="AE89" s="4124" t="n"/>
      <c r="AF89" s="4102" t="n"/>
      <c r="AG89" s="4103" t="n"/>
      <c r="AH89" s="4105" t="n"/>
    </row>
    <row r="90" ht="20.1" customHeight="1" s="4080">
      <c r="A90" s="4097" t="n"/>
      <c r="B90" s="4107" t="n"/>
      <c r="C90" s="4955" t="inlineStr">
        <is>
          <t>その他参考となる事項</t>
        </is>
      </c>
      <c r="D90" s="4099" t="n"/>
      <c r="E90" s="2744" t="inlineStr">
        <is>
          <t>第三者評価の実施状況</t>
        </is>
      </c>
      <c r="F90" s="4110" t="n"/>
      <c r="G90" s="4110" t="n"/>
      <c r="H90" s="4110" t="n"/>
      <c r="I90" s="4110" t="n"/>
      <c r="J90" s="4111" t="n"/>
      <c r="K90" s="3272" t="n"/>
      <c r="L90" s="1562" t="n"/>
      <c r="M90" s="1562" t="n"/>
      <c r="N90" s="1562" t="n"/>
      <c r="O90" s="2325" t="n"/>
      <c r="P90" s="1406" t="n"/>
      <c r="Q90" s="1406" t="n"/>
      <c r="R90" s="1406" t="n"/>
      <c r="S90" s="2325" t="n"/>
      <c r="T90" s="1406" t="n"/>
      <c r="U90" s="1406" t="n"/>
      <c r="V90" s="1406" t="n"/>
      <c r="W90" s="2325" t="n"/>
      <c r="X90" s="1406" t="n"/>
      <c r="Y90" s="1406" t="n"/>
      <c r="Z90" s="1406" t="n"/>
      <c r="AA90" s="71" t="n"/>
      <c r="AB90" s="1406" t="n"/>
      <c r="AC90" s="1406" t="n"/>
      <c r="AD90" s="1406" t="n"/>
      <c r="AE90" s="675" t="n"/>
      <c r="AF90" s="1020" t="n"/>
      <c r="AG90" s="1020" t="n"/>
      <c r="AH90" s="1425" t="n"/>
    </row>
    <row r="91" ht="15" customHeight="1" s="4080">
      <c r="A91" s="4097" t="n"/>
      <c r="B91" s="4107" t="n"/>
      <c r="C91" s="4106" t="n"/>
      <c r="D91" s="4107" t="n"/>
      <c r="E91" s="1439" t="inlineStr">
        <is>
          <t>苦情解決の措置概要</t>
        </is>
      </c>
      <c r="F91" s="4098" t="n"/>
      <c r="G91" s="4098" t="n"/>
      <c r="H91" s="4098" t="n"/>
      <c r="I91" s="4098" t="n"/>
      <c r="J91" s="4099" t="n"/>
      <c r="K91" s="2542" t="inlineStr">
        <is>
          <t>窓　口</t>
        </is>
      </c>
      <c r="L91" s="4110" t="n"/>
      <c r="M91" s="4111" t="n"/>
      <c r="N91" s="4267" t="inlineStr">
        <is>
          <t>大阪市役所障がい福祉サービスセンター</t>
        </is>
      </c>
      <c r="O91" s="4110" t="n"/>
      <c r="P91" s="4110" t="n"/>
      <c r="Q91" s="4110" t="n"/>
      <c r="R91" s="4110" t="n"/>
      <c r="S91" s="4110" t="n"/>
      <c r="T91" s="4110" t="n"/>
      <c r="U91" s="4110" t="n"/>
      <c r="V91" s="4110" t="n"/>
      <c r="W91" s="4110" t="n"/>
      <c r="X91" s="4110" t="n"/>
      <c r="Y91" s="4110" t="n"/>
      <c r="Z91" s="4110" t="n"/>
      <c r="AA91" s="4110" t="n"/>
      <c r="AB91" s="4110" t="n"/>
      <c r="AC91" s="4110" t="n"/>
      <c r="AD91" s="4110" t="n"/>
      <c r="AE91" s="4110" t="n"/>
      <c r="AF91" s="4110" t="n"/>
      <c r="AG91" s="4110" t="n"/>
      <c r="AH91" s="4113" t="n"/>
    </row>
    <row r="92" ht="15" customHeight="1" s="4080">
      <c r="A92" s="4097" t="n"/>
      <c r="B92" s="4107" t="n"/>
      <c r="C92" s="4106" t="n"/>
      <c r="D92" s="4107" t="n"/>
      <c r="E92" s="4103" t="n"/>
      <c r="F92" s="4103" t="n"/>
      <c r="G92" s="4103" t="n"/>
      <c r="H92" s="4103" t="n"/>
      <c r="I92" s="4103" t="n"/>
      <c r="J92" s="4104" t="n"/>
      <c r="K92" s="2542" t="inlineStr">
        <is>
          <t>担当者</t>
        </is>
      </c>
      <c r="L92" s="4110" t="n"/>
      <c r="M92" s="4111" t="n"/>
      <c r="N92" s="4233" t="inlineStr">
        <is>
          <t>市役所花子</t>
        </is>
      </c>
      <c r="O92" s="4110" t="n"/>
      <c r="P92" s="4110" t="n"/>
      <c r="Q92" s="4110" t="n"/>
      <c r="R92" s="4110" t="n"/>
      <c r="S92" s="4110" t="n"/>
      <c r="T92" s="4110" t="n"/>
      <c r="U92" s="4111" t="n"/>
      <c r="V92" s="2163" t="inlineStr">
        <is>
          <t>電話</t>
        </is>
      </c>
      <c r="W92" s="4111" t="n"/>
      <c r="X92" s="1479" t="inlineStr">
        <is>
          <t>06</t>
        </is>
      </c>
      <c r="Y92" s="4110" t="n"/>
      <c r="Z92" s="4110" t="n"/>
      <c r="AA92" s="1492" t="inlineStr">
        <is>
          <t>－</t>
        </is>
      </c>
      <c r="AB92" s="1150" t="inlineStr">
        <is>
          <t>6241</t>
        </is>
      </c>
      <c r="AC92" s="4110" t="n"/>
      <c r="AD92" s="4110" t="n"/>
      <c r="AE92" s="1492" t="inlineStr">
        <is>
          <t>－</t>
        </is>
      </c>
      <c r="AF92" s="1483" t="inlineStr">
        <is>
          <t>6520</t>
        </is>
      </c>
      <c r="AG92" s="4110" t="n"/>
      <c r="AH92" s="4113" t="n"/>
    </row>
    <row r="93" ht="15" customHeight="1" s="4080">
      <c r="A93" s="4114" t="n"/>
      <c r="B93" s="4104" t="n"/>
      <c r="C93" s="4102" t="n"/>
      <c r="D93" s="4104" t="n"/>
      <c r="E93" s="1394" t="inlineStr">
        <is>
          <t>そ　　 の 　　他</t>
        </is>
      </c>
      <c r="F93" s="4110" t="n"/>
      <c r="G93" s="4110" t="n"/>
      <c r="H93" s="4110" t="n"/>
      <c r="I93" s="4110" t="n"/>
      <c r="J93" s="4111" t="n"/>
      <c r="K93" s="4121" t="n"/>
      <c r="L93" s="4110" t="n"/>
      <c r="M93" s="4110" t="n"/>
      <c r="N93" s="4110" t="n"/>
      <c r="O93" s="4110" t="n"/>
      <c r="P93" s="4110" t="n"/>
      <c r="Q93" s="4110" t="n"/>
      <c r="R93" s="4110" t="n"/>
      <c r="S93" s="4110" t="n"/>
      <c r="T93" s="4110" t="n"/>
      <c r="U93" s="4110" t="n"/>
      <c r="V93" s="4110" t="n"/>
      <c r="W93" s="4110" t="n"/>
      <c r="X93" s="4110" t="n"/>
      <c r="Y93" s="4110" t="n"/>
      <c r="Z93" s="4110" t="n"/>
      <c r="AA93" s="4110" t="n"/>
      <c r="AB93" s="4110" t="n"/>
      <c r="AC93" s="4110" t="n"/>
      <c r="AD93" s="4110" t="n"/>
      <c r="AE93" s="4110" t="n"/>
      <c r="AF93" s="4110" t="n"/>
      <c r="AG93" s="4110" t="n"/>
      <c r="AH93" s="4113" t="n"/>
    </row>
    <row r="94">
      <c r="AE94" s="1667" t="inlineStr">
        <is>
          <t>自立生活</t>
        </is>
      </c>
    </row>
  </sheetData>
  <mergeCells count="391">
    <mergeCell ref="AC48:AD48"/>
    <mergeCell ref="AF63:AH63"/>
    <mergeCell ref="K71:M73"/>
    <mergeCell ref="K56:M56"/>
    <mergeCell ref="W62:AB62"/>
    <mergeCell ref="AF92:AH92"/>
    <mergeCell ref="V18:AH18"/>
    <mergeCell ref="K86:AH86"/>
    <mergeCell ref="N33:R33"/>
    <mergeCell ref="O26:P26"/>
    <mergeCell ref="T64:U64"/>
    <mergeCell ref="V79:AB79"/>
    <mergeCell ref="W60:Y60"/>
    <mergeCell ref="K26:N26"/>
    <mergeCell ref="AD77:AH79"/>
    <mergeCell ref="C47:E52"/>
    <mergeCell ref="J80:J82"/>
    <mergeCell ref="K74:M76"/>
    <mergeCell ref="AC62:AH62"/>
    <mergeCell ref="U85:V85"/>
    <mergeCell ref="T67:U67"/>
    <mergeCell ref="T54:V54"/>
    <mergeCell ref="F13:I13"/>
    <mergeCell ref="L66:L67"/>
    <mergeCell ref="N66:N67"/>
    <mergeCell ref="V45:AH45"/>
    <mergeCell ref="Z56:AB56"/>
    <mergeCell ref="F35:H35"/>
    <mergeCell ref="D88:I89"/>
    <mergeCell ref="W59:Y59"/>
    <mergeCell ref="Q59:S59"/>
    <mergeCell ref="V51:AA51"/>
    <mergeCell ref="A27:A52"/>
    <mergeCell ref="P74:P76"/>
    <mergeCell ref="V65:AB65"/>
    <mergeCell ref="P68:P70"/>
    <mergeCell ref="W61:Y61"/>
    <mergeCell ref="T60:V60"/>
    <mergeCell ref="Q61:S61"/>
    <mergeCell ref="C55:J55"/>
    <mergeCell ref="AC64:AD64"/>
    <mergeCell ref="T40:X40"/>
    <mergeCell ref="K66:K67"/>
    <mergeCell ref="M66:M67"/>
    <mergeCell ref="X11:Z11"/>
    <mergeCell ref="V35:AA35"/>
    <mergeCell ref="Z25:AH25"/>
    <mergeCell ref="AC3:AC4"/>
    <mergeCell ref="I48:R48"/>
    <mergeCell ref="AE3:AE4"/>
    <mergeCell ref="U84:V84"/>
    <mergeCell ref="F38:H38"/>
    <mergeCell ref="X89:Z89"/>
    <mergeCell ref="AC60:AE60"/>
    <mergeCell ref="Q72:R72"/>
    <mergeCell ref="AD68:AH76"/>
    <mergeCell ref="X88:Z88"/>
    <mergeCell ref="X71:X73"/>
    <mergeCell ref="F5:AH5"/>
    <mergeCell ref="AD65:AH67"/>
    <mergeCell ref="N9:N10"/>
    <mergeCell ref="W53:AB53"/>
    <mergeCell ref="AB3:AB4"/>
    <mergeCell ref="AD3:AD4"/>
    <mergeCell ref="X68:X70"/>
    <mergeCell ref="Q54:S54"/>
    <mergeCell ref="S65:S67"/>
    <mergeCell ref="K63:M63"/>
    <mergeCell ref="J41:M43"/>
    <mergeCell ref="N61:P61"/>
    <mergeCell ref="P14:Q16"/>
    <mergeCell ref="C77:C79"/>
    <mergeCell ref="B27:B39"/>
    <mergeCell ref="T65:U65"/>
    <mergeCell ref="V49:AA49"/>
    <mergeCell ref="C27:E27"/>
    <mergeCell ref="AF11:AH11"/>
    <mergeCell ref="H64:I64"/>
    <mergeCell ref="V36:AA36"/>
    <mergeCell ref="N71:O71"/>
    <mergeCell ref="C53:J54"/>
    <mergeCell ref="AA83:AD84"/>
    <mergeCell ref="T81:V81"/>
    <mergeCell ref="T79:U79"/>
    <mergeCell ref="W17:AH17"/>
    <mergeCell ref="Y69:Z69"/>
    <mergeCell ref="Q11:S11"/>
    <mergeCell ref="V50:AA50"/>
    <mergeCell ref="K57:P57"/>
    <mergeCell ref="K82:AH82"/>
    <mergeCell ref="W19:AH19"/>
    <mergeCell ref="X26:Y26"/>
    <mergeCell ref="W85:Z85"/>
    <mergeCell ref="S74:T76"/>
    <mergeCell ref="N54:P54"/>
    <mergeCell ref="S68:T70"/>
    <mergeCell ref="C17:M19"/>
    <mergeCell ref="T14:V16"/>
    <mergeCell ref="O78:O79"/>
    <mergeCell ref="N56:P56"/>
    <mergeCell ref="K55:M55"/>
    <mergeCell ref="T63:V63"/>
    <mergeCell ref="C14:E16"/>
    <mergeCell ref="X74:X76"/>
    <mergeCell ref="C40:E40"/>
    <mergeCell ref="U72:W72"/>
    <mergeCell ref="N3:O3"/>
    <mergeCell ref="Q64:R64"/>
    <mergeCell ref="N68:O68"/>
    <mergeCell ref="AE88:AE89"/>
    <mergeCell ref="Z23:AH23"/>
    <mergeCell ref="AC35:AD35"/>
    <mergeCell ref="Z59:AB59"/>
    <mergeCell ref="Z24:AH24"/>
    <mergeCell ref="AF61:AH61"/>
    <mergeCell ref="C61:J61"/>
    <mergeCell ref="V77:AB77"/>
    <mergeCell ref="W44:AH44"/>
    <mergeCell ref="X14:AH16"/>
    <mergeCell ref="Q62:V62"/>
    <mergeCell ref="P25:X25"/>
    <mergeCell ref="A12:S12"/>
    <mergeCell ref="Q75:R75"/>
    <mergeCell ref="Y72:Z72"/>
    <mergeCell ref="L89:N89"/>
    <mergeCell ref="V66:AB66"/>
    <mergeCell ref="S17:U19"/>
    <mergeCell ref="Q60:S60"/>
    <mergeCell ref="T88:V88"/>
    <mergeCell ref="L88:N88"/>
    <mergeCell ref="P41:Q43"/>
    <mergeCell ref="K53:P53"/>
    <mergeCell ref="N78:N79"/>
    <mergeCell ref="E93:J93"/>
    <mergeCell ref="P78:P79"/>
    <mergeCell ref="J77:J79"/>
    <mergeCell ref="T66:U66"/>
    <mergeCell ref="AB92:AD92"/>
    <mergeCell ref="N69:O69"/>
    <mergeCell ref="F11:H11"/>
    <mergeCell ref="J27:M27"/>
    <mergeCell ref="P21:AH21"/>
    <mergeCell ref="V48:AA48"/>
    <mergeCell ref="W33:AH33"/>
    <mergeCell ref="Z61:AB61"/>
    <mergeCell ref="T11:W11"/>
    <mergeCell ref="AF48:AG48"/>
    <mergeCell ref="P13:S13"/>
    <mergeCell ref="C41:E43"/>
    <mergeCell ref="C62:J62"/>
    <mergeCell ref="M78:M79"/>
    <mergeCell ref="D77:I79"/>
    <mergeCell ref="I38:R38"/>
    <mergeCell ref="C11:E11"/>
    <mergeCell ref="W46:AH46"/>
    <mergeCell ref="C20:J26"/>
    <mergeCell ref="U3:X4"/>
    <mergeCell ref="AE85:AH85"/>
    <mergeCell ref="J14:M16"/>
    <mergeCell ref="V67:AB67"/>
    <mergeCell ref="J40:M40"/>
    <mergeCell ref="A65:B93"/>
    <mergeCell ref="C68:C76"/>
    <mergeCell ref="S8:AH8"/>
    <mergeCell ref="C28:E30"/>
    <mergeCell ref="T13:X13"/>
    <mergeCell ref="H63:J63"/>
    <mergeCell ref="AC81:AE81"/>
    <mergeCell ref="F8:I8"/>
    <mergeCell ref="N91:AH91"/>
    <mergeCell ref="E64:G64"/>
    <mergeCell ref="K24:N25"/>
    <mergeCell ref="AE26:AF26"/>
    <mergeCell ref="V68:W68"/>
    <mergeCell ref="AG26:AH26"/>
    <mergeCell ref="W54:Y54"/>
    <mergeCell ref="V92:W92"/>
    <mergeCell ref="I35:R35"/>
    <mergeCell ref="P23:X23"/>
    <mergeCell ref="W56:Y56"/>
    <mergeCell ref="AF59:AH59"/>
    <mergeCell ref="N72:O72"/>
    <mergeCell ref="AC63:AE63"/>
    <mergeCell ref="W58:AB58"/>
    <mergeCell ref="S47:U52"/>
    <mergeCell ref="AF64:AG64"/>
    <mergeCell ref="AA3:AA4"/>
    <mergeCell ref="Z64:AA64"/>
    <mergeCell ref="AF51:AG51"/>
    <mergeCell ref="K85:N85"/>
    <mergeCell ref="U69:W69"/>
    <mergeCell ref="N31:R31"/>
    <mergeCell ref="K84:N84"/>
    <mergeCell ref="D68:I76"/>
    <mergeCell ref="Y12:Z12"/>
    <mergeCell ref="AA12:AB12"/>
    <mergeCell ref="AC57:AH57"/>
    <mergeCell ref="D65:I67"/>
    <mergeCell ref="X41:AH43"/>
    <mergeCell ref="AF54:AH54"/>
    <mergeCell ref="D80:I82"/>
    <mergeCell ref="F27:I27"/>
    <mergeCell ref="AA81:AB81"/>
    <mergeCell ref="T55:V55"/>
    <mergeCell ref="AC58:AH58"/>
    <mergeCell ref="AC55:AE55"/>
    <mergeCell ref="Z3:Z4"/>
    <mergeCell ref="T78:U78"/>
    <mergeCell ref="S71:T73"/>
    <mergeCell ref="Z60:AB60"/>
    <mergeCell ref="N44:R44"/>
    <mergeCell ref="P24:X24"/>
    <mergeCell ref="J28:M30"/>
    <mergeCell ref="A63:D64"/>
    <mergeCell ref="Z55:AB55"/>
    <mergeCell ref="J88:J89"/>
    <mergeCell ref="AF88:AH89"/>
    <mergeCell ref="M11:O11"/>
    <mergeCell ref="U75:W75"/>
    <mergeCell ref="I51:R51"/>
    <mergeCell ref="D87:I87"/>
    <mergeCell ref="A1:W1"/>
    <mergeCell ref="W64:X64"/>
    <mergeCell ref="T41:V43"/>
    <mergeCell ref="N59:P59"/>
    <mergeCell ref="N40:O43"/>
    <mergeCell ref="P20:AH20"/>
    <mergeCell ref="N27:O30"/>
    <mergeCell ref="C13:E13"/>
    <mergeCell ref="B40:B52"/>
    <mergeCell ref="F6:AH7"/>
    <mergeCell ref="O66:O67"/>
    <mergeCell ref="Q66:Q67"/>
    <mergeCell ref="R81:S81"/>
    <mergeCell ref="O85:P85"/>
    <mergeCell ref="Y3:Y4"/>
    <mergeCell ref="J68:J76"/>
    <mergeCell ref="Y75:Z75"/>
    <mergeCell ref="T59:V59"/>
    <mergeCell ref="AA74:AA76"/>
    <mergeCell ref="Q63:S63"/>
    <mergeCell ref="AA68:AA70"/>
    <mergeCell ref="W83:Z84"/>
    <mergeCell ref="T89:V89"/>
    <mergeCell ref="K58:P58"/>
    <mergeCell ref="K59:M59"/>
    <mergeCell ref="E90:J90"/>
    <mergeCell ref="C90:D93"/>
    <mergeCell ref="P71:P73"/>
    <mergeCell ref="N13:O16"/>
    <mergeCell ref="K61:M61"/>
    <mergeCell ref="C56:J56"/>
    <mergeCell ref="U12:V12"/>
    <mergeCell ref="V37:AA37"/>
    <mergeCell ref="W12:X12"/>
    <mergeCell ref="Q57:V57"/>
    <mergeCell ref="P27:S27"/>
    <mergeCell ref="AE83:AH84"/>
    <mergeCell ref="V38:AA38"/>
    <mergeCell ref="W55:Y55"/>
    <mergeCell ref="AF3:AF4"/>
    <mergeCell ref="AH3:AH4"/>
    <mergeCell ref="A5:B11"/>
    <mergeCell ref="P28:Q30"/>
    <mergeCell ref="K80:AH80"/>
    <mergeCell ref="U26:V26"/>
    <mergeCell ref="Q55:S55"/>
    <mergeCell ref="F9:H10"/>
    <mergeCell ref="J8:N8"/>
    <mergeCell ref="L78:L79"/>
    <mergeCell ref="X92:Z92"/>
    <mergeCell ref="AA71:AA73"/>
    <mergeCell ref="C8:E10"/>
    <mergeCell ref="T61:V61"/>
    <mergeCell ref="N46:R46"/>
    <mergeCell ref="F48:H48"/>
    <mergeCell ref="R26:S26"/>
    <mergeCell ref="J13:M13"/>
    <mergeCell ref="N64:O64"/>
    <mergeCell ref="C83:C85"/>
    <mergeCell ref="P66:P67"/>
    <mergeCell ref="R66:R67"/>
    <mergeCell ref="T28:V30"/>
    <mergeCell ref="P40:S40"/>
    <mergeCell ref="C60:J60"/>
    <mergeCell ref="AC77:AC79"/>
    <mergeCell ref="S77:S79"/>
    <mergeCell ref="AF56:AH56"/>
    <mergeCell ref="AB89:AD89"/>
    <mergeCell ref="K78:K79"/>
    <mergeCell ref="AF35:AG35"/>
    <mergeCell ref="Q3:S3"/>
    <mergeCell ref="I11:K11"/>
    <mergeCell ref="N63:P63"/>
    <mergeCell ref="X81:Y81"/>
    <mergeCell ref="K54:M54"/>
    <mergeCell ref="C57:J57"/>
    <mergeCell ref="E91:J92"/>
    <mergeCell ref="F41:I43"/>
    <mergeCell ref="T77:U77"/>
    <mergeCell ref="Q58:V58"/>
    <mergeCell ref="V32:AH32"/>
    <mergeCell ref="N75:O75"/>
    <mergeCell ref="AB11:AD11"/>
    <mergeCell ref="N60:P60"/>
    <mergeCell ref="X28:AH30"/>
    <mergeCell ref="AC26:AD26"/>
    <mergeCell ref="AG3:AG4"/>
    <mergeCell ref="K62:P62"/>
    <mergeCell ref="D83:I85"/>
    <mergeCell ref="Q56:S56"/>
    <mergeCell ref="N55:P55"/>
    <mergeCell ref="K83:V83"/>
    <mergeCell ref="AF38:AG38"/>
    <mergeCell ref="AB88:AD88"/>
    <mergeCell ref="A13:B26"/>
    <mergeCell ref="K60:M60"/>
    <mergeCell ref="D86:I86"/>
    <mergeCell ref="F51:H51"/>
    <mergeCell ref="K20:N21"/>
    <mergeCell ref="Z22:AH22"/>
    <mergeCell ref="P9:AH10"/>
    <mergeCell ref="W31:AH31"/>
    <mergeCell ref="K64:L64"/>
    <mergeCell ref="AC12:AD12"/>
    <mergeCell ref="AE12:AF12"/>
    <mergeCell ref="C6:E7"/>
    <mergeCell ref="AF60:AH60"/>
    <mergeCell ref="Q78:Q79"/>
    <mergeCell ref="C31:M33"/>
    <mergeCell ref="N17:R17"/>
    <mergeCell ref="C58:J59"/>
    <mergeCell ref="Q53:V53"/>
    <mergeCell ref="A53:B62"/>
    <mergeCell ref="N19:R19"/>
    <mergeCell ref="K87:AH87"/>
    <mergeCell ref="K91:M91"/>
    <mergeCell ref="E63:G63"/>
    <mergeCell ref="P8:R8"/>
    <mergeCell ref="F28:I30"/>
    <mergeCell ref="Z26:AA26"/>
    <mergeCell ref="AF55:AH55"/>
    <mergeCell ref="AA85:AD85"/>
    <mergeCell ref="X1:AH2"/>
    <mergeCell ref="F14:I16"/>
    <mergeCell ref="K22:N23"/>
    <mergeCell ref="T56:V56"/>
    <mergeCell ref="C34:E39"/>
    <mergeCell ref="L81:N81"/>
    <mergeCell ref="Q69:R69"/>
    <mergeCell ref="AC59:AE59"/>
    <mergeCell ref="N92:U92"/>
    <mergeCell ref="Z63:AB63"/>
    <mergeCell ref="AC38:AD38"/>
    <mergeCell ref="AC61:AE61"/>
    <mergeCell ref="V78:AB78"/>
    <mergeCell ref="Q85:T85"/>
    <mergeCell ref="J83:J85"/>
    <mergeCell ref="AC51:AD51"/>
    <mergeCell ref="S31:U33"/>
    <mergeCell ref="T27:X27"/>
    <mergeCell ref="R78:R79"/>
    <mergeCell ref="AC53:AH53"/>
    <mergeCell ref="W63:Y63"/>
    <mergeCell ref="C88:C89"/>
    <mergeCell ref="AC65:AC67"/>
    <mergeCell ref="AC54:AE54"/>
    <mergeCell ref="P81:Q81"/>
    <mergeCell ref="AC56:AE56"/>
    <mergeCell ref="O84:P84"/>
    <mergeCell ref="C44:M46"/>
    <mergeCell ref="I9:M10"/>
    <mergeCell ref="F40:I40"/>
    <mergeCell ref="AF81:AH81"/>
    <mergeCell ref="P89:R89"/>
    <mergeCell ref="J65:J67"/>
    <mergeCell ref="W57:AB57"/>
    <mergeCell ref="S44:U46"/>
    <mergeCell ref="K92:M92"/>
    <mergeCell ref="P88:R88"/>
    <mergeCell ref="K93:AH93"/>
    <mergeCell ref="K68:M70"/>
    <mergeCell ref="C5:E5"/>
    <mergeCell ref="Z54:AB54"/>
    <mergeCell ref="C65:C67"/>
    <mergeCell ref="N74:O74"/>
    <mergeCell ref="C80:C82"/>
    <mergeCell ref="P22:X22"/>
    <mergeCell ref="AC68:AC76"/>
    <mergeCell ref="Q84:T84"/>
    <mergeCell ref="S34:U39"/>
  </mergeCells>
  <conditionalFormatting sqref="AC64:AD64">
    <cfRule type="cellIs" priority="1" operator="lessThanOrEqual" dxfId="0" stopIfTrue="1">
      <formula>0</formula>
    </cfRule>
  </conditionalFormatting>
  <dataValidations count="18">
    <dataValidation sqref="K87:AH87" showDropDown="0" showInputMessage="1" showErrorMessage="1" allowBlank="1" type="list">
      <formula1>"　,運営規程に定めるとおり"</formula1>
    </dataValidation>
    <dataValidation sqref="F5:AH5 F13:M13 F27:M27 F40:M40" showDropDown="0" showInputMessage="1" showErrorMessage="1" allowBlank="1" imeMode="halfKatakana"/>
    <dataValidation sqref="K66:R67 K78:R79 K85 O85 Q85 U85 W85 AA85 AE85" showDropDown="0" showInputMessage="1" showErrorMessage="1" allowBlank="1" type="list">
      <formula1>"　,○"</formula1>
    </dataValidation>
    <dataValidation sqref="I11:K11 J8:N8 K55:K57 K60:AH62 N55:N56 Q55:Q57 T13:X13 T27:X27 T40:X40 T55:T56 U12:V12 W55:W57 X92 Y3:AH4 Y12:Z12 Z55:Z56 AB92:AD92 AC12:AD12 AC55:AC57 AF55:AF56 AF92" showDropDown="0" showInputMessage="1" showErrorMessage="1" allowBlank="1" imeMode="fullAlpha"/>
    <dataValidation sqref="L81 N69 N72 N75 T81 U69:V69 U72:V72 U75:V75" showDropDown="0" showInputMessage="1" showErrorMessage="1" allowBlank="1" type="list">
      <formula1>"　,１,２,３,４,５,６,７,８,９,１０,１１,１２,１３,１４,１５,１６,１７,１８,１９,２０,２１,２２,２３,２４"</formula1>
    </dataValidation>
    <dataValidation sqref="M11:O11 Q11:S11 X11:Z11 AB11:AD11 AF11:AH11" showDropDown="0" showInputMessage="1" showErrorMessage="1" allowBlank="1" error="全角数字で入力してください" imeMode="fullAlpha"/>
    <dataValidation sqref="F36:H36 F39:H39 F49:H49 F52:H52 O36 O39 O49 O52" showDropDown="0" showInputMessage="1" showErrorMessage="1" allowBlank="1" error="この行には入力できません。_x000a_下の行に入力してください。" prompt="この行には入力できません。_x000a_上の行に入力してください。" imeMode="on"/>
    <dataValidation sqref="E37:H37 E50:H50 F34:G34 F47:G47 I34:O34 I47:O47 R37 R50 V34:AH34 V47:AH47" showDropDown="0" showInputMessage="1" showErrorMessage="1" allowBlank="1" error="この行には入力できません。_x000a_下の行に入力してください。" prompt="この行には入力できません。_x000a_下の行に入力してください。" imeMode="on"/>
    <dataValidation sqref="V18:AH18"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R26:S26 U26:V26 X26:Y26 AE26:AF26" showDropDown="0" showInputMessage="1" showErrorMessage="1" allowBlank="1" errorStyle="warning"/>
    <dataValidation sqref="O26:P26" showDropDown="0" showInputMessage="1" showErrorMessage="1" allowBlank="1" type="list" errorStyle="warning">
      <formula1>"　,７,８,９,１０,１１"</formula1>
    </dataValidation>
    <dataValidation sqref="AB26" showDropDown="0" showInputMessage="1" showErrorMessage="1" allowBlank="1" error="労働基準法では、１日当たりの労働時間は、原則８時間以内です。_x000a_法人の就業規則、労働基準局への届出等確認してください。" type="list" errorStyle="warning" imeMode="halfAlpha">
      <formula1>"　,１,２,３,４,５,６,７,８"</formula1>
    </dataValidation>
    <dataValidation sqref="V32:AH32 V45:AH45" showDropDown="0" showInputMessage="1" showErrorMessage="1" allowBlank="1" prompt="サービス管理責任者は、サービス提供職員との兼務はできません。" type="list" errorStyle="warning">
      <formula1>"　,管理者,事務職員,管理者、事務職員"</formula1>
    </dataValidation>
    <dataValidation sqref="I35:R35 I48:R48" showDropDown="0" showInputMessage="1" showErrorMessage="1" allowBlank="1" prompt="プルダウンメニューから選択してください。" type="list">
      <formula1>"　,相談支援業務5年以上,直接支援業務10年以上,直接支援業務5年以上＋有資格,国家資格業務5年以上＋相談支援業務3年以上,国家資格業務5年以上＋直接支援業務3年以上"</formula1>
    </dataValidation>
    <dataValidation sqref="Q58:AH58" showDropDown="0" showInputMessage="1" showErrorMessage="1" allowBlank="1" type="list" errorStyle="information">
      <formula1>"　,職業指導員,あん摩マッサージ指圧師,介護職員,保育士,事務職員,調理員,栄養士,運転手"</formula1>
    </dataValidation>
    <dataValidation sqref="H64:AA64 AC64:AD64" showDropDown="0" showInputMessage="1" showErrorMessage="1" allowBlank="1" imeMode="halfAlpha"/>
    <dataValidation sqref="I38:R38 I51:R51" showDropDown="0" showInputMessage="1" showErrorMessage="1" allowBlank="1" prompt="プルダウンメニューから選択してください。" type="list">
      <formula1>"　,社会福祉主事任用資格,訪問介護員1級,訪問介護員2級,居宅介護従業者1級,居宅介護従業者2級,児童指導員任用資格,保育士,医師,歯科医師,薬剤師,保健師,助産師,看護師,准看護師,理学療法士,作業療法士,社会福祉士,介護福祉士,視能訓練士,義肢装具士,歯科衛生士,言語聴覚士,あん摩マッサージ指圧師,はり師,きゅう師,柔道整復師,栄養士,管理栄養士,精神保健福祉士,社会復帰指導員"</formula1>
    </dataValidation>
    <dataValidation sqref="K86:AH86" showDropDown="0" showInputMessage="1" showErrorMessage="1" allowBlank="1" type="list" errorStyle="warning">
      <formula1>"　,厚生労働大臣が定める額"</formula1>
    </dataValidation>
  </dataValidations>
  <hyperlinks>
    <hyperlink xmlns:r="http://schemas.openxmlformats.org/officeDocument/2006/relationships" ref="S8" r:id="rId1"/>
  </hyperlinks>
  <printOptions horizontalCentered="1"/>
  <pageMargins left="0.7086614173228347" right="0.5905511811023623" top="0.3937007874015748" bottom="0.3937007874015748" header="0.5118110236220472" footer="0.5118110236220472"/>
  <pageSetup orientation="portrait" paperSize="9"/>
  <rowBreaks count="1" manualBreakCount="1">
    <brk id="64" min="0" max="33" man="1"/>
  </rowBreaks>
  <legacyDrawing xmlns:r="http://schemas.openxmlformats.org/officeDocument/2006/relationships" r:id="anysvml"/>
</worksheet>
</file>

<file path=xl/worksheets/sheet46.xml><?xml version="1.0" encoding="utf-8"?>
<worksheet xmlns="http://schemas.openxmlformats.org/spreadsheetml/2006/main">
  <sheetPr codeName="Sheet45">
    <outlinePr summaryBelow="1" summaryRight="1"/>
    <pageSetUpPr/>
  </sheetPr>
  <dimension ref="A1:AK87"/>
  <sheetViews>
    <sheetView showGridLines="0" view="pageBreakPreview" zoomScaleNormal="100" zoomScaleSheetLayoutView="100" workbookViewId="0">
      <selection activeCell="G15" sqref="G15"/>
    </sheetView>
  </sheetViews>
  <sheetFormatPr baseColWidth="8" defaultRowHeight="13.5"/>
  <cols>
    <col width="2.25" customWidth="1" style="1667" min="1" max="2"/>
    <col width="2.625" customWidth="1" style="1667" min="3" max="15"/>
    <col width="3.375" customWidth="1" style="1667" min="16" max="16"/>
    <col width="2.625" customWidth="1" style="1667" min="17" max="26"/>
    <col width="3.625" customWidth="1" style="1667" min="27" max="27"/>
    <col width="2.625" customWidth="1" style="1667" min="28" max="34"/>
  </cols>
  <sheetData>
    <row r="1" ht="17.1" customFormat="1" customHeight="1" s="1667">
      <c r="A1" s="4011" t="inlineStr">
        <is>
          <t>付表25 居宅訪問型児童発達支援の指定に係る記載事項</t>
        </is>
      </c>
      <c r="AK1" s="719">
        <f>HYPERLINK("#目次!A1","目次へ戻る")</f>
        <v/>
      </c>
    </row>
    <row r="2" ht="17.1" customFormat="1" customHeight="1" s="1667" thickBot="1">
      <c r="A2" s="4011" t="n"/>
      <c r="B2" s="4011" t="n"/>
      <c r="C2" s="4011" t="n"/>
      <c r="D2" s="4011" t="n"/>
      <c r="E2" s="4011" t="n"/>
      <c r="F2" s="4011" t="n"/>
      <c r="G2" s="4011" t="n"/>
      <c r="H2" s="4011" t="n"/>
      <c r="I2" s="4011" t="n"/>
      <c r="J2" s="4011" t="n"/>
      <c r="K2" s="4011" t="n"/>
      <c r="L2" s="4011" t="n"/>
      <c r="M2" s="4011" t="n"/>
      <c r="N2" s="4011" t="n"/>
      <c r="O2" s="4011" t="n"/>
      <c r="P2" s="4011" t="n"/>
      <c r="Q2" s="4011" t="n"/>
      <c r="R2" s="4011" t="n"/>
      <c r="S2" s="4011" t="n"/>
      <c r="T2" s="4011" t="n"/>
      <c r="U2" s="4011" t="n"/>
      <c r="V2" s="4011" t="n"/>
      <c r="W2" s="4011" t="n"/>
      <c r="X2" s="4011" t="n"/>
      <c r="Y2" s="4011" t="n"/>
      <c r="Z2" s="4011" t="n"/>
      <c r="AA2" s="4011" t="n"/>
      <c r="AB2" s="4011" t="n"/>
      <c r="AC2" s="4011" t="n"/>
      <c r="AD2" s="4011" t="n"/>
      <c r="AE2" s="4011" t="n"/>
      <c r="AF2" s="4011" t="n"/>
      <c r="AG2" s="4011" t="n"/>
      <c r="AH2" s="703" t="inlineStr">
        <is>
          <t>（平成30年度6月以降版）</t>
        </is>
      </c>
    </row>
    <row r="3" ht="12" customFormat="1" customHeight="1" s="1667">
      <c r="B3" s="45" t="n"/>
      <c r="C3" s="45" t="inlineStr">
        <is>
          <t>（</t>
        </is>
      </c>
      <c r="D3" s="1889" t="inlineStr">
        <is>
          <t>単独</t>
        </is>
      </c>
      <c r="F3" s="2069" t="inlineStr">
        <is>
          <t>・</t>
        </is>
      </c>
      <c r="G3" s="1889" t="inlineStr">
        <is>
          <t>多機能</t>
        </is>
      </c>
      <c r="J3" s="1355" t="inlineStr">
        <is>
          <t>)</t>
        </is>
      </c>
      <c r="K3" s="1325" t="n"/>
      <c r="U3" s="4972" t="inlineStr">
        <is>
          <t>事業所番号</t>
        </is>
      </c>
      <c r="V3" s="4082" t="n"/>
      <c r="W3" s="4082" t="n"/>
      <c r="X3" s="4083" t="n"/>
      <c r="Y3" s="4973" t="n"/>
      <c r="Z3" s="4973" t="n"/>
      <c r="AA3" s="4973" t="n"/>
      <c r="AB3" s="4973" t="n"/>
      <c r="AC3" s="4973" t="n"/>
      <c r="AD3" s="4973" t="n"/>
      <c r="AE3" s="4973" t="n"/>
      <c r="AF3" s="4973" t="n"/>
      <c r="AG3" s="4973" t="n"/>
      <c r="AH3" s="4974" t="n"/>
    </row>
    <row r="4" ht="3.95" customFormat="1" customHeight="1" s="1667" thickBot="1">
      <c r="B4" s="45" t="n"/>
      <c r="C4" s="48" t="n"/>
      <c r="D4" s="48" t="n"/>
      <c r="E4" s="48" t="n"/>
      <c r="F4" s="49" t="n"/>
      <c r="G4" s="48" t="n"/>
      <c r="H4" s="48" t="n"/>
      <c r="I4" s="48" t="n"/>
      <c r="J4" s="49" t="n"/>
      <c r="K4" s="48" t="n"/>
      <c r="L4" s="48" t="n"/>
      <c r="M4" s="48" t="n"/>
      <c r="Q4" s="2345" t="n"/>
      <c r="R4" s="2345" t="n"/>
      <c r="S4" s="2345" t="n"/>
      <c r="T4" s="4015" t="n"/>
      <c r="U4" s="4086" t="n"/>
      <c r="V4" s="4087" t="n"/>
      <c r="W4" s="4087" t="n"/>
      <c r="X4" s="4088" t="n"/>
      <c r="Y4" s="4089" t="n"/>
      <c r="Z4" s="4089" t="n"/>
      <c r="AA4" s="4089" t="n"/>
      <c r="AB4" s="4089" t="n"/>
      <c r="AC4" s="4089" t="n"/>
      <c r="AD4" s="4089" t="n"/>
      <c r="AE4" s="4089" t="n"/>
      <c r="AF4" s="4089" t="n"/>
      <c r="AG4" s="4089" t="n"/>
      <c r="AH4" s="4090" t="n"/>
    </row>
    <row r="5" ht="18.75" customFormat="1" customHeight="1" s="1667">
      <c r="A5" s="2506" t="inlineStr">
        <is>
          <t>事業所</t>
        </is>
      </c>
      <c r="B5" s="4356" t="n"/>
      <c r="C5" s="4180" t="inlineStr">
        <is>
          <t>ﾌﾘｶﾞﾅ</t>
        </is>
      </c>
      <c r="D5" s="4093" t="n"/>
      <c r="E5" s="4094" t="n"/>
      <c r="F5" s="4095" t="n"/>
      <c r="G5" s="4093" t="n"/>
      <c r="H5" s="4093" t="n"/>
      <c r="I5" s="4093" t="n"/>
      <c r="J5" s="4093" t="n"/>
      <c r="K5" s="4093" t="n"/>
      <c r="L5" s="4093" t="n"/>
      <c r="M5" s="4093" t="n"/>
      <c r="N5" s="4093" t="n"/>
      <c r="O5" s="4093" t="n"/>
      <c r="P5" s="4093" t="n"/>
      <c r="Q5" s="4093" t="n"/>
      <c r="R5" s="4093" t="n"/>
      <c r="S5" s="4093" t="n"/>
      <c r="T5" s="4093" t="n"/>
      <c r="U5" s="4093" t="n"/>
      <c r="V5" s="4093" t="n"/>
      <c r="W5" s="4093" t="n"/>
      <c r="X5" s="4093" t="n"/>
      <c r="Y5" s="4093" t="n"/>
      <c r="Z5" s="4093" t="n"/>
      <c r="AA5" s="4093" t="n"/>
      <c r="AB5" s="4093" t="n"/>
      <c r="AC5" s="4093" t="n"/>
      <c r="AD5" s="4093" t="n"/>
      <c r="AE5" s="4093" t="n"/>
      <c r="AF5" s="4093" t="n"/>
      <c r="AG5" s="4093" t="n"/>
      <c r="AH5" s="4096" t="n"/>
    </row>
    <row r="6" ht="14.1" customFormat="1" customHeight="1" s="1667">
      <c r="A6" s="4097" t="n"/>
      <c r="B6" s="4107" t="n"/>
      <c r="C6" s="4181" t="inlineStr">
        <is>
          <t>名　称</t>
        </is>
      </c>
      <c r="D6" s="4098" t="n"/>
      <c r="E6" s="4099" t="n"/>
      <c r="F6" s="4182" t="n"/>
      <c r="G6" s="4098" t="n"/>
      <c r="H6" s="4098" t="n"/>
      <c r="I6" s="4098" t="n"/>
      <c r="J6" s="4098" t="n"/>
      <c r="K6" s="4098" t="n"/>
      <c r="L6" s="4098" t="n"/>
      <c r="M6" s="4098" t="n"/>
      <c r="N6" s="4098" t="n"/>
      <c r="O6" s="4098" t="n"/>
      <c r="P6" s="4098" t="n"/>
      <c r="Q6" s="4098" t="n"/>
      <c r="R6" s="4098" t="n"/>
      <c r="S6" s="4098" t="n"/>
      <c r="T6" s="4098" t="n"/>
      <c r="U6" s="4098" t="n"/>
      <c r="V6" s="4098" t="n"/>
      <c r="W6" s="4098" t="n"/>
      <c r="X6" s="4098" t="n"/>
      <c r="Y6" s="4098" t="n"/>
      <c r="Z6" s="4098" t="n"/>
      <c r="AA6" s="4098" t="n"/>
      <c r="AB6" s="4098" t="n"/>
      <c r="AC6" s="4098" t="n"/>
      <c r="AD6" s="4098" t="n"/>
      <c r="AE6" s="4098" t="n"/>
      <c r="AF6" s="4098" t="n"/>
      <c r="AG6" s="4098" t="n"/>
      <c r="AH6" s="4101" t="n"/>
    </row>
    <row r="7" ht="14.1" customFormat="1" customHeight="1" s="1667">
      <c r="A7" s="4097" t="n"/>
      <c r="B7" s="4107" t="n"/>
      <c r="C7" s="4102" t="n"/>
      <c r="D7" s="4103" t="n"/>
      <c r="E7" s="4104" t="n"/>
      <c r="F7" s="4102" t="n"/>
      <c r="G7" s="4103" t="n"/>
      <c r="H7" s="4103" t="n"/>
      <c r="I7" s="4103" t="n"/>
      <c r="J7" s="4103" t="n"/>
      <c r="K7" s="4103" t="n"/>
      <c r="L7" s="4103" t="n"/>
      <c r="M7" s="4103" t="n"/>
      <c r="N7" s="4103" t="n"/>
      <c r="O7" s="4103" t="n"/>
      <c r="P7" s="4103" t="n"/>
      <c r="Q7" s="4103" t="n"/>
      <c r="R7" s="4103" t="n"/>
      <c r="S7" s="4103" t="n"/>
      <c r="T7" s="4103" t="n"/>
      <c r="U7" s="4103" t="n"/>
      <c r="V7" s="4103" t="n"/>
      <c r="W7" s="4103" t="n"/>
      <c r="X7" s="4103" t="n"/>
      <c r="Y7" s="4103" t="n"/>
      <c r="Z7" s="4103" t="n"/>
      <c r="AA7" s="4103" t="n"/>
      <c r="AB7" s="4103" t="n"/>
      <c r="AC7" s="4103" t="n"/>
      <c r="AD7" s="4103" t="n"/>
      <c r="AE7" s="4103" t="n"/>
      <c r="AF7" s="4103" t="n"/>
      <c r="AG7" s="4103" t="n"/>
      <c r="AH7" s="4105" t="n"/>
    </row>
    <row r="8" ht="12" customFormat="1" customHeight="1" s="1667">
      <c r="A8" s="4097" t="n"/>
      <c r="B8" s="4107" t="n"/>
      <c r="C8" s="4268" t="inlineStr">
        <is>
          <t>所在地</t>
        </is>
      </c>
      <c r="D8" s="4098" t="n"/>
      <c r="E8" s="4099" t="n"/>
      <c r="F8" s="1244" t="inlineStr">
        <is>
          <t>郵便番号（</t>
        </is>
      </c>
      <c r="G8" s="4098" t="n"/>
      <c r="H8" s="4098" t="n"/>
      <c r="I8" s="4098" t="n"/>
      <c r="J8" s="1287" t="n"/>
      <c r="K8" s="4098" t="n"/>
      <c r="L8" s="4098" t="n"/>
      <c r="M8" s="4098" t="n"/>
      <c r="N8" s="4098" t="n"/>
      <c r="O8" s="1329" t="inlineStr">
        <is>
          <t>）</t>
        </is>
      </c>
      <c r="P8" s="1397" t="inlineStr">
        <is>
          <t>メールアドレス</t>
        </is>
      </c>
      <c r="Q8" s="4110" t="n"/>
      <c r="R8" s="4110" t="n"/>
      <c r="S8" s="3408" t="n"/>
      <c r="T8" s="4110" t="n"/>
      <c r="U8" s="4110" t="n"/>
      <c r="V8" s="4110" t="n"/>
      <c r="W8" s="4110" t="n"/>
      <c r="X8" s="4110" t="n"/>
      <c r="Y8" s="4110" t="n"/>
      <c r="Z8" s="4110" t="n"/>
      <c r="AA8" s="4110" t="n"/>
      <c r="AB8" s="4110" t="n"/>
      <c r="AC8" s="4110" t="n"/>
      <c r="AD8" s="4110" t="n"/>
      <c r="AE8" s="4110" t="n"/>
      <c r="AF8" s="4110" t="n"/>
      <c r="AG8" s="4110" t="n"/>
      <c r="AH8" s="4113" t="n"/>
    </row>
    <row r="9" ht="16.5" customFormat="1" customHeight="1" s="1667">
      <c r="A9" s="4097" t="n"/>
      <c r="B9" s="4107" t="n"/>
      <c r="C9" s="4106" t="n"/>
      <c r="E9" s="4107" t="n"/>
      <c r="F9" s="1255" t="inlineStr">
        <is>
          <t>大阪市</t>
        </is>
      </c>
      <c r="I9" s="2836" t="n"/>
      <c r="N9" s="1327" t="inlineStr">
        <is>
          <t>区</t>
        </is>
      </c>
      <c r="O9" s="1355" t="n"/>
      <c r="P9" s="4939" t="n"/>
      <c r="Q9" s="4098" t="n"/>
      <c r="R9" s="4098" t="n"/>
      <c r="S9" s="4098" t="n"/>
      <c r="T9" s="4098" t="n"/>
      <c r="U9" s="4098" t="n"/>
      <c r="V9" s="4098" t="n"/>
      <c r="W9" s="4098" t="n"/>
      <c r="X9" s="4098" t="n"/>
      <c r="Y9" s="4098" t="n"/>
      <c r="Z9" s="4098" t="n"/>
      <c r="AA9" s="4098" t="n"/>
      <c r="AB9" s="4098" t="n"/>
      <c r="AC9" s="4098" t="n"/>
      <c r="AD9" s="4098" t="n"/>
      <c r="AE9" s="4098" t="n"/>
      <c r="AF9" s="4098" t="n"/>
      <c r="AG9" s="4098" t="n"/>
      <c r="AH9" s="4101" t="n"/>
    </row>
    <row r="10" ht="6" customFormat="1" customHeight="1" s="1667">
      <c r="A10" s="4097" t="n"/>
      <c r="B10" s="4107" t="n"/>
      <c r="C10" s="4106" t="n"/>
      <c r="E10" s="4107" t="n"/>
      <c r="F10" s="4102" t="n"/>
      <c r="G10" s="4103" t="n"/>
      <c r="H10" s="4103" t="n"/>
      <c r="I10" s="4103" t="n"/>
      <c r="J10" s="4103" t="n"/>
      <c r="K10" s="4103" t="n"/>
      <c r="L10" s="4103" t="n"/>
      <c r="M10" s="4103" t="n"/>
      <c r="N10" s="4103" t="n"/>
      <c r="O10" s="1296" t="n"/>
      <c r="P10" s="4103" t="n"/>
      <c r="Q10" s="4103" t="n"/>
      <c r="R10" s="4103" t="n"/>
      <c r="S10" s="4103" t="n"/>
      <c r="T10" s="4103" t="n"/>
      <c r="U10" s="4103" t="n"/>
      <c r="V10" s="4103" t="n"/>
      <c r="W10" s="4103" t="n"/>
      <c r="X10" s="4103" t="n"/>
      <c r="Y10" s="4103" t="n"/>
      <c r="Z10" s="4103" t="n"/>
      <c r="AA10" s="4103" t="n"/>
      <c r="AB10" s="4103" t="n"/>
      <c r="AC10" s="4103" t="n"/>
      <c r="AD10" s="4103" t="n"/>
      <c r="AE10" s="4103" t="n"/>
      <c r="AF10" s="4103" t="n"/>
      <c r="AG10" s="4103" t="n"/>
      <c r="AH10" s="4105" t="n"/>
    </row>
    <row r="11" ht="20.25" customFormat="1" customHeight="1" s="1667">
      <c r="A11" s="4097" t="n"/>
      <c r="B11" s="4107" t="n"/>
      <c r="C11" s="4181" t="inlineStr">
        <is>
          <t>連絡先</t>
        </is>
      </c>
      <c r="D11" s="4110" t="n"/>
      <c r="E11" s="4111" t="n"/>
      <c r="F11" s="4274" t="inlineStr">
        <is>
          <t>電話番号</t>
        </is>
      </c>
      <c r="G11" s="4110" t="n"/>
      <c r="H11" s="4111" t="n"/>
      <c r="I11" s="882" t="n"/>
      <c r="J11" s="4110" t="n"/>
      <c r="K11" s="4110" t="n"/>
      <c r="L11" s="53" t="inlineStr">
        <is>
          <t>－</t>
        </is>
      </c>
      <c r="M11" s="920" t="n"/>
      <c r="N11" s="4110" t="n"/>
      <c r="O11" s="4110" t="n"/>
      <c r="P11" s="53" t="inlineStr">
        <is>
          <t>－</t>
        </is>
      </c>
      <c r="Q11" s="878" t="n"/>
      <c r="R11" s="4110" t="n"/>
      <c r="S11" s="4111" t="n"/>
      <c r="T11" s="4184" t="inlineStr">
        <is>
          <t>ＦＡＸ番号</t>
        </is>
      </c>
      <c r="U11" s="4110" t="n"/>
      <c r="V11" s="4110" t="n"/>
      <c r="W11" s="4111" t="n"/>
      <c r="X11" s="882" t="n"/>
      <c r="Y11" s="4110" t="n"/>
      <c r="Z11" s="4110" t="n"/>
      <c r="AA11" s="53" t="inlineStr">
        <is>
          <t>－</t>
        </is>
      </c>
      <c r="AB11" s="920" t="n"/>
      <c r="AC11" s="4110" t="n"/>
      <c r="AD11" s="4110" t="n"/>
      <c r="AE11" s="53" t="inlineStr">
        <is>
          <t>－</t>
        </is>
      </c>
      <c r="AF11" s="955" t="n"/>
      <c r="AG11" s="4110" t="n"/>
      <c r="AH11" s="4113" t="n"/>
    </row>
    <row r="12" ht="21" customFormat="1" customHeight="1" s="1667">
      <c r="A12" s="4187" t="inlineStr">
        <is>
          <t>当該事業の実施について定めてある定款・寄附行為等又は条例等</t>
        </is>
      </c>
      <c r="B12" s="4110" t="n"/>
      <c r="C12" s="4110" t="n"/>
      <c r="D12" s="4110" t="n"/>
      <c r="E12" s="4110" t="n"/>
      <c r="F12" s="4110" t="n"/>
      <c r="G12" s="4110" t="n"/>
      <c r="H12" s="4110" t="n"/>
      <c r="I12" s="4110" t="n"/>
      <c r="J12" s="4110" t="n"/>
      <c r="K12" s="4110" t="n"/>
      <c r="L12" s="4110" t="n"/>
      <c r="M12" s="4110" t="n"/>
      <c r="N12" s="4110" t="n"/>
      <c r="O12" s="4110" t="n"/>
      <c r="P12" s="4110" t="n"/>
      <c r="Q12" s="4110" t="n"/>
      <c r="R12" s="4110" t="n"/>
      <c r="S12" s="4111" t="n"/>
      <c r="T12" s="54" t="inlineStr">
        <is>
          <t>第</t>
        </is>
      </c>
      <c r="U12" s="920" t="n"/>
      <c r="V12" s="4110" t="n"/>
      <c r="W12" s="1264" t="inlineStr">
        <is>
          <t>条第</t>
        </is>
      </c>
      <c r="X12" s="4110" t="n"/>
      <c r="Y12" s="920" t="n"/>
      <c r="Z12" s="4110" t="n"/>
      <c r="AA12" s="1264" t="inlineStr">
        <is>
          <t>項第</t>
        </is>
      </c>
      <c r="AB12" s="4110" t="n"/>
      <c r="AC12" s="920" t="n"/>
      <c r="AD12" s="4110" t="n"/>
      <c r="AE12" s="1264" t="inlineStr">
        <is>
          <t>号（</t>
        </is>
      </c>
      <c r="AF12" s="4110" t="n"/>
      <c r="AG12" s="920" t="n"/>
      <c r="AH12" s="2827" t="inlineStr">
        <is>
          <t>）</t>
        </is>
      </c>
    </row>
    <row r="13" ht="19.5" customFormat="1" customHeight="1" s="1667">
      <c r="A13" s="4188" t="inlineStr">
        <is>
          <t>管理者（施設長）</t>
        </is>
      </c>
      <c r="B13" s="4099" t="n"/>
      <c r="C13" s="4184" t="inlineStr">
        <is>
          <t>ﾌﾘｶﾞﾅ</t>
        </is>
      </c>
      <c r="D13" s="4110" t="n"/>
      <c r="E13" s="4111" t="n"/>
      <c r="F13" s="1278" t="n"/>
      <c r="G13" s="4110" t="n"/>
      <c r="H13" s="4110" t="n"/>
      <c r="I13" s="4189" t="n"/>
      <c r="J13" s="1279" t="n"/>
      <c r="K13" s="4110" t="n"/>
      <c r="L13" s="4110" t="n"/>
      <c r="M13" s="4189" t="n"/>
      <c r="N13" s="4185" t="inlineStr">
        <is>
          <t>住所</t>
        </is>
      </c>
      <c r="O13" s="4099" t="n"/>
      <c r="P13" s="1244" t="inlineStr">
        <is>
          <t>郵便番号（</t>
        </is>
      </c>
      <c r="Q13" s="4098" t="n"/>
      <c r="R13" s="4098" t="n"/>
      <c r="S13" s="4098" t="n"/>
      <c r="T13" s="1287" t="n"/>
      <c r="U13" s="4098" t="n"/>
      <c r="V13" s="4098" t="n"/>
      <c r="W13" s="4098" t="n"/>
      <c r="X13" s="4098" t="n"/>
      <c r="Y13" s="1329" t="inlineStr">
        <is>
          <t>）</t>
        </is>
      </c>
      <c r="Z13" s="1017" t="n"/>
      <c r="AA13" s="1017" t="n"/>
      <c r="AB13" s="1017" t="n"/>
      <c r="AC13" s="1017" t="n"/>
      <c r="AD13" s="1017" t="n"/>
      <c r="AE13" s="1017" t="n"/>
      <c r="AF13" s="1017" t="n"/>
      <c r="AG13" s="1017" t="n"/>
      <c r="AH13" s="1424" t="n"/>
    </row>
    <row r="14" ht="12" customFormat="1" customHeight="1" s="1667">
      <c r="A14" s="4097" t="n"/>
      <c r="B14" s="4107" t="n"/>
      <c r="C14" s="4184" t="inlineStr">
        <is>
          <t>氏名</t>
        </is>
      </c>
      <c r="D14" s="4098" t="n"/>
      <c r="E14" s="4099" t="n"/>
      <c r="F14" s="1278" t="n"/>
      <c r="G14" s="4098" t="n"/>
      <c r="H14" s="4098" t="n"/>
      <c r="I14" s="4190" t="n"/>
      <c r="J14" s="1279" t="n"/>
      <c r="K14" s="4098" t="n"/>
      <c r="L14" s="4098" t="n"/>
      <c r="M14" s="4190" t="n"/>
      <c r="N14" s="4106" t="n"/>
      <c r="O14" s="4107" t="n"/>
      <c r="P14" s="1318" t="n"/>
      <c r="R14" s="1325" t="inlineStr">
        <is>
          <t>都</t>
        </is>
      </c>
      <c r="S14" s="2378" t="inlineStr">
        <is>
          <t>道</t>
        </is>
      </c>
      <c r="T14" s="1319" t="n"/>
      <c r="W14" s="2378" t="inlineStr">
        <is>
          <t>郡</t>
        </is>
      </c>
      <c r="X14" s="1321" t="n"/>
      <c r="AH14" s="4109" t="n"/>
    </row>
    <row r="15" ht="12" customFormat="1" customHeight="1" s="1667">
      <c r="A15" s="4097" t="n"/>
      <c r="B15" s="4107" t="n"/>
      <c r="C15" s="4106" t="n"/>
      <c r="E15" s="4107" t="n"/>
      <c r="F15" s="4106" t="n"/>
      <c r="I15" s="4191" t="n"/>
      <c r="J15" s="4192" t="n"/>
      <c r="M15" s="4191" t="n"/>
      <c r="N15" s="4106" t="n"/>
      <c r="O15" s="4107" t="n"/>
      <c r="P15" s="4106" t="n"/>
      <c r="R15" s="2378" t="inlineStr">
        <is>
          <t>府</t>
        </is>
      </c>
      <c r="S15" s="2378" t="inlineStr">
        <is>
          <t>県</t>
        </is>
      </c>
      <c r="W15" s="2378" t="inlineStr">
        <is>
          <t>市</t>
        </is>
      </c>
      <c r="AH15" s="4109" t="n"/>
    </row>
    <row r="16" ht="3.95" customFormat="1" customHeight="1" s="1667">
      <c r="A16" s="4097" t="n"/>
      <c r="B16" s="4107" t="n"/>
      <c r="C16" s="4102" t="n"/>
      <c r="D16" s="4103" t="n"/>
      <c r="E16" s="4104" t="n"/>
      <c r="F16" s="4102" t="n"/>
      <c r="G16" s="4103" t="n"/>
      <c r="H16" s="4103" t="n"/>
      <c r="I16" s="4193" t="n"/>
      <c r="J16" s="4194" t="n"/>
      <c r="K16" s="4103" t="n"/>
      <c r="L16" s="4103" t="n"/>
      <c r="M16" s="4193" t="n"/>
      <c r="N16" s="4102" t="n"/>
      <c r="O16" s="4104" t="n"/>
      <c r="P16" s="4102" t="n"/>
      <c r="Q16" s="4103" t="n"/>
      <c r="R16" s="1810" t="n"/>
      <c r="S16" s="1810" t="n"/>
      <c r="T16" s="4103" t="n"/>
      <c r="U16" s="4103" t="n"/>
      <c r="V16" s="4103" t="n"/>
      <c r="W16" s="1810" t="n"/>
      <c r="AH16" s="4109" t="n"/>
    </row>
    <row r="17" ht="3.95" customFormat="1" customHeight="1" s="1667">
      <c r="A17" s="4097" t="n"/>
      <c r="B17" s="4107" t="n"/>
      <c r="C17" s="1393" t="inlineStr">
        <is>
          <t>他の職務との兼務の有無及び職種</t>
        </is>
      </c>
      <c r="D17" s="4098" t="n"/>
      <c r="E17" s="4098" t="n"/>
      <c r="F17" s="4098" t="n"/>
      <c r="G17" s="4098" t="n"/>
      <c r="H17" s="4098" t="n"/>
      <c r="I17" s="4098" t="n"/>
      <c r="J17" s="4098" t="n"/>
      <c r="K17" s="4098" t="n"/>
      <c r="L17" s="4098" t="n"/>
      <c r="M17" s="4098" t="n"/>
      <c r="N17" s="4195" t="n"/>
      <c r="O17" s="4098" t="n"/>
      <c r="P17" s="4098" t="n"/>
      <c r="Q17" s="4098" t="n"/>
      <c r="R17" s="4099" t="n"/>
      <c r="S17" s="2163" t="inlineStr">
        <is>
          <t>職　　種</t>
        </is>
      </c>
      <c r="T17" s="4098" t="n"/>
      <c r="U17" s="4099" t="n"/>
      <c r="V17" s="1322" t="n"/>
      <c r="W17" s="1335" t="inlineStr">
        <is>
          <t xml:space="preserve">　</t>
        </is>
      </c>
      <c r="X17" s="4098" t="n"/>
      <c r="Y17" s="4098" t="n"/>
      <c r="Z17" s="4098" t="n"/>
      <c r="AA17" s="4098" t="n"/>
      <c r="AB17" s="4098" t="n"/>
      <c r="AC17" s="4098" t="n"/>
      <c r="AD17" s="4098" t="n"/>
      <c r="AE17" s="4098" t="n"/>
      <c r="AF17" s="4098" t="n"/>
      <c r="AG17" s="4098" t="n"/>
      <c r="AH17" s="4101" t="n"/>
    </row>
    <row r="18" ht="12" customFormat="1" customHeight="1" s="1667">
      <c r="A18" s="4097" t="n"/>
      <c r="B18" s="4107" t="n"/>
      <c r="C18" s="4106" t="n"/>
      <c r="N18" s="1354" t="n"/>
      <c r="O18" s="1325" t="inlineStr">
        <is>
          <t>有</t>
        </is>
      </c>
      <c r="P18" s="1325" t="inlineStr">
        <is>
          <t>・</t>
        </is>
      </c>
      <c r="Q18" s="1325" t="inlineStr">
        <is>
          <t>無</t>
        </is>
      </c>
      <c r="R18" s="1332" t="n"/>
      <c r="S18" s="4106" t="n"/>
      <c r="U18" s="4107" t="n"/>
      <c r="V18" s="4312" t="inlineStr">
        <is>
          <t xml:space="preserve">　</t>
        </is>
      </c>
      <c r="AH18" s="4109" t="n"/>
    </row>
    <row r="19" ht="3.95" customFormat="1" customHeight="1" s="1667">
      <c r="A19" s="4097" t="n"/>
      <c r="B19" s="4107" t="n"/>
      <c r="C19" s="4102" t="n"/>
      <c r="D19" s="4103" t="n"/>
      <c r="E19" s="4103" t="n"/>
      <c r="F19" s="4103" t="n"/>
      <c r="G19" s="4103" t="n"/>
      <c r="H19" s="4103" t="n"/>
      <c r="I19" s="4103" t="n"/>
      <c r="J19" s="4103" t="n"/>
      <c r="K19" s="4103" t="n"/>
      <c r="L19" s="4103" t="n"/>
      <c r="M19" s="4103" t="n"/>
      <c r="N19" s="4197" t="n"/>
      <c r="O19" s="4103" t="n"/>
      <c r="P19" s="4103" t="n"/>
      <c r="Q19" s="4103" t="n"/>
      <c r="R19" s="4104" t="n"/>
      <c r="S19" s="4102" t="n"/>
      <c r="T19" s="4103" t="n"/>
      <c r="U19" s="4104" t="n"/>
      <c r="V19" s="1326" t="n"/>
      <c r="W19" s="1299" t="n"/>
      <c r="X19" s="4103" t="n"/>
      <c r="Y19" s="4103" t="n"/>
      <c r="Z19" s="4103" t="n"/>
      <c r="AA19" s="4103" t="n"/>
      <c r="AB19" s="4103" t="n"/>
      <c r="AC19" s="4103" t="n"/>
      <c r="AD19" s="4103" t="n"/>
      <c r="AE19" s="4103" t="n"/>
      <c r="AF19" s="4103" t="n"/>
      <c r="AG19" s="4103" t="n"/>
      <c r="AH19" s="4105" t="n"/>
    </row>
    <row r="20" ht="15.95" customFormat="1" customHeight="1" s="1667">
      <c r="A20" s="4097" t="n"/>
      <c r="B20" s="4107" t="n"/>
      <c r="C20" s="4940" t="inlineStr">
        <is>
          <t>他の事業所又は
施設を兼務する
場合、当該兼務
する事業所又は
施設の名称等</t>
        </is>
      </c>
      <c r="D20" s="4098" t="n"/>
      <c r="E20" s="4098" t="n"/>
      <c r="F20" s="4098" t="n"/>
      <c r="G20" s="4098" t="n"/>
      <c r="H20" s="4098" t="n"/>
      <c r="I20" s="4098" t="n"/>
      <c r="J20" s="4099" t="n"/>
      <c r="K20" s="4941" t="inlineStr">
        <is>
          <t>名称</t>
        </is>
      </c>
      <c r="L20" s="4098" t="n"/>
      <c r="M20" s="4098" t="n"/>
      <c r="N20" s="4099" t="n"/>
      <c r="O20" s="660" t="inlineStr">
        <is>
          <t>1)</t>
        </is>
      </c>
      <c r="P20" s="4023" t="n"/>
      <c r="Q20" s="4486" t="n"/>
      <c r="R20" s="4486" t="n"/>
      <c r="S20" s="4486" t="n"/>
      <c r="T20" s="4486" t="n"/>
      <c r="U20" s="4486" t="n"/>
      <c r="V20" s="4486" t="n"/>
      <c r="W20" s="4486" t="n"/>
      <c r="X20" s="4486" t="n"/>
      <c r="Y20" s="4486" t="n"/>
      <c r="Z20" s="4486" t="n"/>
      <c r="AA20" s="4486" t="n"/>
      <c r="AB20" s="4486" t="n"/>
      <c r="AC20" s="4486" t="n"/>
      <c r="AD20" s="4486" t="n"/>
      <c r="AE20" s="4486" t="n"/>
      <c r="AF20" s="4486" t="n"/>
      <c r="AG20" s="4486" t="n"/>
      <c r="AH20" s="4877" t="n"/>
    </row>
    <row r="21" ht="15.95" customFormat="1" customHeight="1" s="1667">
      <c r="A21" s="4097" t="n"/>
      <c r="B21" s="4107" t="n"/>
      <c r="C21" s="4106" t="n"/>
      <c r="J21" s="4107" t="n"/>
      <c r="K21" s="4942" t="n"/>
      <c r="L21" s="4317" t="n"/>
      <c r="M21" s="4317" t="n"/>
      <c r="N21" s="4318" t="n"/>
      <c r="O21" s="661" t="inlineStr">
        <is>
          <t>2)</t>
        </is>
      </c>
      <c r="P21" s="4025" t="n"/>
      <c r="Q21" s="4457" t="n"/>
      <c r="R21" s="4457" t="n"/>
      <c r="S21" s="4457" t="n"/>
      <c r="T21" s="4457" t="n"/>
      <c r="U21" s="4457" t="n"/>
      <c r="V21" s="4457" t="n"/>
      <c r="W21" s="4457" t="n"/>
      <c r="X21" s="4457" t="n"/>
      <c r="Y21" s="4457" t="n"/>
      <c r="Z21" s="4457" t="n"/>
      <c r="AA21" s="4457" t="n"/>
      <c r="AB21" s="4457" t="n"/>
      <c r="AC21" s="4457" t="n"/>
      <c r="AD21" s="4457" t="n"/>
      <c r="AE21" s="4457" t="n"/>
      <c r="AF21" s="4457" t="n"/>
      <c r="AG21" s="4457" t="n"/>
      <c r="AH21" s="4943" t="n"/>
    </row>
    <row r="22" ht="15.95" customFormat="1" customHeight="1" s="1667">
      <c r="A22" s="4097" t="n"/>
      <c r="B22" s="4107" t="n"/>
      <c r="C22" s="4106" t="n"/>
      <c r="J22" s="4107" t="n"/>
      <c r="K22" s="4944" t="inlineStr">
        <is>
          <t>サービス種類</t>
        </is>
      </c>
      <c r="L22" s="4320" t="n"/>
      <c r="M22" s="4320" t="n"/>
      <c r="N22" s="4321" t="n"/>
      <c r="O22" s="662" t="inlineStr">
        <is>
          <t>1)</t>
        </is>
      </c>
      <c r="P22" s="4020" t="n"/>
      <c r="Q22" s="4457" t="n"/>
      <c r="R22" s="4457" t="n"/>
      <c r="S22" s="4457" t="n"/>
      <c r="T22" s="4457" t="n"/>
      <c r="U22" s="4457" t="n"/>
      <c r="V22" s="4457" t="n"/>
      <c r="W22" s="4457" t="n"/>
      <c r="X22" s="4457" t="n"/>
      <c r="Y22" s="663" t="inlineStr">
        <is>
          <t>3)</t>
        </is>
      </c>
      <c r="Z22" s="4021" t="n"/>
      <c r="AA22" s="4457" t="n"/>
      <c r="AB22" s="4457" t="n"/>
      <c r="AC22" s="4457" t="n"/>
      <c r="AD22" s="4457" t="n"/>
      <c r="AE22" s="4457" t="n"/>
      <c r="AF22" s="4457" t="n"/>
      <c r="AG22" s="4457" t="n"/>
      <c r="AH22" s="4943" t="n"/>
    </row>
    <row r="23" ht="15.95" customFormat="1" customHeight="1" s="1667">
      <c r="A23" s="4097" t="n"/>
      <c r="B23" s="4107" t="n"/>
      <c r="C23" s="4106" t="n"/>
      <c r="J23" s="4107" t="n"/>
      <c r="K23" s="4942" t="n"/>
      <c r="L23" s="4317" t="n"/>
      <c r="M23" s="4317" t="n"/>
      <c r="N23" s="4318" t="n"/>
      <c r="O23" s="662" t="inlineStr">
        <is>
          <t>2)</t>
        </is>
      </c>
      <c r="P23" s="4020" t="n"/>
      <c r="Q23" s="4457" t="n"/>
      <c r="R23" s="4457" t="n"/>
      <c r="S23" s="4457" t="n"/>
      <c r="T23" s="4457" t="n"/>
      <c r="U23" s="4457" t="n"/>
      <c r="V23" s="4457" t="n"/>
      <c r="W23" s="4457" t="n"/>
      <c r="X23" s="4457" t="n"/>
      <c r="Y23" s="663" t="inlineStr">
        <is>
          <t>4)</t>
        </is>
      </c>
      <c r="Z23" s="3883" t="n"/>
      <c r="AA23" s="4457" t="n"/>
      <c r="AB23" s="4457" t="n"/>
      <c r="AC23" s="4457" t="n"/>
      <c r="AD23" s="4457" t="n"/>
      <c r="AE23" s="4457" t="n"/>
      <c r="AF23" s="4457" t="n"/>
      <c r="AG23" s="4457" t="n"/>
      <c r="AH23" s="4943" t="n"/>
    </row>
    <row r="24" ht="15.95" customFormat="1" customHeight="1" s="1667">
      <c r="A24" s="4097" t="n"/>
      <c r="B24" s="4107" t="n"/>
      <c r="C24" s="4106" t="n"/>
      <c r="J24" s="4107" t="n"/>
      <c r="K24" s="4945" t="inlineStr">
        <is>
          <t>職種</t>
        </is>
      </c>
      <c r="L24" s="4320" t="n"/>
      <c r="M24" s="4320" t="n"/>
      <c r="N24" s="4321" t="n"/>
      <c r="O24" s="662" t="inlineStr">
        <is>
          <t>1)</t>
        </is>
      </c>
      <c r="P24" s="3882" t="n"/>
      <c r="Q24" s="4457" t="n"/>
      <c r="R24" s="4457" t="n"/>
      <c r="S24" s="4457" t="n"/>
      <c r="T24" s="4457" t="n"/>
      <c r="U24" s="4457" t="n"/>
      <c r="V24" s="4457" t="n"/>
      <c r="W24" s="4457" t="n"/>
      <c r="X24" s="4457" t="n"/>
      <c r="Y24" s="663" t="inlineStr">
        <is>
          <t>3)</t>
        </is>
      </c>
      <c r="Z24" s="3883" t="n"/>
      <c r="AA24" s="4457" t="n"/>
      <c r="AB24" s="4457" t="n"/>
      <c r="AC24" s="4457" t="n"/>
      <c r="AD24" s="4457" t="n"/>
      <c r="AE24" s="4457" t="n"/>
      <c r="AF24" s="4457" t="n"/>
      <c r="AG24" s="4457" t="n"/>
      <c r="AH24" s="4943" t="n"/>
    </row>
    <row r="25" ht="15.95" customFormat="1" customHeight="1" s="1667">
      <c r="A25" s="4097" t="n"/>
      <c r="B25" s="4107" t="n"/>
      <c r="C25" s="4106" t="n"/>
      <c r="J25" s="4107" t="n"/>
      <c r="K25" s="4942" t="n"/>
      <c r="L25" s="4317" t="n"/>
      <c r="M25" s="4317" t="n"/>
      <c r="N25" s="4318" t="n"/>
      <c r="O25" s="662" t="inlineStr">
        <is>
          <t>2)</t>
        </is>
      </c>
      <c r="P25" s="3882" t="n"/>
      <c r="Q25" s="4457" t="n"/>
      <c r="R25" s="4457" t="n"/>
      <c r="S25" s="4457" t="n"/>
      <c r="T25" s="4457" t="n"/>
      <c r="U25" s="4457" t="n"/>
      <c r="V25" s="4457" t="n"/>
      <c r="W25" s="4457" t="n"/>
      <c r="X25" s="4457" t="n"/>
      <c r="Y25" s="663" t="inlineStr">
        <is>
          <t>4)</t>
        </is>
      </c>
      <c r="Z25" s="3883" t="n"/>
      <c r="AA25" s="4457" t="n"/>
      <c r="AB25" s="4457" t="n"/>
      <c r="AC25" s="4457" t="n"/>
      <c r="AD25" s="4457" t="n"/>
      <c r="AE25" s="4457" t="n"/>
      <c r="AF25" s="4457" t="n"/>
      <c r="AG25" s="4457" t="n"/>
      <c r="AH25" s="4943" t="n"/>
    </row>
    <row r="26" ht="15.95" customFormat="1" customHeight="1" s="1667">
      <c r="A26" s="4097" t="n"/>
      <c r="B26" s="4107" t="n"/>
      <c r="C26" s="4102" t="n"/>
      <c r="D26" s="4103" t="n"/>
      <c r="E26" s="4103" t="n"/>
      <c r="F26" s="4103" t="n"/>
      <c r="G26" s="4103" t="n"/>
      <c r="H26" s="4103" t="n"/>
      <c r="I26" s="4103" t="n"/>
      <c r="J26" s="4104" t="n"/>
      <c r="K26" s="4946" t="inlineStr">
        <is>
          <t>勤務時間</t>
        </is>
      </c>
      <c r="L26" s="4459" t="n"/>
      <c r="M26" s="4459" t="n"/>
      <c r="N26" s="4461" t="n"/>
      <c r="O26" s="4026" t="n"/>
      <c r="P26" s="4459" t="n"/>
      <c r="Q26" s="3896" t="inlineStr">
        <is>
          <t>：</t>
        </is>
      </c>
      <c r="R26" s="4028" t="n"/>
      <c r="S26" s="4459" t="n"/>
      <c r="T26" s="3896" t="inlineStr">
        <is>
          <t>～</t>
        </is>
      </c>
      <c r="U26" s="4027" t="n"/>
      <c r="V26" s="4459" t="n"/>
      <c r="W26" s="3896" t="inlineStr">
        <is>
          <t>：</t>
        </is>
      </c>
      <c r="X26" s="4028" t="n"/>
      <c r="Y26" s="4459" t="n"/>
      <c r="Z26" s="3894" t="inlineStr">
        <is>
          <t>（実働</t>
        </is>
      </c>
      <c r="AA26" s="4459" t="n"/>
      <c r="AB26" s="2174" t="n"/>
      <c r="AC26" s="3894" t="inlineStr">
        <is>
          <t>時間</t>
        </is>
      </c>
      <c r="AD26" s="4459" t="n"/>
      <c r="AE26" s="2174" t="n"/>
      <c r="AF26" s="4459" t="n"/>
      <c r="AG26" s="3897" t="inlineStr">
        <is>
          <t>分）</t>
        </is>
      </c>
      <c r="AH26" s="4462" t="n"/>
    </row>
    <row r="27" ht="15.75" customFormat="1" customHeight="1" s="1667">
      <c r="A27" s="1766" t="inlineStr">
        <is>
          <t>児童発達支援管理責任者</t>
        </is>
      </c>
      <c r="B27" s="1768" t="inlineStr">
        <is>
          <t>１</t>
        </is>
      </c>
      <c r="C27" s="4184" t="inlineStr">
        <is>
          <t>ﾌﾘｶﾞﾅ</t>
        </is>
      </c>
      <c r="D27" s="4110" t="n"/>
      <c r="E27" s="4111" t="n"/>
      <c r="F27" s="4612" t="n"/>
      <c r="G27" s="4110" t="n"/>
      <c r="H27" s="4110" t="n"/>
      <c r="I27" s="4204" t="n"/>
      <c r="J27" s="4613" t="n"/>
      <c r="K27" s="4110" t="n"/>
      <c r="L27" s="4110" t="n"/>
      <c r="M27" s="4111" t="n"/>
      <c r="N27" s="2164" t="inlineStr">
        <is>
          <t>住所</t>
        </is>
      </c>
      <c r="O27" s="4099" t="n"/>
      <c r="P27" s="1244" t="inlineStr">
        <is>
          <t>郵便番号（</t>
        </is>
      </c>
      <c r="Q27" s="4098" t="n"/>
      <c r="R27" s="4098" t="n"/>
      <c r="S27" s="4098" t="n"/>
      <c r="T27" s="1287" t="n"/>
      <c r="U27" s="4098" t="n"/>
      <c r="V27" s="4098" t="n"/>
      <c r="W27" s="4098" t="n"/>
      <c r="X27" s="4098" t="n"/>
      <c r="Y27" s="1329" t="inlineStr">
        <is>
          <t>）</t>
        </is>
      </c>
      <c r="Z27" s="1017" t="n"/>
      <c r="AA27" s="1017" t="n"/>
      <c r="AB27" s="1017" t="n"/>
      <c r="AC27" s="1017" t="n"/>
      <c r="AD27" s="1017" t="n"/>
      <c r="AE27" s="120" t="n"/>
      <c r="AF27" s="119" t="n"/>
      <c r="AG27" s="119" t="n"/>
      <c r="AH27" s="118" t="n"/>
    </row>
    <row r="28" ht="12" customFormat="1" customHeight="1" s="1667">
      <c r="A28" s="4208" t="n"/>
      <c r="B28" s="4107" t="n"/>
      <c r="C28" s="4209" t="inlineStr">
        <is>
          <t>氏　　名</t>
        </is>
      </c>
      <c r="D28" s="4098" t="n"/>
      <c r="E28" s="4099" t="n"/>
      <c r="F28" s="4612" t="n"/>
      <c r="G28" s="4098" t="n"/>
      <c r="H28" s="4098" t="n"/>
      <c r="I28" s="4210" t="n"/>
      <c r="J28" s="4613" t="n"/>
      <c r="K28" s="4098" t="n"/>
      <c r="L28" s="4098" t="n"/>
      <c r="M28" s="4099" t="n"/>
      <c r="N28" s="4106" t="n"/>
      <c r="O28" s="4107" t="n"/>
      <c r="P28" s="1318" t="n"/>
      <c r="R28" s="2378" t="inlineStr">
        <is>
          <t>都</t>
        </is>
      </c>
      <c r="S28" s="2378" t="inlineStr">
        <is>
          <t>道</t>
        </is>
      </c>
      <c r="T28" s="1389" t="n"/>
      <c r="W28" s="2378" t="inlineStr">
        <is>
          <t>郡</t>
        </is>
      </c>
      <c r="X28" s="1686" t="n"/>
      <c r="AH28" s="4109" t="n"/>
    </row>
    <row r="29" ht="12.75" customFormat="1" customHeight="1" s="1667">
      <c r="A29" s="4208" t="n"/>
      <c r="B29" s="4107" t="n"/>
      <c r="C29" s="4106" t="n"/>
      <c r="E29" s="4107" t="n"/>
      <c r="F29" s="4106" t="n"/>
      <c r="I29" s="4212" t="n"/>
      <c r="J29" s="4213" t="n"/>
      <c r="M29" s="4107" t="n"/>
      <c r="N29" s="4106" t="n"/>
      <c r="O29" s="4107" t="n"/>
      <c r="P29" s="4106" t="n"/>
      <c r="R29" s="2378" t="inlineStr">
        <is>
          <t>府</t>
        </is>
      </c>
      <c r="S29" s="2378" t="inlineStr">
        <is>
          <t>県</t>
        </is>
      </c>
      <c r="W29" s="2378" t="inlineStr">
        <is>
          <t>市</t>
        </is>
      </c>
      <c r="AH29" s="4109" t="n"/>
    </row>
    <row r="30" ht="3" customFormat="1" customHeight="1" s="1667">
      <c r="A30" s="4208" t="n"/>
      <c r="B30" s="4107" t="n"/>
      <c r="C30" s="4102" t="n"/>
      <c r="D30" s="4103" t="n"/>
      <c r="E30" s="4104" t="n"/>
      <c r="F30" s="4102" t="n"/>
      <c r="G30" s="4103" t="n"/>
      <c r="H30" s="4103" t="n"/>
      <c r="I30" s="4215" t="n"/>
      <c r="J30" s="4216" t="n"/>
      <c r="K30" s="4103" t="n"/>
      <c r="L30" s="4103" t="n"/>
      <c r="M30" s="4104" t="n"/>
      <c r="N30" s="4102" t="n"/>
      <c r="O30" s="4104" t="n"/>
      <c r="P30" s="4102" t="n"/>
      <c r="Q30" s="4103" t="n"/>
      <c r="R30" s="2378" t="n"/>
      <c r="S30" s="2378" t="n"/>
      <c r="T30" s="4103" t="n"/>
      <c r="U30" s="4103" t="n"/>
      <c r="V30" s="4103" t="n"/>
      <c r="W30" s="63" t="n"/>
      <c r="X30" s="4103" t="n"/>
      <c r="Y30" s="4103" t="n"/>
      <c r="Z30" s="4103" t="n"/>
      <c r="AA30" s="4103" t="n"/>
      <c r="AB30" s="4103" t="n"/>
      <c r="AC30" s="4103" t="n"/>
      <c r="AD30" s="4103" t="n"/>
      <c r="AE30" s="4103" t="n"/>
      <c r="AF30" s="4103" t="n"/>
      <c r="AG30" s="4103" t="n"/>
      <c r="AH30" s="4105" t="n"/>
    </row>
    <row r="31" ht="3.95" customFormat="1" customHeight="1" s="1667">
      <c r="A31" s="4208" t="n"/>
      <c r="B31" s="4107" t="n"/>
      <c r="C31" s="1393" t="inlineStr">
        <is>
          <t>他の職務との兼務の有無及び職種</t>
        </is>
      </c>
      <c r="D31" s="4098" t="n"/>
      <c r="E31" s="4098" t="n"/>
      <c r="F31" s="4098" t="n"/>
      <c r="G31" s="4098" t="n"/>
      <c r="H31" s="4098" t="n"/>
      <c r="I31" s="4098" t="n"/>
      <c r="J31" s="4098" t="n"/>
      <c r="K31" s="4098" t="n"/>
      <c r="L31" s="4098" t="n"/>
      <c r="M31" s="4098" t="n"/>
      <c r="N31" s="4195" t="n"/>
      <c r="O31" s="4098" t="n"/>
      <c r="P31" s="4098" t="n"/>
      <c r="Q31" s="4098" t="n"/>
      <c r="R31" s="4099" t="n"/>
      <c r="S31" s="2163" t="inlineStr">
        <is>
          <t>職　　種</t>
        </is>
      </c>
      <c r="T31" s="4098" t="n"/>
      <c r="U31" s="4099" t="n"/>
      <c r="V31" s="1322" t="n"/>
      <c r="W31" s="1335" t="inlineStr">
        <is>
          <t xml:space="preserve">　</t>
        </is>
      </c>
      <c r="X31" s="4098" t="n"/>
      <c r="Y31" s="4098" t="n"/>
      <c r="Z31" s="4098" t="n"/>
      <c r="AA31" s="4098" t="n"/>
      <c r="AB31" s="4098" t="n"/>
      <c r="AC31" s="4098" t="n"/>
      <c r="AD31" s="4098" t="n"/>
      <c r="AE31" s="4098" t="n"/>
      <c r="AF31" s="4098" t="n"/>
      <c r="AG31" s="4098" t="n"/>
      <c r="AH31" s="4101" t="n"/>
    </row>
    <row r="32" ht="13.5" customFormat="1" customHeight="1" s="1667">
      <c r="A32" s="4208" t="n"/>
      <c r="B32" s="4107" t="n"/>
      <c r="C32" s="4106" t="n"/>
      <c r="N32" s="1354" t="n"/>
      <c r="O32" s="1325" t="inlineStr">
        <is>
          <t>有</t>
        </is>
      </c>
      <c r="P32" s="1325" t="inlineStr">
        <is>
          <t>・</t>
        </is>
      </c>
      <c r="Q32" s="1325" t="inlineStr">
        <is>
          <t>無</t>
        </is>
      </c>
      <c r="R32" s="1332" t="n"/>
      <c r="S32" s="4106" t="n"/>
      <c r="U32" s="4107" t="n"/>
      <c r="V32" s="4312" t="n"/>
      <c r="AH32" s="4109" t="n"/>
    </row>
    <row r="33" ht="6" customFormat="1" customHeight="1" s="1667">
      <c r="A33" s="4208" t="n"/>
      <c r="B33" s="4107" t="n"/>
      <c r="C33" s="4102" t="n"/>
      <c r="D33" s="4103" t="n"/>
      <c r="E33" s="4103" t="n"/>
      <c r="F33" s="4103" t="n"/>
      <c r="G33" s="4103" t="n"/>
      <c r="H33" s="4103" t="n"/>
      <c r="I33" s="4103" t="n"/>
      <c r="J33" s="4103" t="n"/>
      <c r="K33" s="4103" t="n"/>
      <c r="L33" s="4103" t="n"/>
      <c r="M33" s="4103" t="n"/>
      <c r="N33" s="4197" t="n"/>
      <c r="O33" s="4103" t="n"/>
      <c r="P33" s="4103" t="n"/>
      <c r="Q33" s="4103" t="n"/>
      <c r="R33" s="4104" t="n"/>
      <c r="S33" s="4102" t="n"/>
      <c r="T33" s="4103" t="n"/>
      <c r="U33" s="4104" t="n"/>
      <c r="V33" s="1326" t="n"/>
      <c r="W33" s="1299" t="n"/>
      <c r="X33" s="4103" t="n"/>
      <c r="Y33" s="4103" t="n"/>
      <c r="Z33" s="4103" t="n"/>
      <c r="AA33" s="4103" t="n"/>
      <c r="AB33" s="4103" t="n"/>
      <c r="AC33" s="4103" t="n"/>
      <c r="AD33" s="4103" t="n"/>
      <c r="AE33" s="4103" t="n"/>
      <c r="AF33" s="4103" t="n"/>
      <c r="AG33" s="4103" t="n"/>
      <c r="AH33" s="4105" t="n"/>
    </row>
    <row r="34" ht="3.95" customFormat="1" customHeight="1" s="1667">
      <c r="A34" s="4208" t="n"/>
      <c r="B34" s="4107" t="n"/>
      <c r="C34" s="1826" t="inlineStr">
        <is>
          <t>資格要件</t>
        </is>
      </c>
      <c r="D34" s="4098" t="n"/>
      <c r="E34" s="4098" t="n"/>
      <c r="F34" s="1322" t="n"/>
      <c r="G34" s="1323" t="n"/>
      <c r="H34" s="1414" t="n"/>
      <c r="I34" s="2056" t="n"/>
      <c r="J34" s="2056" t="n"/>
      <c r="K34" s="2056" t="n"/>
      <c r="L34" s="2056" t="n"/>
      <c r="M34" s="2056" t="n"/>
      <c r="N34" s="2056" t="n"/>
      <c r="O34" s="2056" t="n"/>
      <c r="P34" s="1402" t="n"/>
      <c r="Q34" s="1402" t="n"/>
      <c r="R34" s="1402" t="n"/>
      <c r="S34" s="4313" t="inlineStr">
        <is>
          <t>研修の
受講状況</t>
        </is>
      </c>
      <c r="T34" s="4098" t="n"/>
      <c r="U34" s="4099" t="n"/>
      <c r="V34" s="1322" t="n"/>
      <c r="W34" s="1323" t="n"/>
      <c r="X34" s="1323" t="n"/>
      <c r="Y34" s="1323" t="n"/>
      <c r="Z34" s="1323" t="n"/>
      <c r="AA34" s="1331" t="n"/>
      <c r="AB34" s="1323" t="n"/>
      <c r="AC34" s="1323" t="n"/>
      <c r="AD34" s="1323" t="n"/>
      <c r="AE34" s="1323" t="n"/>
      <c r="AF34" s="1323" t="n"/>
      <c r="AG34" s="1323" t="n"/>
      <c r="AH34" s="2297" t="n"/>
    </row>
    <row r="35" ht="12" customFormat="1" customHeight="1" s="1667">
      <c r="A35" s="4208" t="n"/>
      <c r="B35" s="4107" t="n"/>
      <c r="C35" s="4106" t="n"/>
      <c r="F35" s="4314" t="inlineStr">
        <is>
          <t>実務経験</t>
        </is>
      </c>
      <c r="H35" s="4107" t="n"/>
      <c r="I35" s="1790" t="n"/>
      <c r="S35" s="4106" t="n"/>
      <c r="U35" s="4107" t="n"/>
      <c r="V35" s="4315" t="inlineStr">
        <is>
          <t>相談支援従事者研修</t>
        </is>
      </c>
      <c r="AA35" s="4107" t="n"/>
      <c r="AB35" s="128" t="n"/>
      <c r="AC35" s="1783" t="inlineStr">
        <is>
          <t>受講済</t>
        </is>
      </c>
      <c r="AE35" s="2379" t="inlineStr">
        <is>
          <t>・</t>
        </is>
      </c>
      <c r="AF35" s="1770" t="inlineStr">
        <is>
          <t>未受講</t>
        </is>
      </c>
      <c r="AH35" s="130" t="n"/>
    </row>
    <row r="36" ht="3.95" customFormat="1" customHeight="1" s="1667">
      <c r="A36" s="4208" t="n"/>
      <c r="B36" s="4107" t="n"/>
      <c r="C36" s="4106" t="n"/>
      <c r="F36" s="131" t="n"/>
      <c r="G36" s="132" t="n"/>
      <c r="H36" s="133" t="n"/>
      <c r="I36" s="134" t="n"/>
      <c r="J36" s="134" t="n"/>
      <c r="K36" s="134" t="n"/>
      <c r="L36" s="134" t="n"/>
      <c r="M36" s="134" t="n"/>
      <c r="N36" s="134" t="n"/>
      <c r="O36" s="135" t="n"/>
      <c r="P36" s="136" t="n"/>
      <c r="Q36" s="136" t="n"/>
      <c r="R36" s="137" t="n"/>
      <c r="S36" s="4106" t="n"/>
      <c r="U36" s="4107" t="n"/>
      <c r="V36" s="4316" t="n"/>
      <c r="W36" s="4317" t="n"/>
      <c r="X36" s="4317" t="n"/>
      <c r="Y36" s="4317" t="n"/>
      <c r="Z36" s="4317" t="n"/>
      <c r="AA36" s="4318" t="n"/>
      <c r="AB36" s="138" t="n"/>
      <c r="AC36" s="138" t="n"/>
      <c r="AD36" s="138" t="n"/>
      <c r="AE36" s="138" t="n"/>
      <c r="AF36" s="138" t="n"/>
      <c r="AG36" s="138" t="n"/>
      <c r="AH36" s="139" t="n"/>
    </row>
    <row r="37" ht="3.95" customFormat="1" customHeight="1" s="1667">
      <c r="A37" s="4208" t="n"/>
      <c r="B37" s="4107" t="n"/>
      <c r="C37" s="4106" t="n"/>
      <c r="F37" s="140" t="n"/>
      <c r="G37" s="141" t="n"/>
      <c r="H37" s="142" t="n"/>
      <c r="I37" s="143" t="n"/>
      <c r="J37" s="143" t="n"/>
      <c r="K37" s="144" t="n"/>
      <c r="L37" s="141" t="n"/>
      <c r="M37" s="141" t="n"/>
      <c r="N37" s="141" t="n"/>
      <c r="O37" s="141" t="n"/>
      <c r="P37" s="145" t="n"/>
      <c r="Q37" s="145" t="n"/>
      <c r="R37" s="146" t="n"/>
      <c r="S37" s="4106" t="n"/>
      <c r="U37" s="4107" t="n"/>
      <c r="V37" s="4319" t="n"/>
      <c r="W37" s="4320" t="n"/>
      <c r="X37" s="4320" t="n"/>
      <c r="Y37" s="4320" t="n"/>
      <c r="Z37" s="4320" t="n"/>
      <c r="AA37" s="4321" t="n"/>
      <c r="AB37" s="141" t="n"/>
      <c r="AC37" s="141" t="n"/>
      <c r="AD37" s="141" t="n"/>
      <c r="AE37" s="141" t="n"/>
      <c r="AF37" s="141" t="n"/>
      <c r="AG37" s="141" t="n"/>
      <c r="AH37" s="147" t="n"/>
    </row>
    <row r="38" ht="12" customFormat="1" customHeight="1" s="1667">
      <c r="A38" s="4208" t="n"/>
      <c r="B38" s="4107" t="n"/>
      <c r="C38" s="4106" t="n"/>
      <c r="F38" s="4314" t="inlineStr">
        <is>
          <t>資格種類</t>
        </is>
      </c>
      <c r="H38" s="4107" t="n"/>
      <c r="I38" s="935" t="n"/>
      <c r="S38" s="4106" t="n"/>
      <c r="U38" s="4107" t="n"/>
      <c r="V38" s="4322" t="inlineStr">
        <is>
          <t>児童発達支援管理責任者研修</t>
        </is>
      </c>
      <c r="AA38" s="4107" t="n"/>
      <c r="AB38" s="1355" t="n"/>
      <c r="AC38" s="1783" t="inlineStr">
        <is>
          <t>受講済</t>
        </is>
      </c>
      <c r="AE38" s="2379" t="inlineStr">
        <is>
          <t>・</t>
        </is>
      </c>
      <c r="AF38" s="1770" t="inlineStr">
        <is>
          <t>未受講</t>
        </is>
      </c>
      <c r="AH38" s="148" t="n"/>
    </row>
    <row r="39" ht="3.95" customFormat="1" customHeight="1" s="1667">
      <c r="A39" s="4208" t="n"/>
      <c r="B39" s="4107" t="n"/>
      <c r="C39" s="4102" t="n"/>
      <c r="D39" s="4103" t="n"/>
      <c r="E39" s="4103" t="n"/>
      <c r="F39" s="1326" t="n"/>
      <c r="G39" s="1327" t="n"/>
      <c r="H39" s="1333" t="n"/>
      <c r="I39" s="134" t="n"/>
      <c r="J39" s="134" t="n"/>
      <c r="K39" s="134" t="n"/>
      <c r="L39" s="134" t="n"/>
      <c r="M39" s="134" t="n"/>
      <c r="N39" s="134" t="n"/>
      <c r="O39" s="2059" t="n"/>
      <c r="P39" s="1413" t="n"/>
      <c r="Q39" s="1413" t="n"/>
      <c r="R39" s="1413" t="n"/>
      <c r="S39" s="4102" t="n"/>
      <c r="T39" s="4103" t="n"/>
      <c r="U39" s="4104" t="n"/>
      <c r="V39" s="1412" t="n"/>
      <c r="W39" s="154" t="n"/>
      <c r="X39" s="154" t="n"/>
      <c r="Y39" s="138" t="n"/>
      <c r="Z39" s="138" t="n"/>
      <c r="AA39" s="155" t="n"/>
      <c r="AB39" s="138" t="n"/>
      <c r="AC39" s="138" t="n"/>
      <c r="AD39" s="138" t="n"/>
      <c r="AE39" s="138" t="n"/>
      <c r="AF39" s="138" t="n"/>
      <c r="AG39" s="138" t="n"/>
      <c r="AH39" s="139" t="n"/>
    </row>
    <row r="40" ht="15.75" customFormat="1" customHeight="1" s="1667">
      <c r="A40" s="4208" t="n"/>
      <c r="B40" s="1768" t="inlineStr">
        <is>
          <t>２</t>
        </is>
      </c>
      <c r="C40" s="4184" t="inlineStr">
        <is>
          <t>ﾌﾘｶﾞﾅ</t>
        </is>
      </c>
      <c r="D40" s="4110" t="n"/>
      <c r="E40" s="4111" t="n"/>
      <c r="F40" s="4203" t="n"/>
      <c r="G40" s="4110" t="n"/>
      <c r="H40" s="4110" t="n"/>
      <c r="I40" s="4204" t="n"/>
      <c r="J40" s="4205" t="n"/>
      <c r="K40" s="4110" t="n"/>
      <c r="L40" s="4110" t="n"/>
      <c r="M40" s="4111" t="n"/>
      <c r="N40" s="2164" t="inlineStr">
        <is>
          <t>住所</t>
        </is>
      </c>
      <c r="O40" s="4099" t="n"/>
      <c r="P40" s="1244" t="inlineStr">
        <is>
          <t>郵便番号（</t>
        </is>
      </c>
      <c r="Q40" s="4098" t="n"/>
      <c r="R40" s="4098" t="n"/>
      <c r="S40" s="4098" t="n"/>
      <c r="T40" s="1287" t="n"/>
      <c r="U40" s="4098" t="n"/>
      <c r="V40" s="4098" t="n"/>
      <c r="W40" s="4098" t="n"/>
      <c r="X40" s="4098" t="n"/>
      <c r="Y40" s="1329" t="inlineStr">
        <is>
          <t>）</t>
        </is>
      </c>
      <c r="Z40" s="1017" t="n"/>
      <c r="AA40" s="1017" t="n"/>
      <c r="AB40" s="1017" t="n"/>
      <c r="AC40" s="1017" t="n"/>
      <c r="AD40" s="1017" t="n"/>
      <c r="AE40" s="120" t="n"/>
      <c r="AF40" s="119" t="n"/>
      <c r="AG40" s="119" t="n"/>
      <c r="AH40" s="118" t="n"/>
    </row>
    <row r="41" ht="12" customFormat="1" customHeight="1" s="1667">
      <c r="A41" s="4208" t="n"/>
      <c r="B41" s="4107" t="n"/>
      <c r="C41" s="4209" t="inlineStr">
        <is>
          <t>氏　　名</t>
        </is>
      </c>
      <c r="D41" s="4098" t="n"/>
      <c r="E41" s="4099" t="n"/>
      <c r="F41" s="4203" t="n"/>
      <c r="G41" s="4098" t="n"/>
      <c r="H41" s="4098" t="n"/>
      <c r="I41" s="4210" t="n"/>
      <c r="J41" s="4205" t="n"/>
      <c r="K41" s="4098" t="n"/>
      <c r="L41" s="4098" t="n"/>
      <c r="M41" s="4099" t="n"/>
      <c r="N41" s="4106" t="n"/>
      <c r="O41" s="4107" t="n"/>
      <c r="P41" s="1318" t="n"/>
      <c r="R41" s="2378" t="inlineStr">
        <is>
          <t>都</t>
        </is>
      </c>
      <c r="S41" s="2378" t="inlineStr">
        <is>
          <t>道</t>
        </is>
      </c>
      <c r="T41" s="1389" t="n"/>
      <c r="W41" s="2378" t="inlineStr">
        <is>
          <t>郡</t>
        </is>
      </c>
      <c r="X41" s="1686" t="n"/>
      <c r="AH41" s="4109" t="n"/>
    </row>
    <row r="42" ht="12" customFormat="1" customHeight="1" s="1667">
      <c r="A42" s="4208" t="n"/>
      <c r="B42" s="4107" t="n"/>
      <c r="C42" s="4106" t="n"/>
      <c r="E42" s="4107" t="n"/>
      <c r="F42" s="4106" t="n"/>
      <c r="I42" s="4212" t="n"/>
      <c r="J42" s="4213" t="n"/>
      <c r="M42" s="4107" t="n"/>
      <c r="N42" s="4106" t="n"/>
      <c r="O42" s="4107" t="n"/>
      <c r="P42" s="4106" t="n"/>
      <c r="R42" s="2378" t="inlineStr">
        <is>
          <t>府</t>
        </is>
      </c>
      <c r="S42" s="2378" t="inlineStr">
        <is>
          <t>県</t>
        </is>
      </c>
      <c r="W42" s="2378" t="inlineStr">
        <is>
          <t>市</t>
        </is>
      </c>
      <c r="AH42" s="4109" t="n"/>
    </row>
    <row r="43" ht="3" customFormat="1" customHeight="1" s="1667">
      <c r="A43" s="4208" t="n"/>
      <c r="B43" s="4107" t="n"/>
      <c r="C43" s="4102" t="n"/>
      <c r="D43" s="4103" t="n"/>
      <c r="E43" s="4104" t="n"/>
      <c r="F43" s="4102" t="n"/>
      <c r="G43" s="4103" t="n"/>
      <c r="H43" s="4103" t="n"/>
      <c r="I43" s="4215" t="n"/>
      <c r="J43" s="4216" t="n"/>
      <c r="K43" s="4103" t="n"/>
      <c r="L43" s="4103" t="n"/>
      <c r="M43" s="4104" t="n"/>
      <c r="N43" s="4102" t="n"/>
      <c r="O43" s="4104" t="n"/>
      <c r="P43" s="4102" t="n"/>
      <c r="Q43" s="4103" t="n"/>
      <c r="R43" s="2378" t="n"/>
      <c r="S43" s="2378" t="n"/>
      <c r="T43" s="4103" t="n"/>
      <c r="U43" s="4103" t="n"/>
      <c r="V43" s="4103" t="n"/>
      <c r="W43" s="63" t="n"/>
      <c r="X43" s="4103" t="n"/>
      <c r="Y43" s="4103" t="n"/>
      <c r="Z43" s="4103" t="n"/>
      <c r="AA43" s="4103" t="n"/>
      <c r="AB43" s="4103" t="n"/>
      <c r="AC43" s="4103" t="n"/>
      <c r="AD43" s="4103" t="n"/>
      <c r="AE43" s="4103" t="n"/>
      <c r="AF43" s="4103" t="n"/>
      <c r="AG43" s="4103" t="n"/>
      <c r="AH43" s="4105" t="n"/>
    </row>
    <row r="44" ht="6" customFormat="1" customHeight="1" s="1667">
      <c r="A44" s="4208" t="n"/>
      <c r="B44" s="4107" t="n"/>
      <c r="C44" s="1393" t="inlineStr">
        <is>
          <t>他の職務との兼務の有無及び職種</t>
        </is>
      </c>
      <c r="D44" s="4098" t="n"/>
      <c r="E44" s="4098" t="n"/>
      <c r="F44" s="4098" t="n"/>
      <c r="G44" s="4098" t="n"/>
      <c r="H44" s="4098" t="n"/>
      <c r="I44" s="4098" t="n"/>
      <c r="J44" s="4098" t="n"/>
      <c r="K44" s="4098" t="n"/>
      <c r="L44" s="4098" t="n"/>
      <c r="M44" s="4098" t="n"/>
      <c r="N44" s="4195" t="n"/>
      <c r="O44" s="4098" t="n"/>
      <c r="P44" s="4098" t="n"/>
      <c r="Q44" s="4098" t="n"/>
      <c r="R44" s="4099" t="n"/>
      <c r="S44" s="2163" t="inlineStr">
        <is>
          <t>職　　種</t>
        </is>
      </c>
      <c r="T44" s="4098" t="n"/>
      <c r="U44" s="4099" t="n"/>
      <c r="V44" s="1322" t="n"/>
      <c r="W44" s="1335" t="inlineStr">
        <is>
          <t xml:space="preserve">　</t>
        </is>
      </c>
      <c r="X44" s="4098" t="n"/>
      <c r="Y44" s="4098" t="n"/>
      <c r="Z44" s="4098" t="n"/>
      <c r="AA44" s="4098" t="n"/>
      <c r="AB44" s="4098" t="n"/>
      <c r="AC44" s="4098" t="n"/>
      <c r="AD44" s="4098" t="n"/>
      <c r="AE44" s="4098" t="n"/>
      <c r="AF44" s="4098" t="n"/>
      <c r="AG44" s="4098" t="n"/>
      <c r="AH44" s="4101" t="n"/>
    </row>
    <row r="45" ht="12" customFormat="1" customHeight="1" s="1667">
      <c r="A45" s="4208" t="n"/>
      <c r="B45" s="4107" t="n"/>
      <c r="C45" s="4106" t="n"/>
      <c r="N45" s="1354" t="n"/>
      <c r="O45" s="1325" t="inlineStr">
        <is>
          <t>有</t>
        </is>
      </c>
      <c r="P45" s="1325" t="inlineStr">
        <is>
          <t>・</t>
        </is>
      </c>
      <c r="Q45" s="1325" t="inlineStr">
        <is>
          <t>無</t>
        </is>
      </c>
      <c r="R45" s="1332" t="n"/>
      <c r="S45" s="4106" t="n"/>
      <c r="U45" s="4107" t="n"/>
      <c r="V45" s="4312" t="n"/>
      <c r="AH45" s="4109" t="n"/>
    </row>
    <row r="46" ht="5.25" customFormat="1" customHeight="1" s="1667">
      <c r="A46" s="4208" t="n"/>
      <c r="B46" s="4107" t="n"/>
      <c r="C46" s="4102" t="n"/>
      <c r="D46" s="4103" t="n"/>
      <c r="E46" s="4103" t="n"/>
      <c r="F46" s="4103" t="n"/>
      <c r="G46" s="4103" t="n"/>
      <c r="H46" s="4103" t="n"/>
      <c r="I46" s="4103" t="n"/>
      <c r="J46" s="4103" t="n"/>
      <c r="K46" s="4103" t="n"/>
      <c r="L46" s="4103" t="n"/>
      <c r="M46" s="4103" t="n"/>
      <c r="N46" s="4197" t="n"/>
      <c r="O46" s="4103" t="n"/>
      <c r="P46" s="4103" t="n"/>
      <c r="Q46" s="4103" t="n"/>
      <c r="R46" s="4104" t="n"/>
      <c r="S46" s="4102" t="n"/>
      <c r="T46" s="4103" t="n"/>
      <c r="U46" s="4104" t="n"/>
      <c r="V46" s="1326" t="n"/>
      <c r="W46" s="1299" t="n"/>
      <c r="X46" s="4103" t="n"/>
      <c r="Y46" s="4103" t="n"/>
      <c r="Z46" s="4103" t="n"/>
      <c r="AA46" s="4103" t="n"/>
      <c r="AB46" s="4103" t="n"/>
      <c r="AC46" s="4103" t="n"/>
      <c r="AD46" s="4103" t="n"/>
      <c r="AE46" s="4103" t="n"/>
      <c r="AF46" s="4103" t="n"/>
      <c r="AG46" s="4103" t="n"/>
      <c r="AH46" s="4105" t="n"/>
    </row>
    <row r="47" ht="6" customFormat="1" customHeight="1" s="1667">
      <c r="A47" s="4208" t="n"/>
      <c r="B47" s="4107" t="n"/>
      <c r="C47" s="1826" t="inlineStr">
        <is>
          <t>資格要件</t>
        </is>
      </c>
      <c r="D47" s="4098" t="n"/>
      <c r="E47" s="4098" t="n"/>
      <c r="F47" s="1322" t="n"/>
      <c r="G47" s="1323" t="n"/>
      <c r="H47" s="1414" t="n"/>
      <c r="I47" s="2056" t="n"/>
      <c r="J47" s="2056" t="n"/>
      <c r="K47" s="2056" t="n"/>
      <c r="L47" s="2056" t="n"/>
      <c r="M47" s="2056" t="n"/>
      <c r="N47" s="2056" t="n"/>
      <c r="O47" s="2056" t="n"/>
      <c r="P47" s="1402" t="n"/>
      <c r="Q47" s="1402" t="n"/>
      <c r="R47" s="1402" t="n"/>
      <c r="S47" s="4313" t="inlineStr">
        <is>
          <t>研修の
受講状況</t>
        </is>
      </c>
      <c r="T47" s="4098" t="n"/>
      <c r="U47" s="4099" t="n"/>
      <c r="V47" s="1322" t="n"/>
      <c r="W47" s="1323" t="n"/>
      <c r="X47" s="1323" t="n"/>
      <c r="Y47" s="1323" t="n"/>
      <c r="Z47" s="1323" t="n"/>
      <c r="AA47" s="1331" t="n"/>
      <c r="AB47" s="1323" t="n"/>
      <c r="AC47" s="1323" t="n"/>
      <c r="AD47" s="1323" t="n"/>
      <c r="AE47" s="1323" t="n"/>
      <c r="AF47" s="1323" t="n"/>
      <c r="AG47" s="1323" t="n"/>
      <c r="AH47" s="2297" t="n"/>
    </row>
    <row r="48" ht="12" customFormat="1" customHeight="1" s="1667">
      <c r="A48" s="4208" t="n"/>
      <c r="B48" s="4107" t="n"/>
      <c r="C48" s="4106" t="n"/>
      <c r="F48" s="4314" t="inlineStr">
        <is>
          <t>実務経験</t>
        </is>
      </c>
      <c r="H48" s="4107" t="n"/>
      <c r="I48" s="1790" t="n"/>
      <c r="S48" s="4106" t="n"/>
      <c r="U48" s="4107" t="n"/>
      <c r="V48" s="4315" t="inlineStr">
        <is>
          <t>相談支援従事者研修</t>
        </is>
      </c>
      <c r="AA48" s="4107" t="n"/>
      <c r="AB48" s="128" t="n"/>
      <c r="AC48" s="1783" t="inlineStr">
        <is>
          <t>受講済</t>
        </is>
      </c>
      <c r="AE48" s="2379" t="inlineStr">
        <is>
          <t>・</t>
        </is>
      </c>
      <c r="AF48" s="1770" t="inlineStr">
        <is>
          <t>未受講</t>
        </is>
      </c>
      <c r="AH48" s="130" t="n"/>
    </row>
    <row r="49" ht="6" customFormat="1" customHeight="1" s="1667">
      <c r="A49" s="4208" t="n"/>
      <c r="B49" s="4107" t="n"/>
      <c r="C49" s="4106" t="n"/>
      <c r="F49" s="131" t="n"/>
      <c r="G49" s="132" t="n"/>
      <c r="H49" s="133" t="n"/>
      <c r="I49" s="134" t="n"/>
      <c r="J49" s="134" t="n"/>
      <c r="K49" s="134" t="n"/>
      <c r="L49" s="134" t="n"/>
      <c r="M49" s="134" t="n"/>
      <c r="N49" s="134" t="n"/>
      <c r="O49" s="135" t="n"/>
      <c r="P49" s="136" t="n"/>
      <c r="Q49" s="136" t="n"/>
      <c r="R49" s="137" t="n"/>
      <c r="S49" s="4106" t="n"/>
      <c r="U49" s="4107" t="n"/>
      <c r="V49" s="4323" t="n"/>
      <c r="AA49" s="4107" t="n"/>
      <c r="AB49" s="138" t="n"/>
      <c r="AC49" s="138" t="n"/>
      <c r="AD49" s="138" t="n"/>
      <c r="AE49" s="138" t="n"/>
      <c r="AF49" s="138" t="n"/>
      <c r="AG49" s="138" t="n"/>
      <c r="AH49" s="139" t="n"/>
    </row>
    <row r="50" ht="6" customFormat="1" customHeight="1" s="1667">
      <c r="A50" s="4208" t="n"/>
      <c r="B50" s="4107" t="n"/>
      <c r="C50" s="4106" t="n"/>
      <c r="F50" s="140" t="n"/>
      <c r="G50" s="141" t="n"/>
      <c r="H50" s="142" t="n"/>
      <c r="I50" s="143" t="n"/>
      <c r="J50" s="143" t="n"/>
      <c r="K50" s="144" t="n"/>
      <c r="L50" s="141" t="n"/>
      <c r="M50" s="141" t="n"/>
      <c r="N50" s="141" t="n"/>
      <c r="O50" s="141" t="n"/>
      <c r="P50" s="145" t="n"/>
      <c r="Q50" s="145" t="n"/>
      <c r="R50" s="146" t="n"/>
      <c r="S50" s="4106" t="n"/>
      <c r="U50" s="4107" t="n"/>
      <c r="V50" s="4324" t="n"/>
      <c r="W50" s="4098" t="n"/>
      <c r="X50" s="4098" t="n"/>
      <c r="Y50" s="4098" t="n"/>
      <c r="Z50" s="4098" t="n"/>
      <c r="AA50" s="4099" t="n"/>
      <c r="AB50" s="141" t="n"/>
      <c r="AC50" s="141" t="n"/>
      <c r="AD50" s="141" t="n"/>
      <c r="AE50" s="141" t="n"/>
      <c r="AF50" s="141" t="n"/>
      <c r="AG50" s="141" t="n"/>
      <c r="AH50" s="147" t="n"/>
    </row>
    <row r="51" ht="12" customFormat="1" customHeight="1" s="1667">
      <c r="A51" s="4208" t="n"/>
      <c r="B51" s="4107" t="n"/>
      <c r="C51" s="4106" t="n"/>
      <c r="F51" s="4314" t="inlineStr">
        <is>
          <t>資格種類</t>
        </is>
      </c>
      <c r="H51" s="4107" t="n"/>
      <c r="I51" s="935" t="n"/>
      <c r="S51" s="4106" t="n"/>
      <c r="U51" s="4107" t="n"/>
      <c r="V51" s="4322" t="inlineStr">
        <is>
          <t>児童発達支援管理責任者研修</t>
        </is>
      </c>
      <c r="AA51" s="4107" t="n"/>
      <c r="AB51" s="1355" t="n"/>
      <c r="AC51" s="1783" t="inlineStr">
        <is>
          <t>受講済</t>
        </is>
      </c>
      <c r="AE51" s="2379" t="inlineStr">
        <is>
          <t>・</t>
        </is>
      </c>
      <c r="AF51" s="1770" t="inlineStr">
        <is>
          <t>未受講</t>
        </is>
      </c>
      <c r="AH51" s="148" t="n"/>
    </row>
    <row r="52" ht="6" customFormat="1" customHeight="1" s="1667">
      <c r="A52" s="4208" t="n"/>
      <c r="B52" s="4107" t="n"/>
      <c r="C52" s="4102" t="n"/>
      <c r="D52" s="4103" t="n"/>
      <c r="E52" s="4103" t="n"/>
      <c r="F52" s="1326" t="n"/>
      <c r="G52" s="1327" t="n"/>
      <c r="H52" s="1333" t="n"/>
      <c r="I52" s="134" t="n"/>
      <c r="J52" s="134" t="n"/>
      <c r="K52" s="134" t="n"/>
      <c r="L52" s="134" t="n"/>
      <c r="M52" s="134" t="n"/>
      <c r="N52" s="134" t="n"/>
      <c r="O52" s="2059" t="n"/>
      <c r="P52" s="1413" t="n"/>
      <c r="Q52" s="1413" t="n"/>
      <c r="R52" s="1413" t="n"/>
      <c r="S52" s="4102" t="n"/>
      <c r="T52" s="4103" t="n"/>
      <c r="U52" s="4104" t="n"/>
      <c r="V52" s="1412" t="n"/>
      <c r="W52" s="154" t="n"/>
      <c r="X52" s="154" t="n"/>
      <c r="Y52" s="138" t="n"/>
      <c r="Z52" s="138" t="n"/>
      <c r="AA52" s="155" t="n"/>
      <c r="AB52" s="138" t="n"/>
      <c r="AC52" s="138" t="n"/>
      <c r="AD52" s="138" t="n"/>
      <c r="AE52" s="138" t="n"/>
      <c r="AF52" s="138" t="n"/>
      <c r="AG52" s="138" t="n"/>
      <c r="AH52" s="139" t="n"/>
    </row>
    <row r="53" ht="18" customFormat="1" customHeight="1" s="1667">
      <c r="A53" s="4975" t="inlineStr">
        <is>
          <t>職員の職種・
員数</t>
        </is>
      </c>
      <c r="B53" s="4099" t="n"/>
      <c r="C53" s="4272" t="inlineStr">
        <is>
          <t xml:space="preserve">　　　　　　職種・勤務形態
常勤・非常勤の別</t>
        </is>
      </c>
      <c r="D53" s="4098" t="n"/>
      <c r="E53" s="4098" t="n"/>
      <c r="F53" s="4098" t="n"/>
      <c r="G53" s="4098" t="n"/>
      <c r="H53" s="4098" t="n"/>
      <c r="I53" s="4098" t="n"/>
      <c r="J53" s="4099" t="n"/>
      <c r="K53" s="4403" t="inlineStr">
        <is>
          <t>児童発達支援管理責任者</t>
        </is>
      </c>
      <c r="L53" s="4110" t="n"/>
      <c r="M53" s="4110" t="n"/>
      <c r="N53" s="4110" t="n"/>
      <c r="O53" s="4110" t="n"/>
      <c r="P53" s="4111" t="n"/>
      <c r="Q53" s="4185" t="inlineStr">
        <is>
          <t>訪問支援員</t>
        </is>
      </c>
      <c r="R53" s="4110" t="n"/>
      <c r="S53" s="4110" t="n"/>
      <c r="T53" s="4110" t="n"/>
      <c r="U53" s="4110" t="n"/>
      <c r="V53" s="4111" t="n"/>
      <c r="W53" s="4325" t="n"/>
      <c r="X53" s="4098" t="n"/>
      <c r="Y53" s="4098" t="n"/>
      <c r="Z53" s="4098" t="n"/>
      <c r="AA53" s="4098" t="n"/>
      <c r="AB53" s="4099" t="n"/>
      <c r="AC53" s="4506" t="n"/>
      <c r="AD53" s="4098" t="n"/>
      <c r="AE53" s="4098" t="n"/>
      <c r="AF53" s="4098" t="n"/>
      <c r="AG53" s="4098" t="n"/>
      <c r="AH53" s="4101" t="n"/>
    </row>
    <row r="54" ht="18" customFormat="1" customHeight="1" s="1667">
      <c r="A54" s="4097" t="n"/>
      <c r="B54" s="4107" t="n"/>
      <c r="C54" s="4102" t="n"/>
      <c r="D54" s="4103" t="n"/>
      <c r="E54" s="4103" t="n"/>
      <c r="F54" s="4103" t="n"/>
      <c r="G54" s="4103" t="n"/>
      <c r="H54" s="4103" t="n"/>
      <c r="I54" s="4103" t="n"/>
      <c r="J54" s="4104" t="n"/>
      <c r="K54" s="1617" t="inlineStr">
        <is>
          <t>専従</t>
        </is>
      </c>
      <c r="L54" s="4110" t="n"/>
      <c r="M54" s="4189" t="n"/>
      <c r="N54" s="1603" t="inlineStr">
        <is>
          <t>兼務</t>
        </is>
      </c>
      <c r="O54" s="4110" t="n"/>
      <c r="P54" s="4189" t="n"/>
      <c r="Q54" s="1617" t="inlineStr">
        <is>
          <t>専従</t>
        </is>
      </c>
      <c r="R54" s="4110" t="n"/>
      <c r="S54" s="4189" t="n"/>
      <c r="T54" s="1604" t="inlineStr">
        <is>
          <t>兼務</t>
        </is>
      </c>
      <c r="U54" s="4110" t="n"/>
      <c r="V54" s="4111" t="n"/>
      <c r="W54" s="1617" t="inlineStr">
        <is>
          <t>専従</t>
        </is>
      </c>
      <c r="X54" s="4110" t="n"/>
      <c r="Y54" s="4189" t="n"/>
      <c r="Z54" s="1603" t="inlineStr">
        <is>
          <t>兼務</t>
        </is>
      </c>
      <c r="AA54" s="4110" t="n"/>
      <c r="AB54" s="4189" t="n"/>
      <c r="AC54" s="1617" t="inlineStr">
        <is>
          <t>専従</t>
        </is>
      </c>
      <c r="AD54" s="4110" t="n"/>
      <c r="AE54" s="4189" t="n"/>
      <c r="AF54" s="1603" t="inlineStr">
        <is>
          <t>兼務</t>
        </is>
      </c>
      <c r="AG54" s="4110" t="n"/>
      <c r="AH54" s="4189" t="n"/>
    </row>
    <row r="55" ht="18" customFormat="1" customHeight="1" s="1667">
      <c r="A55" s="4097" t="n"/>
      <c r="B55" s="4107" t="n"/>
      <c r="C55" s="1268" t="inlineStr">
        <is>
          <t>常　　　　　勤（人）</t>
        </is>
      </c>
      <c r="D55" s="4110" t="n"/>
      <c r="E55" s="4110" t="n"/>
      <c r="F55" s="4110" t="n"/>
      <c r="G55" s="4110" t="n"/>
      <c r="H55" s="4110" t="n"/>
      <c r="I55" s="4110" t="n"/>
      <c r="J55" s="4111" t="n"/>
      <c r="K55" s="4327" t="n"/>
      <c r="L55" s="4110" t="n"/>
      <c r="M55" s="4189" t="n"/>
      <c r="N55" s="4328" t="n"/>
      <c r="O55" s="4110" t="n"/>
      <c r="P55" s="4189" t="n"/>
      <c r="Q55" s="4327" t="n"/>
      <c r="R55" s="4110" t="n"/>
      <c r="S55" s="4189" t="n"/>
      <c r="T55" s="4328" t="n"/>
      <c r="U55" s="4110" t="n"/>
      <c r="V55" s="4189" t="n"/>
      <c r="W55" s="4327" t="n"/>
      <c r="X55" s="4110" t="n"/>
      <c r="Y55" s="4189" t="n"/>
      <c r="Z55" s="4328" t="n"/>
      <c r="AA55" s="4110" t="n"/>
      <c r="AB55" s="4189" t="n"/>
      <c r="AC55" s="4327" t="n"/>
      <c r="AD55" s="4110" t="n"/>
      <c r="AE55" s="4189" t="n"/>
      <c r="AF55" s="4328" t="n"/>
      <c r="AG55" s="4110" t="n"/>
      <c r="AH55" s="4189" t="n"/>
    </row>
    <row r="56" ht="18" customFormat="1" customHeight="1" s="1667">
      <c r="A56" s="4097" t="n"/>
      <c r="B56" s="4107" t="n"/>
      <c r="C56" s="1286" t="inlineStr">
        <is>
          <t>非　　常　　勤（人）</t>
        </is>
      </c>
      <c r="D56" s="4103" t="n"/>
      <c r="E56" s="4103" t="n"/>
      <c r="F56" s="4103" t="n"/>
      <c r="G56" s="4103" t="n"/>
      <c r="H56" s="4103" t="n"/>
      <c r="I56" s="4103" t="n"/>
      <c r="J56" s="4104" t="n"/>
      <c r="K56" s="4327" t="n"/>
      <c r="L56" s="4110" t="n"/>
      <c r="M56" s="4189" t="n"/>
      <c r="N56" s="4328" t="n"/>
      <c r="O56" s="4110" t="n"/>
      <c r="P56" s="4189" t="n"/>
      <c r="Q56" s="4327" t="n"/>
      <c r="R56" s="4110" t="n"/>
      <c r="S56" s="4189" t="n"/>
      <c r="T56" s="4328" t="n"/>
      <c r="U56" s="4110" t="n"/>
      <c r="V56" s="4189" t="n"/>
      <c r="W56" s="4327" t="n"/>
      <c r="X56" s="4110" t="n"/>
      <c r="Y56" s="4189" t="n"/>
      <c r="Z56" s="4328" t="n"/>
      <c r="AA56" s="4110" t="n"/>
      <c r="AB56" s="4189" t="n"/>
      <c r="AC56" s="4327" t="n"/>
      <c r="AD56" s="4110" t="n"/>
      <c r="AE56" s="4189" t="n"/>
      <c r="AF56" s="4328" t="n"/>
      <c r="AG56" s="4110" t="n"/>
      <c r="AH56" s="4189" t="n"/>
    </row>
    <row r="57" ht="18" customFormat="1" customHeight="1" s="1667">
      <c r="A57" s="4114" t="n"/>
      <c r="B57" s="4104" t="n"/>
      <c r="C57" s="4185" t="inlineStr">
        <is>
          <t>常勤換算後の人数（人）</t>
        </is>
      </c>
      <c r="D57" s="4110" t="n"/>
      <c r="E57" s="4110" t="n"/>
      <c r="F57" s="4110" t="n"/>
      <c r="G57" s="4110" t="n"/>
      <c r="H57" s="4110" t="n"/>
      <c r="I57" s="4110" t="n"/>
      <c r="J57" s="4111" t="n"/>
      <c r="K57" s="4330" t="n"/>
      <c r="L57" s="4110" t="n"/>
      <c r="M57" s="4110" t="n"/>
      <c r="N57" s="4110" t="n"/>
      <c r="O57" s="4110" t="n"/>
      <c r="P57" s="4111" t="n"/>
      <c r="Q57" s="4330" t="n"/>
      <c r="R57" s="4110" t="n"/>
      <c r="S57" s="4110" t="n"/>
      <c r="T57" s="4110" t="n"/>
      <c r="U57" s="4110" t="n"/>
      <c r="V57" s="4111" t="n"/>
      <c r="W57" s="4330" t="n"/>
      <c r="X57" s="4110" t="n"/>
      <c r="Y57" s="4110" t="n"/>
      <c r="Z57" s="4110" t="n"/>
      <c r="AA57" s="4110" t="n"/>
      <c r="AB57" s="4111" t="n"/>
      <c r="AC57" s="4331" t="n"/>
      <c r="AD57" s="4110" t="n"/>
      <c r="AE57" s="4110" t="n"/>
      <c r="AF57" s="4110" t="n"/>
      <c r="AG57" s="4110" t="n"/>
      <c r="AH57" s="4113" t="n"/>
    </row>
    <row r="58" ht="20.1" customFormat="1" customHeight="1" s="1667" thickBot="1">
      <c r="A58" s="4976" t="inlineStr">
        <is>
          <t>主　　な　　掲　　示　　事　　項</t>
        </is>
      </c>
      <c r="B58" s="4107" t="n"/>
      <c r="C58" s="2344" t="n"/>
      <c r="D58" s="1754" t="inlineStr">
        <is>
          <t>営業日</t>
        </is>
      </c>
      <c r="J58" s="4041" t="n"/>
      <c r="K58" s="1579" t="inlineStr">
        <is>
          <t>月</t>
        </is>
      </c>
      <c r="L58" s="1593" t="inlineStr">
        <is>
          <t>火</t>
        </is>
      </c>
      <c r="M58" s="1593" t="inlineStr">
        <is>
          <t>水</t>
        </is>
      </c>
      <c r="N58" s="1593" t="inlineStr">
        <is>
          <t>木</t>
        </is>
      </c>
      <c r="O58" s="1593" t="inlineStr">
        <is>
          <t>金</t>
        </is>
      </c>
      <c r="P58" s="1593" t="inlineStr">
        <is>
          <t>土</t>
        </is>
      </c>
      <c r="Q58" s="1593" t="inlineStr">
        <is>
          <t>日</t>
        </is>
      </c>
      <c r="R58" s="1613" t="inlineStr">
        <is>
          <t>祝</t>
        </is>
      </c>
      <c r="S58" s="4042" t="inlineStr">
        <is>
          <t>休業日</t>
        </is>
      </c>
      <c r="T58" s="4044" t="inlineStr">
        <is>
          <t>年末年始</t>
        </is>
      </c>
      <c r="U58" s="4107" t="n"/>
      <c r="V58" s="937" t="n"/>
      <c r="AB58" s="4107" t="n"/>
      <c r="AC58" s="4058" t="inlineStr">
        <is>
          <t>備　考</t>
        </is>
      </c>
      <c r="AD58" s="4977" t="n"/>
      <c r="AH58" s="4109" t="n"/>
    </row>
    <row r="59" ht="16.5" customFormat="1" customHeight="1" s="1667" thickBot="1">
      <c r="A59" s="4097" t="n"/>
      <c r="B59" s="4107" t="n"/>
      <c r="C59" s="4106" t="n"/>
      <c r="J59" s="4107" t="n"/>
      <c r="K59" s="2244" t="n"/>
      <c r="L59" s="2245" t="n"/>
      <c r="M59" s="2245" t="n"/>
      <c r="N59" s="2245" t="n"/>
      <c r="O59" s="2245" t="n"/>
      <c r="P59" s="2245" t="n"/>
      <c r="Q59" s="2245" t="inlineStr">
        <is>
          <t xml:space="preserve">　</t>
        </is>
      </c>
      <c r="R59" s="2249" t="n"/>
      <c r="S59" s="4282" t="n"/>
      <c r="T59" s="4978" t="inlineStr">
        <is>
          <t>夏季</t>
        </is>
      </c>
      <c r="U59" s="4107" t="n"/>
      <c r="V59" s="937" t="n"/>
      <c r="AB59" s="4107" t="n"/>
      <c r="AC59" s="4282" t="n"/>
      <c r="AD59" s="4192" t="n"/>
      <c r="AH59" s="4109" t="n"/>
    </row>
    <row r="60" ht="20.1" customFormat="1" customHeight="1" s="1667">
      <c r="A60" s="4097" t="n"/>
      <c r="B60" s="4107" t="n"/>
      <c r="C60" s="4420" t="n"/>
      <c r="D60" s="4087" t="n"/>
      <c r="E60" s="4087" t="n"/>
      <c r="F60" s="4087" t="n"/>
      <c r="G60" s="4087" t="n"/>
      <c r="H60" s="4087" t="n"/>
      <c r="I60" s="4087" t="n"/>
      <c r="J60" s="4410" t="n"/>
      <c r="K60" s="4283" t="n"/>
      <c r="L60" s="4284" t="n"/>
      <c r="M60" s="4284" t="n"/>
      <c r="N60" s="4284" t="n"/>
      <c r="O60" s="4284" t="n"/>
      <c r="P60" s="4284" t="n"/>
      <c r="Q60" s="4284" t="n"/>
      <c r="R60" s="4285" t="n"/>
      <c r="S60" s="4421" t="n"/>
      <c r="T60" s="4062" t="inlineStr">
        <is>
          <t>その他</t>
        </is>
      </c>
      <c r="U60" s="4104" t="n"/>
      <c r="V60" s="940" t="n"/>
      <c r="W60" s="4103" t="n"/>
      <c r="X60" s="4103" t="n"/>
      <c r="Y60" s="4103" t="n"/>
      <c r="Z60" s="4103" t="n"/>
      <c r="AA60" s="4103" t="n"/>
      <c r="AB60" s="4104" t="n"/>
      <c r="AC60" s="4421" t="n"/>
      <c r="AD60" s="4480" t="n"/>
      <c r="AE60" s="4087" t="n"/>
      <c r="AF60" s="4087" t="n"/>
      <c r="AG60" s="4087" t="n"/>
      <c r="AH60" s="4088" t="n"/>
    </row>
    <row r="61" ht="20.1" customFormat="1" customHeight="1" s="1667">
      <c r="A61" s="4097" t="n"/>
      <c r="B61" s="4107" t="n"/>
      <c r="C61" s="1324" t="n"/>
      <c r="D61" s="1290" t="inlineStr">
        <is>
          <t>営業時間</t>
        </is>
      </c>
      <c r="J61" s="1392" t="n"/>
      <c r="K61" s="4979" t="inlineStr">
        <is>
          <t>平日</t>
        </is>
      </c>
      <c r="L61" s="4486" t="n"/>
      <c r="M61" s="4980" t="n"/>
      <c r="N61" s="4050" t="n"/>
      <c r="O61" s="4486" t="n"/>
      <c r="P61" s="708" t="inlineStr">
        <is>
          <t>時</t>
        </is>
      </c>
      <c r="Q61" s="4052" t="n"/>
      <c r="R61" s="4486" t="n"/>
      <c r="S61" s="708" t="inlineStr">
        <is>
          <t>分～</t>
        </is>
      </c>
      <c r="T61" s="708" t="n"/>
      <c r="U61" s="4051" t="n"/>
      <c r="V61" s="4486" t="n"/>
      <c r="W61" s="4486" t="n"/>
      <c r="X61" s="708" t="inlineStr">
        <is>
          <t>時</t>
        </is>
      </c>
      <c r="Y61" s="4063" t="n"/>
      <c r="Z61" s="4486" t="n"/>
      <c r="AA61" s="708" t="inlineStr">
        <is>
          <t>分</t>
        </is>
      </c>
      <c r="AB61" s="709" t="n"/>
      <c r="AC61" s="2019" t="inlineStr">
        <is>
          <t>備　考</t>
        </is>
      </c>
      <c r="AD61" s="4981" t="n"/>
      <c r="AH61" s="4109" t="n"/>
    </row>
    <row r="62" ht="20.1" customFormat="1" customHeight="1" s="1667">
      <c r="A62" s="4097" t="n"/>
      <c r="B62" s="4107" t="n"/>
      <c r="C62" s="4106" t="n"/>
      <c r="J62" s="4107" t="n"/>
      <c r="K62" s="4982" t="n"/>
      <c r="L62" s="4457" t="n"/>
      <c r="M62" s="4983" t="n"/>
      <c r="N62" s="4057" t="n"/>
      <c r="O62" s="4457" t="n"/>
      <c r="P62" s="710" t="inlineStr">
        <is>
          <t>時</t>
        </is>
      </c>
      <c r="Q62" s="4045" t="n"/>
      <c r="R62" s="4457" t="n"/>
      <c r="S62" s="710" t="inlineStr">
        <is>
          <t>分～</t>
        </is>
      </c>
      <c r="T62" s="710" t="n"/>
      <c r="U62" s="4046" t="n"/>
      <c r="V62" s="4457" t="n"/>
      <c r="W62" s="4457" t="n"/>
      <c r="X62" s="710" t="inlineStr">
        <is>
          <t>時</t>
        </is>
      </c>
      <c r="Y62" s="4053" t="n"/>
      <c r="Z62" s="4457" t="n"/>
      <c r="AA62" s="710" t="inlineStr">
        <is>
          <t>分</t>
        </is>
      </c>
      <c r="AB62" s="711" t="n"/>
      <c r="AC62" s="4419" t="n"/>
      <c r="AD62" s="4213" t="n"/>
      <c r="AH62" s="4109" t="n"/>
    </row>
    <row r="63" ht="20.1" customFormat="1" customHeight="1" s="1667">
      <c r="A63" s="4097" t="n"/>
      <c r="B63" s="4107" t="n"/>
      <c r="C63" s="4106" t="n"/>
      <c r="J63" s="4107" t="n"/>
      <c r="K63" s="4982" t="n"/>
      <c r="L63" s="4457" t="n"/>
      <c r="M63" s="4983" t="n"/>
      <c r="N63" s="4057" t="n"/>
      <c r="O63" s="4457" t="n"/>
      <c r="P63" s="710" t="inlineStr">
        <is>
          <t>時</t>
        </is>
      </c>
      <c r="Q63" s="4045" t="n"/>
      <c r="R63" s="4457" t="n"/>
      <c r="S63" s="710" t="inlineStr">
        <is>
          <t>分～</t>
        </is>
      </c>
      <c r="T63" s="710" t="n"/>
      <c r="U63" s="4046" t="n"/>
      <c r="V63" s="4457" t="n"/>
      <c r="W63" s="4457" t="n"/>
      <c r="X63" s="710" t="inlineStr">
        <is>
          <t>時</t>
        </is>
      </c>
      <c r="Y63" s="4053" t="n"/>
      <c r="Z63" s="4457" t="n"/>
      <c r="AA63" s="710" t="inlineStr">
        <is>
          <t>分</t>
        </is>
      </c>
      <c r="AB63" s="711" t="n"/>
      <c r="AC63" s="4419" t="n"/>
      <c r="AD63" s="4213" t="n"/>
      <c r="AH63" s="4109" t="n"/>
    </row>
    <row r="64" ht="20.1" customFormat="1" customHeight="1" s="1667">
      <c r="A64" s="4097" t="n"/>
      <c r="B64" s="4107" t="n"/>
      <c r="C64" s="4106" t="n"/>
      <c r="J64" s="4107" t="n"/>
      <c r="K64" s="4984" t="inlineStr">
        <is>
          <t xml:space="preserve">　　</t>
        </is>
      </c>
      <c r="L64" s="4457" t="n"/>
      <c r="M64" s="4983" t="n"/>
      <c r="N64" s="4057" t="n"/>
      <c r="O64" s="4457" t="n"/>
      <c r="P64" s="710" t="inlineStr">
        <is>
          <t>時</t>
        </is>
      </c>
      <c r="Q64" s="4045" t="n"/>
      <c r="R64" s="4457" t="n"/>
      <c r="S64" s="710" t="inlineStr">
        <is>
          <t>分～</t>
        </is>
      </c>
      <c r="T64" s="710" t="n"/>
      <c r="U64" s="4046" t="n"/>
      <c r="V64" s="4457" t="n"/>
      <c r="W64" s="4457" t="n"/>
      <c r="X64" s="710" t="inlineStr">
        <is>
          <t>時</t>
        </is>
      </c>
      <c r="Y64" s="4053" t="n"/>
      <c r="Z64" s="4457" t="n"/>
      <c r="AA64" s="710" t="inlineStr">
        <is>
          <t>分</t>
        </is>
      </c>
      <c r="AB64" s="711" t="n"/>
      <c r="AC64" s="4419" t="n"/>
      <c r="AD64" s="4213" t="n"/>
      <c r="AH64" s="4109" t="n"/>
    </row>
    <row r="65" ht="20.1" customFormat="1" customHeight="1" s="1667">
      <c r="A65" s="4097" t="n"/>
      <c r="B65" s="4107" t="n"/>
      <c r="C65" s="1393" t="n"/>
      <c r="D65" s="1264" t="inlineStr">
        <is>
          <t>サービス提供日</t>
        </is>
      </c>
      <c r="E65" s="4098" t="n"/>
      <c r="F65" s="4098" t="n"/>
      <c r="G65" s="4098" t="n"/>
      <c r="H65" s="4098" t="n"/>
      <c r="I65" s="4098" t="n"/>
      <c r="J65" s="4423" t="n"/>
      <c r="K65" s="2244" t="inlineStr">
        <is>
          <t>月</t>
        </is>
      </c>
      <c r="L65" s="2245" t="inlineStr">
        <is>
          <t>火</t>
        </is>
      </c>
      <c r="M65" s="2245" t="inlineStr">
        <is>
          <t>水</t>
        </is>
      </c>
      <c r="N65" s="2245" t="inlineStr">
        <is>
          <t>木</t>
        </is>
      </c>
      <c r="O65" s="2245" t="inlineStr">
        <is>
          <t>金</t>
        </is>
      </c>
      <c r="P65" s="2245" t="inlineStr">
        <is>
          <t>土</t>
        </is>
      </c>
      <c r="Q65" s="2245" t="inlineStr">
        <is>
          <t>日</t>
        </is>
      </c>
      <c r="R65" s="2249" t="inlineStr">
        <is>
          <t>祝</t>
        </is>
      </c>
      <c r="S65" s="4279" t="inlineStr">
        <is>
          <t>休業日</t>
        </is>
      </c>
      <c r="T65" s="1611" t="inlineStr">
        <is>
          <t>年末年始</t>
        </is>
      </c>
      <c r="U65" s="4098" t="n"/>
      <c r="V65" s="934" t="n"/>
      <c r="W65" s="4098" t="n"/>
      <c r="X65" s="4098" t="n"/>
      <c r="Y65" s="4098" t="n"/>
      <c r="Z65" s="4098" t="n"/>
      <c r="AA65" s="4098" t="n"/>
      <c r="AB65" s="4099" t="n"/>
      <c r="AC65" s="4280" t="inlineStr">
        <is>
          <t>備　考</t>
        </is>
      </c>
      <c r="AD65" s="4281" t="n"/>
      <c r="AE65" s="4098" t="n"/>
      <c r="AF65" s="4098" t="n"/>
      <c r="AG65" s="4098" t="n"/>
      <c r="AH65" s="4101" t="n"/>
    </row>
    <row r="66" ht="20.1" customFormat="1" customHeight="1" s="1667">
      <c r="A66" s="4097" t="n"/>
      <c r="B66" s="4107" t="n"/>
      <c r="C66" s="4106" t="n"/>
      <c r="J66" s="4107" t="n"/>
      <c r="K66" s="2244" t="n"/>
      <c r="L66" s="2245" t="n"/>
      <c r="M66" s="2245" t="n"/>
      <c r="N66" s="2245" t="n"/>
      <c r="O66" s="2245" t="n"/>
      <c r="P66" s="2245" t="n"/>
      <c r="Q66" s="2245" t="n"/>
      <c r="R66" s="2249" t="n"/>
      <c r="S66" s="4282" t="n"/>
      <c r="T66" s="1609" t="inlineStr">
        <is>
          <t>夏季</t>
        </is>
      </c>
      <c r="V66" s="937" t="n"/>
      <c r="AB66" s="4107" t="n"/>
      <c r="AC66" s="4282" t="n"/>
      <c r="AD66" s="4192" t="n"/>
      <c r="AH66" s="4109" t="n"/>
    </row>
    <row r="67" ht="20.1" customFormat="1" customHeight="1" s="1667">
      <c r="A67" s="4097" t="n"/>
      <c r="B67" s="4107" t="n"/>
      <c r="C67" s="4102" t="n"/>
      <c r="D67" s="4103" t="n"/>
      <c r="E67" s="4103" t="n"/>
      <c r="F67" s="4103" t="n"/>
      <c r="G67" s="4103" t="n"/>
      <c r="H67" s="4103" t="n"/>
      <c r="I67" s="4103" t="n"/>
      <c r="J67" s="4104" t="n"/>
      <c r="K67" s="4283" t="n"/>
      <c r="L67" s="4284" t="n"/>
      <c r="M67" s="4284" t="n"/>
      <c r="N67" s="4284" t="n"/>
      <c r="O67" s="4284" t="n"/>
      <c r="P67" s="4284" t="n"/>
      <c r="Q67" s="4284" t="n"/>
      <c r="R67" s="4285" t="n"/>
      <c r="S67" s="4286" t="n"/>
      <c r="T67" s="1610" t="inlineStr">
        <is>
          <t>その他</t>
        </is>
      </c>
      <c r="U67" s="4103" t="n"/>
      <c r="V67" s="940" t="n"/>
      <c r="W67" s="4103" t="n"/>
      <c r="X67" s="4103" t="n"/>
      <c r="Y67" s="4103" t="n"/>
      <c r="Z67" s="4103" t="n"/>
      <c r="AA67" s="4103" t="n"/>
      <c r="AB67" s="4104" t="n"/>
      <c r="AC67" s="4286" t="n"/>
      <c r="AD67" s="4194" t="n"/>
      <c r="AE67" s="4103" t="n"/>
      <c r="AF67" s="4103" t="n"/>
      <c r="AG67" s="4103" t="n"/>
      <c r="AH67" s="4105" t="n"/>
    </row>
    <row r="68" ht="20.1" customFormat="1" customHeight="1" s="1667">
      <c r="A68" s="4097" t="n"/>
      <c r="B68" s="4107" t="n"/>
      <c r="C68" s="1324" t="n"/>
      <c r="D68" s="1325" t="inlineStr">
        <is>
          <t>サービス提供時間</t>
        </is>
      </c>
      <c r="J68" s="4066" t="n"/>
      <c r="K68" s="4979" t="inlineStr">
        <is>
          <t>平日</t>
        </is>
      </c>
      <c r="L68" s="4486" t="n"/>
      <c r="M68" s="4980" t="n"/>
      <c r="N68" s="4067" t="n"/>
      <c r="O68" s="4486" t="n"/>
      <c r="P68" s="4486" t="n"/>
      <c r="Q68" s="708" t="inlineStr">
        <is>
          <t>時</t>
        </is>
      </c>
      <c r="R68" s="2825" t="n"/>
      <c r="S68" s="4486" t="n"/>
      <c r="T68" s="708" t="inlineStr">
        <is>
          <t>分～</t>
        </is>
      </c>
      <c r="U68" s="708" t="n"/>
      <c r="V68" s="4067" t="n"/>
      <c r="W68" s="4486" t="n"/>
      <c r="X68" s="4486" t="n"/>
      <c r="Y68" s="708" t="inlineStr">
        <is>
          <t>時</t>
        </is>
      </c>
      <c r="Z68" s="2825" t="n"/>
      <c r="AA68" s="4486" t="n"/>
      <c r="AB68" s="708" t="inlineStr">
        <is>
          <t>分</t>
        </is>
      </c>
      <c r="AC68" s="712" t="n"/>
      <c r="AD68" s="712" t="n"/>
      <c r="AE68" s="713" t="n"/>
      <c r="AF68" s="708" t="n"/>
      <c r="AG68" s="708" t="n"/>
      <c r="AH68" s="714" t="n"/>
    </row>
    <row r="69" ht="20.1" customFormat="1" customHeight="1" s="1667">
      <c r="A69" s="4097" t="n"/>
      <c r="B69" s="4107" t="n"/>
      <c r="C69" s="4106" t="n"/>
      <c r="J69" s="4107" t="n"/>
      <c r="K69" s="4982" t="n"/>
      <c r="L69" s="4457" t="n"/>
      <c r="M69" s="4983" t="n"/>
      <c r="N69" s="4067" t="n"/>
      <c r="O69" s="4486" t="n"/>
      <c r="P69" s="4486" t="n"/>
      <c r="Q69" s="708" t="inlineStr">
        <is>
          <t>時</t>
        </is>
      </c>
      <c r="R69" s="2825" t="n"/>
      <c r="S69" s="4486" t="n"/>
      <c r="T69" s="708" t="inlineStr">
        <is>
          <t>分～</t>
        </is>
      </c>
      <c r="U69" s="708" t="n"/>
      <c r="V69" s="4067" t="n"/>
      <c r="W69" s="4486" t="n"/>
      <c r="X69" s="4486" t="n"/>
      <c r="Y69" s="708" t="inlineStr">
        <is>
          <t>時</t>
        </is>
      </c>
      <c r="Z69" s="2825" t="n"/>
      <c r="AA69" s="4486" t="n"/>
      <c r="AB69" s="708" t="inlineStr">
        <is>
          <t>分</t>
        </is>
      </c>
      <c r="AC69" s="712" t="n"/>
      <c r="AD69" s="712" t="n"/>
      <c r="AE69" s="713" t="n"/>
      <c r="AF69" s="708" t="n"/>
      <c r="AG69" s="708" t="n"/>
      <c r="AH69" s="714" t="n"/>
    </row>
    <row r="70" ht="20.1" customFormat="1" customHeight="1" s="1667">
      <c r="A70" s="4097" t="n"/>
      <c r="B70" s="4107" t="n"/>
      <c r="C70" s="4106" t="n"/>
      <c r="J70" s="4107" t="n"/>
      <c r="K70" s="4982" t="n"/>
      <c r="L70" s="4457" t="n"/>
      <c r="M70" s="4983" t="n"/>
      <c r="N70" s="4067" t="n"/>
      <c r="O70" s="4486" t="n"/>
      <c r="P70" s="4486" t="n"/>
      <c r="Q70" s="708" t="inlineStr">
        <is>
          <t>時</t>
        </is>
      </c>
      <c r="R70" s="2825" t="n"/>
      <c r="S70" s="4486" t="n"/>
      <c r="T70" s="708" t="inlineStr">
        <is>
          <t>分～</t>
        </is>
      </c>
      <c r="U70" s="708" t="n"/>
      <c r="V70" s="4067" t="n"/>
      <c r="W70" s="4486" t="n"/>
      <c r="X70" s="4486" t="n"/>
      <c r="Y70" s="708" t="inlineStr">
        <is>
          <t>時</t>
        </is>
      </c>
      <c r="Z70" s="2825" t="n"/>
      <c r="AA70" s="4486" t="n"/>
      <c r="AB70" s="708" t="inlineStr">
        <is>
          <t>分</t>
        </is>
      </c>
      <c r="AC70" s="712" t="n"/>
      <c r="AD70" s="712" t="n"/>
      <c r="AE70" s="713" t="n"/>
      <c r="AF70" s="708" t="n"/>
      <c r="AG70" s="708" t="n"/>
      <c r="AH70" s="714" t="n"/>
    </row>
    <row r="71" ht="20.1" customFormat="1" customHeight="1" s="1667">
      <c r="A71" s="4097" t="n"/>
      <c r="B71" s="4107" t="n"/>
      <c r="C71" s="4106" t="n"/>
      <c r="J71" s="4107" t="n"/>
      <c r="K71" s="4985" t="inlineStr">
        <is>
          <t xml:space="preserve">　　</t>
        </is>
      </c>
      <c r="M71" s="4191" t="n"/>
      <c r="N71" s="4067" t="n"/>
      <c r="O71" s="4486" t="n"/>
      <c r="P71" s="4486" t="n"/>
      <c r="Q71" s="708" t="inlineStr">
        <is>
          <t>時</t>
        </is>
      </c>
      <c r="R71" s="2825" t="n"/>
      <c r="S71" s="4486" t="n"/>
      <c r="T71" s="708" t="inlineStr">
        <is>
          <t>分～</t>
        </is>
      </c>
      <c r="U71" s="708" t="n"/>
      <c r="V71" s="4067" t="n"/>
      <c r="W71" s="4486" t="n"/>
      <c r="X71" s="4486" t="n"/>
      <c r="Y71" s="708" t="inlineStr">
        <is>
          <t>時</t>
        </is>
      </c>
      <c r="Z71" s="2825" t="n"/>
      <c r="AA71" s="4486" t="n"/>
      <c r="AB71" s="708" t="inlineStr">
        <is>
          <t>分</t>
        </is>
      </c>
      <c r="AC71" s="712" t="n"/>
      <c r="AD71" s="712" t="n"/>
      <c r="AE71" s="713" t="n"/>
      <c r="AF71" s="708" t="n"/>
      <c r="AG71" s="708" t="n"/>
      <c r="AH71" s="714" t="n"/>
    </row>
    <row r="72" ht="20.1" customFormat="1" customHeight="1" s="1667">
      <c r="A72" s="4097" t="n"/>
      <c r="B72" s="4107" t="n"/>
      <c r="C72" s="1393" t="n"/>
      <c r="D72" s="1264" t="inlineStr">
        <is>
          <t>利用料</t>
        </is>
      </c>
      <c r="E72" s="4110" t="n"/>
      <c r="F72" s="4110" t="n"/>
      <c r="G72" s="4110" t="n"/>
      <c r="H72" s="4110" t="n"/>
      <c r="I72" s="4110" t="n"/>
      <c r="J72" s="1394" t="n"/>
      <c r="K72" s="4227" t="n"/>
      <c r="L72" s="4110" t="n"/>
      <c r="M72" s="4110" t="n"/>
      <c r="N72" s="4110" t="n"/>
      <c r="O72" s="4110" t="n"/>
      <c r="P72" s="4110" t="n"/>
      <c r="Q72" s="4110" t="n"/>
      <c r="R72" s="4110" t="n"/>
      <c r="S72" s="4110" t="n"/>
      <c r="T72" s="4110" t="n"/>
      <c r="U72" s="4110" t="n"/>
      <c r="V72" s="4110" t="n"/>
      <c r="W72" s="4110" t="n"/>
      <c r="X72" s="4110" t="n"/>
      <c r="Y72" s="4110" t="n"/>
      <c r="Z72" s="4110" t="n"/>
      <c r="AA72" s="4110" t="n"/>
      <c r="AB72" s="4110" t="n"/>
      <c r="AC72" s="4110" t="n"/>
      <c r="AD72" s="4110" t="n"/>
      <c r="AE72" s="4110" t="n"/>
      <c r="AF72" s="4110" t="n"/>
      <c r="AG72" s="4110" t="n"/>
      <c r="AH72" s="4113" t="n"/>
    </row>
    <row r="73" ht="20.1" customFormat="1" customHeight="1" s="1667">
      <c r="A73" s="4097" t="n"/>
      <c r="B73" s="4107" t="n"/>
      <c r="C73" s="1322" t="n"/>
      <c r="D73" s="1264" t="inlineStr">
        <is>
          <t>その他の費用</t>
        </is>
      </c>
      <c r="E73" s="4110" t="n"/>
      <c r="F73" s="4110" t="n"/>
      <c r="G73" s="4110" t="n"/>
      <c r="H73" s="4110" t="n"/>
      <c r="I73" s="4110" t="n"/>
      <c r="J73" s="1331" t="n"/>
      <c r="K73" s="4121" t="n"/>
      <c r="L73" s="4110" t="n"/>
      <c r="M73" s="4110" t="n"/>
      <c r="N73" s="4110" t="n"/>
      <c r="O73" s="4110" t="n"/>
      <c r="P73" s="4110" t="n"/>
      <c r="Q73" s="4110" t="n"/>
      <c r="R73" s="4110" t="n"/>
      <c r="S73" s="4110" t="n"/>
      <c r="T73" s="4110" t="n"/>
      <c r="U73" s="4110" t="n"/>
      <c r="V73" s="4110" t="n"/>
      <c r="W73" s="4110" t="n"/>
      <c r="X73" s="4110" t="n"/>
      <c r="Y73" s="4110" t="n"/>
      <c r="Z73" s="4110" t="n"/>
      <c r="AA73" s="4110" t="n"/>
      <c r="AB73" s="4110" t="n"/>
      <c r="AC73" s="4110" t="n"/>
      <c r="AD73" s="4110" t="n"/>
      <c r="AE73" s="4110" t="n"/>
      <c r="AF73" s="4110" t="n"/>
      <c r="AG73" s="4110" t="n"/>
      <c r="AH73" s="4113" t="n"/>
    </row>
    <row r="74" ht="20.1" customFormat="1" customHeight="1" s="1667">
      <c r="A74" s="4097" t="n"/>
      <c r="B74" s="4107" t="n"/>
      <c r="C74" s="1300" t="n"/>
      <c r="D74" s="4222" t="inlineStr">
        <is>
          <t>通常の事業の
実施地域</t>
        </is>
      </c>
      <c r="E74" s="4098" t="n"/>
      <c r="F74" s="4098" t="n"/>
      <c r="G74" s="4098" t="n"/>
      <c r="H74" s="4098" t="n"/>
      <c r="I74" s="4098" t="n"/>
      <c r="J74" s="1963" t="n"/>
      <c r="K74" s="3272" t="inlineStr">
        <is>
          <t>1)</t>
        </is>
      </c>
      <c r="L74" s="1406" t="n"/>
      <c r="M74" s="4110" t="n"/>
      <c r="N74" s="4110" t="n"/>
      <c r="O74" s="2325" t="inlineStr">
        <is>
          <t>2)</t>
        </is>
      </c>
      <c r="P74" s="1406" t="n"/>
      <c r="Q74" s="4110" t="n"/>
      <c r="R74" s="4110" t="n"/>
      <c r="S74" s="2325" t="inlineStr">
        <is>
          <t>3)</t>
        </is>
      </c>
      <c r="T74" s="1406" t="n"/>
      <c r="U74" s="4110" t="n"/>
      <c r="V74" s="4110" t="n"/>
      <c r="W74" s="2325" t="inlineStr">
        <is>
          <t>4)</t>
        </is>
      </c>
      <c r="X74" s="1406" t="n"/>
      <c r="Y74" s="4110" t="n"/>
      <c r="Z74" s="4110" t="n"/>
      <c r="AA74" s="2325" t="inlineStr">
        <is>
          <t>5)</t>
        </is>
      </c>
      <c r="AB74" s="1406" t="n"/>
      <c r="AC74" s="4110" t="n"/>
      <c r="AD74" s="4110" t="n"/>
      <c r="AE74" s="4229" t="inlineStr">
        <is>
          <t>備考</t>
        </is>
      </c>
      <c r="AF74" s="4230" t="n"/>
      <c r="AG74" s="4098" t="n"/>
      <c r="AH74" s="4101" t="n"/>
    </row>
    <row r="75" ht="20.1" customFormat="1" customHeight="1" s="1667">
      <c r="A75" s="4097" t="n"/>
      <c r="B75" s="4107" t="n"/>
      <c r="C75" s="4102" t="n"/>
      <c r="D75" s="4103" t="n"/>
      <c r="E75" s="4103" t="n"/>
      <c r="F75" s="4103" t="n"/>
      <c r="G75" s="4103" t="n"/>
      <c r="H75" s="4103" t="n"/>
      <c r="I75" s="4103" t="n"/>
      <c r="J75" s="4104" t="n"/>
      <c r="K75" s="3272" t="inlineStr">
        <is>
          <t>6)</t>
        </is>
      </c>
      <c r="L75" s="1406" t="n"/>
      <c r="M75" s="4110" t="n"/>
      <c r="N75" s="4110" t="n"/>
      <c r="O75" s="2325" t="inlineStr">
        <is>
          <t>7)</t>
        </is>
      </c>
      <c r="P75" s="1406" t="n"/>
      <c r="Q75" s="4110" t="n"/>
      <c r="R75" s="4110" t="n"/>
      <c r="S75" s="2325" t="inlineStr">
        <is>
          <t>8)</t>
        </is>
      </c>
      <c r="T75" s="1406" t="n"/>
      <c r="U75" s="4110" t="n"/>
      <c r="V75" s="4110" t="n"/>
      <c r="W75" s="2325" t="inlineStr">
        <is>
          <t>9)</t>
        </is>
      </c>
      <c r="X75" s="1406" t="n"/>
      <c r="Y75" s="4110" t="n"/>
      <c r="Z75" s="4110" t="n"/>
      <c r="AA75" s="71" t="inlineStr">
        <is>
          <t>10)</t>
        </is>
      </c>
      <c r="AB75" s="1406" t="n"/>
      <c r="AC75" s="4110" t="n"/>
      <c r="AD75" s="4110" t="n"/>
      <c r="AE75" s="4124" t="n"/>
      <c r="AF75" s="4102" t="n"/>
      <c r="AG75" s="4103" t="n"/>
      <c r="AH75" s="4105" t="n"/>
    </row>
    <row r="76" ht="7.5" customFormat="1" customHeight="1" s="1667">
      <c r="A76" s="4097" t="n"/>
      <c r="B76" s="4107" t="n"/>
      <c r="C76" s="2163" t="inlineStr">
        <is>
          <t>設　　備</t>
        </is>
      </c>
      <c r="D76" s="4098" t="n"/>
      <c r="E76" s="4098" t="n"/>
      <c r="F76" s="4098" t="n"/>
      <c r="G76" s="4098" t="n"/>
      <c r="H76" s="4098" t="n"/>
      <c r="I76" s="4098" t="n"/>
      <c r="J76" s="4099" t="n"/>
      <c r="K76" s="3272" t="n"/>
      <c r="L76" s="1323" t="n"/>
      <c r="M76" s="4098" t="n"/>
      <c r="N76" s="4098" t="n"/>
      <c r="O76" s="1394" t="n"/>
      <c r="P76" s="4274" t="inlineStr">
        <is>
          <t>設置形態</t>
        </is>
      </c>
      <c r="Q76" s="4098" t="n"/>
      <c r="R76" s="4098" t="n"/>
      <c r="S76" s="4099" t="n"/>
      <c r="T76" s="1457" t="n"/>
      <c r="U76" s="1457" t="n"/>
      <c r="V76" s="1457" t="n"/>
      <c r="W76" s="1457" t="n"/>
      <c r="X76" s="1457" t="n"/>
      <c r="Y76" s="1457" t="n"/>
      <c r="Z76" s="1457" t="n"/>
      <c r="AA76" s="1052" t="n"/>
      <c r="AB76" s="4098" t="n"/>
      <c r="AC76" s="4098" t="n"/>
      <c r="AD76" s="4098" t="n"/>
      <c r="AE76" s="4098" t="n"/>
      <c r="AF76" s="4098" t="n"/>
      <c r="AG76" s="4098" t="n"/>
      <c r="AH76" s="1659" t="n"/>
    </row>
    <row r="77" ht="19.5" customFormat="1" customHeight="1" s="1667">
      <c r="A77" s="4097" t="n"/>
      <c r="B77" s="4107" t="n"/>
      <c r="C77" s="4106" t="n"/>
      <c r="J77" s="4107" t="n"/>
      <c r="K77" s="4106" t="n"/>
      <c r="L77" s="1325" t="inlineStr">
        <is>
          <t>有</t>
        </is>
      </c>
      <c r="M77" s="1325" t="inlineStr">
        <is>
          <t>・</t>
        </is>
      </c>
      <c r="N77" s="1325" t="inlineStr">
        <is>
          <t>無</t>
        </is>
      </c>
      <c r="O77" s="4107" t="n"/>
      <c r="P77" s="4106" t="n"/>
      <c r="S77" s="4107" t="n"/>
      <c r="T77" s="1457" t="n"/>
      <c r="U77" s="1391" t="inlineStr">
        <is>
          <t>専用</t>
        </is>
      </c>
      <c r="W77" s="2295" t="inlineStr">
        <is>
          <t>・</t>
        </is>
      </c>
      <c r="X77" s="1391" t="inlineStr">
        <is>
          <t>共用</t>
        </is>
      </c>
      <c r="Z77" s="187" t="inlineStr">
        <is>
          <t>（</t>
        </is>
      </c>
      <c r="AH77" s="188" t="inlineStr">
        <is>
          <t>）</t>
        </is>
      </c>
    </row>
    <row r="78" ht="5.25" customFormat="1" customHeight="1" s="1667">
      <c r="A78" s="4097" t="n"/>
      <c r="B78" s="4107" t="n"/>
      <c r="C78" s="4102" t="n"/>
      <c r="D78" s="4103" t="n"/>
      <c r="E78" s="4103" t="n"/>
      <c r="F78" s="4103" t="n"/>
      <c r="G78" s="4103" t="n"/>
      <c r="H78" s="4103" t="n"/>
      <c r="I78" s="4103" t="n"/>
      <c r="J78" s="4104" t="n"/>
      <c r="K78" s="4102" t="n"/>
      <c r="L78" s="1327" t="n"/>
      <c r="M78" s="4103" t="n"/>
      <c r="N78" s="4103" t="n"/>
      <c r="O78" s="4104" t="n"/>
      <c r="P78" s="4102" t="n"/>
      <c r="Q78" s="4103" t="n"/>
      <c r="R78" s="4103" t="n"/>
      <c r="S78" s="4104" t="n"/>
      <c r="T78" s="1457" t="n"/>
      <c r="U78" s="1457" t="n"/>
      <c r="V78" s="1457" t="n"/>
      <c r="W78" s="1457" t="n"/>
      <c r="X78" s="1457" t="n"/>
      <c r="Y78" s="1457" t="n"/>
      <c r="Z78" s="1457" t="n"/>
      <c r="AA78" s="4103" t="n"/>
      <c r="AB78" s="4103" t="n"/>
      <c r="AC78" s="4103" t="n"/>
      <c r="AD78" s="4103" t="n"/>
      <c r="AE78" s="4103" t="n"/>
      <c r="AF78" s="4103" t="n"/>
      <c r="AG78" s="4103" t="n"/>
      <c r="AH78" s="1659" t="n"/>
    </row>
    <row r="79" ht="7.5" customFormat="1" customHeight="1" s="1667">
      <c r="A79" s="4097" t="n"/>
      <c r="B79" s="4107" t="n"/>
      <c r="C79" s="4846" t="inlineStr">
        <is>
          <t>その他参考
となる事項</t>
        </is>
      </c>
      <c r="D79" s="4107" t="n"/>
      <c r="E79" s="1456" t="inlineStr">
        <is>
          <t>第三者評価の実施状況</t>
        </is>
      </c>
      <c r="J79" s="4107" t="n"/>
      <c r="K79" s="1660" t="n"/>
      <c r="L79" s="1661" t="n"/>
      <c r="M79" s="1661" t="n"/>
      <c r="N79" s="1661" t="n"/>
      <c r="O79" s="1661" t="n"/>
      <c r="P79" s="1661" t="n"/>
      <c r="Q79" s="1661" t="n"/>
      <c r="R79" s="4232" t="n"/>
      <c r="S79" s="4098" t="n"/>
      <c r="T79" s="4098" t="n"/>
      <c r="U79" s="4098" t="n"/>
      <c r="V79" s="4098" t="n"/>
      <c r="W79" s="4098" t="n"/>
      <c r="X79" s="4098" t="n"/>
      <c r="Y79" s="4098" t="n"/>
      <c r="Z79" s="4098" t="n"/>
      <c r="AA79" s="4098" t="n"/>
      <c r="AB79" s="1661" t="n"/>
      <c r="AC79" s="1661" t="n"/>
      <c r="AD79" s="1661" t="n"/>
      <c r="AE79" s="1661" t="n"/>
      <c r="AF79" s="1661" t="n"/>
      <c r="AG79" s="1661" t="n"/>
      <c r="AH79" s="1662" t="n"/>
    </row>
    <row r="80" ht="20.1" customFormat="1" customHeight="1" s="1667">
      <c r="A80" s="4097" t="n"/>
      <c r="B80" s="4107" t="n"/>
      <c r="C80" s="4106" t="n"/>
      <c r="D80" s="4107" t="n"/>
      <c r="J80" s="4107" t="n"/>
      <c r="K80" s="1372" t="n"/>
      <c r="L80" s="1432" t="inlineStr">
        <is>
          <t>している</t>
        </is>
      </c>
      <c r="O80" s="1432" t="inlineStr">
        <is>
          <t>(実施先：</t>
        </is>
      </c>
      <c r="AB80" s="1889" t="inlineStr">
        <is>
          <t>)・</t>
        </is>
      </c>
      <c r="AC80" s="1290" t="inlineStr">
        <is>
          <t>していない</t>
        </is>
      </c>
      <c r="AH80" s="1668" t="n"/>
    </row>
    <row r="81" ht="4.5" customFormat="1" customHeight="1" s="1667">
      <c r="A81" s="4097" t="n"/>
      <c r="B81" s="4107" t="n"/>
      <c r="C81" s="4106" t="n"/>
      <c r="D81" s="4107" t="n"/>
      <c r="E81" s="4103" t="n"/>
      <c r="F81" s="4103" t="n"/>
      <c r="G81" s="4103" t="n"/>
      <c r="H81" s="4103" t="n"/>
      <c r="I81" s="4103" t="n"/>
      <c r="J81" s="4104" t="n"/>
      <c r="K81" s="438" t="n"/>
      <c r="L81" s="389" t="n"/>
      <c r="M81" s="389" t="n"/>
      <c r="N81" s="389" t="n"/>
      <c r="O81" s="389" t="n"/>
      <c r="P81" s="389" t="n"/>
      <c r="Q81" s="389" t="n"/>
      <c r="R81" s="4103" t="n"/>
      <c r="S81" s="4103" t="n"/>
      <c r="T81" s="4103" t="n"/>
      <c r="U81" s="4103" t="n"/>
      <c r="V81" s="4103" t="n"/>
      <c r="W81" s="4103" t="n"/>
      <c r="X81" s="4103" t="n"/>
      <c r="Y81" s="4103" t="n"/>
      <c r="Z81" s="4103" t="n"/>
      <c r="AA81" s="4103" t="n"/>
      <c r="AB81" s="389" t="n"/>
      <c r="AC81" s="389" t="n"/>
      <c r="AD81" s="389" t="n"/>
      <c r="AE81" s="389" t="n"/>
      <c r="AF81" s="389" t="n"/>
      <c r="AG81" s="389" t="n"/>
      <c r="AH81" s="390" t="n"/>
    </row>
    <row r="82" ht="20.1" customFormat="1" customHeight="1" s="1667">
      <c r="A82" s="4097" t="n"/>
      <c r="B82" s="4107" t="n"/>
      <c r="C82" s="4106" t="n"/>
      <c r="D82" s="4107" t="n"/>
      <c r="E82" s="4847" t="inlineStr">
        <is>
          <t>苦情解決の措置概要</t>
        </is>
      </c>
      <c r="F82" s="4098" t="n"/>
      <c r="G82" s="4098" t="n"/>
      <c r="H82" s="4098" t="n"/>
      <c r="I82" s="4098" t="n"/>
      <c r="J82" s="4099" t="n"/>
      <c r="K82" s="4848" t="inlineStr">
        <is>
          <t>窓　口</t>
        </is>
      </c>
      <c r="L82" s="4110" t="n"/>
      <c r="M82" s="4111" t="n"/>
      <c r="N82" s="4121" t="n"/>
      <c r="O82" s="4110" t="n"/>
      <c r="P82" s="4110" t="n"/>
      <c r="Q82" s="4110" t="n"/>
      <c r="R82" s="4110" t="n"/>
      <c r="S82" s="4110" t="n"/>
      <c r="T82" s="4110" t="n"/>
      <c r="U82" s="4110" t="n"/>
      <c r="V82" s="4110" t="n"/>
      <c r="W82" s="4110" t="n"/>
      <c r="X82" s="4110" t="n"/>
      <c r="Y82" s="4110" t="n"/>
      <c r="Z82" s="4110" t="n"/>
      <c r="AA82" s="4110" t="n"/>
      <c r="AB82" s="4110" t="n"/>
      <c r="AC82" s="4110" t="n"/>
      <c r="AD82" s="4110" t="n"/>
      <c r="AE82" s="4110" t="n"/>
      <c r="AF82" s="4110" t="n"/>
      <c r="AG82" s="4110" t="n"/>
      <c r="AH82" s="4113" t="n"/>
    </row>
    <row r="83" ht="20.1" customFormat="1" customHeight="1" s="1667">
      <c r="A83" s="4097" t="n"/>
      <c r="B83" s="4107" t="n"/>
      <c r="C83" s="4106" t="n"/>
      <c r="D83" s="4107" t="n"/>
      <c r="E83" s="4102" t="n"/>
      <c r="F83" s="4103" t="n"/>
      <c r="G83" s="4103" t="n"/>
      <c r="H83" s="4103" t="n"/>
      <c r="I83" s="4103" t="n"/>
      <c r="J83" s="4104" t="n"/>
      <c r="K83" s="2542" t="inlineStr">
        <is>
          <t>担当者</t>
        </is>
      </c>
      <c r="L83" s="4110" t="n"/>
      <c r="M83" s="4111" t="n"/>
      <c r="N83" s="4123" t="n"/>
      <c r="O83" s="4110" t="n"/>
      <c r="P83" s="4110" t="n"/>
      <c r="Q83" s="4110" t="n"/>
      <c r="R83" s="4110" t="n"/>
      <c r="S83" s="4110" t="n"/>
      <c r="T83" s="4110" t="n"/>
      <c r="U83" s="4111" t="n"/>
      <c r="V83" s="2163" t="inlineStr">
        <is>
          <t>電話</t>
        </is>
      </c>
      <c r="W83" s="4111" t="n"/>
      <c r="X83" s="882" t="n"/>
      <c r="Y83" s="4110" t="n"/>
      <c r="Z83" s="4110" t="n"/>
      <c r="AA83" s="1492" t="inlineStr">
        <is>
          <t>－</t>
        </is>
      </c>
      <c r="AB83" s="920" t="n"/>
      <c r="AC83" s="4110" t="n"/>
      <c r="AD83" s="4110" t="n"/>
      <c r="AE83" s="1492" t="inlineStr">
        <is>
          <t>－</t>
        </is>
      </c>
      <c r="AF83" s="955" t="n"/>
      <c r="AG83" s="4110" t="n"/>
      <c r="AH83" s="4113" t="n"/>
    </row>
    <row r="84" ht="20.1" customFormat="1" customHeight="1" s="1667">
      <c r="A84" s="4114" t="n"/>
      <c r="B84" s="4104" t="n"/>
      <c r="C84" s="4102" t="n"/>
      <c r="D84" s="4104" t="n"/>
      <c r="E84" s="2070" t="inlineStr">
        <is>
          <t>そ　　　 の 　　　他</t>
        </is>
      </c>
      <c r="F84" s="4110" t="n"/>
      <c r="G84" s="4110" t="n"/>
      <c r="H84" s="4110" t="n"/>
      <c r="I84" s="4110" t="n"/>
      <c r="J84" s="4111" t="n"/>
      <c r="K84" s="4121" t="n"/>
      <c r="L84" s="4110" t="n"/>
      <c r="M84" s="4110" t="n"/>
      <c r="N84" s="4110" t="n"/>
      <c r="O84" s="4110" t="n"/>
      <c r="P84" s="4110" t="n"/>
      <c r="Q84" s="4110" t="n"/>
      <c r="R84" s="4110" t="n"/>
      <c r="S84" s="4110" t="n"/>
      <c r="T84" s="4110" t="n"/>
      <c r="U84" s="4110" t="n"/>
      <c r="V84" s="4110" t="n"/>
      <c r="W84" s="4110" t="n"/>
      <c r="X84" s="4110" t="n"/>
      <c r="Y84" s="4110" t="n"/>
      <c r="Z84" s="4110" t="n"/>
      <c r="AA84" s="4110" t="n"/>
      <c r="AB84" s="4110" t="n"/>
      <c r="AC84" s="4110" t="n"/>
      <c r="AD84" s="4110" t="n"/>
      <c r="AE84" s="4110" t="n"/>
      <c r="AF84" s="4110" t="n"/>
      <c r="AG84" s="4110" t="n"/>
      <c r="AH84" s="4113" t="n"/>
    </row>
    <row r="85" ht="20.1" customFormat="1" customHeight="1" s="1667">
      <c r="A85" s="4986" t="inlineStr">
        <is>
          <t>協力医療機関</t>
        </is>
      </c>
      <c r="B85" s="4110" t="n"/>
      <c r="C85" s="4110" t="n"/>
      <c r="D85" s="4110" t="n"/>
      <c r="E85" s="4110" t="n"/>
      <c r="F85" s="4110" t="n"/>
      <c r="G85" s="4110" t="n"/>
      <c r="H85" s="4110" t="n"/>
      <c r="I85" s="4110" t="n"/>
      <c r="J85" s="4111" t="n"/>
      <c r="K85" s="2164" t="inlineStr">
        <is>
          <t>名　称</t>
        </is>
      </c>
      <c r="L85" s="4110" t="n"/>
      <c r="M85" s="4111" t="n"/>
      <c r="N85" s="988" t="n"/>
      <c r="O85" s="4110" t="n"/>
      <c r="P85" s="4110" t="n"/>
      <c r="Q85" s="4110" t="n"/>
      <c r="R85" s="4110" t="n"/>
      <c r="S85" s="4110" t="n"/>
      <c r="T85" s="4110" t="n"/>
      <c r="U85" s="4111" t="n"/>
      <c r="V85" s="2164" t="inlineStr">
        <is>
          <t>主な診療科名</t>
        </is>
      </c>
      <c r="W85" s="4110" t="n"/>
      <c r="X85" s="4110" t="n"/>
      <c r="Y85" s="4110" t="n"/>
      <c r="Z85" s="4111" t="n"/>
      <c r="AA85" s="847" t="n"/>
      <c r="AB85" s="4110" t="n"/>
      <c r="AC85" s="4110" t="n"/>
      <c r="AD85" s="4110" t="n"/>
      <c r="AE85" s="4110" t="n"/>
      <c r="AF85" s="4110" t="n"/>
      <c r="AG85" s="4110" t="n"/>
      <c r="AH85" s="4113" t="n"/>
    </row>
    <row r="86" ht="20.1" customFormat="1" customHeight="1" s="1667">
      <c r="A86" s="4987" t="inlineStr">
        <is>
          <t>多機能型実施の有無</t>
        </is>
      </c>
      <c r="J86" s="4107" t="n"/>
      <c r="K86" s="1657" t="n"/>
      <c r="L86" s="1658" t="n"/>
      <c r="M86" s="1658" t="n"/>
      <c r="N86" s="1658" t="n"/>
      <c r="O86" s="1658" t="n"/>
      <c r="P86" s="1658" t="n"/>
      <c r="Q86" s="1658" t="n"/>
      <c r="R86" s="1658" t="n"/>
      <c r="S86" s="1658" t="n"/>
      <c r="T86" s="1658" t="inlineStr">
        <is>
          <t>有</t>
        </is>
      </c>
      <c r="U86" s="1658" t="inlineStr">
        <is>
          <t>・</t>
        </is>
      </c>
      <c r="V86" s="1658" t="inlineStr">
        <is>
          <t>無</t>
        </is>
      </c>
      <c r="W86" s="1658" t="n"/>
      <c r="X86" s="1658" t="n"/>
      <c r="Y86" s="1658" t="n"/>
      <c r="Z86" s="1658" t="n"/>
      <c r="AA86" s="1658" t="n"/>
      <c r="AB86" s="1658" t="n"/>
      <c r="AC86" s="1658" t="n"/>
      <c r="AD86" s="1658" t="n"/>
      <c r="AE86" s="1658" t="n"/>
      <c r="AF86" s="1658" t="n"/>
      <c r="AG86" s="1658" t="n"/>
      <c r="AH86" s="1659" t="n"/>
    </row>
    <row r="87" ht="20.1" customFormat="1" customHeight="1" s="1667" thickBot="1">
      <c r="A87" s="4849" t="inlineStr">
        <is>
          <t>添　　付　　書　　類</t>
        </is>
      </c>
      <c r="B87" s="4153" t="n"/>
      <c r="C87" s="4153" t="n"/>
      <c r="D87" s="4153" t="n"/>
      <c r="E87" s="4153" t="n"/>
      <c r="F87" s="4153" t="n"/>
      <c r="G87" s="4153" t="n"/>
      <c r="H87" s="4153" t="n"/>
      <c r="I87" s="4153" t="n"/>
      <c r="J87" s="4154" t="n"/>
      <c r="K87" s="4235" t="inlineStr">
        <is>
          <t xml:space="preserve">　別紙「添付書類一覧表」のとおり</t>
        </is>
      </c>
      <c r="L87" s="4153" t="n"/>
      <c r="M87" s="4153" t="n"/>
      <c r="N87" s="4153" t="n"/>
      <c r="O87" s="4153" t="n"/>
      <c r="P87" s="4153" t="n"/>
      <c r="Q87" s="4153" t="n"/>
      <c r="R87" s="4153" t="n"/>
      <c r="S87" s="4153" t="n"/>
      <c r="T87" s="4153" t="n"/>
      <c r="U87" s="4153" t="n"/>
      <c r="V87" s="4153" t="n"/>
      <c r="W87" s="4153" t="n"/>
      <c r="X87" s="4153" t="n"/>
      <c r="Y87" s="4153" t="n"/>
      <c r="Z87" s="4153" t="n"/>
      <c r="AA87" s="4153" t="n"/>
      <c r="AB87" s="4153" t="n"/>
      <c r="AC87" s="4153" t="n"/>
      <c r="AD87" s="4153" t="n"/>
      <c r="AE87" s="4153" t="n"/>
      <c r="AF87" s="4153" t="n"/>
      <c r="AG87" s="4153" t="n"/>
      <c r="AH87" s="4155" t="n"/>
    </row>
  </sheetData>
  <mergeCells count="336">
    <mergeCell ref="AC48:AD48"/>
    <mergeCell ref="K84:AH84"/>
    <mergeCell ref="X74:Z74"/>
    <mergeCell ref="K56:M56"/>
    <mergeCell ref="R69:S69"/>
    <mergeCell ref="P75:R75"/>
    <mergeCell ref="V18:AH18"/>
    <mergeCell ref="N33:R33"/>
    <mergeCell ref="O26:P26"/>
    <mergeCell ref="Q63:R63"/>
    <mergeCell ref="K26:N26"/>
    <mergeCell ref="C47:E52"/>
    <mergeCell ref="T67:U67"/>
    <mergeCell ref="T54:V54"/>
    <mergeCell ref="F13:I13"/>
    <mergeCell ref="L66:L67"/>
    <mergeCell ref="N66:N67"/>
    <mergeCell ref="V45:AH45"/>
    <mergeCell ref="N85:U85"/>
    <mergeCell ref="Z56:AB56"/>
    <mergeCell ref="F35:H35"/>
    <mergeCell ref="J74:J75"/>
    <mergeCell ref="V51:AA51"/>
    <mergeCell ref="A27:A52"/>
    <mergeCell ref="V65:AB65"/>
    <mergeCell ref="C55:J55"/>
    <mergeCell ref="D73:I73"/>
    <mergeCell ref="Z68:AA68"/>
    <mergeCell ref="T40:X40"/>
    <mergeCell ref="K66:K67"/>
    <mergeCell ref="M66:M67"/>
    <mergeCell ref="A1:AH1"/>
    <mergeCell ref="X11:Z11"/>
    <mergeCell ref="Z69:AA69"/>
    <mergeCell ref="J61:J64"/>
    <mergeCell ref="V35:AA35"/>
    <mergeCell ref="AB75:AD75"/>
    <mergeCell ref="L78:N78"/>
    <mergeCell ref="Z25:AH25"/>
    <mergeCell ref="AC3:AC4"/>
    <mergeCell ref="I48:R48"/>
    <mergeCell ref="AE3:AE4"/>
    <mergeCell ref="K59:K60"/>
    <mergeCell ref="F38:H38"/>
    <mergeCell ref="T58:U58"/>
    <mergeCell ref="F5:AH5"/>
    <mergeCell ref="AD65:AH67"/>
    <mergeCell ref="N9:N10"/>
    <mergeCell ref="W53:AB53"/>
    <mergeCell ref="AB3:AB4"/>
    <mergeCell ref="T60:U60"/>
    <mergeCell ref="D3:E3"/>
    <mergeCell ref="AD3:AD4"/>
    <mergeCell ref="Q61:R61"/>
    <mergeCell ref="AC61:AC64"/>
    <mergeCell ref="Q54:S54"/>
    <mergeCell ref="S65:S67"/>
    <mergeCell ref="V60:AB60"/>
    <mergeCell ref="A85:J85"/>
    <mergeCell ref="N68:P68"/>
    <mergeCell ref="K63:M63"/>
    <mergeCell ref="J41:M43"/>
    <mergeCell ref="X77:Y77"/>
    <mergeCell ref="Y63:Z63"/>
    <mergeCell ref="P14:Q16"/>
    <mergeCell ref="X83:Z83"/>
    <mergeCell ref="K72:AH72"/>
    <mergeCell ref="O76:O78"/>
    <mergeCell ref="B27:B39"/>
    <mergeCell ref="T65:U65"/>
    <mergeCell ref="V49:AA49"/>
    <mergeCell ref="C27:E27"/>
    <mergeCell ref="AF11:AH11"/>
    <mergeCell ref="V36:AA36"/>
    <mergeCell ref="P76:S78"/>
    <mergeCell ref="C53:J54"/>
    <mergeCell ref="W17:AH17"/>
    <mergeCell ref="Q11:S11"/>
    <mergeCell ref="V50:AA50"/>
    <mergeCell ref="K57:P57"/>
    <mergeCell ref="W19:AH19"/>
    <mergeCell ref="X26:Y26"/>
    <mergeCell ref="N54:P54"/>
    <mergeCell ref="C17:M19"/>
    <mergeCell ref="T14:V16"/>
    <mergeCell ref="N56:P56"/>
    <mergeCell ref="K55:M55"/>
    <mergeCell ref="C14:E16"/>
    <mergeCell ref="L74:N74"/>
    <mergeCell ref="C40:E40"/>
    <mergeCell ref="Q62:R62"/>
    <mergeCell ref="L76:N76"/>
    <mergeCell ref="K71:M71"/>
    <mergeCell ref="Q64:R64"/>
    <mergeCell ref="Z23:AH23"/>
    <mergeCell ref="N69:P69"/>
    <mergeCell ref="N61:O61"/>
    <mergeCell ref="AC35:AD35"/>
    <mergeCell ref="U63:W63"/>
    <mergeCell ref="Z24:AH24"/>
    <mergeCell ref="K68:M68"/>
    <mergeCell ref="W44:AH44"/>
    <mergeCell ref="X14:AH16"/>
    <mergeCell ref="P25:X25"/>
    <mergeCell ref="A12:S12"/>
    <mergeCell ref="M59:M60"/>
    <mergeCell ref="V66:AB66"/>
    <mergeCell ref="S17:U19"/>
    <mergeCell ref="P41:Q43"/>
    <mergeCell ref="D72:I72"/>
    <mergeCell ref="J58:J60"/>
    <mergeCell ref="N82:AH82"/>
    <mergeCell ref="K53:P53"/>
    <mergeCell ref="K62:M62"/>
    <mergeCell ref="T66:U66"/>
    <mergeCell ref="V68:X68"/>
    <mergeCell ref="F11:H11"/>
    <mergeCell ref="J27:M27"/>
    <mergeCell ref="P21:AH21"/>
    <mergeCell ref="AC58:AC60"/>
    <mergeCell ref="V48:AA48"/>
    <mergeCell ref="AC80:AG80"/>
    <mergeCell ref="W33:AH33"/>
    <mergeCell ref="T11:W11"/>
    <mergeCell ref="V69:X69"/>
    <mergeCell ref="N83:U83"/>
    <mergeCell ref="AF48:AG48"/>
    <mergeCell ref="P13:S13"/>
    <mergeCell ref="C41:E43"/>
    <mergeCell ref="I38:R38"/>
    <mergeCell ref="C11:E11"/>
    <mergeCell ref="W46:AH46"/>
    <mergeCell ref="C20:J26"/>
    <mergeCell ref="U3:X4"/>
    <mergeCell ref="J14:M16"/>
    <mergeCell ref="V67:AB67"/>
    <mergeCell ref="J40:M40"/>
    <mergeCell ref="S8:AH8"/>
    <mergeCell ref="L59:L60"/>
    <mergeCell ref="N59:N60"/>
    <mergeCell ref="C28:E30"/>
    <mergeCell ref="T13:X13"/>
    <mergeCell ref="F8:I8"/>
    <mergeCell ref="K24:N25"/>
    <mergeCell ref="AE26:AF26"/>
    <mergeCell ref="AG26:AH26"/>
    <mergeCell ref="W54:Y54"/>
    <mergeCell ref="I35:R35"/>
    <mergeCell ref="P23:X23"/>
    <mergeCell ref="W56:Y56"/>
    <mergeCell ref="T75:V75"/>
    <mergeCell ref="X75:Z75"/>
    <mergeCell ref="S47:U52"/>
    <mergeCell ref="L80:N80"/>
    <mergeCell ref="AA3:AA4"/>
    <mergeCell ref="AF51:AG51"/>
    <mergeCell ref="K83:M83"/>
    <mergeCell ref="N31:R31"/>
    <mergeCell ref="Y61:Z61"/>
    <mergeCell ref="Y12:Z12"/>
    <mergeCell ref="AA12:AB12"/>
    <mergeCell ref="AC57:AH57"/>
    <mergeCell ref="D65:I67"/>
    <mergeCell ref="X41:AH43"/>
    <mergeCell ref="AF54:AH54"/>
    <mergeCell ref="F27:I27"/>
    <mergeCell ref="T55:V55"/>
    <mergeCell ref="AC55:AE55"/>
    <mergeCell ref="Z3:Z4"/>
    <mergeCell ref="AF83:AH83"/>
    <mergeCell ref="AD58:AH60"/>
    <mergeCell ref="U62:W62"/>
    <mergeCell ref="U64:W64"/>
    <mergeCell ref="N44:R44"/>
    <mergeCell ref="P24:X24"/>
    <mergeCell ref="S58:S60"/>
    <mergeCell ref="J28:M30"/>
    <mergeCell ref="K76:K78"/>
    <mergeCell ref="Z55:AB55"/>
    <mergeCell ref="C68:C71"/>
    <mergeCell ref="M11:O11"/>
    <mergeCell ref="T74:V74"/>
    <mergeCell ref="Y62:Z62"/>
    <mergeCell ref="I51:R51"/>
    <mergeCell ref="O80:Q80"/>
    <mergeCell ref="Y64:Z64"/>
    <mergeCell ref="T41:V43"/>
    <mergeCell ref="AA76:AG78"/>
    <mergeCell ref="N40:O43"/>
    <mergeCell ref="P20:AH20"/>
    <mergeCell ref="V83:W83"/>
    <mergeCell ref="N27:O30"/>
    <mergeCell ref="C13:E13"/>
    <mergeCell ref="B40:B52"/>
    <mergeCell ref="F6:AH7"/>
    <mergeCell ref="O66:O67"/>
    <mergeCell ref="Q66:Q67"/>
    <mergeCell ref="Y3:Y4"/>
    <mergeCell ref="A86:J86"/>
    <mergeCell ref="D68:I71"/>
    <mergeCell ref="G3:I3"/>
    <mergeCell ref="N13:O16"/>
    <mergeCell ref="U77:V77"/>
    <mergeCell ref="AD61:AH64"/>
    <mergeCell ref="K61:M61"/>
    <mergeCell ref="Z71:AA71"/>
    <mergeCell ref="C56:J56"/>
    <mergeCell ref="U12:V12"/>
    <mergeCell ref="V37:AA37"/>
    <mergeCell ref="W12:X12"/>
    <mergeCell ref="Q57:V57"/>
    <mergeCell ref="AB74:AD74"/>
    <mergeCell ref="V59:AB59"/>
    <mergeCell ref="P27:S27"/>
    <mergeCell ref="V38:AA38"/>
    <mergeCell ref="AF3:AF4"/>
    <mergeCell ref="L75:N75"/>
    <mergeCell ref="AH3:AH4"/>
    <mergeCell ref="A5:B11"/>
    <mergeCell ref="P28:Q30"/>
    <mergeCell ref="F9:H10"/>
    <mergeCell ref="U26:V26"/>
    <mergeCell ref="Q55:S55"/>
    <mergeCell ref="J8:N8"/>
    <mergeCell ref="E84:J84"/>
    <mergeCell ref="C8:E10"/>
    <mergeCell ref="T59:U59"/>
    <mergeCell ref="N46:R46"/>
    <mergeCell ref="N62:O62"/>
    <mergeCell ref="F48:H48"/>
    <mergeCell ref="R26:S26"/>
    <mergeCell ref="J13:M13"/>
    <mergeCell ref="N64:O64"/>
    <mergeCell ref="P66:P67"/>
    <mergeCell ref="K73:AH73"/>
    <mergeCell ref="R66:R67"/>
    <mergeCell ref="T28:V30"/>
    <mergeCell ref="P40:S40"/>
    <mergeCell ref="A87:J87"/>
    <mergeCell ref="K69:M69"/>
    <mergeCell ref="N70:P70"/>
    <mergeCell ref="AF56:AH56"/>
    <mergeCell ref="AF35:AG35"/>
    <mergeCell ref="AF74:AH75"/>
    <mergeCell ref="I11:K11"/>
    <mergeCell ref="K54:M54"/>
    <mergeCell ref="C57:J57"/>
    <mergeCell ref="K64:M64"/>
    <mergeCell ref="U61:W61"/>
    <mergeCell ref="F41:I43"/>
    <mergeCell ref="V32:AH32"/>
    <mergeCell ref="P59:P60"/>
    <mergeCell ref="A58:B84"/>
    <mergeCell ref="R59:R60"/>
    <mergeCell ref="J68:J71"/>
    <mergeCell ref="AB11:AD11"/>
    <mergeCell ref="R79:AA81"/>
    <mergeCell ref="K82:M82"/>
    <mergeCell ref="C58:C60"/>
    <mergeCell ref="X28:AH30"/>
    <mergeCell ref="AC26:AD26"/>
    <mergeCell ref="R70:S70"/>
    <mergeCell ref="AE74:AE75"/>
    <mergeCell ref="AG3:AG4"/>
    <mergeCell ref="Q56:S56"/>
    <mergeCell ref="N55:P55"/>
    <mergeCell ref="AF38:AG38"/>
    <mergeCell ref="A13:B26"/>
    <mergeCell ref="F51:H51"/>
    <mergeCell ref="K20:N21"/>
    <mergeCell ref="N71:P71"/>
    <mergeCell ref="N63:O63"/>
    <mergeCell ref="E79:J81"/>
    <mergeCell ref="Z22:AH22"/>
    <mergeCell ref="P9:AH10"/>
    <mergeCell ref="W31:AH31"/>
    <mergeCell ref="AC12:AD12"/>
    <mergeCell ref="AE12:AF12"/>
    <mergeCell ref="C6:E7"/>
    <mergeCell ref="K70:M70"/>
    <mergeCell ref="E82:J83"/>
    <mergeCell ref="C31:M33"/>
    <mergeCell ref="N17:R17"/>
    <mergeCell ref="D58:I60"/>
    <mergeCell ref="Q53:V53"/>
    <mergeCell ref="AB83:AD83"/>
    <mergeCell ref="N19:R19"/>
    <mergeCell ref="K3:S3"/>
    <mergeCell ref="K87:AH87"/>
    <mergeCell ref="C74:C75"/>
    <mergeCell ref="R71:S71"/>
    <mergeCell ref="C79:D84"/>
    <mergeCell ref="K85:M85"/>
    <mergeCell ref="P8:R8"/>
    <mergeCell ref="F28:I30"/>
    <mergeCell ref="Z26:AA26"/>
    <mergeCell ref="AF55:AH55"/>
    <mergeCell ref="F14:I16"/>
    <mergeCell ref="K22:N23"/>
    <mergeCell ref="V70:X70"/>
    <mergeCell ref="T56:V56"/>
    <mergeCell ref="C34:E39"/>
    <mergeCell ref="V58:AB58"/>
    <mergeCell ref="C61:C64"/>
    <mergeCell ref="AC38:AD38"/>
    <mergeCell ref="V71:X71"/>
    <mergeCell ref="P74:R74"/>
    <mergeCell ref="R68:S68"/>
    <mergeCell ref="C76:J78"/>
    <mergeCell ref="AC51:AD51"/>
    <mergeCell ref="S31:U33"/>
    <mergeCell ref="T27:X27"/>
    <mergeCell ref="AA85:AH85"/>
    <mergeCell ref="D74:I75"/>
    <mergeCell ref="AC53:AH53"/>
    <mergeCell ref="V85:Z85"/>
    <mergeCell ref="Z70:AA70"/>
    <mergeCell ref="AC65:AC67"/>
    <mergeCell ref="AC54:AE54"/>
    <mergeCell ref="AC56:AE56"/>
    <mergeCell ref="O59:O60"/>
    <mergeCell ref="Q59:Q60"/>
    <mergeCell ref="C44:M46"/>
    <mergeCell ref="I9:M10"/>
    <mergeCell ref="F40:I40"/>
    <mergeCell ref="J65:J67"/>
    <mergeCell ref="W57:AB57"/>
    <mergeCell ref="S44:U46"/>
    <mergeCell ref="D61:I64"/>
    <mergeCell ref="C5:E5"/>
    <mergeCell ref="Z54:AB54"/>
    <mergeCell ref="C65:C67"/>
    <mergeCell ref="P22:X22"/>
    <mergeCell ref="A53:B57"/>
    <mergeCell ref="W55:Y55"/>
    <mergeCell ref="S34:U39"/>
  </mergeCells>
  <dataValidations count="19">
    <dataValidation sqref="K72:AH72" showDropDown="0" showInputMessage="1" showErrorMessage="1" allowBlank="1" type="list" errorStyle="warning">
      <formula1>"　,厚生労働大臣が定める額"</formula1>
    </dataValidation>
    <dataValidation sqref="V32:AH32 V45:AH45" showDropDown="0" showInputMessage="1" showErrorMessage="1" allowBlank="1" prompt="児童発達支援管理責任者が、訪問支援を行うことは妨げないが、同一人物が全ての職種を兼務することは不可。" type="list" errorStyle="warning">
      <formula1>"　,管理者,サービス管理責任者"</formula1>
    </dataValidation>
    <dataValidation sqref="AC53:AH53" showDropDown="0" showInputMessage="1" showErrorMessage="1" allowBlank="1" type="list" errorStyle="information">
      <formula1>"　,職業指導員,あん摩マッサージ指圧師,介護職員,保育士,事務職員,調理員,栄養士,運転手"</formula1>
    </dataValidation>
    <dataValidation sqref="I35:R35 I48:R48" showDropDown="0" showInputMessage="1" showErrorMessage="1" allowBlank="1" prompt="プルダウンメニューから選択してください。" type="list">
      <formula1>"　,相談支援業務5年以上,直接支援業務10年以上,直接支援業務5年以上＋有資格,国家資格業務5年以上＋相談支援業務3年以上,国家資格業務5年以上＋直接支援業務3年以上"</formula1>
    </dataValidation>
    <dataValidation sqref="O26:P26" showDropDown="0" showInputMessage="1" showErrorMessage="1" allowBlank="1" type="list" errorStyle="warning">
      <formula1>"　,７,８,９,１０,１１"</formula1>
    </dataValidation>
    <dataValidation sqref="R26:S26 U26:V26 X26:Y26 AE26:AF26" showDropDown="0" showInputMessage="1" showErrorMessage="1" allowBlank="1" errorStyle="warning"/>
    <dataValidation sqref="AB26" showDropDown="0" showInputMessage="1" showErrorMessage="1" allowBlank="1" error="労働基準法では、１日当たりの労働時間は、原則８時間以内です。_x000a_法人の就業規則、労働基準局への届出等確認してください。" type="list" errorStyle="warning" imeMode="halfAlpha">
      <formula1>"　,１,２,３,４,５,６,７,８"</formula1>
    </dataValidation>
    <dataValidation sqref="I38:R38 I51:R51" showDropDown="0" showInputMessage="1" showErrorMessage="1" allowBlank="1" prompt="プルダウンメニューから選択してください。" type="list">
      <formula1>"　,社会福祉主事任用資格,訪問介護員1級,訪問介護員2級,居宅介護従業者1級,居宅介護従業者2級,児童指導員任用資格,保育士,医師,歯科医師,薬剤師,保健師,助産師,看護師,准看護師,理学療法士,作業療法士,社会福祉士,介護福祉士,視能訓練士,義肢装具士,歯科衛生士,言語聴覚士,あん摩マッサージ指圧師,はり師,きゅう師,柔道整復師,栄養士,管理栄養士,精神保健福祉士"</formula1>
    </dataValidation>
    <dataValidation sqref="V18:AH18" showDropDown="0" showInputMessage="1" showErrorMessage="1" allowBlank="1" prompt="管理者は、サービス提供職員との兼務はできません。" type="list" errorStyle="warning">
      <formula1>"　,サービス管理責任者,児童発達支援管理責任者"</formula1>
    </dataValidation>
    <dataValidation sqref="M11:O11 Q11:S11 X11:Z11 AB11:AD11 AF11:AH11" showDropDown="0" showInputMessage="1" showErrorMessage="1" allowBlank="1" error="全角数字で入力してください" imeMode="fullAlpha"/>
    <dataValidation sqref="F36:H36 F39:H39 F49:H49 F52:H52 O36 O39 O49 O52" showDropDown="0" showInputMessage="1" showErrorMessage="1" allowBlank="1" error="この行には入力できません。_x000a_下の行に入力してください。" prompt="この行には入力できません。_x000a_上の行に入力してください。" imeMode="on"/>
    <dataValidation sqref="E37:H37 E50:H50 F34:G34 F47:G47 I34:O34 I47:O47 R37 R50 V34:AH34 V47:AH47" showDropDown="0" showInputMessage="1" showErrorMessage="1" allowBlank="1" error="この行には入力できません。_x000a_下の行に入力してください。" prompt="この行には入力できません。_x000a_下の行に入力してください。" imeMode="on"/>
    <dataValidation sqref="F5:AH5 F13:M13 F27:M27 F40:M40" showDropDown="0" showInputMessage="1" showErrorMessage="1" allowBlank="1" imeMode="halfKatakana"/>
    <dataValidation sqref="K55:AH57" showDropDown="0" showInputMessage="1" showErrorMessage="1" allowBlank="1" imeMode="halfAlpha"/>
    <dataValidation sqref="K73:AH73" showDropDown="0" showInputMessage="1" showErrorMessage="1" allowBlank="1" type="list">
      <formula1>"　,運営規程に定めるとおり"</formula1>
    </dataValidation>
    <dataValidation sqref="K59:R60 K66:R67" showDropDown="0" showInputMessage="1" showErrorMessage="1" allowBlank="1" type="list">
      <formula1>"　,○"</formula1>
    </dataValidation>
    <dataValidation sqref="I11:K11 J8:N8 T13:X13 T27:X27 T40:X40 U12:V12 X83 Y3:AH4 Y12:Z12 AB83:AD83 AC12:AD12 AF83" showDropDown="0" showInputMessage="1" showErrorMessage="1" allowBlank="1" imeMode="fullAlpha"/>
    <dataValidation sqref="N61:O61 N62:N64 N68:N71 U61:V64 V68:V71" showDropDown="0" showInputMessage="1" showErrorMessage="1" allowBlank="1" type="list">
      <formula1>"　,１,２,３,４,５,６,７,８,９,１０,１１,１２,１３,１４,１５,１６,１７,１８,１９,２０,２１,２２,２３,２４"</formula1>
    </dataValidation>
    <dataValidation sqref="K61:K64 K68:K71 L61:M61 L64:M64 L68:M68 L71:M71" showDropDown="0" showInputMessage="1" showErrorMessage="1" allowBlank="1" type="list">
      <formula1>" 　　, 平日, 土曜, 日・祝日, 長期休暇"</formula1>
    </dataValidation>
  </dataValidations>
  <pageMargins left="0.7" right="0.7" top="0.75" bottom="0.75" header="0.3" footer="0.3"/>
  <pageSetup orientation="portrait" paperSize="9" scale="97"/>
  <rowBreaks count="1" manualBreakCount="1">
    <brk id="57" min="0" max="16383" man="1"/>
  </rowBreaks>
</worksheet>
</file>

<file path=xl/worksheets/sheet47.xml><?xml version="1.0" encoding="utf-8"?>
<worksheet xmlns="http://schemas.openxmlformats.org/spreadsheetml/2006/main">
  <sheetPr>
    <outlinePr summaryBelow="1" summaryRight="1"/>
    <pageSetUpPr/>
  </sheetPr>
  <dimension ref="A1:AN74"/>
  <sheetViews>
    <sheetView showGridLines="0" view="pageBreakPreview" zoomScaleNormal="100" zoomScaleSheetLayoutView="100" workbookViewId="0">
      <selection activeCell="A2" sqref="A2"/>
    </sheetView>
  </sheetViews>
  <sheetFormatPr baseColWidth="8" defaultColWidth="9" defaultRowHeight="12"/>
  <cols>
    <col width="2.25" customWidth="1" style="1667" min="1" max="2"/>
    <col width="2.625" customWidth="1" style="1667" min="3" max="34"/>
    <col width="1.625" customWidth="1" style="1667" min="35" max="35"/>
    <col width="9" customWidth="1" style="1667" min="36" max="39"/>
    <col hidden="1" width="9" customWidth="1" style="1667" min="40" max="40"/>
    <col width="9" customWidth="1" style="1667" min="41" max="16384"/>
  </cols>
  <sheetData>
    <row r="1" ht="17.1" customHeight="1" s="4080" thickBot="1">
      <c r="A1" s="3854" t="inlineStr">
        <is>
          <t>付表26　就労選択支援事業所の指定に係る記載事項</t>
        </is>
      </c>
      <c r="Z1" s="3855" t="n"/>
      <c r="AA1" s="4087" t="n"/>
      <c r="AB1" s="4087" t="n"/>
      <c r="AC1" s="4087" t="n"/>
      <c r="AD1" s="4087" t="n"/>
      <c r="AE1" s="4087" t="n"/>
      <c r="AF1" s="4087" t="n"/>
      <c r="AG1" s="4087" t="n"/>
      <c r="AH1" s="4087" t="n"/>
    </row>
    <row r="2" ht="15" customHeight="1" s="4080">
      <c r="A2" s="45" t="n"/>
      <c r="B2" s="1889" t="n"/>
      <c r="G2" s="2069" t="n"/>
      <c r="H2" s="1889" t="n"/>
      <c r="N2" s="1889" t="n"/>
      <c r="P2" s="2069" t="n"/>
      <c r="Q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2506" t="inlineStr">
        <is>
          <t>事業所</t>
        </is>
      </c>
      <c r="B4" s="4356" t="n"/>
      <c r="C4" s="4180" t="inlineStr">
        <is>
          <t>ﾌﾘｶﾞﾅ</t>
        </is>
      </c>
      <c r="D4" s="4093" t="n"/>
      <c r="E4" s="4094" t="n"/>
      <c r="F4" s="4095" t="n"/>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B5" s="4107" t="n"/>
      <c r="C5" s="4181" t="inlineStr">
        <is>
          <t>名　称</t>
        </is>
      </c>
      <c r="D5" s="4098" t="n"/>
      <c r="E5" s="4099" t="n"/>
      <c r="F5" s="4182" t="n"/>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B6" s="410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B7" s="4107" t="n"/>
      <c r="C7" s="4181" t="inlineStr">
        <is>
          <t>所在地</t>
        </is>
      </c>
      <c r="D7" s="4098" t="n"/>
      <c r="E7" s="4099" t="n"/>
      <c r="F7" s="1244" t="inlineStr">
        <is>
          <t>郵便番号（</t>
        </is>
      </c>
      <c r="G7" s="4098" t="n"/>
      <c r="H7" s="4098" t="n"/>
      <c r="I7" s="4098" t="n"/>
      <c r="J7" s="1287" t="n"/>
      <c r="K7" s="4098" t="n"/>
      <c r="L7" s="4098" t="n"/>
      <c r="M7" s="4098" t="n"/>
      <c r="N7" s="4098" t="n"/>
      <c r="O7" s="1329" t="inlineStr">
        <is>
          <t>）</t>
        </is>
      </c>
      <c r="P7" s="1397" t="inlineStr">
        <is>
          <t>メールアドレス</t>
        </is>
      </c>
      <c r="Q7" s="4110" t="n"/>
      <c r="R7" s="4110" t="n"/>
      <c r="S7" s="3408" t="n"/>
      <c r="T7" s="4110" t="n"/>
      <c r="U7" s="4110" t="n"/>
      <c r="V7" s="4110" t="n"/>
      <c r="W7" s="4110" t="n"/>
      <c r="X7" s="4110" t="n"/>
      <c r="Y7" s="4110" t="n"/>
      <c r="Z7" s="4110" t="n"/>
      <c r="AA7" s="4110" t="n"/>
      <c r="AB7" s="4110" t="n"/>
      <c r="AC7" s="4110" t="n"/>
      <c r="AD7" s="4110" t="n"/>
      <c r="AE7" s="4110" t="n"/>
      <c r="AF7" s="4110" t="n"/>
      <c r="AG7" s="4110" t="n"/>
      <c r="AH7" s="4113" t="n"/>
    </row>
    <row r="8" ht="14.1" customHeight="1" s="4080">
      <c r="A8" s="4097" t="n"/>
      <c r="B8" s="4107" t="n"/>
      <c r="C8" s="4106" t="n"/>
      <c r="E8" s="4107" t="n"/>
      <c r="F8" s="1255" t="inlineStr">
        <is>
          <t>大阪市</t>
        </is>
      </c>
      <c r="I8" s="1258" t="n"/>
      <c r="N8" s="1327" t="inlineStr">
        <is>
          <t>区</t>
        </is>
      </c>
      <c r="O8" s="1355" t="n"/>
      <c r="P8" s="4939" t="n"/>
      <c r="Q8" s="4098" t="n"/>
      <c r="R8" s="4098" t="n"/>
      <c r="S8" s="4098" t="n"/>
      <c r="T8" s="4098" t="n"/>
      <c r="U8" s="4098" t="n"/>
      <c r="V8" s="4098" t="n"/>
      <c r="W8" s="4098" t="n"/>
      <c r="X8" s="4098" t="n"/>
      <c r="Y8" s="4098" t="n"/>
      <c r="Z8" s="4098" t="n"/>
      <c r="AA8" s="4098" t="n"/>
      <c r="AB8" s="4098" t="n"/>
      <c r="AC8" s="4098" t="n"/>
      <c r="AD8" s="4098" t="n"/>
      <c r="AE8" s="4098" t="n"/>
      <c r="AF8" s="4098" t="n"/>
      <c r="AG8" s="4098" t="n"/>
      <c r="AH8" s="4101" t="n"/>
    </row>
    <row r="9" ht="3.95" customHeight="1" s="4080">
      <c r="A9" s="4097" t="n"/>
      <c r="B9" s="4107" t="n"/>
      <c r="C9" s="4102" t="n"/>
      <c r="D9" s="4103" t="n"/>
      <c r="E9" s="4104" t="n"/>
      <c r="F9" s="4102" t="n"/>
      <c r="G9" s="4103" t="n"/>
      <c r="H9" s="4103" t="n"/>
      <c r="I9" s="4103" t="n"/>
      <c r="J9" s="4103" t="n"/>
      <c r="K9" s="4103" t="n"/>
      <c r="L9" s="4103" t="n"/>
      <c r="M9" s="4103" t="n"/>
      <c r="N9" s="4103" t="n"/>
      <c r="O9" s="1296"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B10" s="4107" t="n"/>
      <c r="C10" s="4181" t="inlineStr">
        <is>
          <t>連絡先</t>
        </is>
      </c>
      <c r="D10" s="4110" t="n"/>
      <c r="E10" s="4111" t="n"/>
      <c r="F10" s="4274" t="inlineStr">
        <is>
          <t>電話番号</t>
        </is>
      </c>
      <c r="G10" s="4110" t="n"/>
      <c r="H10" s="4111" t="n"/>
      <c r="I10" s="882" t="n"/>
      <c r="J10" s="4110" t="n"/>
      <c r="K10" s="4110" t="n"/>
      <c r="L10" s="53" t="inlineStr">
        <is>
          <t>－</t>
        </is>
      </c>
      <c r="M10" s="920" t="n"/>
      <c r="N10" s="4110" t="n"/>
      <c r="O10" s="4110" t="n"/>
      <c r="P10" s="53" t="inlineStr">
        <is>
          <t>－</t>
        </is>
      </c>
      <c r="Q10" s="878" t="n"/>
      <c r="R10" s="4110" t="n"/>
      <c r="S10" s="4111" t="n"/>
      <c r="T10" s="4184" t="inlineStr">
        <is>
          <t>ＦＡＸ番号</t>
        </is>
      </c>
      <c r="U10" s="4110" t="n"/>
      <c r="V10" s="4110" t="n"/>
      <c r="W10" s="4111" t="n"/>
      <c r="X10" s="882" t="n"/>
      <c r="Y10" s="4110" t="n"/>
      <c r="Z10" s="4110" t="n"/>
      <c r="AA10" s="53" t="inlineStr">
        <is>
          <t>－</t>
        </is>
      </c>
      <c r="AB10" s="920" t="n"/>
      <c r="AC10" s="4110" t="n"/>
      <c r="AD10" s="4110" t="n"/>
      <c r="AE10" s="53" t="inlineStr">
        <is>
          <t>－</t>
        </is>
      </c>
      <c r="AF10" s="955" t="n"/>
      <c r="AG10" s="4110" t="n"/>
      <c r="AH10" s="4113" t="n"/>
    </row>
    <row r="11" ht="17.1" customHeight="1" s="4080">
      <c r="A11" s="4187" t="inlineStr">
        <is>
          <t>当該事業の実施について定めてある定款・寄附行為等又は条例等</t>
        </is>
      </c>
      <c r="B11" s="4110" t="n"/>
      <c r="C11" s="4110" t="n"/>
      <c r="D11" s="4110" t="n"/>
      <c r="E11" s="4110" t="n"/>
      <c r="F11" s="4110" t="n"/>
      <c r="G11" s="4110" t="n"/>
      <c r="H11" s="4110" t="n"/>
      <c r="I11" s="4110" t="n"/>
      <c r="J11" s="4110" t="n"/>
      <c r="K11" s="4110" t="n"/>
      <c r="L11" s="4110" t="n"/>
      <c r="M11" s="4110" t="n"/>
      <c r="N11" s="4110" t="n"/>
      <c r="O11" s="4110" t="n"/>
      <c r="P11" s="4110" t="n"/>
      <c r="Q11" s="4110" t="n"/>
      <c r="R11" s="4110" t="n"/>
      <c r="S11" s="4111" t="n"/>
      <c r="T11" s="54" t="inlineStr">
        <is>
          <t>第</t>
        </is>
      </c>
      <c r="U11" s="954" t="n"/>
      <c r="V11" s="4110" t="n"/>
      <c r="W11" s="1264" t="inlineStr">
        <is>
          <t>条第</t>
        </is>
      </c>
      <c r="X11" s="4110" t="n"/>
      <c r="Y11" s="954" t="n"/>
      <c r="Z11" s="4110" t="n"/>
      <c r="AA11" s="1264" t="inlineStr">
        <is>
          <t>項第</t>
        </is>
      </c>
      <c r="AB11" s="4110" t="n"/>
      <c r="AC11" s="954" t="n"/>
      <c r="AD11" s="4110" t="n"/>
      <c r="AE11" s="1264" t="inlineStr">
        <is>
          <t>号（</t>
        </is>
      </c>
      <c r="AF11" s="4110" t="n"/>
      <c r="AG11" s="954" t="n"/>
      <c r="AH11" s="2827" t="inlineStr">
        <is>
          <t>）</t>
        </is>
      </c>
    </row>
    <row r="12" ht="12" customHeight="1" s="4080">
      <c r="A12" s="4188" t="inlineStr">
        <is>
          <t>管　　理　　者</t>
        </is>
      </c>
      <c r="B12" s="4099" t="n"/>
      <c r="C12" s="4184" t="inlineStr">
        <is>
          <t>ﾌﾘｶﾞﾅ</t>
        </is>
      </c>
      <c r="D12" s="4110" t="n"/>
      <c r="E12" s="4111" t="n"/>
      <c r="F12" s="1278" t="n"/>
      <c r="G12" s="4110" t="n"/>
      <c r="H12" s="4110" t="n"/>
      <c r="I12" s="4189" t="n"/>
      <c r="J12" s="1279" t="n"/>
      <c r="K12" s="4110" t="n"/>
      <c r="L12" s="4110" t="n"/>
      <c r="M12" s="4189" t="n"/>
      <c r="N12" s="4185" t="inlineStr">
        <is>
          <t>住所</t>
        </is>
      </c>
      <c r="O12" s="4099" t="n"/>
      <c r="P12" s="1244" t="inlineStr">
        <is>
          <t>郵便番号（</t>
        </is>
      </c>
      <c r="Q12" s="4098" t="n"/>
      <c r="R12" s="4098" t="n"/>
      <c r="S12" s="4098" t="n"/>
      <c r="T12" s="1287" t="n"/>
      <c r="U12" s="4098" t="n"/>
      <c r="V12" s="4098" t="n"/>
      <c r="W12" s="4098" t="n"/>
      <c r="X12" s="4098" t="n"/>
      <c r="Y12" s="1329" t="inlineStr">
        <is>
          <t>）</t>
        </is>
      </c>
      <c r="Z12" s="1017" t="n"/>
      <c r="AA12" s="1017" t="n"/>
      <c r="AB12" s="1017" t="n"/>
      <c r="AC12" s="1017" t="n"/>
      <c r="AD12" s="1017" t="n"/>
      <c r="AE12" s="1017" t="n"/>
      <c r="AF12" s="1017" t="n"/>
      <c r="AG12" s="1017" t="n"/>
      <c r="AH12" s="1424" t="n"/>
    </row>
    <row r="13" ht="12" customHeight="1" s="4080">
      <c r="A13" s="4097" t="n"/>
      <c r="B13" s="4107" t="n"/>
      <c r="C13" s="4184" t="inlineStr">
        <is>
          <t>氏名</t>
        </is>
      </c>
      <c r="D13" s="4098" t="n"/>
      <c r="E13" s="4099" t="n"/>
      <c r="F13" s="1278" t="n"/>
      <c r="G13" s="4098" t="n"/>
      <c r="H13" s="4098" t="n"/>
      <c r="I13" s="4190" t="n"/>
      <c r="J13" s="1279" t="n"/>
      <c r="K13" s="4098" t="n"/>
      <c r="L13" s="4098" t="n"/>
      <c r="M13" s="4190" t="n"/>
      <c r="N13" s="4106" t="n"/>
      <c r="O13" s="4107" t="n"/>
      <c r="P13" s="1319" t="n"/>
      <c r="R13" s="2378" t="inlineStr">
        <is>
          <t>都</t>
        </is>
      </c>
      <c r="S13" s="2378" t="inlineStr">
        <is>
          <t>道</t>
        </is>
      </c>
      <c r="T13" s="1319" t="n"/>
      <c r="W13" s="2378" t="inlineStr">
        <is>
          <t>郡</t>
        </is>
      </c>
      <c r="X13" s="1321" t="n"/>
      <c r="AH13" s="4109" t="n"/>
    </row>
    <row r="14" ht="12" customHeight="1" s="4080">
      <c r="A14" s="4097" t="n"/>
      <c r="B14" s="4107" t="n"/>
      <c r="C14" s="4106" t="n"/>
      <c r="E14" s="4107" t="n"/>
      <c r="F14" s="4106" t="n"/>
      <c r="I14" s="4191" t="n"/>
      <c r="J14" s="4192" t="n"/>
      <c r="M14" s="4191" t="n"/>
      <c r="N14" s="4106" t="n"/>
      <c r="O14" s="4107" t="n"/>
      <c r="R14" s="2378" t="inlineStr">
        <is>
          <t>府</t>
        </is>
      </c>
      <c r="S14" s="2378" t="inlineStr">
        <is>
          <t>県</t>
        </is>
      </c>
      <c r="W14" s="2378" t="inlineStr">
        <is>
          <t>市</t>
        </is>
      </c>
      <c r="AH14" s="4109" t="n"/>
    </row>
    <row r="15" ht="3.95" customHeight="1" s="4080">
      <c r="A15" s="4097" t="n"/>
      <c r="B15" s="4107" t="n"/>
      <c r="C15" s="4102" t="n"/>
      <c r="D15" s="4103" t="n"/>
      <c r="E15" s="4104" t="n"/>
      <c r="F15" s="4102" t="n"/>
      <c r="G15" s="4103" t="n"/>
      <c r="H15" s="4103" t="n"/>
      <c r="I15" s="4193" t="n"/>
      <c r="J15" s="4194" t="n"/>
      <c r="K15" s="4103" t="n"/>
      <c r="L15" s="4103" t="n"/>
      <c r="M15" s="4193" t="n"/>
      <c r="N15" s="4102" t="n"/>
      <c r="O15" s="4104" t="n"/>
      <c r="P15" s="4103" t="n"/>
      <c r="Q15" s="4103" t="n"/>
      <c r="R15" s="1810" t="n"/>
      <c r="S15" s="1810" t="n"/>
      <c r="T15" s="4103" t="n"/>
      <c r="U15" s="4103" t="n"/>
      <c r="V15" s="4103" t="n"/>
      <c r="W15" s="1810" t="n"/>
      <c r="AH15" s="4109" t="n"/>
    </row>
    <row r="16" ht="3.95" customHeight="1" s="4080">
      <c r="A16" s="4097" t="n"/>
      <c r="B16" s="4107" t="n"/>
      <c r="C16" s="1393" t="inlineStr">
        <is>
          <t>他の職務との兼務の有無及び職種</t>
        </is>
      </c>
      <c r="D16" s="4098" t="n"/>
      <c r="E16" s="4098" t="n"/>
      <c r="F16" s="4098" t="n"/>
      <c r="G16" s="4098" t="n"/>
      <c r="H16" s="4098" t="n"/>
      <c r="I16" s="4098" t="n"/>
      <c r="J16" s="4098" t="n"/>
      <c r="K16" s="4098" t="n"/>
      <c r="L16" s="4098" t="n"/>
      <c r="M16" s="4098" t="n"/>
      <c r="N16" s="4195" t="n"/>
      <c r="O16" s="4098" t="n"/>
      <c r="P16" s="4098" t="n"/>
      <c r="Q16" s="4098" t="n"/>
      <c r="R16" s="4099" t="n"/>
      <c r="S16" s="2163" t="inlineStr">
        <is>
          <t>職　　種</t>
        </is>
      </c>
      <c r="T16" s="4098" t="n"/>
      <c r="U16" s="4099" t="n"/>
      <c r="V16" s="1322" t="n"/>
      <c r="W16" s="1335" t="inlineStr">
        <is>
          <t xml:space="preserve">　</t>
        </is>
      </c>
      <c r="X16" s="4098" t="n"/>
      <c r="Y16" s="4098" t="n"/>
      <c r="Z16" s="4098" t="n"/>
      <c r="AA16" s="4098" t="n"/>
      <c r="AB16" s="4098" t="n"/>
      <c r="AC16" s="4098" t="n"/>
      <c r="AD16" s="4098" t="n"/>
      <c r="AE16" s="4098" t="n"/>
      <c r="AF16" s="4098" t="n"/>
      <c r="AG16" s="4098" t="n"/>
      <c r="AH16" s="4101" t="n"/>
    </row>
    <row r="17" ht="12" customHeight="1" s="4080">
      <c r="A17" s="4097" t="n"/>
      <c r="B17" s="4107" t="n"/>
      <c r="C17" s="4106" t="n"/>
      <c r="N17" s="1354" t="n"/>
      <c r="O17" s="1325" t="inlineStr">
        <is>
          <t>有</t>
        </is>
      </c>
      <c r="P17" s="1325" t="inlineStr">
        <is>
          <t>・</t>
        </is>
      </c>
      <c r="Q17" s="1325" t="inlineStr">
        <is>
          <t>無</t>
        </is>
      </c>
      <c r="R17" s="1332" t="n"/>
      <c r="S17" s="4106" t="n"/>
      <c r="U17" s="4107" t="n"/>
      <c r="V17" s="4196" t="n"/>
      <c r="AH17" s="4109" t="n"/>
    </row>
    <row r="18" ht="3.95" customHeight="1" s="4080">
      <c r="A18" s="4097" t="n"/>
      <c r="B18" s="4107" t="n"/>
      <c r="C18" s="4102" t="n"/>
      <c r="D18" s="4103" t="n"/>
      <c r="E18" s="4103" t="n"/>
      <c r="F18" s="4103" t="n"/>
      <c r="G18" s="4103" t="n"/>
      <c r="H18" s="4103" t="n"/>
      <c r="I18" s="4103" t="n"/>
      <c r="J18" s="4103" t="n"/>
      <c r="K18" s="4103" t="n"/>
      <c r="L18" s="4103" t="n"/>
      <c r="M18" s="4103" t="n"/>
      <c r="N18" s="4197" t="n"/>
      <c r="O18" s="4103" t="n"/>
      <c r="P18" s="4103" t="n"/>
      <c r="Q18" s="4103" t="n"/>
      <c r="R18" s="4104" t="n"/>
      <c r="S18" s="4102" t="n"/>
      <c r="T18" s="4103" t="n"/>
      <c r="U18" s="4104" t="n"/>
      <c r="V18" s="1326" t="n"/>
      <c r="W18" s="1299" t="n"/>
      <c r="X18" s="4103" t="n"/>
      <c r="Y18" s="4103" t="n"/>
      <c r="Z18" s="4103" t="n"/>
      <c r="AA18" s="4103" t="n"/>
      <c r="AB18" s="4103" t="n"/>
      <c r="AC18" s="4103" t="n"/>
      <c r="AD18" s="4103" t="n"/>
      <c r="AE18" s="4103" t="n"/>
      <c r="AF18" s="4103" t="n"/>
      <c r="AG18" s="4103" t="n"/>
      <c r="AH18" s="4105" t="n"/>
    </row>
    <row r="19" ht="14.1" customHeight="1" s="4080">
      <c r="A19" s="4097" t="n"/>
      <c r="B19" s="4107" t="n"/>
      <c r="C19" s="4940" t="inlineStr">
        <is>
          <t>同一敷地内の他の
事業所又は施設を
兼務する場合、
当該兼務する
事業所等の名称等</t>
        </is>
      </c>
      <c r="D19" s="4098" t="n"/>
      <c r="E19" s="4098" t="n"/>
      <c r="F19" s="4098" t="n"/>
      <c r="G19" s="4098" t="n"/>
      <c r="H19" s="4098" t="n"/>
      <c r="I19" s="4098" t="n"/>
      <c r="J19" s="4099" t="n"/>
      <c r="K19" s="4941" t="inlineStr">
        <is>
          <t>名称</t>
        </is>
      </c>
      <c r="L19" s="4098" t="n"/>
      <c r="M19" s="4098" t="n"/>
      <c r="N19" s="4099" t="n"/>
      <c r="O19" s="660" t="inlineStr">
        <is>
          <t>1)</t>
        </is>
      </c>
      <c r="P19" s="3871" t="n"/>
      <c r="Q19" s="4486" t="n"/>
      <c r="R19" s="4486" t="n"/>
      <c r="S19" s="4486" t="n"/>
      <c r="T19" s="4486" t="n"/>
      <c r="U19" s="4486" t="n"/>
      <c r="V19" s="4486" t="n"/>
      <c r="W19" s="4486" t="n"/>
      <c r="X19" s="4486" t="n"/>
      <c r="Y19" s="4486" t="n"/>
      <c r="Z19" s="4486" t="n"/>
      <c r="AA19" s="4486" t="n"/>
      <c r="AB19" s="4486" t="n"/>
      <c r="AC19" s="4486" t="n"/>
      <c r="AD19" s="4486" t="n"/>
      <c r="AE19" s="4486" t="n"/>
      <c r="AF19" s="4486" t="n"/>
      <c r="AG19" s="4486" t="n"/>
      <c r="AH19" s="4877" t="n"/>
    </row>
    <row r="20" ht="14.1" customHeight="1" s="4080">
      <c r="A20" s="4097" t="n"/>
      <c r="B20" s="4107" t="n"/>
      <c r="C20" s="4106" t="n"/>
      <c r="J20" s="4107" t="n"/>
      <c r="K20" s="4942" t="n"/>
      <c r="L20" s="4317" t="n"/>
      <c r="M20" s="4317" t="n"/>
      <c r="N20" s="4318" t="n"/>
      <c r="O20" s="661" t="inlineStr">
        <is>
          <t>2)</t>
        </is>
      </c>
      <c r="P20" s="3873" t="n"/>
      <c r="Q20" s="4457" t="n"/>
      <c r="R20" s="4457" t="n"/>
      <c r="S20" s="4457" t="n"/>
      <c r="T20" s="4457" t="n"/>
      <c r="U20" s="4457" t="n"/>
      <c r="V20" s="4457" t="n"/>
      <c r="W20" s="4457" t="n"/>
      <c r="X20" s="4457" t="n"/>
      <c r="Y20" s="4457" t="n"/>
      <c r="Z20" s="4457" t="n"/>
      <c r="AA20" s="4457" t="n"/>
      <c r="AB20" s="4457" t="n"/>
      <c r="AC20" s="4457" t="n"/>
      <c r="AD20" s="4457" t="n"/>
      <c r="AE20" s="4457" t="n"/>
      <c r="AF20" s="4457" t="n"/>
      <c r="AG20" s="4457" t="n"/>
      <c r="AH20" s="4943" t="n"/>
    </row>
    <row r="21" ht="14.1" customHeight="1" s="4080">
      <c r="A21" s="4097" t="n"/>
      <c r="B21" s="4107" t="n"/>
      <c r="C21" s="4106" t="n"/>
      <c r="J21" s="4107" t="n"/>
      <c r="K21" s="4944" t="inlineStr">
        <is>
          <t>サービス種類</t>
        </is>
      </c>
      <c r="L21" s="4320" t="n"/>
      <c r="M21" s="4320" t="n"/>
      <c r="N21" s="4321" t="n"/>
      <c r="O21" s="662" t="inlineStr">
        <is>
          <t>1)</t>
        </is>
      </c>
      <c r="P21" s="3880" t="n"/>
      <c r="Q21" s="4457" t="n"/>
      <c r="R21" s="4457" t="n"/>
      <c r="S21" s="4457" t="n"/>
      <c r="T21" s="4457" t="n"/>
      <c r="U21" s="4457" t="n"/>
      <c r="V21" s="4457" t="n"/>
      <c r="W21" s="4457" t="n"/>
      <c r="X21" s="4457" t="n"/>
      <c r="Y21" s="663" t="inlineStr">
        <is>
          <t>3)</t>
        </is>
      </c>
      <c r="Z21" s="3881" t="n"/>
      <c r="AA21" s="4457" t="n"/>
      <c r="AB21" s="4457" t="n"/>
      <c r="AC21" s="4457" t="n"/>
      <c r="AD21" s="4457" t="n"/>
      <c r="AE21" s="4457" t="n"/>
      <c r="AF21" s="4457" t="n"/>
      <c r="AG21" s="4457" t="n"/>
      <c r="AH21" s="4943" t="n"/>
    </row>
    <row r="22" ht="14.1" customHeight="1" s="4080">
      <c r="A22" s="4097" t="n"/>
      <c r="B22" s="4107" t="n"/>
      <c r="C22" s="4106" t="n"/>
      <c r="J22" s="4107" t="n"/>
      <c r="K22" s="4942" t="n"/>
      <c r="L22" s="4317" t="n"/>
      <c r="M22" s="4317" t="n"/>
      <c r="N22" s="4318" t="n"/>
      <c r="O22" s="662" t="inlineStr">
        <is>
          <t>2)</t>
        </is>
      </c>
      <c r="P22" s="3880" t="n"/>
      <c r="Q22" s="4457" t="n"/>
      <c r="R22" s="4457" t="n"/>
      <c r="S22" s="4457" t="n"/>
      <c r="T22" s="4457" t="n"/>
      <c r="U22" s="4457" t="n"/>
      <c r="V22" s="4457" t="n"/>
      <c r="W22" s="4457" t="n"/>
      <c r="X22" s="4457" t="n"/>
      <c r="Y22" s="663" t="inlineStr">
        <is>
          <t>4)</t>
        </is>
      </c>
      <c r="Z22" s="3883" t="n"/>
      <c r="AA22" s="4457" t="n"/>
      <c r="AB22" s="4457" t="n"/>
      <c r="AC22" s="4457" t="n"/>
      <c r="AD22" s="4457" t="n"/>
      <c r="AE22" s="4457" t="n"/>
      <c r="AF22" s="4457" t="n"/>
      <c r="AG22" s="4457" t="n"/>
      <c r="AH22" s="4943" t="n"/>
    </row>
    <row r="23" ht="14.1" customHeight="1" s="4080">
      <c r="A23" s="4097" t="n"/>
      <c r="B23" s="4107" t="n"/>
      <c r="C23" s="4106" t="n"/>
      <c r="J23" s="4107" t="n"/>
      <c r="K23" s="4945" t="inlineStr">
        <is>
          <t>職種</t>
        </is>
      </c>
      <c r="L23" s="4320" t="n"/>
      <c r="M23" s="4320" t="n"/>
      <c r="N23" s="4321" t="n"/>
      <c r="O23" s="662" t="inlineStr">
        <is>
          <t>1)</t>
        </is>
      </c>
      <c r="P23" s="3887" t="n"/>
      <c r="Q23" s="4457" t="n"/>
      <c r="R23" s="4457" t="n"/>
      <c r="S23" s="4457" t="n"/>
      <c r="T23" s="4457" t="n"/>
      <c r="U23" s="4457" t="n"/>
      <c r="V23" s="4457" t="n"/>
      <c r="W23" s="4457" t="n"/>
      <c r="X23" s="4457" t="n"/>
      <c r="Y23" s="663" t="inlineStr">
        <is>
          <t>3)</t>
        </is>
      </c>
      <c r="Z23" s="3883" t="n"/>
      <c r="AA23" s="4457" t="n"/>
      <c r="AB23" s="4457" t="n"/>
      <c r="AC23" s="4457" t="n"/>
      <c r="AD23" s="4457" t="n"/>
      <c r="AE23" s="4457" t="n"/>
      <c r="AF23" s="4457" t="n"/>
      <c r="AG23" s="4457" t="n"/>
      <c r="AH23" s="4943" t="n"/>
    </row>
    <row r="24" ht="14.1" customHeight="1" s="4080">
      <c r="A24" s="4097" t="n"/>
      <c r="B24" s="4107" t="n"/>
      <c r="C24" s="4106" t="n"/>
      <c r="J24" s="4107" t="n"/>
      <c r="K24" s="4942" t="n"/>
      <c r="L24" s="4317" t="n"/>
      <c r="M24" s="4317" t="n"/>
      <c r="N24" s="4318" t="n"/>
      <c r="O24" s="662" t="inlineStr">
        <is>
          <t>2)</t>
        </is>
      </c>
      <c r="P24" s="3887" t="n"/>
      <c r="Q24" s="4457" t="n"/>
      <c r="R24" s="4457" t="n"/>
      <c r="S24" s="4457" t="n"/>
      <c r="T24" s="4457" t="n"/>
      <c r="U24" s="4457" t="n"/>
      <c r="V24" s="4457" t="n"/>
      <c r="W24" s="4457" t="n"/>
      <c r="X24" s="4457" t="n"/>
      <c r="Y24" s="663" t="inlineStr">
        <is>
          <t>4)</t>
        </is>
      </c>
      <c r="Z24" s="3883" t="n"/>
      <c r="AA24" s="4457" t="n"/>
      <c r="AB24" s="4457" t="n"/>
      <c r="AC24" s="4457" t="n"/>
      <c r="AD24" s="4457" t="n"/>
      <c r="AE24" s="4457" t="n"/>
      <c r="AF24" s="4457" t="n"/>
      <c r="AG24" s="4457" t="n"/>
      <c r="AH24" s="4943" t="n"/>
    </row>
    <row r="25" ht="14.1" customHeight="1" s="4080">
      <c r="A25" s="4097" t="n"/>
      <c r="B25" s="4107" t="n"/>
      <c r="C25" s="4102" t="n"/>
      <c r="D25" s="4103" t="n"/>
      <c r="E25" s="4103" t="n"/>
      <c r="F25" s="4103" t="n"/>
      <c r="G25" s="4103" t="n"/>
      <c r="H25" s="4103" t="n"/>
      <c r="I25" s="4103" t="n"/>
      <c r="J25" s="4104" t="n"/>
      <c r="K25" s="4946" t="inlineStr">
        <is>
          <t>勤務時間</t>
        </is>
      </c>
      <c r="L25" s="4459" t="n"/>
      <c r="M25" s="4459" t="n"/>
      <c r="N25" s="4461" t="n"/>
      <c r="O25" s="3891" t="n"/>
      <c r="P25" s="4459" t="n"/>
      <c r="Q25" s="3896" t="inlineStr">
        <is>
          <t>：</t>
        </is>
      </c>
      <c r="R25" s="3893" t="n"/>
      <c r="S25" s="4459" t="n"/>
      <c r="T25" s="3896" t="inlineStr">
        <is>
          <t>～</t>
        </is>
      </c>
      <c r="U25" s="3892" t="n"/>
      <c r="V25" s="4459" t="n"/>
      <c r="W25" s="3896" t="inlineStr">
        <is>
          <t>：</t>
        </is>
      </c>
      <c r="X25" s="3893" t="n"/>
      <c r="Y25" s="4459" t="n"/>
      <c r="Z25" s="3894" t="inlineStr">
        <is>
          <t>（実働</t>
        </is>
      </c>
      <c r="AA25" s="4459" t="n"/>
      <c r="AB25" s="3895" t="n"/>
      <c r="AC25" s="3894" t="inlineStr">
        <is>
          <t>時間</t>
        </is>
      </c>
      <c r="AD25" s="4459" t="n"/>
      <c r="AE25" s="3895" t="n"/>
      <c r="AF25" s="4459" t="n"/>
      <c r="AG25" s="3897" t="inlineStr">
        <is>
          <t>分）</t>
        </is>
      </c>
      <c r="AH25" s="4462" t="n"/>
    </row>
    <row r="26" ht="15.95" customHeight="1" s="4080">
      <c r="A26" s="3061" t="inlineStr">
        <is>
          <t>職員の職種・員数</t>
        </is>
      </c>
      <c r="B26" s="4099" t="n"/>
      <c r="C26" s="4272" t="inlineStr">
        <is>
          <t xml:space="preserve">　　　　　　職種・勤務形態
常勤・非常勤の別</t>
        </is>
      </c>
      <c r="D26" s="4098" t="n"/>
      <c r="E26" s="4098" t="n"/>
      <c r="F26" s="4098" t="n"/>
      <c r="G26" s="4098" t="n"/>
      <c r="H26" s="4098" t="n"/>
      <c r="I26" s="4098" t="n"/>
      <c r="J26" s="4099" t="n"/>
      <c r="K26" s="4185" t="inlineStr">
        <is>
          <t>就労選択支援員</t>
        </is>
      </c>
      <c r="L26" s="4110" t="n"/>
      <c r="M26" s="4110" t="n"/>
      <c r="N26" s="4110" t="n"/>
      <c r="O26" s="4110" t="n"/>
      <c r="P26" s="4111" t="n"/>
      <c r="Q26" s="4325" t="n"/>
      <c r="R26" s="4098" t="n"/>
      <c r="S26" s="4098" t="n"/>
      <c r="T26" s="4098" t="n"/>
      <c r="U26" s="4098" t="n"/>
      <c r="V26" s="4099" t="n"/>
      <c r="W26" s="4325" t="n"/>
      <c r="X26" s="4098" t="n"/>
      <c r="Y26" s="4098" t="n"/>
      <c r="Z26" s="4098" t="n"/>
      <c r="AA26" s="4098" t="n"/>
      <c r="AB26" s="4099" t="n"/>
      <c r="AC26" s="4326" t="n"/>
      <c r="AD26" s="4098" t="n"/>
      <c r="AE26" s="4098" t="n"/>
      <c r="AF26" s="4098" t="n"/>
      <c r="AG26" s="4098" t="n"/>
      <c r="AH26" s="4101" t="n"/>
    </row>
    <row r="27" ht="15.95" customHeight="1" s="4080">
      <c r="A27" s="4097" t="n"/>
      <c r="B27" s="4107" t="n"/>
      <c r="C27" s="4102" t="n"/>
      <c r="D27" s="4103" t="n"/>
      <c r="E27" s="4103" t="n"/>
      <c r="F27" s="4103" t="n"/>
      <c r="G27" s="4103" t="n"/>
      <c r="H27" s="4103" t="n"/>
      <c r="I27" s="4103" t="n"/>
      <c r="J27" s="4104" t="n"/>
      <c r="K27" s="1617" t="inlineStr">
        <is>
          <t>専従</t>
        </is>
      </c>
      <c r="L27" s="4110" t="n"/>
      <c r="M27" s="4189" t="n"/>
      <c r="N27" s="1603" t="inlineStr">
        <is>
          <t>兼務</t>
        </is>
      </c>
      <c r="O27" s="4110" t="n"/>
      <c r="P27" s="4189" t="n"/>
      <c r="Q27" s="1617" t="inlineStr">
        <is>
          <t>専従</t>
        </is>
      </c>
      <c r="R27" s="4110" t="n"/>
      <c r="S27" s="4189" t="n"/>
      <c r="T27" s="1603" t="inlineStr">
        <is>
          <t>兼務</t>
        </is>
      </c>
      <c r="U27" s="4110" t="n"/>
      <c r="V27" s="4189" t="n"/>
      <c r="W27" s="1617" t="inlineStr">
        <is>
          <t>専従</t>
        </is>
      </c>
      <c r="X27" s="4110" t="n"/>
      <c r="Y27" s="4189" t="n"/>
      <c r="Z27" s="1603" t="inlineStr">
        <is>
          <t>兼務</t>
        </is>
      </c>
      <c r="AA27" s="4110" t="n"/>
      <c r="AB27" s="4189" t="n"/>
      <c r="AC27" s="1617" t="inlineStr">
        <is>
          <t>専従</t>
        </is>
      </c>
      <c r="AD27" s="4110" t="n"/>
      <c r="AE27" s="4189" t="n"/>
      <c r="AF27" s="1603" t="inlineStr">
        <is>
          <t>兼務</t>
        </is>
      </c>
      <c r="AG27" s="4110" t="n"/>
      <c r="AH27" s="4189" t="n"/>
    </row>
    <row r="28" ht="15.95" customHeight="1" s="4080">
      <c r="A28" s="4097" t="n"/>
      <c r="B28" s="4107" t="n"/>
      <c r="C28" s="1268" t="inlineStr">
        <is>
          <t>常　　　　　勤（人）</t>
        </is>
      </c>
      <c r="D28" s="4110" t="n"/>
      <c r="E28" s="4110" t="n"/>
      <c r="F28" s="4110" t="n"/>
      <c r="G28" s="4110" t="n"/>
      <c r="H28" s="4110" t="n"/>
      <c r="I28" s="4110" t="n"/>
      <c r="J28" s="4111" t="n"/>
      <c r="K28" s="4275" t="n"/>
      <c r="L28" s="4110" t="n"/>
      <c r="M28" s="4189" t="n"/>
      <c r="N28" s="4276" t="n"/>
      <c r="O28" s="4110" t="n"/>
      <c r="P28" s="4189" t="n"/>
      <c r="Q28" s="4275" t="n"/>
      <c r="R28" s="4110" t="n"/>
      <c r="S28" s="4189" t="n"/>
      <c r="T28" s="4276" t="n"/>
      <c r="U28" s="4110" t="n"/>
      <c r="V28" s="4189" t="n"/>
      <c r="W28" s="4275" t="n"/>
      <c r="X28" s="4110" t="n"/>
      <c r="Y28" s="4189" t="n"/>
      <c r="Z28" s="4276" t="n"/>
      <c r="AA28" s="4110" t="n"/>
      <c r="AB28" s="4189" t="n"/>
      <c r="AC28" s="4275" t="n"/>
      <c r="AD28" s="4110" t="n"/>
      <c r="AE28" s="4189" t="n"/>
      <c r="AF28" s="4276" t="n"/>
      <c r="AG28" s="4110" t="n"/>
      <c r="AH28" s="4189" t="n"/>
      <c r="AN28" s="1667" t="inlineStr">
        <is>
          <t>生活介護</t>
        </is>
      </c>
    </row>
    <row r="29" ht="15.95" customHeight="1" s="4080">
      <c r="A29" s="4097" t="n"/>
      <c r="B29" s="4107" t="n"/>
      <c r="C29" s="1286" t="inlineStr">
        <is>
          <t>非　　常　　勤（人）</t>
        </is>
      </c>
      <c r="D29" s="4103" t="n"/>
      <c r="E29" s="4103" t="n"/>
      <c r="F29" s="4103" t="n"/>
      <c r="G29" s="4103" t="n"/>
      <c r="H29" s="4103" t="n"/>
      <c r="I29" s="4103" t="n"/>
      <c r="J29" s="4104" t="n"/>
      <c r="K29" s="4275" t="n"/>
      <c r="L29" s="4110" t="n"/>
      <c r="M29" s="4189" t="n"/>
      <c r="N29" s="4276" t="n"/>
      <c r="O29" s="4110" t="n"/>
      <c r="P29" s="4189" t="n"/>
      <c r="Q29" s="4275" t="n"/>
      <c r="R29" s="4110" t="n"/>
      <c r="S29" s="4189" t="n"/>
      <c r="T29" s="4276" t="n"/>
      <c r="U29" s="4110" t="n"/>
      <c r="V29" s="4189" t="n"/>
      <c r="W29" s="4275" t="n"/>
      <c r="X29" s="4110" t="n"/>
      <c r="Y29" s="4189" t="n"/>
      <c r="Z29" s="4276" t="n"/>
      <c r="AA29" s="4110" t="n"/>
      <c r="AB29" s="4189" t="n"/>
      <c r="AC29" s="4275" t="n"/>
      <c r="AD29" s="4110" t="n"/>
      <c r="AE29" s="4189" t="n"/>
      <c r="AF29" s="4276" t="n"/>
      <c r="AG29" s="4110" t="n"/>
      <c r="AH29" s="4189" t="n"/>
      <c r="AN29" s="1667" t="inlineStr">
        <is>
          <t>自立訓練（機能訓練）</t>
        </is>
      </c>
    </row>
    <row r="30" ht="15.95" customHeight="1" s="4080">
      <c r="A30" s="4097" t="n"/>
      <c r="B30" s="4107" t="n"/>
      <c r="C30" s="1268" t="inlineStr">
        <is>
          <t>常勤換算後の人数（人）</t>
        </is>
      </c>
      <c r="D30" s="4110" t="n"/>
      <c r="E30" s="4110" t="n"/>
      <c r="F30" s="4110" t="n"/>
      <c r="G30" s="4110" t="n"/>
      <c r="H30" s="4110" t="n"/>
      <c r="I30" s="4110" t="n"/>
      <c r="J30" s="4111" t="n"/>
      <c r="K30" s="4464" t="n"/>
      <c r="L30" s="4110" t="n"/>
      <c r="M30" s="4110" t="n"/>
      <c r="N30" s="4110" t="n"/>
      <c r="O30" s="4110" t="n"/>
      <c r="P30" s="4111" t="n"/>
      <c r="Q30" s="4464" t="n"/>
      <c r="R30" s="4110" t="n"/>
      <c r="S30" s="4110" t="n"/>
      <c r="T30" s="4110" t="n"/>
      <c r="U30" s="4110" t="n"/>
      <c r="V30" s="4111" t="n"/>
      <c r="W30" s="4464" t="n"/>
      <c r="X30" s="4110" t="n"/>
      <c r="Y30" s="4110" t="n"/>
      <c r="Z30" s="4110" t="n"/>
      <c r="AA30" s="4110" t="n"/>
      <c r="AB30" s="4111" t="n"/>
      <c r="AC30" s="4465" t="n"/>
      <c r="AD30" s="4110" t="n"/>
      <c r="AE30" s="4110" t="n"/>
      <c r="AF30" s="4110" t="n"/>
      <c r="AG30" s="4110" t="n"/>
      <c r="AH30" s="4113" t="n"/>
      <c r="AN30" s="1667" t="inlineStr">
        <is>
          <t>自立訓練（生活訓練）</t>
        </is>
      </c>
    </row>
    <row r="31" ht="3.95" customHeight="1" s="4080">
      <c r="A31" s="3061" t="n"/>
      <c r="B31" s="4098" t="n"/>
      <c r="C31" s="4098" t="n"/>
      <c r="D31" s="4098" t="n"/>
      <c r="E31" s="4098" t="n"/>
      <c r="F31" s="4098" t="n"/>
      <c r="G31" s="4098" t="n"/>
      <c r="H31" s="4098" t="n"/>
      <c r="I31" s="4098" t="n"/>
      <c r="J31" s="4099" t="n"/>
      <c r="K31" s="4332" t="n"/>
      <c r="L31" s="4333" t="n"/>
      <c r="M31" s="4333" t="n"/>
      <c r="N31" s="4333" t="n"/>
      <c r="O31" s="4333" t="n"/>
      <c r="P31" s="4392" t="n"/>
      <c r="Q31" s="4393" t="inlineStr">
        <is>
          <t>事業所の種類</t>
        </is>
      </c>
      <c r="R31" s="4098" t="n"/>
      <c r="S31" s="4098" t="n"/>
      <c r="T31" s="4098" t="n"/>
      <c r="U31" s="4098" t="n"/>
      <c r="V31" s="4099" t="n"/>
      <c r="W31" s="4505" t="n"/>
      <c r="X31" s="4098" t="n"/>
      <c r="Y31" s="4098" t="n"/>
      <c r="Z31" s="4098" t="n"/>
      <c r="AA31" s="4098" t="n"/>
      <c r="AB31" s="4099" t="n"/>
      <c r="AC31" s="4947" t="n"/>
      <c r="AD31" s="4098" t="n"/>
      <c r="AE31" s="4098" t="n"/>
      <c r="AF31" s="4098" t="n"/>
      <c r="AG31" s="4098" t="n"/>
      <c r="AH31" s="4101" t="n"/>
      <c r="AN31" s="1667" t="inlineStr">
        <is>
          <t>就労移行支援</t>
        </is>
      </c>
    </row>
    <row r="32" ht="14.1" customHeight="1" s="4080">
      <c r="A32" s="4338" t="inlineStr">
        <is>
          <t>一体的に運営する事業所</t>
        </is>
      </c>
      <c r="J32" s="4107" t="n"/>
      <c r="K32" s="4339" t="n"/>
      <c r="L32" s="4340" t="inlineStr">
        <is>
          <t>有</t>
        </is>
      </c>
      <c r="M32" s="4340" t="inlineStr">
        <is>
          <t>・</t>
        </is>
      </c>
      <c r="O32" s="4340" t="inlineStr">
        <is>
          <t>無</t>
        </is>
      </c>
      <c r="P32" s="4397" t="n"/>
      <c r="Q32" s="4106" t="n"/>
      <c r="V32" s="4107" t="n"/>
      <c r="W32" s="4106" t="n"/>
      <c r="AB32" s="4107" t="n"/>
      <c r="AC32" s="4106" t="n"/>
      <c r="AH32" s="4109" t="n"/>
      <c r="AN32" s="1667" t="inlineStr">
        <is>
          <t>就労継続支援Ａ型</t>
        </is>
      </c>
    </row>
    <row r="33" ht="3.95" customHeight="1" s="4080">
      <c r="A33" s="3063" t="n"/>
      <c r="B33" s="4103" t="n"/>
      <c r="C33" s="4103" t="n"/>
      <c r="D33" s="4103" t="n"/>
      <c r="E33" s="4103" t="n"/>
      <c r="F33" s="4103" t="n"/>
      <c r="G33" s="4103" t="n"/>
      <c r="H33" s="4103" t="n"/>
      <c r="I33" s="4103" t="n"/>
      <c r="J33" s="4104" t="n"/>
      <c r="K33" s="4343" t="n"/>
      <c r="L33" s="4344" t="n"/>
      <c r="M33" s="4344" t="n"/>
      <c r="N33" s="4344" t="n"/>
      <c r="O33" s="4344" t="n"/>
      <c r="P33" s="4398" t="n"/>
      <c r="Q33" s="4102" t="n"/>
      <c r="R33" s="4103" t="n"/>
      <c r="S33" s="4103" t="n"/>
      <c r="T33" s="4103" t="n"/>
      <c r="U33" s="4103" t="n"/>
      <c r="V33" s="4104" t="n"/>
      <c r="W33" s="4102" t="n"/>
      <c r="X33" s="4103" t="n"/>
      <c r="Y33" s="4103" t="n"/>
      <c r="Z33" s="4103" t="n"/>
      <c r="AA33" s="4103" t="n"/>
      <c r="AB33" s="4104" t="n"/>
      <c r="AC33" s="4102" t="n"/>
      <c r="AD33" s="4103" t="n"/>
      <c r="AE33" s="4103" t="n"/>
      <c r="AF33" s="4103" t="n"/>
      <c r="AG33" s="4103" t="n"/>
      <c r="AH33" s="4105" t="n"/>
      <c r="AN33" s="1667" t="inlineStr">
        <is>
          <t>就労継続支援Ｂ型</t>
        </is>
      </c>
    </row>
    <row r="34" ht="24" customHeight="1" s="4080">
      <c r="A34" s="4948" t="inlineStr">
        <is>
          <t>前年度
利用者数
(又は推定数)</t>
        </is>
      </c>
      <c r="B34" s="4098" t="n"/>
      <c r="C34" s="4098" t="n"/>
      <c r="D34" s="4099" t="n"/>
      <c r="E34" s="4949" t="n"/>
      <c r="F34" s="4110" t="n"/>
      <c r="G34" s="4111" t="n"/>
      <c r="H34" s="4624" t="inlineStr">
        <is>
          <t>非該当</t>
        </is>
      </c>
      <c r="I34" s="4103" t="n"/>
      <c r="J34" s="4104" t="n"/>
      <c r="K34" s="4624" t="inlineStr">
        <is>
          <t>区分１</t>
        </is>
      </c>
      <c r="L34" s="4103" t="n"/>
      <c r="M34" s="4104" t="n"/>
      <c r="N34" s="2165" t="inlineStr">
        <is>
          <t>区分２</t>
        </is>
      </c>
      <c r="O34" s="4110" t="n"/>
      <c r="P34" s="4111" t="n"/>
      <c r="Q34" s="2165" t="inlineStr">
        <is>
          <t>区分３</t>
        </is>
      </c>
      <c r="R34" s="4110" t="n"/>
      <c r="S34" s="4111" t="n"/>
      <c r="T34" s="2165" t="inlineStr">
        <is>
          <t>区分４</t>
        </is>
      </c>
      <c r="U34" s="4110" t="n"/>
      <c r="V34" s="4111" t="n"/>
      <c r="W34" s="2165" t="inlineStr">
        <is>
          <t>区分５</t>
        </is>
      </c>
      <c r="X34" s="4110" t="n"/>
      <c r="Y34" s="4111" t="n"/>
      <c r="Z34" s="2165" t="inlineStr">
        <is>
          <t>区分６</t>
        </is>
      </c>
      <c r="AA34" s="4110" t="n"/>
      <c r="AB34" s="4111" t="n"/>
      <c r="AC34" s="4628" t="inlineStr">
        <is>
          <t>前年度
開所日数</t>
        </is>
      </c>
      <c r="AD34" s="4110" t="n"/>
      <c r="AE34" s="4111" t="n"/>
      <c r="AF34" s="4627" t="inlineStr">
        <is>
          <t>平均
利用者数</t>
        </is>
      </c>
      <c r="AG34" s="4103" t="n"/>
      <c r="AH34" s="4105" t="n"/>
    </row>
    <row r="35" ht="15" customHeight="1" s="4080">
      <c r="A35" s="4097" t="n"/>
      <c r="D35" s="4107" t="n"/>
      <c r="E35" s="4313" t="inlineStr">
        <is>
          <t>就労選択</t>
        </is>
      </c>
      <c r="F35" s="4110" t="n"/>
      <c r="G35" s="4111" t="n"/>
      <c r="H35" s="4351" t="n"/>
      <c r="I35" s="4110" t="n"/>
      <c r="J35" s="4350" t="inlineStr">
        <is>
          <t>人</t>
        </is>
      </c>
      <c r="K35" s="4351" t="n"/>
      <c r="L35" s="4110" t="n"/>
      <c r="M35" s="4350" t="inlineStr">
        <is>
          <t>人</t>
        </is>
      </c>
      <c r="N35" s="4351" t="n"/>
      <c r="O35" s="4110" t="n"/>
      <c r="P35" s="4350" t="inlineStr">
        <is>
          <t>人</t>
        </is>
      </c>
      <c r="Q35" s="4351" t="n"/>
      <c r="R35" s="4110" t="n"/>
      <c r="S35" s="4350" t="inlineStr">
        <is>
          <t>人</t>
        </is>
      </c>
      <c r="T35" s="4351" t="n"/>
      <c r="U35" s="4110" t="n"/>
      <c r="V35" s="4350" t="inlineStr">
        <is>
          <t>人</t>
        </is>
      </c>
      <c r="W35" s="4351" t="n"/>
      <c r="X35" s="4110" t="n"/>
      <c r="Y35" s="4350" t="inlineStr">
        <is>
          <t>人</t>
        </is>
      </c>
      <c r="Z35" s="4644" t="n"/>
      <c r="AA35" s="4110" t="n"/>
      <c r="AB35" s="3914" t="inlineStr">
        <is>
          <t>人</t>
        </is>
      </c>
      <c r="AC35" s="4644" t="n"/>
      <c r="AD35" s="4110" t="n"/>
      <c r="AE35" s="3914" t="inlineStr">
        <is>
          <t>日</t>
        </is>
      </c>
      <c r="AF35" s="4646">
        <f>IF(AC35=0," ",ROUNDUP((H35+K35+N35+Q35+T35+W35+Z35)/AC35,1))</f>
        <v/>
      </c>
      <c r="AG35" s="4110" t="n"/>
      <c r="AH35" s="4632" t="inlineStr">
        <is>
          <t>人</t>
        </is>
      </c>
    </row>
    <row r="36" ht="50.25" customHeight="1" s="4080" thickBot="1">
      <c r="A36" s="4086" t="n"/>
      <c r="B36" s="4087" t="n"/>
      <c r="C36" s="4087" t="n"/>
      <c r="D36" s="4410" t="n"/>
      <c r="E36" s="4591" t="inlineStr">
        <is>
          <t>一体的に運用する事業所</t>
        </is>
      </c>
      <c r="F36" s="4153" t="n"/>
      <c r="G36" s="4154" t="n"/>
      <c r="H36" s="4805" t="n"/>
      <c r="I36" s="4153" t="n"/>
      <c r="J36" s="4764" t="inlineStr">
        <is>
          <t>人</t>
        </is>
      </c>
      <c r="K36" s="4805" t="n"/>
      <c r="L36" s="4153" t="n"/>
      <c r="M36" s="4764" t="inlineStr">
        <is>
          <t>人</t>
        </is>
      </c>
      <c r="N36" s="4805" t="n"/>
      <c r="O36" s="4153" t="n"/>
      <c r="P36" s="4764" t="inlineStr">
        <is>
          <t>人</t>
        </is>
      </c>
      <c r="Q36" s="4805" t="n"/>
      <c r="R36" s="4153" t="n"/>
      <c r="S36" s="4764" t="inlineStr">
        <is>
          <t>人</t>
        </is>
      </c>
      <c r="T36" s="4805" t="n"/>
      <c r="U36" s="4153" t="n"/>
      <c r="V36" s="4764" t="inlineStr">
        <is>
          <t>人</t>
        </is>
      </c>
      <c r="W36" s="4805" t="n"/>
      <c r="X36" s="4153" t="n"/>
      <c r="Y36" s="4764" t="inlineStr">
        <is>
          <t>人</t>
        </is>
      </c>
      <c r="Z36" s="4950" t="n"/>
      <c r="AA36" s="4153" t="n"/>
      <c r="AB36" s="4951" t="inlineStr">
        <is>
          <t>人</t>
        </is>
      </c>
      <c r="AC36" s="4950" t="n"/>
      <c r="AD36" s="4153" t="n"/>
      <c r="AE36" s="4951" t="inlineStr">
        <is>
          <t>日</t>
        </is>
      </c>
      <c r="AF36" s="4787">
        <f>IF(AC36=0," ",ROUNDUP((H36+K36+N36+Q36+T36+W36+Z36)/AC36,1))</f>
        <v/>
      </c>
      <c r="AG36" s="4153" t="n"/>
      <c r="AH36" s="4767" t="inlineStr">
        <is>
          <t>人</t>
        </is>
      </c>
    </row>
    <row r="37" ht="12" customHeight="1" s="4080" thickBot="1">
      <c r="A37" s="4355" t="inlineStr">
        <is>
          <t>主　　な　　掲　　示　　事　　項</t>
        </is>
      </c>
      <c r="B37" s="4356" t="n"/>
      <c r="C37" s="1999" t="n"/>
      <c r="D37" s="1886" t="inlineStr">
        <is>
          <t>営業日</t>
        </is>
      </c>
      <c r="E37" s="4082" t="n"/>
      <c r="F37" s="4082" t="n"/>
      <c r="G37" s="4082" t="n"/>
      <c r="H37" s="4082" t="n"/>
      <c r="I37" s="4082" t="n"/>
      <c r="J37" s="2002" t="n"/>
      <c r="K37" s="671" t="inlineStr">
        <is>
          <t>月</t>
        </is>
      </c>
      <c r="L37" s="672" t="inlineStr">
        <is>
          <t>火</t>
        </is>
      </c>
      <c r="M37" s="672" t="inlineStr">
        <is>
          <t>水</t>
        </is>
      </c>
      <c r="N37" s="672" t="inlineStr">
        <is>
          <t>木</t>
        </is>
      </c>
      <c r="O37" s="672" t="inlineStr">
        <is>
          <t>金</t>
        </is>
      </c>
      <c r="P37" s="672" t="inlineStr">
        <is>
          <t>土</t>
        </is>
      </c>
      <c r="Q37" s="672" t="inlineStr">
        <is>
          <t>日</t>
        </is>
      </c>
      <c r="R37" s="673" t="inlineStr">
        <is>
          <t>祝</t>
        </is>
      </c>
      <c r="S37" s="2004" t="inlineStr">
        <is>
          <t>休業日</t>
        </is>
      </c>
      <c r="T37" s="2007" t="inlineStr">
        <is>
          <t>年末年始</t>
        </is>
      </c>
      <c r="U37" s="4082" t="n"/>
      <c r="V37" s="2014" t="n"/>
      <c r="W37" s="4082" t="n"/>
      <c r="X37" s="4082" t="n"/>
      <c r="Y37" s="4082" t="n"/>
      <c r="Z37" s="4082" t="n"/>
      <c r="AA37" s="4082" t="n"/>
      <c r="AB37" s="4356" t="n"/>
      <c r="AC37" s="2236" t="inlineStr">
        <is>
          <t>備　考</t>
        </is>
      </c>
      <c r="AD37" s="4479" t="n"/>
      <c r="AE37" s="4082" t="n"/>
      <c r="AF37" s="4082" t="n"/>
      <c r="AG37" s="4082" t="n"/>
      <c r="AH37" s="4083" t="n"/>
    </row>
    <row r="38" ht="12" customHeight="1" s="4080" thickBot="1">
      <c r="A38" s="4097" t="n"/>
      <c r="B38" s="4107" t="n"/>
      <c r="C38" s="4106" t="n"/>
      <c r="J38" s="4107" t="n"/>
      <c r="K38" s="2351" t="inlineStr">
        <is>
          <t xml:space="preserve">　</t>
        </is>
      </c>
      <c r="L38" s="2353" t="n"/>
      <c r="M38" s="2353" t="n"/>
      <c r="N38" s="2353" t="n"/>
      <c r="O38" s="2353" t="n"/>
      <c r="P38" s="2353" t="n"/>
      <c r="Q38" s="2353" t="n"/>
      <c r="R38" s="2355" t="n"/>
      <c r="S38" s="4282" t="n"/>
      <c r="T38" s="2008" t="inlineStr">
        <is>
          <t>夏季</t>
        </is>
      </c>
      <c r="V38" s="937" t="n"/>
      <c r="AB38" s="4107" t="n"/>
      <c r="AC38" s="4282" t="n"/>
      <c r="AD38" s="4192" t="n"/>
      <c r="AH38" s="4109" t="n"/>
    </row>
    <row r="39" ht="12" customHeight="1" s="4080">
      <c r="A39" s="4097" t="n"/>
      <c r="B39" s="4107" t="n"/>
      <c r="C39" s="4420" t="n"/>
      <c r="D39" s="4087" t="n"/>
      <c r="E39" s="4087" t="n"/>
      <c r="F39" s="4087" t="n"/>
      <c r="G39" s="4087" t="n"/>
      <c r="H39" s="4087" t="n"/>
      <c r="I39" s="4087" t="n"/>
      <c r="J39" s="4410" t="n"/>
      <c r="K39" s="4500" t="n"/>
      <c r="L39" s="4501" t="n"/>
      <c r="M39" s="4501" t="n"/>
      <c r="N39" s="4501" t="n"/>
      <c r="O39" s="4501" t="n"/>
      <c r="P39" s="4501" t="n"/>
      <c r="Q39" s="4501" t="n"/>
      <c r="R39" s="4502" t="n"/>
      <c r="S39" s="4421" t="n"/>
      <c r="T39" s="1610" t="inlineStr">
        <is>
          <t>その他</t>
        </is>
      </c>
      <c r="U39" s="4103" t="n"/>
      <c r="V39" s="940" t="n"/>
      <c r="W39" s="4103" t="n"/>
      <c r="X39" s="4103" t="n"/>
      <c r="Y39" s="4103" t="n"/>
      <c r="Z39" s="4103" t="n"/>
      <c r="AA39" s="4103" t="n"/>
      <c r="AB39" s="4104" t="n"/>
      <c r="AC39" s="4421" t="n"/>
      <c r="AD39" s="4480" t="n"/>
      <c r="AE39" s="4087" t="n"/>
      <c r="AF39" s="4087" t="n"/>
      <c r="AG39" s="4087" t="n"/>
      <c r="AH39" s="4088" t="n"/>
    </row>
    <row r="40" ht="3.95" customHeight="1" s="4080">
      <c r="A40" s="4097" t="n"/>
      <c r="B40" s="4107" t="n"/>
      <c r="C40" s="1393" t="n"/>
      <c r="D40" s="1264" t="inlineStr">
        <is>
          <t>営業時間</t>
        </is>
      </c>
      <c r="E40" s="4098" t="n"/>
      <c r="F40" s="4098" t="n"/>
      <c r="G40" s="4098" t="n"/>
      <c r="H40" s="4098" t="n"/>
      <c r="I40" s="4098" t="n"/>
      <c r="J40" s="4223" t="n"/>
      <c r="K40" s="4287" t="inlineStr">
        <is>
          <t>平日</t>
        </is>
      </c>
      <c r="L40" s="4098" t="n"/>
      <c r="M40" s="4190" t="n"/>
      <c r="N40" s="1590" t="n"/>
      <c r="O40" s="4098" t="n"/>
      <c r="P40" s="2842" t="inlineStr">
        <is>
          <t>時</t>
        </is>
      </c>
      <c r="Q40" s="1323" t="n"/>
      <c r="R40" s="1323" t="n"/>
      <c r="S40" s="4288" t="inlineStr">
        <is>
          <t>分～</t>
        </is>
      </c>
      <c r="T40" s="4098" t="n"/>
      <c r="U40" s="108" t="inlineStr">
        <is>
          <t xml:space="preserve">　</t>
        </is>
      </c>
      <c r="V40" s="1591" t="n"/>
      <c r="W40" s="4098" t="n"/>
      <c r="X40" s="2842" t="inlineStr">
        <is>
          <t>時</t>
        </is>
      </c>
      <c r="Y40" s="2834" t="n"/>
      <c r="Z40" s="2834" t="n"/>
      <c r="AA40" s="2842" t="inlineStr">
        <is>
          <t>分</t>
        </is>
      </c>
      <c r="AB40" s="2844" t="n"/>
      <c r="AC40" s="4098" t="n"/>
      <c r="AD40" s="4098" t="n"/>
      <c r="AE40" s="4098" t="n"/>
      <c r="AF40" s="4098" t="n"/>
      <c r="AG40" s="4098" t="n"/>
      <c r="AH40" s="4101" t="n"/>
    </row>
    <row r="41" ht="12" customHeight="1" s="4080">
      <c r="A41" s="4097" t="n"/>
      <c r="B41" s="4107" t="n"/>
      <c r="C41" s="4106" t="n"/>
      <c r="J41" s="4107" t="n"/>
      <c r="K41" s="4106" t="n"/>
      <c r="M41" s="4191" t="n"/>
      <c r="N41" s="1589" t="n"/>
      <c r="Q41" s="1325" t="n"/>
      <c r="U41" s="1257" t="n"/>
      <c r="Y41" s="1580" t="n"/>
      <c r="AH41" s="4109" t="n"/>
    </row>
    <row r="42" ht="3.95" customHeight="1" s="4080">
      <c r="A42" s="4097" t="n"/>
      <c r="B42" s="4107" t="n"/>
      <c r="C42" s="4106" t="n"/>
      <c r="J42" s="4107" t="n"/>
      <c r="K42" s="4145" t="n"/>
      <c r="L42" s="4146" t="n"/>
      <c r="M42" s="4201" t="n"/>
      <c r="N42" s="1586" t="n"/>
      <c r="O42" s="1587" t="n"/>
      <c r="P42" s="4146" t="n"/>
      <c r="Q42" s="1585" t="n"/>
      <c r="R42" s="1585" t="n"/>
      <c r="S42" s="4146" t="n"/>
      <c r="T42" s="4146" t="n"/>
      <c r="U42" s="2253" t="n"/>
      <c r="V42" s="1587" t="n"/>
      <c r="W42" s="1587" t="n"/>
      <c r="X42" s="4146" t="n"/>
      <c r="Y42" s="101" t="n"/>
      <c r="Z42" s="101" t="n"/>
      <c r="AA42" s="4146" t="n"/>
      <c r="AB42" s="4146" t="n"/>
      <c r="AC42" s="4146" t="n"/>
      <c r="AD42" s="4146" t="n"/>
      <c r="AE42" s="4146" t="n"/>
      <c r="AF42" s="4146" t="n"/>
      <c r="AG42" s="4146" t="n"/>
      <c r="AH42" s="4305" t="n"/>
    </row>
    <row r="43" ht="3.95" customHeight="1" s="4080">
      <c r="A43" s="4097" t="n"/>
      <c r="B43" s="4107" t="n"/>
      <c r="C43" s="4106" t="n"/>
      <c r="J43" s="4107" t="n"/>
      <c r="K43" s="4289" t="inlineStr">
        <is>
          <t>土曜</t>
        </is>
      </c>
      <c r="L43" s="4290" t="n"/>
      <c r="M43" s="4291" t="n"/>
      <c r="N43" s="1581" t="n"/>
      <c r="O43" s="4290" t="n"/>
      <c r="P43" s="1514" t="inlineStr">
        <is>
          <t>時</t>
        </is>
      </c>
      <c r="Q43" s="1583" t="n"/>
      <c r="R43" s="1583" t="n"/>
      <c r="S43" s="4292" t="inlineStr">
        <is>
          <t>分～</t>
        </is>
      </c>
      <c r="T43" s="4290" t="n"/>
      <c r="U43" s="98" t="inlineStr">
        <is>
          <t xml:space="preserve">　</t>
        </is>
      </c>
      <c r="V43" s="1582" t="n"/>
      <c r="W43" s="1582" t="n"/>
      <c r="X43" s="1514" t="inlineStr">
        <is>
          <t>時</t>
        </is>
      </c>
      <c r="Y43" s="96" t="n"/>
      <c r="Z43" s="96" t="n"/>
      <c r="AA43" s="1514" t="inlineStr">
        <is>
          <t>分</t>
        </is>
      </c>
      <c r="AB43" s="4481" t="n"/>
      <c r="AC43" s="4290" t="n"/>
      <c r="AD43" s="4290" t="n"/>
      <c r="AE43" s="4290" t="n"/>
      <c r="AF43" s="4290" t="n"/>
      <c r="AG43" s="4290" t="n"/>
      <c r="AH43" s="4482" t="n"/>
    </row>
    <row r="44" ht="12" customHeight="1" s="4080">
      <c r="A44" s="4097" t="n"/>
      <c r="B44" s="4107" t="n"/>
      <c r="C44" s="4106" t="n"/>
      <c r="J44" s="4107" t="n"/>
      <c r="K44" s="4106" t="n"/>
      <c r="M44" s="4191" t="n"/>
      <c r="N44" s="1589" t="n"/>
      <c r="Q44" s="1325" t="n"/>
      <c r="U44" s="1257" t="n"/>
      <c r="Y44" s="1580" t="n"/>
      <c r="AH44" s="4109" t="n"/>
    </row>
    <row r="45" ht="3.95" customHeight="1" s="4080">
      <c r="A45" s="4097" t="n"/>
      <c r="B45" s="4107" t="n"/>
      <c r="C45" s="4106" t="n"/>
      <c r="J45" s="4107" t="n"/>
      <c r="K45" s="4145" t="n"/>
      <c r="L45" s="4146" t="n"/>
      <c r="M45" s="4201" t="n"/>
      <c r="N45" s="1586" t="n"/>
      <c r="O45" s="1587" t="n"/>
      <c r="P45" s="4146" t="n"/>
      <c r="Q45" s="1585" t="n"/>
      <c r="R45" s="1585" t="n"/>
      <c r="S45" s="4146" t="n"/>
      <c r="T45" s="4146" t="n"/>
      <c r="U45" s="103" t="n"/>
      <c r="V45" s="1587" t="n"/>
      <c r="W45" s="1587" t="n"/>
      <c r="X45" s="4146" t="n"/>
      <c r="Y45" s="101" t="n"/>
      <c r="Z45" s="101" t="n"/>
      <c r="AA45" s="4146" t="n"/>
      <c r="AB45" s="4146" t="n"/>
      <c r="AC45" s="4146" t="n"/>
      <c r="AD45" s="4146" t="n"/>
      <c r="AE45" s="4146" t="n"/>
      <c r="AF45" s="4146" t="n"/>
      <c r="AG45" s="4146" t="n"/>
      <c r="AH45" s="4305" t="n"/>
    </row>
    <row r="46" ht="3.95" customHeight="1" s="4080">
      <c r="A46" s="4097" t="n"/>
      <c r="B46" s="4107" t="n"/>
      <c r="C46" s="4106" t="n"/>
      <c r="J46" s="4107" t="n"/>
      <c r="K46" s="4293" t="inlineStr">
        <is>
          <t>日・祝日</t>
        </is>
      </c>
      <c r="L46" s="4290" t="n"/>
      <c r="M46" s="4291" t="n"/>
      <c r="N46" s="1581" t="n"/>
      <c r="O46" s="4290" t="n"/>
      <c r="P46" s="1521" t="inlineStr">
        <is>
          <t>時</t>
        </is>
      </c>
      <c r="Q46" s="1583" t="n"/>
      <c r="R46" s="1583" t="n"/>
      <c r="S46" s="4294" t="inlineStr">
        <is>
          <t>分～</t>
        </is>
      </c>
      <c r="T46" s="4290" t="n"/>
      <c r="U46" s="98" t="inlineStr">
        <is>
          <t xml:space="preserve">　</t>
        </is>
      </c>
      <c r="V46" s="1582" t="n"/>
      <c r="W46" s="1582" t="n"/>
      <c r="X46" s="1521" t="inlineStr">
        <is>
          <t>時</t>
        </is>
      </c>
      <c r="Y46" s="96" t="n"/>
      <c r="Z46" s="96" t="n"/>
      <c r="AA46" s="1521" t="inlineStr">
        <is>
          <t>分</t>
        </is>
      </c>
      <c r="AB46" s="4483" t="n"/>
      <c r="AC46" s="4290" t="n"/>
      <c r="AD46" s="4290" t="n"/>
      <c r="AE46" s="4290" t="n"/>
      <c r="AF46" s="4290" t="n"/>
      <c r="AG46" s="4290" t="n"/>
      <c r="AH46" s="4482" t="n"/>
    </row>
    <row r="47" ht="12" customHeight="1" s="4080">
      <c r="A47" s="4097" t="n"/>
      <c r="B47" s="4107" t="n"/>
      <c r="C47" s="4106" t="n"/>
      <c r="J47" s="4107" t="n"/>
      <c r="K47" s="4106" t="n"/>
      <c r="M47" s="4191" t="n"/>
      <c r="N47" s="1589" t="n"/>
      <c r="Q47" s="1325" t="n"/>
      <c r="U47" s="1257" t="n"/>
      <c r="Y47" s="1580" t="n"/>
      <c r="AH47" s="4109" t="n"/>
    </row>
    <row r="48" ht="3.95" customHeight="1" s="4080">
      <c r="A48" s="4097" t="n"/>
      <c r="B48" s="4107" t="n"/>
      <c r="C48" s="4102" t="n"/>
      <c r="D48" s="4103" t="n"/>
      <c r="E48" s="4103" t="n"/>
      <c r="F48" s="4103" t="n"/>
      <c r="G48" s="4103" t="n"/>
      <c r="H48" s="4103" t="n"/>
      <c r="I48" s="4103" t="n"/>
      <c r="J48" s="4104" t="n"/>
      <c r="K48" s="4102" t="n"/>
      <c r="L48" s="4103" t="n"/>
      <c r="M48" s="4193" t="n"/>
      <c r="N48" s="1588" t="n"/>
      <c r="O48" s="1258" t="n"/>
      <c r="P48" s="4103" t="n"/>
      <c r="Q48" s="1327" t="n"/>
      <c r="R48" s="1327" t="n"/>
      <c r="S48" s="4103" t="n"/>
      <c r="T48" s="4103" t="n"/>
      <c r="U48" s="92" t="n"/>
      <c r="V48" s="1258" t="n"/>
      <c r="W48" s="1258" t="n"/>
      <c r="X48" s="4103" t="n"/>
      <c r="Y48" s="2836" t="n"/>
      <c r="Z48" s="2836" t="n"/>
      <c r="AA48" s="4103" t="n"/>
      <c r="AB48" s="4103" t="n"/>
      <c r="AC48" s="4103" t="n"/>
      <c r="AD48" s="4103" t="n"/>
      <c r="AE48" s="4103" t="n"/>
      <c r="AF48" s="4103" t="n"/>
      <c r="AG48" s="4103" t="n"/>
      <c r="AH48" s="4105" t="n"/>
    </row>
    <row r="49" ht="12" customHeight="1" s="4080">
      <c r="A49" s="4097" t="n"/>
      <c r="B49" s="4107" t="n"/>
      <c r="C49" s="1322" t="n"/>
      <c r="D49" s="1264" t="inlineStr">
        <is>
          <t>サービス提供日</t>
        </is>
      </c>
      <c r="E49" s="4098" t="n"/>
      <c r="F49" s="4098" t="n"/>
      <c r="G49" s="4098" t="n"/>
      <c r="H49" s="4098" t="n"/>
      <c r="I49" s="4098" t="n"/>
      <c r="J49" s="2027" t="n"/>
      <c r="K49" s="2244" t="inlineStr">
        <is>
          <t>月</t>
        </is>
      </c>
      <c r="L49" s="2245" t="inlineStr">
        <is>
          <t>火</t>
        </is>
      </c>
      <c r="M49" s="2245" t="inlineStr">
        <is>
          <t>水</t>
        </is>
      </c>
      <c r="N49" s="2245" t="inlineStr">
        <is>
          <t>木</t>
        </is>
      </c>
      <c r="O49" s="2245" t="inlineStr">
        <is>
          <t>金</t>
        </is>
      </c>
      <c r="P49" s="2245" t="inlineStr">
        <is>
          <t>土</t>
        </is>
      </c>
      <c r="Q49" s="2245" t="inlineStr">
        <is>
          <t>日</t>
        </is>
      </c>
      <c r="R49" s="2249" t="inlineStr">
        <is>
          <t>祝</t>
        </is>
      </c>
      <c r="S49" s="4279" t="inlineStr">
        <is>
          <t>休業日</t>
        </is>
      </c>
      <c r="T49" s="1611" t="inlineStr">
        <is>
          <t>年末年始</t>
        </is>
      </c>
      <c r="U49" s="4098" t="n"/>
      <c r="V49" s="934" t="n"/>
      <c r="W49" s="4098" t="n"/>
      <c r="X49" s="4098" t="n"/>
      <c r="Y49" s="4098" t="n"/>
      <c r="Z49" s="4098" t="n"/>
      <c r="AA49" s="4098" t="n"/>
      <c r="AB49" s="4099" t="n"/>
      <c r="AC49" s="4280" t="inlineStr">
        <is>
          <t>備　考</t>
        </is>
      </c>
      <c r="AD49" s="4281" t="n"/>
      <c r="AE49" s="4098" t="n"/>
      <c r="AF49" s="4098" t="n"/>
      <c r="AG49" s="4098" t="n"/>
      <c r="AH49" s="4101" t="n"/>
    </row>
    <row r="50" ht="12" customHeight="1" s="4080">
      <c r="A50" s="4097" t="n"/>
      <c r="B50" s="4107" t="n"/>
      <c r="C50" s="4106" t="n"/>
      <c r="J50" s="4107" t="n"/>
      <c r="K50" s="2244" t="inlineStr">
        <is>
          <t xml:space="preserve">　</t>
        </is>
      </c>
      <c r="L50" s="2245" t="n"/>
      <c r="M50" s="2245" t="n"/>
      <c r="N50" s="2245" t="n"/>
      <c r="O50" s="2245" t="n"/>
      <c r="P50" s="2245" t="n"/>
      <c r="Q50" s="2245" t="n"/>
      <c r="R50" s="2249" t="n"/>
      <c r="S50" s="4282" t="n"/>
      <c r="T50" s="1609" t="inlineStr">
        <is>
          <t>夏季</t>
        </is>
      </c>
      <c r="V50" s="937" t="n"/>
      <c r="AB50" s="4107" t="n"/>
      <c r="AC50" s="4282" t="n"/>
      <c r="AD50" s="4192" t="n"/>
      <c r="AH50" s="4109" t="n"/>
    </row>
    <row r="51" ht="12" customHeight="1" s="4080">
      <c r="A51" s="4097" t="n"/>
      <c r="B51" s="4107" t="n"/>
      <c r="C51" s="4106" t="n"/>
      <c r="D51" s="4103" t="n"/>
      <c r="E51" s="4103" t="n"/>
      <c r="F51" s="4103" t="n"/>
      <c r="G51" s="4103" t="n"/>
      <c r="H51" s="4103" t="n"/>
      <c r="I51" s="4103" t="n"/>
      <c r="J51" s="4107" t="n"/>
      <c r="K51" s="4283" t="n"/>
      <c r="L51" s="4284" t="n"/>
      <c r="M51" s="4284" t="n"/>
      <c r="N51" s="4284" t="n"/>
      <c r="O51" s="4284" t="n"/>
      <c r="P51" s="4284" t="n"/>
      <c r="Q51" s="4284" t="n"/>
      <c r="R51" s="4285" t="n"/>
      <c r="S51" s="4286" t="n"/>
      <c r="T51" s="1610" t="inlineStr">
        <is>
          <t>その他</t>
        </is>
      </c>
      <c r="U51" s="4103" t="n"/>
      <c r="V51" s="940" t="n"/>
      <c r="W51" s="4103" t="n"/>
      <c r="X51" s="4103" t="n"/>
      <c r="Y51" s="4103" t="n"/>
      <c r="Z51" s="4103" t="n"/>
      <c r="AA51" s="4103" t="n"/>
      <c r="AB51" s="4104" t="n"/>
      <c r="AC51" s="4286" t="n"/>
      <c r="AD51" s="4194" t="n"/>
      <c r="AE51" s="4103" t="n"/>
      <c r="AF51" s="4103" t="n"/>
      <c r="AG51" s="4103" t="n"/>
      <c r="AH51" s="4105" t="n"/>
    </row>
    <row r="52" ht="15.95" customHeight="1" s="4080">
      <c r="A52" s="4097" t="n"/>
      <c r="B52" s="4107" t="n"/>
      <c r="C52" s="1322" t="n"/>
      <c r="D52" s="1402" t="inlineStr">
        <is>
          <t>サービス提供時間</t>
        </is>
      </c>
      <c r="E52" s="4098" t="n"/>
      <c r="F52" s="4098" t="n"/>
      <c r="G52" s="4098" t="n"/>
      <c r="H52" s="4098" t="n"/>
      <c r="I52" s="4098" t="n"/>
      <c r="J52" s="1288" t="n"/>
      <c r="K52" s="2322" t="n"/>
      <c r="L52" s="4110" t="n"/>
      <c r="M52" s="4110" t="n"/>
      <c r="N52" s="1355" t="inlineStr">
        <is>
          <t>時</t>
        </is>
      </c>
      <c r="O52" s="2324" t="n"/>
      <c r="P52" s="4110" t="n"/>
      <c r="Q52" s="2325" t="inlineStr">
        <is>
          <t>分～</t>
        </is>
      </c>
      <c r="R52" s="4110" t="n"/>
      <c r="S52" s="2323" t="n"/>
      <c r="T52" s="4110" t="n"/>
      <c r="U52" s="4110" t="n"/>
      <c r="V52" s="1325" t="inlineStr">
        <is>
          <t>時</t>
        </is>
      </c>
      <c r="W52" s="1645" t="n"/>
      <c r="X52" s="4110" t="n"/>
      <c r="Y52" s="1325" t="inlineStr">
        <is>
          <t>分</t>
        </is>
      </c>
      <c r="Z52" s="2834" t="n"/>
      <c r="AA52" s="4278" t="n"/>
      <c r="AB52" s="4110" t="n"/>
      <c r="AC52" s="4110" t="n"/>
      <c r="AD52" s="4110" t="n"/>
      <c r="AE52" s="4110" t="n"/>
      <c r="AF52" s="4110" t="n"/>
      <c r="AG52" s="4110" t="n"/>
      <c r="AH52" s="4113" t="n"/>
    </row>
    <row r="53" ht="15.95" customHeight="1" s="4080">
      <c r="A53" s="4097" t="n"/>
      <c r="B53" s="4107" t="n"/>
      <c r="C53" s="1393" t="n"/>
      <c r="D53" s="4222" t="inlineStr">
        <is>
          <t>サービスを提供
する主たる対象者</t>
        </is>
      </c>
      <c r="E53" s="4098" t="n"/>
      <c r="F53" s="4098" t="n"/>
      <c r="G53" s="4098" t="n"/>
      <c r="H53" s="4098" t="n"/>
      <c r="I53" s="4098" t="n"/>
      <c r="J53" s="4223" t="n"/>
      <c r="K53" s="4952" t="inlineStr">
        <is>
          <t>身体障害者</t>
        </is>
      </c>
      <c r="L53" s="4138" t="n"/>
      <c r="M53" s="4138" t="n"/>
      <c r="N53" s="4138" t="n"/>
      <c r="O53" s="4138" t="n"/>
      <c r="P53" s="4138" t="n"/>
      <c r="Q53" s="4138" t="n"/>
      <c r="R53" s="4138" t="n"/>
      <c r="S53" s="4138" t="n"/>
      <c r="T53" s="4138" t="n"/>
      <c r="U53" s="4138" t="n"/>
      <c r="V53" s="4139" t="n"/>
      <c r="W53" s="4425" t="inlineStr">
        <is>
          <t>知的障害者</t>
        </is>
      </c>
      <c r="X53" s="4098" t="n"/>
      <c r="Y53" s="4098" t="n"/>
      <c r="Z53" s="4099" t="n"/>
      <c r="AA53" s="4425" t="inlineStr">
        <is>
          <t>精神障害者</t>
        </is>
      </c>
      <c r="AB53" s="4098" t="n"/>
      <c r="AC53" s="4098" t="n"/>
      <c r="AD53" s="4099" t="n"/>
      <c r="AE53" s="4426" t="inlineStr">
        <is>
          <t>難病等対象者</t>
        </is>
      </c>
      <c r="AF53" s="4098" t="n"/>
      <c r="AG53" s="4098" t="n"/>
      <c r="AH53" s="4099" t="n"/>
    </row>
    <row r="54" ht="15.95" customHeight="1" s="4080">
      <c r="A54" s="4097" t="n"/>
      <c r="B54" s="4107" t="n"/>
      <c r="C54" s="4106" t="n"/>
      <c r="J54" s="4107" t="n"/>
      <c r="K54" s="3931" t="inlineStr">
        <is>
          <t>肢体不自由</t>
        </is>
      </c>
      <c r="L54" s="4103" t="n"/>
      <c r="M54" s="4103" t="n"/>
      <c r="N54" s="4193" t="n"/>
      <c r="O54" s="4953" t="inlineStr">
        <is>
          <t>視覚</t>
        </is>
      </c>
      <c r="P54" s="4249" t="n"/>
      <c r="Q54" s="4250" t="inlineStr">
        <is>
          <t>聴覚・言語</t>
        </is>
      </c>
      <c r="R54" s="4140" t="n"/>
      <c r="S54" s="4140" t="n"/>
      <c r="T54" s="4249" t="n"/>
      <c r="U54" s="4954" t="inlineStr">
        <is>
          <t>内部</t>
        </is>
      </c>
      <c r="V54" s="4141" t="n"/>
      <c r="W54" s="4102" t="n"/>
      <c r="X54" s="4103" t="n"/>
      <c r="Y54" s="4103" t="n"/>
      <c r="Z54" s="4104" t="n"/>
      <c r="AA54" s="4102" t="n"/>
      <c r="AB54" s="4103" t="n"/>
      <c r="AC54" s="4103" t="n"/>
      <c r="AD54" s="4104" t="n"/>
      <c r="AE54" s="4102" t="n"/>
      <c r="AF54" s="4103" t="n"/>
      <c r="AG54" s="4103" t="n"/>
      <c r="AH54" s="4104" t="n"/>
    </row>
    <row r="55" ht="15.95" customHeight="1" s="4080">
      <c r="A55" s="4097" t="n"/>
      <c r="B55" s="4107" t="n"/>
      <c r="C55" s="4102" t="n"/>
      <c r="D55" s="4103" t="n"/>
      <c r="E55" s="4103" t="n"/>
      <c r="F55" s="4103" t="n"/>
      <c r="G55" s="4103" t="n"/>
      <c r="H55" s="4103" t="n"/>
      <c r="I55" s="4103" t="n"/>
      <c r="J55" s="4104" t="n"/>
      <c r="K55" s="3096" t="n"/>
      <c r="L55" s="4140" t="n"/>
      <c r="M55" s="4140" t="n"/>
      <c r="N55" s="4249" t="n"/>
      <c r="O55" s="2699" t="inlineStr">
        <is>
          <t xml:space="preserve">　</t>
        </is>
      </c>
      <c r="P55" s="4110" t="n"/>
      <c r="Q55" s="3925" t="n"/>
      <c r="R55" s="4110" t="n"/>
      <c r="S55" s="4110" t="n"/>
      <c r="T55" s="4189" t="n"/>
      <c r="U55" s="1280" t="inlineStr">
        <is>
          <t xml:space="preserve">　</t>
        </is>
      </c>
      <c r="V55" s="4111" t="n"/>
      <c r="W55" s="988" t="n"/>
      <c r="X55" s="4110" t="n"/>
      <c r="Y55" s="4110" t="n"/>
      <c r="Z55" s="4111" t="n"/>
      <c r="AA55" s="1663" t="n"/>
      <c r="AB55" s="4140" t="n"/>
      <c r="AC55" s="4140" t="n"/>
      <c r="AD55" s="4141" t="n"/>
      <c r="AE55" s="1663" t="n"/>
      <c r="AF55" s="4140" t="n"/>
      <c r="AG55" s="4140" t="n"/>
      <c r="AH55" s="4141" t="n"/>
    </row>
    <row r="56" ht="15" customHeight="1" s="4080">
      <c r="A56" s="4097" t="n"/>
      <c r="B56" s="4107" t="n"/>
      <c r="C56" s="1393" t="n"/>
      <c r="D56" s="1264" t="inlineStr">
        <is>
          <t>利用料</t>
        </is>
      </c>
      <c r="E56" s="4110" t="n"/>
      <c r="F56" s="4110" t="n"/>
      <c r="G56" s="4110" t="n"/>
      <c r="H56" s="4110" t="n"/>
      <c r="I56" s="4110" t="n"/>
      <c r="J56" s="1394" t="n"/>
      <c r="K56" s="4636" t="inlineStr">
        <is>
          <t xml:space="preserve">　</t>
        </is>
      </c>
      <c r="L56" s="4110" t="n"/>
      <c r="M56" s="4110" t="n"/>
      <c r="N56" s="4110" t="n"/>
      <c r="O56" s="4110" t="n"/>
      <c r="P56" s="4110" t="n"/>
      <c r="Q56" s="4110" t="n"/>
      <c r="R56" s="4110" t="n"/>
      <c r="S56" s="4110" t="n"/>
      <c r="T56" s="4110" t="n"/>
      <c r="U56" s="4110" t="n"/>
      <c r="V56" s="4110" t="n"/>
      <c r="W56" s="4110" t="n"/>
      <c r="X56" s="4110" t="n"/>
      <c r="Y56" s="4110" t="n"/>
      <c r="Z56" s="4110" t="n"/>
      <c r="AA56" s="4110" t="n"/>
      <c r="AB56" s="4110" t="n"/>
      <c r="AC56" s="4110" t="n"/>
      <c r="AD56" s="4110" t="n"/>
      <c r="AE56" s="4110" t="n"/>
      <c r="AF56" s="4110" t="n"/>
      <c r="AG56" s="4110" t="n"/>
      <c r="AH56" s="4113" t="n"/>
    </row>
    <row r="57" ht="15" customHeight="1" s="4080">
      <c r="A57" s="4097" t="n"/>
      <c r="B57" s="4107" t="n"/>
      <c r="C57" s="1322" t="n"/>
      <c r="D57" s="1264" t="inlineStr">
        <is>
          <t>その他の費用</t>
        </is>
      </c>
      <c r="E57" s="4110" t="n"/>
      <c r="F57" s="4110" t="n"/>
      <c r="G57" s="4110" t="n"/>
      <c r="H57" s="4110" t="n"/>
      <c r="I57" s="4110" t="n"/>
      <c r="J57" s="1331" t="n"/>
      <c r="K57" s="4121" t="n"/>
      <c r="L57" s="4110" t="n"/>
      <c r="M57" s="4110" t="n"/>
      <c r="N57" s="4110" t="n"/>
      <c r="O57" s="4110" t="n"/>
      <c r="P57" s="4110" t="n"/>
      <c r="Q57" s="4110" t="n"/>
      <c r="R57" s="4110" t="n"/>
      <c r="S57" s="4110" t="n"/>
      <c r="T57" s="4110" t="n"/>
      <c r="U57" s="4110" t="n"/>
      <c r="V57" s="4110" t="n"/>
      <c r="W57" s="4110" t="n"/>
      <c r="X57" s="4110" t="n"/>
      <c r="Y57" s="4110" t="n"/>
      <c r="Z57" s="4110" t="n"/>
      <c r="AA57" s="4110" t="n"/>
      <c r="AB57" s="4110" t="n"/>
      <c r="AC57" s="4110" t="n"/>
      <c r="AD57" s="4110" t="n"/>
      <c r="AE57" s="4110" t="n"/>
      <c r="AF57" s="4110" t="n"/>
      <c r="AG57" s="4110" t="n"/>
      <c r="AH57" s="4113" t="n"/>
    </row>
    <row r="58" ht="24" customHeight="1" s="4080">
      <c r="A58" s="4097" t="n"/>
      <c r="B58" s="4107" t="n"/>
      <c r="C58" s="1300" t="n"/>
      <c r="D58" s="4222" t="inlineStr">
        <is>
          <t>通常の事業の
実施地域</t>
        </is>
      </c>
      <c r="E58" s="4098" t="n"/>
      <c r="F58" s="4098" t="n"/>
      <c r="G58" s="4098" t="n"/>
      <c r="H58" s="4098" t="n"/>
      <c r="I58" s="4098" t="n"/>
      <c r="J58" s="1963" t="n"/>
      <c r="K58" s="3272" t="inlineStr">
        <is>
          <t>1)</t>
        </is>
      </c>
      <c r="L58" s="1406" t="n"/>
      <c r="M58" s="4110" t="n"/>
      <c r="N58" s="4110" t="n"/>
      <c r="O58" s="2325" t="inlineStr">
        <is>
          <t>2)</t>
        </is>
      </c>
      <c r="P58" s="1406" t="n"/>
      <c r="Q58" s="4110" t="n"/>
      <c r="R58" s="4110" t="n"/>
      <c r="S58" s="2325" t="inlineStr">
        <is>
          <t>3)</t>
        </is>
      </c>
      <c r="T58" s="1406" t="n"/>
      <c r="U58" s="4110" t="n"/>
      <c r="V58" s="4110" t="n"/>
      <c r="W58" s="2325" t="inlineStr">
        <is>
          <t>4)</t>
        </is>
      </c>
      <c r="X58" s="1406" t="n"/>
      <c r="Y58" s="4110" t="n"/>
      <c r="Z58" s="4110" t="n"/>
      <c r="AA58" s="2325" t="inlineStr">
        <is>
          <t>5)</t>
        </is>
      </c>
      <c r="AB58" s="1406" t="n"/>
      <c r="AC58" s="4110" t="n"/>
      <c r="AD58" s="4110" t="n"/>
      <c r="AE58" s="4229" t="inlineStr">
        <is>
          <t>備考</t>
        </is>
      </c>
      <c r="AF58" s="4230" t="n"/>
      <c r="AG58" s="4098" t="n"/>
      <c r="AH58" s="4101" t="n"/>
    </row>
    <row r="59" ht="24" customHeight="1" s="4080">
      <c r="A59" s="4097" t="n"/>
      <c r="B59" s="4107" t="n"/>
      <c r="C59" s="4102" t="n"/>
      <c r="D59" s="4103" t="n"/>
      <c r="E59" s="4103" t="n"/>
      <c r="F59" s="4103" t="n"/>
      <c r="G59" s="4103" t="n"/>
      <c r="H59" s="4103" t="n"/>
      <c r="I59" s="4103" t="n"/>
      <c r="J59" s="4104" t="n"/>
      <c r="K59" s="3272" t="inlineStr">
        <is>
          <t>6)</t>
        </is>
      </c>
      <c r="L59" s="1406" t="n"/>
      <c r="M59" s="4110" t="n"/>
      <c r="N59" s="4110" t="n"/>
      <c r="O59" s="2325" t="inlineStr">
        <is>
          <t>7)</t>
        </is>
      </c>
      <c r="P59" s="1406" t="n"/>
      <c r="Q59" s="4110" t="n"/>
      <c r="R59" s="4110" t="n"/>
      <c r="S59" s="2325" t="inlineStr">
        <is>
          <t>8)</t>
        </is>
      </c>
      <c r="T59" s="1406" t="n"/>
      <c r="U59" s="4110" t="n"/>
      <c r="V59" s="4110" t="n"/>
      <c r="W59" s="2325" t="inlineStr">
        <is>
          <t>9)</t>
        </is>
      </c>
      <c r="X59" s="1406" t="n"/>
      <c r="Y59" s="4110" t="n"/>
      <c r="Z59" s="4110" t="n"/>
      <c r="AA59" s="71" t="inlineStr">
        <is>
          <t>10)</t>
        </is>
      </c>
      <c r="AB59" s="1406" t="n"/>
      <c r="AC59" s="4110" t="n"/>
      <c r="AD59" s="4110" t="n"/>
      <c r="AE59" s="4124" t="n"/>
      <c r="AF59" s="4102" t="n"/>
      <c r="AG59" s="4103" t="n"/>
      <c r="AH59" s="4105" t="n"/>
    </row>
    <row r="60" ht="3.95" customHeight="1" s="4080">
      <c r="A60" s="4097" t="n"/>
      <c r="B60" s="4107" t="n"/>
      <c r="C60" s="1795" t="n"/>
      <c r="D60" s="1402" t="n"/>
      <c r="E60" s="3328" t="n"/>
      <c r="F60" s="3328" t="n"/>
      <c r="G60" s="3328" t="n"/>
      <c r="H60" s="3328" t="n"/>
      <c r="I60" s="3328" t="n"/>
      <c r="J60" s="3329" t="n"/>
      <c r="K60" s="1850" t="n"/>
      <c r="L60" s="1852" t="n"/>
      <c r="M60" s="4098" t="n"/>
      <c r="N60" s="4098" t="n"/>
      <c r="O60" s="1853" t="n"/>
      <c r="P60" s="4326" t="n"/>
      <c r="Q60" s="4098" t="n"/>
      <c r="R60" s="4098" t="n"/>
      <c r="S60" s="4098" t="n"/>
      <c r="T60" s="4098" t="n"/>
      <c r="U60" s="4098" t="n"/>
      <c r="V60" s="4098" t="n"/>
      <c r="W60" s="4098" t="n"/>
      <c r="X60" s="4098" t="n"/>
      <c r="Y60" s="4098" t="n"/>
      <c r="Z60" s="4098" t="n"/>
      <c r="AA60" s="4098" t="n"/>
      <c r="AB60" s="4098" t="n"/>
      <c r="AC60" s="4098" t="n"/>
      <c r="AD60" s="4098" t="n"/>
      <c r="AE60" s="4098" t="n"/>
      <c r="AF60" s="4098" t="n"/>
      <c r="AG60" s="4098" t="n"/>
      <c r="AH60" s="4101" t="n"/>
    </row>
    <row r="61" ht="12" customHeight="1" s="4080">
      <c r="A61" s="4097" t="n"/>
      <c r="B61" s="4107" t="n"/>
      <c r="C61" s="1241" t="n"/>
      <c r="D61" s="2284" t="inlineStr">
        <is>
          <t>食事提供の有無</t>
        </is>
      </c>
      <c r="J61" s="1243" t="n"/>
      <c r="K61" s="4106" t="n"/>
      <c r="L61" s="1829" t="inlineStr">
        <is>
          <t>有</t>
        </is>
      </c>
      <c r="M61" s="1829" t="inlineStr">
        <is>
          <t>・</t>
        </is>
      </c>
      <c r="N61" s="1829" t="inlineStr">
        <is>
          <t>無</t>
        </is>
      </c>
      <c r="O61" s="4107" t="n"/>
      <c r="P61" s="4106" t="n"/>
      <c r="AH61" s="4109" t="n"/>
    </row>
    <row r="62" ht="3.95" customHeight="1" s="4080">
      <c r="A62" s="4097" t="n"/>
      <c r="B62" s="4107" t="n"/>
      <c r="C62" s="1412" t="n"/>
      <c r="D62" s="1413" t="n"/>
      <c r="E62" s="3334" t="n"/>
      <c r="F62" s="3334" t="n"/>
      <c r="G62" s="3334" t="n"/>
      <c r="H62" s="3334" t="n"/>
      <c r="I62" s="3334" t="n"/>
      <c r="J62" s="3335" t="n"/>
      <c r="K62" s="1295" t="n"/>
      <c r="L62" s="2285" t="n"/>
      <c r="M62" s="4103" t="n"/>
      <c r="N62" s="4103" t="n"/>
      <c r="O62" s="1296" t="n"/>
      <c r="P62" s="1551" t="n"/>
      <c r="Q62" s="1551" t="n"/>
      <c r="R62" s="1551" t="n"/>
      <c r="S62" s="1296" t="n"/>
      <c r="T62" s="1551" t="n"/>
      <c r="U62" s="1551" t="n"/>
      <c r="V62" s="1551" t="n"/>
      <c r="W62" s="1296" t="n"/>
      <c r="X62" s="1551" t="n"/>
      <c r="Y62" s="1551" t="n"/>
      <c r="Z62" s="1551" t="n"/>
      <c r="AA62" s="798" t="n"/>
      <c r="AB62" s="1551" t="n"/>
      <c r="AC62" s="1551" t="n"/>
      <c r="AD62" s="1551" t="n"/>
      <c r="AE62" s="675" t="n"/>
      <c r="AF62" s="1020" t="n"/>
      <c r="AG62" s="1020" t="n"/>
      <c r="AH62" s="1425" t="n"/>
      <c r="AJ62" s="266" t="n"/>
    </row>
    <row r="63" ht="3.95" customHeight="1" s="4080">
      <c r="A63" s="4097" t="n"/>
      <c r="B63" s="4107" t="n"/>
      <c r="C63" s="4231" t="inlineStr">
        <is>
          <t>その他参考
となる事項</t>
        </is>
      </c>
      <c r="D63" s="4099" t="n"/>
      <c r="E63" s="2753" t="inlineStr">
        <is>
          <t>第三者評価の実施状況</t>
        </is>
      </c>
      <c r="F63" s="4098" t="n"/>
      <c r="G63" s="4098" t="n"/>
      <c r="H63" s="4098" t="n"/>
      <c r="I63" s="4098" t="n"/>
      <c r="J63" s="4099" t="n"/>
      <c r="K63" s="1657" t="n"/>
      <c r="L63" s="1658" t="n"/>
      <c r="M63" s="1658" t="n"/>
      <c r="N63" s="1658" t="n"/>
      <c r="O63" s="1658" t="n"/>
      <c r="P63" s="1658" t="n"/>
      <c r="Q63" s="1658" t="n"/>
      <c r="R63" s="930" t="n"/>
      <c r="AB63" s="1658" t="n"/>
      <c r="AC63" s="1658" t="n"/>
      <c r="AD63" s="1658" t="n"/>
      <c r="AE63" s="1658" t="n"/>
      <c r="AF63" s="1658" t="n"/>
      <c r="AG63" s="1658" t="n"/>
      <c r="AH63" s="1659" t="n"/>
    </row>
    <row r="64" ht="15" customHeight="1" s="4080">
      <c r="A64" s="4097" t="n"/>
      <c r="B64" s="4107" t="n"/>
      <c r="C64" s="4106" t="n"/>
      <c r="D64" s="4107" t="n"/>
      <c r="J64" s="4107" t="n"/>
      <c r="K64" s="1372" t="n"/>
      <c r="L64" s="1432" t="inlineStr">
        <is>
          <t>している</t>
        </is>
      </c>
      <c r="O64" s="1458" t="inlineStr">
        <is>
          <t>(実施先：</t>
        </is>
      </c>
      <c r="AB64" s="1325" t="inlineStr">
        <is>
          <t>)・</t>
        </is>
      </c>
      <c r="AD64" s="1432" t="inlineStr">
        <is>
          <t>していない</t>
        </is>
      </c>
      <c r="AH64" s="1668" t="n"/>
    </row>
    <row r="65" ht="3.95" customHeight="1" s="4080">
      <c r="A65" s="4097" t="n"/>
      <c r="B65" s="4107" t="n"/>
      <c r="C65" s="4106" t="n"/>
      <c r="D65" s="4107" t="n"/>
      <c r="E65" s="4103" t="n"/>
      <c r="F65" s="4103" t="n"/>
      <c r="G65" s="4103" t="n"/>
      <c r="H65" s="4103" t="n"/>
      <c r="I65" s="4103" t="n"/>
      <c r="J65" s="4104" t="n"/>
      <c r="K65" s="1657" t="n"/>
      <c r="L65" s="1658" t="n"/>
      <c r="M65" s="1658" t="n"/>
      <c r="N65" s="1658" t="n"/>
      <c r="O65" s="1658" t="n"/>
      <c r="P65" s="1658" t="n"/>
      <c r="Q65" s="1658" t="n"/>
      <c r="R65" s="4103" t="n"/>
      <c r="S65" s="4103" t="n"/>
      <c r="T65" s="4103" t="n"/>
      <c r="U65" s="4103" t="n"/>
      <c r="V65" s="4103" t="n"/>
      <c r="W65" s="4103" t="n"/>
      <c r="X65" s="4103" t="n"/>
      <c r="Y65" s="4103" t="n"/>
      <c r="Z65" s="4103" t="n"/>
      <c r="AA65" s="4103" t="n"/>
      <c r="AB65" s="1658" t="n"/>
      <c r="AC65" s="1658" t="n"/>
      <c r="AD65" s="1658" t="n"/>
      <c r="AE65" s="1658" t="n"/>
      <c r="AF65" s="1658" t="n"/>
      <c r="AG65" s="1658" t="n"/>
      <c r="AH65" s="1659" t="n"/>
    </row>
    <row r="66" ht="15" customHeight="1" s="4080">
      <c r="A66" s="4097" t="n"/>
      <c r="B66" s="4107" t="n"/>
      <c r="C66" s="4106" t="n"/>
      <c r="D66" s="4107" t="n"/>
      <c r="E66" s="1439" t="inlineStr">
        <is>
          <t>苦情解決の措置概要</t>
        </is>
      </c>
      <c r="F66" s="4098" t="n"/>
      <c r="G66" s="4098" t="n"/>
      <c r="H66" s="4098" t="n"/>
      <c r="I66" s="4098" t="n"/>
      <c r="J66" s="4099" t="n"/>
      <c r="K66" s="2542" t="inlineStr">
        <is>
          <t>窓　口</t>
        </is>
      </c>
      <c r="L66" s="4110" t="n"/>
      <c r="M66" s="4111" t="n"/>
      <c r="N66" s="4267" t="n"/>
      <c r="O66" s="4110" t="n"/>
      <c r="P66" s="4110" t="n"/>
      <c r="Q66" s="4110" t="n"/>
      <c r="R66" s="4110" t="n"/>
      <c r="S66" s="4110" t="n"/>
      <c r="T66" s="4110" t="n"/>
      <c r="U66" s="4110" t="n"/>
      <c r="V66" s="4110" t="n"/>
      <c r="W66" s="4110" t="n"/>
      <c r="X66" s="4110" t="n"/>
      <c r="Y66" s="4110" t="n"/>
      <c r="Z66" s="4110" t="n"/>
      <c r="AA66" s="4110" t="n"/>
      <c r="AB66" s="4110" t="n"/>
      <c r="AC66" s="4110" t="n"/>
      <c r="AD66" s="4110" t="n"/>
      <c r="AE66" s="4110" t="n"/>
      <c r="AF66" s="4110" t="n"/>
      <c r="AG66" s="4110" t="n"/>
      <c r="AH66" s="4113" t="n"/>
    </row>
    <row r="67" ht="15" customHeight="1" s="4080">
      <c r="A67" s="4097" t="n"/>
      <c r="B67" s="4107" t="n"/>
      <c r="C67" s="4106" t="n"/>
      <c r="D67" s="4107" t="n"/>
      <c r="E67" s="4103" t="n"/>
      <c r="F67" s="4103" t="n"/>
      <c r="G67" s="4103" t="n"/>
      <c r="H67" s="4103" t="n"/>
      <c r="I67" s="4103" t="n"/>
      <c r="J67" s="4104" t="n"/>
      <c r="K67" s="2542" t="inlineStr">
        <is>
          <t>担当者</t>
        </is>
      </c>
      <c r="L67" s="4110" t="n"/>
      <c r="M67" s="4111" t="n"/>
      <c r="N67" s="4233" t="n"/>
      <c r="O67" s="4110" t="n"/>
      <c r="P67" s="4110" t="n"/>
      <c r="Q67" s="4110" t="n"/>
      <c r="R67" s="4110" t="n"/>
      <c r="S67" s="4110" t="n"/>
      <c r="T67" s="4110" t="n"/>
      <c r="U67" s="4111" t="n"/>
      <c r="V67" s="2163" t="inlineStr">
        <is>
          <t>電話</t>
        </is>
      </c>
      <c r="W67" s="4111" t="n"/>
      <c r="X67" s="1479" t="n"/>
      <c r="Y67" s="4110" t="n"/>
      <c r="Z67" s="4110" t="n"/>
      <c r="AA67" s="1492" t="inlineStr">
        <is>
          <t>－</t>
        </is>
      </c>
      <c r="AB67" s="1150" t="n"/>
      <c r="AC67" s="4110" t="n"/>
      <c r="AD67" s="4110" t="n"/>
      <c r="AE67" s="1492" t="inlineStr">
        <is>
          <t>－</t>
        </is>
      </c>
      <c r="AF67" s="1483" t="n"/>
      <c r="AG67" s="4110" t="n"/>
      <c r="AH67" s="4113" t="n"/>
    </row>
    <row r="68" ht="15" customHeight="1" s="4080">
      <c r="A68" s="4114" t="n"/>
      <c r="B68" s="4104" t="n"/>
      <c r="C68" s="4102" t="n"/>
      <c r="D68" s="4104" t="n"/>
      <c r="E68" s="1394" t="inlineStr">
        <is>
          <t>そ　　 の 　　他</t>
        </is>
      </c>
      <c r="F68" s="4110" t="n"/>
      <c r="G68" s="4110" t="n"/>
      <c r="H68" s="4110" t="n"/>
      <c r="I68" s="4110" t="n"/>
      <c r="J68" s="4111" t="n"/>
      <c r="K68" s="4121" t="n"/>
      <c r="L68" s="4110" t="n"/>
      <c r="M68" s="4110" t="n"/>
      <c r="N68" s="4110" t="n"/>
      <c r="O68" s="4110" t="n"/>
      <c r="P68" s="4110" t="n"/>
      <c r="Q68" s="4110" t="n"/>
      <c r="R68" s="4110" t="n"/>
      <c r="S68" s="4110" t="n"/>
      <c r="T68" s="4110" t="n"/>
      <c r="U68" s="4110" t="n"/>
      <c r="V68" s="4110" t="n"/>
      <c r="W68" s="4110" t="n"/>
      <c r="X68" s="4110" t="n"/>
      <c r="Y68" s="4110" t="n"/>
      <c r="Z68" s="4110" t="n"/>
      <c r="AA68" s="4110" t="n"/>
      <c r="AB68" s="4110" t="n"/>
      <c r="AC68" s="4110" t="n"/>
      <c r="AD68" s="4110" t="n"/>
      <c r="AE68" s="4110" t="n"/>
      <c r="AF68" s="4110" t="n"/>
      <c r="AG68" s="4110" t="n"/>
      <c r="AH68" s="4113" t="n"/>
    </row>
    <row r="69" ht="15" customHeight="1" s="4080">
      <c r="A69" s="2915" t="n"/>
      <c r="B69" s="1264" t="inlineStr">
        <is>
          <t>協力医療機関</t>
        </is>
      </c>
      <c r="C69" s="4098" t="n"/>
      <c r="D69" s="4098" t="n"/>
      <c r="E69" s="4098" t="n"/>
      <c r="F69" s="4098" t="n"/>
      <c r="G69" s="4098" t="n"/>
      <c r="H69" s="4098" t="n"/>
      <c r="I69" s="4098" t="n"/>
      <c r="J69" s="2077" t="n"/>
      <c r="K69" s="1865" t="inlineStr">
        <is>
          <t>ﾌﾘｶﾞﾅ</t>
        </is>
      </c>
      <c r="L69" s="4110" t="n"/>
      <c r="M69" s="4110" t="n"/>
      <c r="N69" s="4432" t="n"/>
      <c r="O69" s="4110" t="n"/>
      <c r="P69" s="4110" t="n"/>
      <c r="Q69" s="4110" t="n"/>
      <c r="R69" s="4110" t="n"/>
      <c r="S69" s="4110" t="n"/>
      <c r="T69" s="4110" t="n"/>
      <c r="U69" s="4110" t="n"/>
      <c r="V69" s="4110" t="n"/>
      <c r="W69" s="4110" t="n"/>
      <c r="X69" s="4110" t="n"/>
      <c r="Y69" s="4110" t="n"/>
      <c r="Z69" s="4110" t="n"/>
      <c r="AA69" s="4110" t="n"/>
      <c r="AB69" s="4111" t="n"/>
      <c r="AC69" s="3362" t="inlineStr">
        <is>
          <t>主な診療科名</t>
        </is>
      </c>
      <c r="AD69" s="4099" t="n"/>
      <c r="AE69" s="4489" t="n"/>
      <c r="AF69" s="4098" t="n"/>
      <c r="AG69" s="4098" t="n"/>
      <c r="AH69" s="4101" t="n"/>
    </row>
    <row r="70" ht="24" customHeight="1" s="4080">
      <c r="A70" s="4114" t="n"/>
      <c r="B70" s="4103" t="n"/>
      <c r="C70" s="4103" t="n"/>
      <c r="D70" s="4103" t="n"/>
      <c r="E70" s="4103" t="n"/>
      <c r="F70" s="4103" t="n"/>
      <c r="G70" s="4103" t="n"/>
      <c r="H70" s="4103" t="n"/>
      <c r="I70" s="4103" t="n"/>
      <c r="J70" s="4104" t="n"/>
      <c r="K70" s="2164" t="inlineStr">
        <is>
          <t>名　称</t>
        </is>
      </c>
      <c r="L70" s="4110" t="n"/>
      <c r="M70" s="4111" t="n"/>
      <c r="N70" s="4123" t="n"/>
      <c r="O70" s="4110" t="n"/>
      <c r="P70" s="4110" t="n"/>
      <c r="Q70" s="4110" t="n"/>
      <c r="R70" s="4110" t="n"/>
      <c r="S70" s="4110" t="n"/>
      <c r="T70" s="4110" t="n"/>
      <c r="U70" s="4110" t="n"/>
      <c r="V70" s="4110" t="n"/>
      <c r="W70" s="4110" t="n"/>
      <c r="X70" s="4110" t="n"/>
      <c r="Y70" s="4110" t="n"/>
      <c r="Z70" s="4110" t="n"/>
      <c r="AA70" s="4110" t="n"/>
      <c r="AB70" s="4111" t="n"/>
      <c r="AC70" s="4103" t="n"/>
      <c r="AD70" s="4104" t="n"/>
      <c r="AE70" s="4102" t="n"/>
      <c r="AF70" s="4103" t="n"/>
      <c r="AG70" s="4103" t="n"/>
      <c r="AH70" s="4105" t="n"/>
    </row>
    <row r="71" ht="15" customHeight="1" s="4080">
      <c r="A71" s="2915" t="n"/>
      <c r="B71" s="1264" t="inlineStr">
        <is>
          <t>提携就労支援機関</t>
        </is>
      </c>
      <c r="C71" s="4098" t="n"/>
      <c r="D71" s="4098" t="n"/>
      <c r="E71" s="4098" t="n"/>
      <c r="F71" s="4098" t="n"/>
      <c r="G71" s="4098" t="n"/>
      <c r="H71" s="4098" t="n"/>
      <c r="I71" s="4098" t="n"/>
      <c r="J71" s="2077" t="n"/>
      <c r="K71" s="1865" t="inlineStr">
        <is>
          <t>ﾌﾘｶﾞﾅ</t>
        </is>
      </c>
      <c r="L71" s="4110" t="n"/>
      <c r="M71" s="4110" t="n"/>
      <c r="N71" s="4432" t="n"/>
      <c r="O71" s="4110" t="n"/>
      <c r="P71" s="4110" t="n"/>
      <c r="Q71" s="4110" t="n"/>
      <c r="R71" s="4110" t="n"/>
      <c r="S71" s="4110" t="n"/>
      <c r="T71" s="4110" t="n"/>
      <c r="U71" s="4110" t="n"/>
      <c r="V71" s="4110" t="n"/>
      <c r="W71" s="4110" t="n"/>
      <c r="X71" s="4110" t="n"/>
      <c r="Y71" s="4110" t="n"/>
      <c r="Z71" s="4110" t="n"/>
      <c r="AA71" s="4110" t="n"/>
      <c r="AB71" s="4111" t="n"/>
      <c r="AC71" s="3362" t="inlineStr">
        <is>
          <t>業種</t>
        </is>
      </c>
      <c r="AD71" s="4099" t="n"/>
      <c r="AE71" s="4489" t="n"/>
      <c r="AF71" s="4098" t="n"/>
      <c r="AG71" s="4098" t="n"/>
      <c r="AH71" s="4101" t="n"/>
    </row>
    <row r="72" ht="24" customHeight="1" s="4080">
      <c r="A72" s="4114" t="n"/>
      <c r="B72" s="4103" t="n"/>
      <c r="C72" s="4103" t="n"/>
      <c r="D72" s="4103" t="n"/>
      <c r="E72" s="4103" t="n"/>
      <c r="F72" s="4103" t="n"/>
      <c r="G72" s="4103" t="n"/>
      <c r="H72" s="4103" t="n"/>
      <c r="I72" s="4103" t="n"/>
      <c r="J72" s="4104" t="n"/>
      <c r="K72" s="2164" t="inlineStr">
        <is>
          <t>名　称</t>
        </is>
      </c>
      <c r="L72" s="4110" t="n"/>
      <c r="M72" s="4111" t="n"/>
      <c r="N72" s="4123" t="n"/>
      <c r="O72" s="4110" t="n"/>
      <c r="P72" s="4110" t="n"/>
      <c r="Q72" s="4110" t="n"/>
      <c r="R72" s="4110" t="n"/>
      <c r="S72" s="4110" t="n"/>
      <c r="T72" s="4110" t="n"/>
      <c r="U72" s="4110" t="n"/>
      <c r="V72" s="4110" t="n"/>
      <c r="W72" s="4110" t="n"/>
      <c r="X72" s="4110" t="n"/>
      <c r="Y72" s="4110" t="n"/>
      <c r="Z72" s="4110" t="n"/>
      <c r="AA72" s="4110" t="n"/>
      <c r="AB72" s="4111" t="n"/>
      <c r="AC72" s="4103" t="n"/>
      <c r="AD72" s="4104" t="n"/>
      <c r="AE72" s="4102" t="n"/>
      <c r="AF72" s="4103" t="n"/>
      <c r="AG72" s="4103" t="n"/>
      <c r="AH72" s="4105" t="n"/>
    </row>
    <row r="73" ht="17.1" customHeight="1" s="4080" thickBot="1">
      <c r="A73" s="4234" t="inlineStr">
        <is>
          <t>添　　付　　書　　類</t>
        </is>
      </c>
      <c r="B73" s="4153" t="n"/>
      <c r="C73" s="4153" t="n"/>
      <c r="D73" s="4153" t="n"/>
      <c r="E73" s="4153" t="n"/>
      <c r="F73" s="4153" t="n"/>
      <c r="G73" s="4153" t="n"/>
      <c r="H73" s="4153" t="n"/>
      <c r="I73" s="4153" t="n"/>
      <c r="J73" s="4154" t="n"/>
      <c r="K73" s="4235" t="inlineStr">
        <is>
          <t xml:space="preserve">　別紙「添付書類一覧表」のとおり</t>
        </is>
      </c>
      <c r="L73" s="4153" t="n"/>
      <c r="M73" s="4153" t="n"/>
      <c r="N73" s="4153" t="n"/>
      <c r="O73" s="4153" t="n"/>
      <c r="P73" s="4153" t="n"/>
      <c r="Q73" s="4153" t="n"/>
      <c r="R73" s="4153" t="n"/>
      <c r="S73" s="4153" t="n"/>
      <c r="T73" s="4153" t="n"/>
      <c r="U73" s="4153" t="n"/>
      <c r="V73" s="4153" t="n"/>
      <c r="W73" s="4153" t="n"/>
      <c r="X73" s="4153" t="n"/>
      <c r="Y73" s="4153" t="n"/>
      <c r="Z73" s="4153" t="n"/>
      <c r="AA73" s="4153" t="n"/>
      <c r="AB73" s="4153" t="n"/>
      <c r="AC73" s="4153" t="n"/>
      <c r="AD73" s="4153" t="n"/>
      <c r="AE73" s="4153" t="n"/>
      <c r="AF73" s="4153" t="n"/>
      <c r="AG73" s="4153" t="n"/>
      <c r="AH73" s="4155" t="n"/>
    </row>
    <row r="74">
      <c r="AE74" s="1667" t="inlineStr">
        <is>
          <t>就労選択</t>
        </is>
      </c>
    </row>
  </sheetData>
  <mergeCells count="331">
    <mergeCell ref="D57:I57"/>
    <mergeCell ref="Y47:Z47"/>
    <mergeCell ref="K35:L35"/>
    <mergeCell ref="A37:B68"/>
    <mergeCell ref="AB67:AD67"/>
    <mergeCell ref="V17:AH17"/>
    <mergeCell ref="C49:C51"/>
    <mergeCell ref="T34:V34"/>
    <mergeCell ref="H2:L2"/>
    <mergeCell ref="T28:V28"/>
    <mergeCell ref="Z1:AH1"/>
    <mergeCell ref="R63:AA65"/>
    <mergeCell ref="T51:U51"/>
    <mergeCell ref="O55:P55"/>
    <mergeCell ref="AA2:AA3"/>
    <mergeCell ref="K34:M34"/>
    <mergeCell ref="AC2:AC3"/>
    <mergeCell ref="P46:P48"/>
    <mergeCell ref="J71:J72"/>
    <mergeCell ref="P40:P42"/>
    <mergeCell ref="T29:V29"/>
    <mergeCell ref="V39:AB39"/>
    <mergeCell ref="AA11:AB11"/>
    <mergeCell ref="AC36:AD36"/>
    <mergeCell ref="AC11:AD11"/>
    <mergeCell ref="AE11:AF11"/>
    <mergeCell ref="E63:J65"/>
    <mergeCell ref="T58:V58"/>
    <mergeCell ref="K29:M29"/>
    <mergeCell ref="AC69:AD70"/>
    <mergeCell ref="P43:P45"/>
    <mergeCell ref="T35:U35"/>
    <mergeCell ref="D37:I39"/>
    <mergeCell ref="O64:Q64"/>
    <mergeCell ref="AE53:AH54"/>
    <mergeCell ref="N44:O44"/>
    <mergeCell ref="Q54:T54"/>
    <mergeCell ref="A1:Y1"/>
    <mergeCell ref="AA40:AA42"/>
    <mergeCell ref="V49:AB49"/>
    <mergeCell ref="AE71:AH72"/>
    <mergeCell ref="C63:D68"/>
    <mergeCell ref="AB64:AC64"/>
    <mergeCell ref="Q34:S34"/>
    <mergeCell ref="AC49:AC51"/>
    <mergeCell ref="X40:X42"/>
    <mergeCell ref="C53:C55"/>
    <mergeCell ref="Z2:Z3"/>
    <mergeCell ref="AC31:AH33"/>
    <mergeCell ref="AB2:AB3"/>
    <mergeCell ref="AD2:AD3"/>
    <mergeCell ref="R50:R51"/>
    <mergeCell ref="W29:Y29"/>
    <mergeCell ref="K55:N55"/>
    <mergeCell ref="AF27:AH27"/>
    <mergeCell ref="N70:AB70"/>
    <mergeCell ref="AB58:AD58"/>
    <mergeCell ref="M38:M39"/>
    <mergeCell ref="O38:O39"/>
    <mergeCell ref="Y41:Z41"/>
    <mergeCell ref="Q41:R41"/>
    <mergeCell ref="N66:AH66"/>
    <mergeCell ref="P59:R59"/>
    <mergeCell ref="J40:J48"/>
    <mergeCell ref="N47:O47"/>
    <mergeCell ref="K52:M52"/>
    <mergeCell ref="I8:M9"/>
    <mergeCell ref="X46:X48"/>
    <mergeCell ref="D53:I55"/>
    <mergeCell ref="K53:V53"/>
    <mergeCell ref="A11:S11"/>
    <mergeCell ref="N67:U67"/>
    <mergeCell ref="Q36:R36"/>
    <mergeCell ref="J49:J51"/>
    <mergeCell ref="U54:V54"/>
    <mergeCell ref="AF58:AH59"/>
    <mergeCell ref="AC28:AE28"/>
    <mergeCell ref="M32:N32"/>
    <mergeCell ref="S52:U52"/>
    <mergeCell ref="W30:AB30"/>
    <mergeCell ref="H35:I35"/>
    <mergeCell ref="AA52:AH52"/>
    <mergeCell ref="N71:AB71"/>
    <mergeCell ref="AA55:AD55"/>
    <mergeCell ref="Z21:AH21"/>
    <mergeCell ref="U47:W47"/>
    <mergeCell ref="K71:M71"/>
    <mergeCell ref="N46:O46"/>
    <mergeCell ref="Z23:AH23"/>
    <mergeCell ref="I10:K10"/>
    <mergeCell ref="AC35:AD35"/>
    <mergeCell ref="X59:Z59"/>
    <mergeCell ref="K66:M66"/>
    <mergeCell ref="P13:Q15"/>
    <mergeCell ref="C13:E15"/>
    <mergeCell ref="L38:L39"/>
    <mergeCell ref="N38:N39"/>
    <mergeCell ref="C7:E9"/>
    <mergeCell ref="Z24:AH24"/>
    <mergeCell ref="U44:W44"/>
    <mergeCell ref="E35:G35"/>
    <mergeCell ref="W26:AB26"/>
    <mergeCell ref="AF10:AH10"/>
    <mergeCell ref="P60:AH61"/>
    <mergeCell ref="Q52:R52"/>
    <mergeCell ref="AC29:AE29"/>
    <mergeCell ref="Z25:AA25"/>
    <mergeCell ref="K46:M48"/>
    <mergeCell ref="R25:S25"/>
    <mergeCell ref="A34:D36"/>
    <mergeCell ref="H36:I36"/>
    <mergeCell ref="Z34:AB34"/>
    <mergeCell ref="AD49:AH51"/>
    <mergeCell ref="K23:N24"/>
    <mergeCell ref="Z28:AB28"/>
    <mergeCell ref="J53:J55"/>
    <mergeCell ref="AA43:AA45"/>
    <mergeCell ref="O60:O61"/>
    <mergeCell ref="B71:I72"/>
    <mergeCell ref="AB40:AH42"/>
    <mergeCell ref="AF67:AH67"/>
    <mergeCell ref="X67:Z67"/>
    <mergeCell ref="C58:C59"/>
    <mergeCell ref="Q10:S10"/>
    <mergeCell ref="K21:N22"/>
    <mergeCell ref="F4:AH4"/>
    <mergeCell ref="E34:G34"/>
    <mergeCell ref="U2:X3"/>
    <mergeCell ref="Q26:V26"/>
    <mergeCell ref="K67:M67"/>
    <mergeCell ref="K43:M45"/>
    <mergeCell ref="P7:R7"/>
    <mergeCell ref="D40:I48"/>
    <mergeCell ref="E36:G36"/>
    <mergeCell ref="C5:E6"/>
    <mergeCell ref="Y11:Z11"/>
    <mergeCell ref="C37:C39"/>
    <mergeCell ref="F7:I7"/>
    <mergeCell ref="J13:M15"/>
    <mergeCell ref="T27:V27"/>
    <mergeCell ref="N27:P27"/>
    <mergeCell ref="E68:J68"/>
    <mergeCell ref="K30:P30"/>
    <mergeCell ref="U55:V55"/>
    <mergeCell ref="C4:E4"/>
    <mergeCell ref="C26:J27"/>
    <mergeCell ref="D52:I52"/>
    <mergeCell ref="Z36:AA36"/>
    <mergeCell ref="A33:J33"/>
    <mergeCell ref="T39:U39"/>
    <mergeCell ref="K72:M72"/>
    <mergeCell ref="A4:B10"/>
    <mergeCell ref="P21:X21"/>
    <mergeCell ref="S49:S51"/>
    <mergeCell ref="D58:I59"/>
    <mergeCell ref="U41:W41"/>
    <mergeCell ref="V67:W67"/>
    <mergeCell ref="A69:A70"/>
    <mergeCell ref="P23:X23"/>
    <mergeCell ref="K36:L36"/>
    <mergeCell ref="W35:X35"/>
    <mergeCell ref="K56:AH56"/>
    <mergeCell ref="O50:O51"/>
    <mergeCell ref="Q50:Q51"/>
    <mergeCell ref="AC27:AE27"/>
    <mergeCell ref="P58:R58"/>
    <mergeCell ref="K38:K39"/>
    <mergeCell ref="Q28:S28"/>
    <mergeCell ref="S37:S39"/>
    <mergeCell ref="Q29:S29"/>
    <mergeCell ref="J69:J70"/>
    <mergeCell ref="T49:U49"/>
    <mergeCell ref="S46:T48"/>
    <mergeCell ref="X58:Z58"/>
    <mergeCell ref="W16:AH16"/>
    <mergeCell ref="B2:F2"/>
    <mergeCell ref="Q38:Q39"/>
    <mergeCell ref="N28:P28"/>
    <mergeCell ref="K27:M27"/>
    <mergeCell ref="T50:U50"/>
    <mergeCell ref="O54:P54"/>
    <mergeCell ref="W18:AH18"/>
    <mergeCell ref="Q35:R35"/>
    <mergeCell ref="L59:N59"/>
    <mergeCell ref="P24:X24"/>
    <mergeCell ref="C16:M18"/>
    <mergeCell ref="AC25:AD25"/>
    <mergeCell ref="K57:AH57"/>
    <mergeCell ref="N40:O40"/>
    <mergeCell ref="S16:U18"/>
    <mergeCell ref="N12:O15"/>
    <mergeCell ref="K26:P26"/>
    <mergeCell ref="N35:O35"/>
    <mergeCell ref="F5:AH6"/>
    <mergeCell ref="N50:N51"/>
    <mergeCell ref="P50:P51"/>
    <mergeCell ref="V37:AB37"/>
    <mergeCell ref="A31:J31"/>
    <mergeCell ref="D56:I56"/>
    <mergeCell ref="X43:X45"/>
    <mergeCell ref="Q30:V30"/>
    <mergeCell ref="A73:J73"/>
    <mergeCell ref="AE69:AH70"/>
    <mergeCell ref="N34:P34"/>
    <mergeCell ref="AF2:AF3"/>
    <mergeCell ref="P20:AH20"/>
    <mergeCell ref="AH2:AH3"/>
    <mergeCell ref="AC37:AC39"/>
    <mergeCell ref="V38:AB38"/>
    <mergeCell ref="J7:N7"/>
    <mergeCell ref="W55:Z55"/>
    <mergeCell ref="T10:W10"/>
    <mergeCell ref="Q55:T55"/>
    <mergeCell ref="J37:J39"/>
    <mergeCell ref="AC71:AD72"/>
    <mergeCell ref="W11:X11"/>
    <mergeCell ref="T37:U37"/>
    <mergeCell ref="C28:J28"/>
    <mergeCell ref="C10:E10"/>
    <mergeCell ref="AB59:AD59"/>
    <mergeCell ref="P38:P39"/>
    <mergeCell ref="C30:J30"/>
    <mergeCell ref="T59:V59"/>
    <mergeCell ref="R38:R39"/>
    <mergeCell ref="L62:N62"/>
    <mergeCell ref="T38:U38"/>
    <mergeCell ref="J12:M12"/>
    <mergeCell ref="N41:O41"/>
    <mergeCell ref="L64:N64"/>
    <mergeCell ref="C40:C48"/>
    <mergeCell ref="N43:O43"/>
    <mergeCell ref="Q27:S27"/>
    <mergeCell ref="K25:N25"/>
    <mergeCell ref="AD64:AG64"/>
    <mergeCell ref="AA53:AD54"/>
    <mergeCell ref="X10:Z10"/>
    <mergeCell ref="K54:N54"/>
    <mergeCell ref="AB10:AD10"/>
    <mergeCell ref="T13:V15"/>
    <mergeCell ref="D49:I51"/>
    <mergeCell ref="V51:AB51"/>
    <mergeCell ref="Q47:R47"/>
    <mergeCell ref="AC30:AH30"/>
    <mergeCell ref="K60:K61"/>
    <mergeCell ref="AE2:AE3"/>
    <mergeCell ref="C19:J25"/>
    <mergeCell ref="AG2:AG3"/>
    <mergeCell ref="Y2:Y3"/>
    <mergeCell ref="C29:J29"/>
    <mergeCell ref="Z29:AB29"/>
    <mergeCell ref="W31:AB33"/>
    <mergeCell ref="N8:N9"/>
    <mergeCell ref="U25:V25"/>
    <mergeCell ref="Q31:V33"/>
    <mergeCell ref="V40:W40"/>
    <mergeCell ref="P8:AH9"/>
    <mergeCell ref="Q2:S2"/>
    <mergeCell ref="N69:AB69"/>
    <mergeCell ref="X13:AH15"/>
    <mergeCell ref="A12:B25"/>
    <mergeCell ref="T12:X12"/>
    <mergeCell ref="K73:AH73"/>
    <mergeCell ref="W28:Y28"/>
    <mergeCell ref="K69:M69"/>
    <mergeCell ref="AF35:AG35"/>
    <mergeCell ref="F10:H10"/>
    <mergeCell ref="Z35:AA35"/>
    <mergeCell ref="K68:AH68"/>
    <mergeCell ref="AD37:AH39"/>
    <mergeCell ref="AB46:AH48"/>
    <mergeCell ref="AF36:AG36"/>
    <mergeCell ref="F13:I15"/>
    <mergeCell ref="N16:R16"/>
    <mergeCell ref="AA46:AA48"/>
    <mergeCell ref="L58:N58"/>
    <mergeCell ref="A71:A72"/>
    <mergeCell ref="AE55:AH55"/>
    <mergeCell ref="L60:N60"/>
    <mergeCell ref="O25:P25"/>
    <mergeCell ref="AF28:AH28"/>
    <mergeCell ref="K19:N20"/>
    <mergeCell ref="W34:Y34"/>
    <mergeCell ref="AB43:AH45"/>
    <mergeCell ref="M50:M51"/>
    <mergeCell ref="A32:J32"/>
    <mergeCell ref="N72:AB72"/>
    <mergeCell ref="B69:I70"/>
    <mergeCell ref="E66:J67"/>
    <mergeCell ref="P19:AH19"/>
    <mergeCell ref="Z22:AH22"/>
    <mergeCell ref="AC26:AH26"/>
    <mergeCell ref="V50:AB50"/>
    <mergeCell ref="C12:E12"/>
    <mergeCell ref="N2:O2"/>
    <mergeCell ref="K70:M70"/>
    <mergeCell ref="N18:R18"/>
    <mergeCell ref="AF34:AH34"/>
    <mergeCell ref="S40:T42"/>
    <mergeCell ref="A26:B30"/>
    <mergeCell ref="AF29:AH29"/>
    <mergeCell ref="AE25:AF25"/>
    <mergeCell ref="AG25:AH25"/>
    <mergeCell ref="D61:I61"/>
    <mergeCell ref="W36:X36"/>
    <mergeCell ref="AC34:AE34"/>
    <mergeCell ref="L50:L51"/>
    <mergeCell ref="F8:H9"/>
    <mergeCell ref="J58:J59"/>
    <mergeCell ref="Z27:AB27"/>
    <mergeCell ref="H34:J34"/>
    <mergeCell ref="M10:O10"/>
    <mergeCell ref="K40:M42"/>
    <mergeCell ref="P12:S12"/>
    <mergeCell ref="K50:K51"/>
    <mergeCell ref="N29:P29"/>
    <mergeCell ref="S43:T45"/>
    <mergeCell ref="AE58:AE59"/>
    <mergeCell ref="U11:V11"/>
    <mergeCell ref="W27:Y27"/>
    <mergeCell ref="Y44:Z44"/>
    <mergeCell ref="K28:M28"/>
    <mergeCell ref="F12:I12"/>
    <mergeCell ref="Q44:R44"/>
    <mergeCell ref="W52:X52"/>
    <mergeCell ref="S7:AH7"/>
    <mergeCell ref="O52:P52"/>
    <mergeCell ref="X25:Y25"/>
    <mergeCell ref="T36:U36"/>
    <mergeCell ref="P22:X22"/>
    <mergeCell ref="N36:O36"/>
    <mergeCell ref="W53:Z54"/>
  </mergeCells>
  <conditionalFormatting sqref="AC35:AD36">
    <cfRule type="cellIs" priority="1" operator="lessThanOrEqual" dxfId="0" stopIfTrue="1">
      <formula>0</formula>
    </cfRule>
  </conditionalFormatting>
  <dataValidations count="14">
    <dataValidation sqref="K57:AH57" showDropDown="0" showInputMessage="1" showErrorMessage="1" allowBlank="1" type="list">
      <formula1>"　,運営規程に定めるとおり"</formula1>
    </dataValidation>
    <dataValidation sqref="F4:AH4 F12:M12 J69 J71 N69 N71 AE69 AE71 JF69 JJ69 KA69 TB69 TF69 TW69 ACX69 ADB69 ADS69 AMT69 AMX69 ANO69 AWP69 AWT69 AXK69 BGL69 BGP69 BHG69 BQH69 BQL69 BRC69 CAD69 CAH69 CAY69 CJZ69 CKD69 CKU69 CTV69 CTZ69 CUQ69 DDR69 DDV69 DEM69 DNN69 DNR69 DOI69 DXJ69 DXN69 DYE69 EHF69 EHJ69 EIA69 ERB69 ERF69 ERW69 FAX69 FBB69 FBS69 FKT69 FKX69 FLO69 FUP69 FUT69 FVK69 GEL69 GEP69 GFG69 GOH69 GOL69 GPC69 GYD69 GYH69 GYY69 HHZ69 HID69 HIU69 HRV69 HRZ69 HSQ69 IBR69 IBV69 ICM69 ILN69 ILR69 IMI69 IVJ69 IVN69 IWE69 JFF69 JFJ69 JGA69 JPB69 JPF69 JPW69 JYX69 JZB69 JZS69 KIT69 KIX69 KJO69 KSP69 KST69 KTK69 LCL69 LCP69 LDG69 LMH69 LML69 LNC69 LWD69 LWH69 LWY69 MFZ69 MGD69 MGU69 MPV69 MPZ69 MQQ69 MZR69 MZV69 NAM69 NJN69 NJR69 NKI69 NTJ69 NTN69 NUE69 ODF69 ODJ69 OEA69 ONB69 ONF69 ONW69 OWX69 OXB69 OXS69 PGT69 PGX69 PHO69 PQP69 PQT69 PRK69 QAL69 QAP69 QBG69 QKH69 QKL69 QLC69 QUD69 QUH69 QUY69 RDZ69 RED69 REU69 RNV69 RNZ69 ROQ69 RXR69 RXV69 RYM69 SHN69 SHR69 SII69 SRJ69 SRN69 SSE69 TBF69 TBJ69 TCA69 TLB69 TLF69 TLW69 TUX69 TVB69 TVS69 UET69 UEX69 UFO69 UOP69 UOT69 UPK69 UYL69 UYP69 UZG69 VIH69 VIL69 VJC69 VSD69 VSH69 VSY69 WBZ69 WCD69 WCU69 WLV69 WLZ69 WMQ69 WVR69 WVV69 WWM69" showDropDown="0" showInputMessage="1" showErrorMessage="1" allowBlank="1" imeMode="halfKatakana"/>
    <dataValidation sqref="K38:R39 K50:R51 K55 O55 Q55 U55 W55 AA55 AE55" showDropDown="0" showInputMessage="1" showErrorMessage="1" allowBlank="1" type="list">
      <formula1>"　,○"</formula1>
    </dataValidation>
    <dataValidation sqref="I10:K10 J7:N7 O52:P52 T12:X12 U11:V11 W52:X52 X67 Y2:AH3 Y11:Z11 Z52:AA52 AB67:AD67 AC11:AD11 AF67" showDropDown="0" showInputMessage="1" showErrorMessage="1" allowBlank="1" imeMode="fullAlpha"/>
    <dataValidation sqref="K52 S52" showDropDown="0" showInputMessage="1" showErrorMessage="1" allowBlank="1" type="list" imeMode="fullAlpha">
      <formula1>"　,１,２,３,４,５,６,７,８,９,１０,１１,１２,１３,１４,１５,１６,１７,１８,１９,２０,２１,２２,２３,２４"</formula1>
    </dataValidation>
    <dataValidation sqref="N41 N44 N47 U41:V41 U44:V44 U47:V47" showDropDown="0" showInputMessage="1" showErrorMessage="1" allowBlank="1" type="list">
      <formula1>"　,１,２,３,４,５,６,７,８,９,１０,１１,１２,１３,１４,１５,１６,１７,１８,１９,２０,２１,２２,２３,２４"</formula1>
    </dataValidation>
    <dataValidation sqref="M10:O10 Q10:S10 X10:Z10 AB10:AD10 AF10:AH10" showDropDown="0" showInputMessage="1" showErrorMessage="1" allowBlank="1" error="全角数字で入力してください" imeMode="fullAlpha"/>
    <dataValidation sqref="V17:AH17"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R25:S25 U25:V25 X25:Y25 AE25:AF25" showDropDown="0" showInputMessage="1" showErrorMessage="1" allowBlank="1" errorStyle="warning"/>
    <dataValidation sqref="O25:P25" showDropDown="0" showInputMessage="1" showErrorMessage="1" allowBlank="1" type="list" errorStyle="warning">
      <formula1>"　,７,８,９,１０,１１"</formula1>
    </dataValidation>
    <dataValidation sqref="AB25" showDropDown="0" showInputMessage="1" showErrorMessage="1" allowBlank="1" error="労働基準法では、１日当たりの労働時間は、原則８時間以内です。_x000a_法人の就業規則、労働基準局への届出等確認してください。" type="list" errorStyle="warning" imeMode="halfAlpha">
      <formula1>"　,１,２,３,４,５,６,７,８"</formula1>
    </dataValidation>
    <dataValidation sqref="H35:AA36 K28:AH30 K31:P33 Q31 AC31 AC35:AD36" showDropDown="0" showInputMessage="1" showErrorMessage="1" allowBlank="1" imeMode="halfAlpha"/>
    <dataValidation sqref="K56:AH56" showDropDown="0" showInputMessage="1" showErrorMessage="1" allowBlank="1" type="list" errorStyle="warning">
      <formula1>"　,厚生労働大臣が定める額"</formula1>
    </dataValidation>
    <dataValidation sqref="W31:AB33" showDropDown="0" showInputMessage="1" showErrorMessage="1" allowBlank="1" type="list">
      <formula1>$AN$28:$AN$33</formula1>
    </dataValidation>
  </dataValidations>
  <printOptions horizontalCentered="1"/>
  <pageMargins left="0.7086614173228347" right="0.5905511811023623" top="0.3937007874015748" bottom="0.3937007874015748" header="0.5118110236220472" footer="0.5118110236220472"/>
  <pageSetup orientation="portrait" paperSize="9"/>
  <rowBreaks count="1" manualBreakCount="1">
    <brk id="68" min="0" max="33" man="1"/>
  </rowBreaks>
  <legacyDrawing xmlns:r="http://schemas.openxmlformats.org/officeDocument/2006/relationships" r:id="anysvml"/>
</worksheet>
</file>

<file path=xl/worksheets/sheet48.xml><?xml version="1.0" encoding="utf-8"?>
<worksheet xmlns="http://schemas.openxmlformats.org/spreadsheetml/2006/main">
  <sheetPr>
    <outlinePr summaryBelow="1" summaryRight="1"/>
    <pageSetUpPr/>
  </sheetPr>
  <dimension ref="A1:AO74"/>
  <sheetViews>
    <sheetView showGridLines="0" view="pageBreakPreview" zoomScaleNormal="100" workbookViewId="0">
      <selection activeCell="A1" sqref="A1:AH74"/>
    </sheetView>
  </sheetViews>
  <sheetFormatPr baseColWidth="8" defaultColWidth="9" defaultRowHeight="12"/>
  <cols>
    <col width="2.25" customWidth="1" style="1667" min="1" max="2"/>
    <col width="2.625" customWidth="1" style="1667" min="3" max="34"/>
    <col width="1.625" customWidth="1" style="1667" min="35" max="35"/>
    <col width="9" customWidth="1" style="1667" min="36" max="40"/>
    <col hidden="1" style="1667" min="41" max="41"/>
    <col width="9" customWidth="1" style="1667" min="42" max="16384"/>
  </cols>
  <sheetData>
    <row r="1" ht="17.1" customHeight="1" s="4080" thickBot="1">
      <c r="A1" s="1213" t="inlineStr">
        <is>
          <t>付表26　就労選択支援事業所の指定に係る記載事項</t>
        </is>
      </c>
      <c r="Z1" s="677" t="n"/>
      <c r="AA1" s="677" t="n"/>
      <c r="AB1" s="678" t="n"/>
      <c r="AC1" s="678" t="n"/>
      <c r="AD1" s="678" t="n"/>
      <c r="AE1" s="677" t="n"/>
      <c r="AF1" s="677" t="n"/>
      <c r="AG1" s="678" t="n"/>
      <c r="AH1" s="679" t="n"/>
    </row>
    <row r="2" ht="15" customHeight="1" s="4080">
      <c r="A2" s="45" t="n"/>
      <c r="B2" s="1889" t="n"/>
      <c r="C2" s="1889" t="n"/>
      <c r="D2" s="1889" t="n"/>
      <c r="E2" s="1889" t="n"/>
      <c r="F2" s="1889" t="n"/>
      <c r="G2" s="2069" t="n"/>
      <c r="H2" s="1889" t="n"/>
      <c r="I2" s="1889" t="n"/>
      <c r="J2" s="1889" t="n"/>
      <c r="K2" s="1889" t="n"/>
      <c r="L2" s="1889" t="n"/>
      <c r="M2" s="45" t="n"/>
      <c r="N2" s="1889" t="n"/>
      <c r="P2" s="2069" t="n"/>
      <c r="Q2" s="1889" t="n"/>
      <c r="U2" s="4178" t="inlineStr">
        <is>
          <t>事業所番号</t>
        </is>
      </c>
      <c r="V2" s="4082" t="n"/>
      <c r="W2" s="4082" t="n"/>
      <c r="X2" s="4083" t="n"/>
      <c r="Y2" s="4084" t="n"/>
      <c r="Z2" s="4084" t="n"/>
      <c r="AA2" s="4084" t="n"/>
      <c r="AB2" s="4084" t="n"/>
      <c r="AC2" s="4084" t="n"/>
      <c r="AD2" s="4084" t="n"/>
      <c r="AE2" s="4084" t="n"/>
      <c r="AF2" s="4084" t="n"/>
      <c r="AG2" s="4084" t="n"/>
      <c r="AH2" s="4085" t="n"/>
    </row>
    <row r="3" ht="3.95" customHeight="1" s="4080" thickBot="1">
      <c r="B3" s="45" t="n"/>
      <c r="C3" s="48" t="n"/>
      <c r="D3" s="48" t="n"/>
      <c r="E3" s="48" t="n"/>
      <c r="F3" s="49" t="n"/>
      <c r="G3" s="48" t="n"/>
      <c r="H3" s="48" t="n"/>
      <c r="I3" s="48" t="n"/>
      <c r="J3" s="49" t="n"/>
      <c r="K3" s="48" t="n"/>
      <c r="L3" s="48" t="n"/>
      <c r="M3" s="48" t="n"/>
      <c r="N3" s="197" t="n"/>
      <c r="O3" s="197" t="n"/>
      <c r="P3" s="197" t="n"/>
      <c r="Q3" s="2345" t="n"/>
      <c r="R3" s="2345" t="n"/>
      <c r="S3" s="2345" t="n"/>
      <c r="T3" s="4015" t="n"/>
      <c r="U3" s="4086" t="n"/>
      <c r="V3" s="4087" t="n"/>
      <c r="W3" s="4087" t="n"/>
      <c r="X3" s="4088" t="n"/>
      <c r="Y3" s="4089" t="n"/>
      <c r="Z3" s="4089" t="n"/>
      <c r="AA3" s="4089" t="n"/>
      <c r="AB3" s="4089" t="n"/>
      <c r="AC3" s="4089" t="n"/>
      <c r="AD3" s="4089" t="n"/>
      <c r="AE3" s="4089" t="n"/>
      <c r="AF3" s="4089" t="n"/>
      <c r="AG3" s="4089" t="n"/>
      <c r="AH3" s="4090" t="n"/>
    </row>
    <row r="4" ht="14.1" customHeight="1" s="4080">
      <c r="A4" s="2506" t="inlineStr">
        <is>
          <t>事業所</t>
        </is>
      </c>
      <c r="B4" s="4356" t="n"/>
      <c r="C4" s="4180" t="inlineStr">
        <is>
          <t>ﾌﾘｶﾞﾅ</t>
        </is>
      </c>
      <c r="D4" s="4093" t="n"/>
      <c r="E4" s="4094" t="n"/>
      <c r="F4" s="4236" t="inlineStr">
        <is>
          <t>ｵｵｻｶｼﾔｸｼｮｼｮｳｶﾞｲﾌｸｼｻｰﾋﾞｽｾﾝﾀｰ</t>
        </is>
      </c>
      <c r="G4" s="4093" t="n"/>
      <c r="H4" s="4093" t="n"/>
      <c r="I4" s="4093" t="n"/>
      <c r="J4" s="4093" t="n"/>
      <c r="K4" s="4093" t="n"/>
      <c r="L4" s="4093" t="n"/>
      <c r="M4" s="4093" t="n"/>
      <c r="N4" s="4093" t="n"/>
      <c r="O4" s="4093" t="n"/>
      <c r="P4" s="4093" t="n"/>
      <c r="Q4" s="4093" t="n"/>
      <c r="R4" s="4093" t="n"/>
      <c r="S4" s="4093" t="n"/>
      <c r="T4" s="4093" t="n"/>
      <c r="U4" s="4093" t="n"/>
      <c r="V4" s="4093" t="n"/>
      <c r="W4" s="4093" t="n"/>
      <c r="X4" s="4093" t="n"/>
      <c r="Y4" s="4093" t="n"/>
      <c r="Z4" s="4093" t="n"/>
      <c r="AA4" s="4093" t="n"/>
      <c r="AB4" s="4093" t="n"/>
      <c r="AC4" s="4093" t="n"/>
      <c r="AD4" s="4093" t="n"/>
      <c r="AE4" s="4093" t="n"/>
      <c r="AF4" s="4093" t="n"/>
      <c r="AG4" s="4093" t="n"/>
      <c r="AH4" s="4096" t="n"/>
    </row>
    <row r="5" ht="14.1" customHeight="1" s="4080">
      <c r="A5" s="4097" t="n"/>
      <c r="B5" s="4107" t="n"/>
      <c r="C5" s="4181" t="inlineStr">
        <is>
          <t>名　称</t>
        </is>
      </c>
      <c r="D5" s="4098" t="n"/>
      <c r="E5" s="4099" t="n"/>
      <c r="F5" s="4237" t="inlineStr">
        <is>
          <t>大阪市役所障がい福祉サービスセンター</t>
        </is>
      </c>
      <c r="G5" s="4098" t="n"/>
      <c r="H5" s="4098" t="n"/>
      <c r="I5" s="4098" t="n"/>
      <c r="J5" s="4098" t="n"/>
      <c r="K5" s="4098" t="n"/>
      <c r="L5" s="4098" t="n"/>
      <c r="M5" s="4098" t="n"/>
      <c r="N5" s="4098" t="n"/>
      <c r="O5" s="4098" t="n"/>
      <c r="P5" s="4098" t="n"/>
      <c r="Q5" s="4098" t="n"/>
      <c r="R5" s="4098" t="n"/>
      <c r="S5" s="4098" t="n"/>
      <c r="T5" s="4098" t="n"/>
      <c r="U5" s="4098" t="n"/>
      <c r="V5" s="4098" t="n"/>
      <c r="W5" s="4098" t="n"/>
      <c r="X5" s="4098" t="n"/>
      <c r="Y5" s="4098" t="n"/>
      <c r="Z5" s="4098" t="n"/>
      <c r="AA5" s="4098" t="n"/>
      <c r="AB5" s="4098" t="n"/>
      <c r="AC5" s="4098" t="n"/>
      <c r="AD5" s="4098" t="n"/>
      <c r="AE5" s="4098" t="n"/>
      <c r="AF5" s="4098" t="n"/>
      <c r="AG5" s="4098" t="n"/>
      <c r="AH5" s="4101" t="n"/>
    </row>
    <row r="6" ht="14.1" customHeight="1" s="4080">
      <c r="A6" s="4097" t="n"/>
      <c r="B6" s="4107" t="n"/>
      <c r="C6" s="4102" t="n"/>
      <c r="D6" s="4103" t="n"/>
      <c r="E6" s="4104" t="n"/>
      <c r="F6" s="4102" t="n"/>
      <c r="G6" s="4103" t="n"/>
      <c r="H6" s="4103" t="n"/>
      <c r="I6" s="4103" t="n"/>
      <c r="J6" s="4103" t="n"/>
      <c r="K6" s="4103" t="n"/>
      <c r="L6" s="4103" t="n"/>
      <c r="M6" s="4103" t="n"/>
      <c r="N6" s="4103" t="n"/>
      <c r="O6" s="4103" t="n"/>
      <c r="P6" s="4103" t="n"/>
      <c r="Q6" s="4103" t="n"/>
      <c r="R6" s="4103" t="n"/>
      <c r="S6" s="4103" t="n"/>
      <c r="T6" s="4103" t="n"/>
      <c r="U6" s="4103" t="n"/>
      <c r="V6" s="4103" t="n"/>
      <c r="W6" s="4103" t="n"/>
      <c r="X6" s="4103" t="n"/>
      <c r="Y6" s="4103" t="n"/>
      <c r="Z6" s="4103" t="n"/>
      <c r="AA6" s="4103" t="n"/>
      <c r="AB6" s="4103" t="n"/>
      <c r="AC6" s="4103" t="n"/>
      <c r="AD6" s="4103" t="n"/>
      <c r="AE6" s="4103" t="n"/>
      <c r="AF6" s="4103" t="n"/>
      <c r="AG6" s="4103" t="n"/>
      <c r="AH6" s="4105" t="n"/>
    </row>
    <row r="7" ht="14.1" customHeight="1" s="4080">
      <c r="A7" s="4097" t="n"/>
      <c r="B7" s="4107" t="n"/>
      <c r="C7" s="4181" t="inlineStr">
        <is>
          <t>所在地</t>
        </is>
      </c>
      <c r="D7" s="4098" t="n"/>
      <c r="E7" s="4099" t="n"/>
      <c r="F7" s="1244" t="inlineStr">
        <is>
          <t>郵便番号（</t>
        </is>
      </c>
      <c r="G7" s="4098" t="n"/>
      <c r="H7" s="4098" t="n"/>
      <c r="I7" s="4098" t="n"/>
      <c r="J7" s="1742" t="inlineStr">
        <is>
          <t>５４０－８５７０</t>
        </is>
      </c>
      <c r="K7" s="4098" t="n"/>
      <c r="L7" s="4098" t="n"/>
      <c r="M7" s="4098" t="n"/>
      <c r="N7" s="4098" t="n"/>
      <c r="O7" s="1329" t="inlineStr">
        <is>
          <t>）</t>
        </is>
      </c>
      <c r="P7" s="1397" t="inlineStr">
        <is>
          <t>メールアドレス</t>
        </is>
      </c>
      <c r="Q7" s="4110" t="n"/>
      <c r="R7" s="4110" t="n"/>
      <c r="S7" s="4988" t="inlineStr">
        <is>
          <t>fa0260@city.osaka.lg.jp</t>
        </is>
      </c>
      <c r="T7" s="4110" t="n"/>
      <c r="U7" s="4110" t="n"/>
      <c r="V7" s="4110" t="n"/>
      <c r="W7" s="4110" t="n"/>
      <c r="X7" s="4110" t="n"/>
      <c r="Y7" s="4110" t="n"/>
      <c r="Z7" s="4110" t="n"/>
      <c r="AA7" s="4110" t="n"/>
      <c r="AB7" s="4110" t="n"/>
      <c r="AC7" s="4110" t="n"/>
      <c r="AD7" s="4110" t="n"/>
      <c r="AE7" s="4110" t="n"/>
      <c r="AF7" s="4110" t="n"/>
      <c r="AG7" s="4110" t="n"/>
      <c r="AH7" s="4113" t="n"/>
    </row>
    <row r="8" ht="14.1" customHeight="1" s="4080">
      <c r="A8" s="4097" t="n"/>
      <c r="B8" s="4107" t="n"/>
      <c r="C8" s="4106" t="n"/>
      <c r="E8" s="4107" t="n"/>
      <c r="F8" s="1255" t="inlineStr">
        <is>
          <t>大阪市</t>
        </is>
      </c>
      <c r="I8" s="2875" t="inlineStr">
        <is>
          <t>中央</t>
        </is>
      </c>
      <c r="N8" s="1327" t="inlineStr">
        <is>
          <t>区</t>
        </is>
      </c>
      <c r="P8" s="4957" t="inlineStr">
        <is>
          <t>船場中央三丁目１番７号-331号　船場センタービル７号館3階</t>
        </is>
      </c>
      <c r="Q8" s="4098" t="n"/>
      <c r="R8" s="4098" t="n"/>
      <c r="S8" s="4098" t="n"/>
      <c r="T8" s="4098" t="n"/>
      <c r="U8" s="4098" t="n"/>
      <c r="V8" s="4098" t="n"/>
      <c r="W8" s="4098" t="n"/>
      <c r="X8" s="4098" t="n"/>
      <c r="Y8" s="4098" t="n"/>
      <c r="Z8" s="4098" t="n"/>
      <c r="AA8" s="4098" t="n"/>
      <c r="AB8" s="4098" t="n"/>
      <c r="AC8" s="4098" t="n"/>
      <c r="AD8" s="4098" t="n"/>
      <c r="AE8" s="4098" t="n"/>
      <c r="AF8" s="4098" t="n"/>
      <c r="AG8" s="4098" t="n"/>
      <c r="AH8" s="4101" t="n"/>
    </row>
    <row r="9" ht="3.95" customHeight="1" s="4080">
      <c r="A9" s="4097" t="n"/>
      <c r="B9" s="4107" t="n"/>
      <c r="C9" s="4102" t="n"/>
      <c r="D9" s="4103" t="n"/>
      <c r="E9" s="4104" t="n"/>
      <c r="F9" s="4102" t="n"/>
      <c r="G9" s="4103" t="n"/>
      <c r="H9" s="4103" t="n"/>
      <c r="I9" s="4103" t="n"/>
      <c r="J9" s="4103" t="n"/>
      <c r="K9" s="4103" t="n"/>
      <c r="L9" s="4103" t="n"/>
      <c r="M9" s="4103" t="n"/>
      <c r="N9" s="4103" t="n"/>
      <c r="O9" s="4103" t="n"/>
      <c r="P9" s="4103" t="n"/>
      <c r="Q9" s="4103" t="n"/>
      <c r="R9" s="4103" t="n"/>
      <c r="S9" s="4103" t="n"/>
      <c r="T9" s="4103" t="n"/>
      <c r="U9" s="4103" t="n"/>
      <c r="V9" s="4103" t="n"/>
      <c r="W9" s="4103" t="n"/>
      <c r="X9" s="4103" t="n"/>
      <c r="Y9" s="4103" t="n"/>
      <c r="Z9" s="4103" t="n"/>
      <c r="AA9" s="4103" t="n"/>
      <c r="AB9" s="4103" t="n"/>
      <c r="AC9" s="4103" t="n"/>
      <c r="AD9" s="4103" t="n"/>
      <c r="AE9" s="4103" t="n"/>
      <c r="AF9" s="4103" t="n"/>
      <c r="AG9" s="4103" t="n"/>
      <c r="AH9" s="4105" t="n"/>
    </row>
    <row r="10" ht="15" customHeight="1" s="4080">
      <c r="A10" s="4097" t="n"/>
      <c r="B10" s="4107" t="n"/>
      <c r="C10" s="4181" t="inlineStr">
        <is>
          <t>連絡先</t>
        </is>
      </c>
      <c r="D10" s="4110" t="n"/>
      <c r="E10" s="4111" t="n"/>
      <c r="F10" s="4274" t="inlineStr">
        <is>
          <t>電話番号</t>
        </is>
      </c>
      <c r="G10" s="4110" t="n"/>
      <c r="H10" s="4111" t="n"/>
      <c r="I10" s="1479" t="inlineStr">
        <is>
          <t>06</t>
        </is>
      </c>
      <c r="J10" s="4110" t="n"/>
      <c r="K10" s="4110" t="n"/>
      <c r="L10" s="53" t="inlineStr">
        <is>
          <t>－</t>
        </is>
      </c>
      <c r="M10" s="1150" t="inlineStr">
        <is>
          <t>6241</t>
        </is>
      </c>
      <c r="N10" s="4110" t="n"/>
      <c r="O10" s="4110" t="n"/>
      <c r="P10" s="53" t="inlineStr">
        <is>
          <t>－</t>
        </is>
      </c>
      <c r="Q10" s="1482" t="inlineStr">
        <is>
          <t>6520</t>
        </is>
      </c>
      <c r="R10" s="4110" t="n"/>
      <c r="S10" s="4111" t="n"/>
      <c r="T10" s="4184" t="inlineStr">
        <is>
          <t>ＦＡＸ番号</t>
        </is>
      </c>
      <c r="U10" s="4110" t="n"/>
      <c r="V10" s="4110" t="n"/>
      <c r="W10" s="4111" t="n"/>
      <c r="X10" s="1479" t="inlineStr">
        <is>
          <t>06</t>
        </is>
      </c>
      <c r="Y10" s="4110" t="n"/>
      <c r="Z10" s="4110" t="n"/>
      <c r="AA10" s="53" t="inlineStr">
        <is>
          <t>－</t>
        </is>
      </c>
      <c r="AB10" s="1150" t="inlineStr">
        <is>
          <t>6241</t>
        </is>
      </c>
      <c r="AC10" s="4110" t="n"/>
      <c r="AD10" s="4110" t="n"/>
      <c r="AE10" s="53" t="inlineStr">
        <is>
          <t>－</t>
        </is>
      </c>
      <c r="AF10" s="1483" t="inlineStr">
        <is>
          <t>6608</t>
        </is>
      </c>
      <c r="AG10" s="4110" t="n"/>
      <c r="AH10" s="4113" t="n"/>
    </row>
    <row r="11" ht="17.1" customHeight="1" s="4080">
      <c r="A11" s="4187" t="inlineStr">
        <is>
          <t>当該事業の実施について定めてある定款・寄付行為等又は条例等</t>
        </is>
      </c>
      <c r="B11" s="4110" t="n"/>
      <c r="C11" s="4110" t="n"/>
      <c r="D11" s="4110" t="n"/>
      <c r="E11" s="4110" t="n"/>
      <c r="F11" s="4110" t="n"/>
      <c r="G11" s="4110" t="n"/>
      <c r="H11" s="4110" t="n"/>
      <c r="I11" s="4110" t="n"/>
      <c r="J11" s="4110" t="n"/>
      <c r="K11" s="4110" t="n"/>
      <c r="L11" s="4110" t="n"/>
      <c r="M11" s="4110" t="n"/>
      <c r="N11" s="4110" t="n"/>
      <c r="O11" s="4110" t="n"/>
      <c r="P11" s="4110" t="n"/>
      <c r="Q11" s="4110" t="n"/>
      <c r="R11" s="4110" t="n"/>
      <c r="S11" s="4111" t="n"/>
      <c r="T11" s="54" t="inlineStr">
        <is>
          <t>第</t>
        </is>
      </c>
      <c r="U11" s="1150" t="inlineStr">
        <is>
          <t>２</t>
        </is>
      </c>
      <c r="V11" s="4110" t="n"/>
      <c r="W11" s="1264" t="inlineStr">
        <is>
          <t>条第</t>
        </is>
      </c>
      <c r="X11" s="4110" t="n"/>
      <c r="Y11" s="1150" t="inlineStr">
        <is>
          <t>１</t>
        </is>
      </c>
      <c r="Z11" s="4110" t="n"/>
      <c r="AA11" s="1264" t="inlineStr">
        <is>
          <t>項第</t>
        </is>
      </c>
      <c r="AB11" s="4110" t="n"/>
      <c r="AC11" s="1150" t="inlineStr">
        <is>
          <t>１４</t>
        </is>
      </c>
      <c r="AD11" s="4110" t="n"/>
      <c r="AE11" s="1264" t="inlineStr">
        <is>
          <t>号（</t>
        </is>
      </c>
      <c r="AF11" s="4110" t="n"/>
      <c r="AG11" s="1150" t="inlineStr">
        <is>
          <t>ア</t>
        </is>
      </c>
      <c r="AH11" s="2827" t="inlineStr">
        <is>
          <t>）</t>
        </is>
      </c>
    </row>
    <row r="12" ht="12" customHeight="1" s="4080">
      <c r="A12" s="4188" t="inlineStr">
        <is>
          <t>管　　理　　者</t>
        </is>
      </c>
      <c r="B12" s="4099" t="n"/>
      <c r="C12" s="4184" t="inlineStr">
        <is>
          <t>ﾌﾘｶﾞﾅ</t>
        </is>
      </c>
      <c r="D12" s="4110" t="n"/>
      <c r="E12" s="4111" t="n"/>
      <c r="F12" s="1487" t="inlineStr">
        <is>
          <t>ｵｵｻｶ</t>
        </is>
      </c>
      <c r="G12" s="4110" t="n"/>
      <c r="H12" s="4110" t="n"/>
      <c r="I12" s="4189" t="n"/>
      <c r="J12" s="1488" t="inlineStr">
        <is>
          <t>ﾀﾛｳ</t>
        </is>
      </c>
      <c r="K12" s="4110" t="n"/>
      <c r="L12" s="4110" t="n"/>
      <c r="M12" s="4189" t="n"/>
      <c r="N12" s="4185" t="inlineStr">
        <is>
          <t>住所</t>
        </is>
      </c>
      <c r="O12" s="4099" t="n"/>
      <c r="P12" s="1244" t="inlineStr">
        <is>
          <t>郵便番号（</t>
        </is>
      </c>
      <c r="Q12" s="4098" t="n"/>
      <c r="R12" s="4098" t="n"/>
      <c r="S12" s="4098" t="n"/>
      <c r="T12" s="1742" t="inlineStr">
        <is>
          <t>５４０－０００８</t>
        </is>
      </c>
      <c r="U12" s="4098" t="n"/>
      <c r="V12" s="4098" t="n"/>
      <c r="W12" s="4098" t="n"/>
      <c r="X12" s="4098" t="n"/>
      <c r="Y12" s="1329" t="inlineStr">
        <is>
          <t>）</t>
        </is>
      </c>
      <c r="Z12" s="1017" t="n"/>
      <c r="AA12" s="1017" t="n"/>
      <c r="AB12" s="1017" t="n"/>
      <c r="AC12" s="1017" t="n"/>
      <c r="AD12" s="1017" t="n"/>
      <c r="AE12" s="1017" t="n"/>
      <c r="AF12" s="1017" t="n"/>
      <c r="AG12" s="1017" t="n"/>
      <c r="AH12" s="1424" t="n"/>
    </row>
    <row r="13" ht="12" customHeight="1" s="4080">
      <c r="A13" s="4097" t="n"/>
      <c r="B13" s="4107" t="n"/>
      <c r="C13" s="4184" t="inlineStr">
        <is>
          <t>氏名</t>
        </is>
      </c>
      <c r="D13" s="4098" t="n"/>
      <c r="E13" s="4099" t="n"/>
      <c r="F13" s="1487" t="inlineStr">
        <is>
          <t>大阪</t>
        </is>
      </c>
      <c r="G13" s="4098" t="n"/>
      <c r="H13" s="4098" t="n"/>
      <c r="I13" s="4190" t="n"/>
      <c r="J13" s="1488" t="inlineStr">
        <is>
          <t>太郎</t>
        </is>
      </c>
      <c r="K13" s="4098" t="n"/>
      <c r="L13" s="4098" t="n"/>
      <c r="M13" s="4190" t="n"/>
      <c r="N13" s="4106" t="n"/>
      <c r="O13" s="4107" t="n"/>
      <c r="P13" s="1509" t="inlineStr">
        <is>
          <t>大阪</t>
        </is>
      </c>
      <c r="R13" s="1325" t="inlineStr">
        <is>
          <t>都</t>
        </is>
      </c>
      <c r="S13" s="2378" t="inlineStr">
        <is>
          <t>道</t>
        </is>
      </c>
      <c r="T13" s="1510" t="inlineStr">
        <is>
          <t>大阪</t>
        </is>
      </c>
      <c r="W13" s="2378" t="inlineStr">
        <is>
          <t>郡</t>
        </is>
      </c>
      <c r="X13" s="1512" t="inlineStr">
        <is>
          <t>中央区大手前○丁目○番○号　○○マンション○○○号室</t>
        </is>
      </c>
      <c r="AH13" s="4109" t="n"/>
    </row>
    <row r="14" ht="12" customHeight="1" s="4080">
      <c r="A14" s="4097" t="n"/>
      <c r="B14" s="4107" t="n"/>
      <c r="C14" s="4106" t="n"/>
      <c r="E14" s="4107" t="n"/>
      <c r="F14" s="4106" t="n"/>
      <c r="I14" s="4191" t="n"/>
      <c r="J14" s="4192" t="n"/>
      <c r="M14" s="4191" t="n"/>
      <c r="N14" s="4106" t="n"/>
      <c r="O14" s="4107" t="n"/>
      <c r="P14" s="4106" t="n"/>
      <c r="R14" s="79" t="inlineStr">
        <is>
          <t>府</t>
        </is>
      </c>
      <c r="S14" s="2378" t="inlineStr">
        <is>
          <t>県</t>
        </is>
      </c>
      <c r="W14" s="79" t="inlineStr">
        <is>
          <t>市</t>
        </is>
      </c>
      <c r="AH14" s="4109" t="n"/>
    </row>
    <row r="15" ht="3.95" customHeight="1" s="4080">
      <c r="A15" s="4097" t="n"/>
      <c r="B15" s="4107" t="n"/>
      <c r="C15" s="4102" t="n"/>
      <c r="D15" s="4103" t="n"/>
      <c r="E15" s="4104" t="n"/>
      <c r="F15" s="4102" t="n"/>
      <c r="G15" s="4103" t="n"/>
      <c r="H15" s="4103" t="n"/>
      <c r="I15" s="4193" t="n"/>
      <c r="J15" s="4194" t="n"/>
      <c r="K15" s="4103" t="n"/>
      <c r="L15" s="4103" t="n"/>
      <c r="M15" s="4193" t="n"/>
      <c r="N15" s="4102" t="n"/>
      <c r="O15" s="4104" t="n"/>
      <c r="P15" s="4102" t="n"/>
      <c r="Q15" s="4103" t="n"/>
      <c r="R15" s="1810" t="n"/>
      <c r="S15" s="1810" t="n"/>
      <c r="T15" s="4103" t="n"/>
      <c r="U15" s="4103" t="n"/>
      <c r="V15" s="4103" t="n"/>
      <c r="W15" s="1810" t="n"/>
      <c r="AH15" s="4109" t="n"/>
    </row>
    <row r="16" ht="3.95" customHeight="1" s="4080">
      <c r="A16" s="4097" t="n"/>
      <c r="B16" s="4107" t="n"/>
      <c r="C16" s="1393" t="inlineStr">
        <is>
          <t>他の職務との兼務の有無及び職種</t>
        </is>
      </c>
      <c r="D16" s="4098" t="n"/>
      <c r="E16" s="4098" t="n"/>
      <c r="F16" s="4098" t="n"/>
      <c r="G16" s="4098" t="n"/>
      <c r="H16" s="4098" t="n"/>
      <c r="I16" s="4098" t="n"/>
      <c r="J16" s="4098" t="n"/>
      <c r="K16" s="4098" t="n"/>
      <c r="L16" s="4098" t="n"/>
      <c r="M16" s="4098" t="n"/>
      <c r="N16" s="4195" t="n"/>
      <c r="O16" s="4098" t="n"/>
      <c r="P16" s="4098" t="n"/>
      <c r="Q16" s="4098" t="n"/>
      <c r="R16" s="4099" t="n"/>
      <c r="S16" s="2163" t="inlineStr">
        <is>
          <t>職　　種</t>
        </is>
      </c>
      <c r="T16" s="4098" t="n"/>
      <c r="U16" s="4099" t="n"/>
      <c r="V16" s="1322" t="n"/>
      <c r="W16" s="1335" t="inlineStr">
        <is>
          <t xml:space="preserve">　</t>
        </is>
      </c>
      <c r="X16" s="4098" t="n"/>
      <c r="Y16" s="4098" t="n"/>
      <c r="Z16" s="4098" t="n"/>
      <c r="AA16" s="4098" t="n"/>
      <c r="AB16" s="4098" t="n"/>
      <c r="AC16" s="4098" t="n"/>
      <c r="AD16" s="4098" t="n"/>
      <c r="AE16" s="4098" t="n"/>
      <c r="AF16" s="4098" t="n"/>
      <c r="AG16" s="4098" t="n"/>
      <c r="AH16" s="4101" t="n"/>
    </row>
    <row r="17" ht="12" customHeight="1" s="4080">
      <c r="A17" s="4097" t="n"/>
      <c r="B17" s="4107" t="n"/>
      <c r="C17" s="4106" t="n"/>
      <c r="N17" s="1354" t="n"/>
      <c r="O17" s="1325" t="inlineStr">
        <is>
          <t>有</t>
        </is>
      </c>
      <c r="P17" s="1325" t="inlineStr">
        <is>
          <t>・</t>
        </is>
      </c>
      <c r="Q17" s="80" t="inlineStr">
        <is>
          <t>無</t>
        </is>
      </c>
      <c r="R17" s="1332" t="n"/>
      <c r="S17" s="4106" t="n"/>
      <c r="U17" s="4107" t="n"/>
      <c r="V17" s="4196" t="n"/>
      <c r="AH17" s="4109" t="n"/>
    </row>
    <row r="18" ht="3.95" customHeight="1" s="4080">
      <c r="A18" s="4097" t="n"/>
      <c r="B18" s="4107" t="n"/>
      <c r="C18" s="4102" t="n"/>
      <c r="D18" s="4103" t="n"/>
      <c r="E18" s="4103" t="n"/>
      <c r="F18" s="4103" t="n"/>
      <c r="G18" s="4103" t="n"/>
      <c r="H18" s="4103" t="n"/>
      <c r="I18" s="4103" t="n"/>
      <c r="J18" s="4103" t="n"/>
      <c r="K18" s="4103" t="n"/>
      <c r="L18" s="4103" t="n"/>
      <c r="M18" s="4103" t="n"/>
      <c r="N18" s="4197" t="n"/>
      <c r="O18" s="4103" t="n"/>
      <c r="P18" s="4103" t="n"/>
      <c r="Q18" s="4103" t="n"/>
      <c r="R18" s="4104" t="n"/>
      <c r="S18" s="4102" t="n"/>
      <c r="T18" s="4103" t="n"/>
      <c r="U18" s="4104" t="n"/>
      <c r="V18" s="1326" t="n"/>
      <c r="W18" s="1299" t="n"/>
      <c r="X18" s="4103" t="n"/>
      <c r="Y18" s="4103" t="n"/>
      <c r="Z18" s="4103" t="n"/>
      <c r="AA18" s="4103" t="n"/>
      <c r="AB18" s="4103" t="n"/>
      <c r="AC18" s="4103" t="n"/>
      <c r="AD18" s="4103" t="n"/>
      <c r="AE18" s="4103" t="n"/>
      <c r="AF18" s="4103" t="n"/>
      <c r="AG18" s="4103" t="n"/>
      <c r="AH18" s="4105" t="n"/>
    </row>
    <row r="19" ht="14.1" customHeight="1" s="4080">
      <c r="A19" s="4097" t="n"/>
      <c r="B19" s="4107" t="n"/>
      <c r="C19" s="4940" t="inlineStr">
        <is>
          <t>同一敷地内の他の
事業所又は施設を
兼務する場合、
当該兼務する
事業所等の名称等</t>
        </is>
      </c>
      <c r="D19" s="4098" t="n"/>
      <c r="E19" s="4098" t="n"/>
      <c r="F19" s="4098" t="n"/>
      <c r="G19" s="4098" t="n"/>
      <c r="H19" s="4098" t="n"/>
      <c r="I19" s="4098" t="n"/>
      <c r="J19" s="4099" t="n"/>
      <c r="K19" s="4941" t="inlineStr">
        <is>
          <t>名称</t>
        </is>
      </c>
      <c r="L19" s="4098" t="n"/>
      <c r="M19" s="4098" t="n"/>
      <c r="N19" s="4099" t="n"/>
      <c r="O19" s="660" t="inlineStr">
        <is>
          <t>1)</t>
        </is>
      </c>
      <c r="P19" s="3871" t="inlineStr">
        <is>
          <t>大阪市役所障がい福祉サービスセンター</t>
        </is>
      </c>
      <c r="Q19" s="4486" t="n"/>
      <c r="R19" s="4486" t="n"/>
      <c r="S19" s="4486" t="n"/>
      <c r="T19" s="4486" t="n"/>
      <c r="U19" s="4486" t="n"/>
      <c r="V19" s="4486" t="n"/>
      <c r="W19" s="4486" t="n"/>
      <c r="X19" s="4486" t="n"/>
      <c r="Y19" s="4486" t="n"/>
      <c r="Z19" s="4486" t="n"/>
      <c r="AA19" s="4486" t="n"/>
      <c r="AB19" s="4486" t="n"/>
      <c r="AC19" s="4486" t="n"/>
      <c r="AD19" s="4486" t="n"/>
      <c r="AE19" s="4486" t="n"/>
      <c r="AF19" s="4486" t="n"/>
      <c r="AG19" s="4486" t="n"/>
      <c r="AH19" s="4877" t="n"/>
    </row>
    <row r="20" ht="14.1" customHeight="1" s="4080">
      <c r="A20" s="4097" t="n"/>
      <c r="B20" s="4107" t="n"/>
      <c r="C20" s="4106" t="n"/>
      <c r="J20" s="4107" t="n"/>
      <c r="K20" s="4942" t="n"/>
      <c r="L20" s="4317" t="n"/>
      <c r="M20" s="4317" t="n"/>
      <c r="N20" s="4318" t="n"/>
      <c r="O20" s="661" t="inlineStr">
        <is>
          <t>2)</t>
        </is>
      </c>
      <c r="P20" s="3873" t="n"/>
      <c r="Q20" s="4457" t="n"/>
      <c r="R20" s="4457" t="n"/>
      <c r="S20" s="4457" t="n"/>
      <c r="T20" s="4457" t="n"/>
      <c r="U20" s="4457" t="n"/>
      <c r="V20" s="4457" t="n"/>
      <c r="W20" s="4457" t="n"/>
      <c r="X20" s="4457" t="n"/>
      <c r="Y20" s="4457" t="n"/>
      <c r="Z20" s="4457" t="n"/>
      <c r="AA20" s="4457" t="n"/>
      <c r="AB20" s="4457" t="n"/>
      <c r="AC20" s="4457" t="n"/>
      <c r="AD20" s="4457" t="n"/>
      <c r="AE20" s="4457" t="n"/>
      <c r="AF20" s="4457" t="n"/>
      <c r="AG20" s="4457" t="n"/>
      <c r="AH20" s="4943" t="n"/>
    </row>
    <row r="21" ht="14.1" customHeight="1" s="4080">
      <c r="A21" s="4097" t="n"/>
      <c r="B21" s="4107" t="n"/>
      <c r="C21" s="4106" t="n"/>
      <c r="J21" s="4107" t="n"/>
      <c r="K21" s="4944" t="inlineStr">
        <is>
          <t>サービス種類</t>
        </is>
      </c>
      <c r="L21" s="4320" t="n"/>
      <c r="M21" s="4320" t="n"/>
      <c r="N21" s="4321" t="n"/>
      <c r="O21" s="662" t="inlineStr">
        <is>
          <t>1)</t>
        </is>
      </c>
      <c r="P21" s="3880" t="inlineStr">
        <is>
          <t>短期入所</t>
        </is>
      </c>
      <c r="Q21" s="4457" t="n"/>
      <c r="R21" s="4457" t="n"/>
      <c r="S21" s="4457" t="n"/>
      <c r="T21" s="4457" t="n"/>
      <c r="U21" s="4457" t="n"/>
      <c r="V21" s="4457" t="n"/>
      <c r="W21" s="4457" t="n"/>
      <c r="X21" s="4457" t="n"/>
      <c r="Y21" s="663" t="inlineStr">
        <is>
          <t>3)</t>
        </is>
      </c>
      <c r="Z21" s="3881" t="n"/>
      <c r="AA21" s="4457" t="n"/>
      <c r="AB21" s="4457" t="n"/>
      <c r="AC21" s="4457" t="n"/>
      <c r="AD21" s="4457" t="n"/>
      <c r="AE21" s="4457" t="n"/>
      <c r="AF21" s="4457" t="n"/>
      <c r="AG21" s="4457" t="n"/>
      <c r="AH21" s="4943" t="n"/>
    </row>
    <row r="22" ht="14.1" customHeight="1" s="4080">
      <c r="A22" s="4097" t="n"/>
      <c r="B22" s="4107" t="n"/>
      <c r="C22" s="4106" t="n"/>
      <c r="J22" s="4107" t="n"/>
      <c r="K22" s="4942" t="n"/>
      <c r="L22" s="4317" t="n"/>
      <c r="M22" s="4317" t="n"/>
      <c r="N22" s="4318" t="n"/>
      <c r="O22" s="662" t="inlineStr">
        <is>
          <t>2)</t>
        </is>
      </c>
      <c r="P22" s="3880" t="n"/>
      <c r="Q22" s="4457" t="n"/>
      <c r="R22" s="4457" t="n"/>
      <c r="S22" s="4457" t="n"/>
      <c r="T22" s="4457" t="n"/>
      <c r="U22" s="4457" t="n"/>
      <c r="V22" s="4457" t="n"/>
      <c r="W22" s="4457" t="n"/>
      <c r="X22" s="4457" t="n"/>
      <c r="Y22" s="663" t="inlineStr">
        <is>
          <t>4)</t>
        </is>
      </c>
      <c r="Z22" s="3883" t="n"/>
      <c r="AA22" s="4457" t="n"/>
      <c r="AB22" s="4457" t="n"/>
      <c r="AC22" s="4457" t="n"/>
      <c r="AD22" s="4457" t="n"/>
      <c r="AE22" s="4457" t="n"/>
      <c r="AF22" s="4457" t="n"/>
      <c r="AG22" s="4457" t="n"/>
      <c r="AH22" s="4943" t="n"/>
    </row>
    <row r="23" ht="14.1" customHeight="1" s="4080">
      <c r="A23" s="4097" t="n"/>
      <c r="B23" s="4107" t="n"/>
      <c r="C23" s="4106" t="n"/>
      <c r="J23" s="4107" t="n"/>
      <c r="K23" s="4945" t="inlineStr">
        <is>
          <t>職種</t>
        </is>
      </c>
      <c r="L23" s="4320" t="n"/>
      <c r="M23" s="4320" t="n"/>
      <c r="N23" s="4321" t="n"/>
      <c r="O23" s="662" t="inlineStr">
        <is>
          <t>1)</t>
        </is>
      </c>
      <c r="P23" s="3887" t="inlineStr">
        <is>
          <t>管理者</t>
        </is>
      </c>
      <c r="Q23" s="4457" t="n"/>
      <c r="R23" s="4457" t="n"/>
      <c r="S23" s="4457" t="n"/>
      <c r="T23" s="4457" t="n"/>
      <c r="U23" s="4457" t="n"/>
      <c r="V23" s="4457" t="n"/>
      <c r="W23" s="4457" t="n"/>
      <c r="X23" s="4457" t="n"/>
      <c r="Y23" s="663" t="inlineStr">
        <is>
          <t>3)</t>
        </is>
      </c>
      <c r="Z23" s="3883" t="n"/>
      <c r="AA23" s="4457" t="n"/>
      <c r="AB23" s="4457" t="n"/>
      <c r="AC23" s="4457" t="n"/>
      <c r="AD23" s="4457" t="n"/>
      <c r="AE23" s="4457" t="n"/>
      <c r="AF23" s="4457" t="n"/>
      <c r="AG23" s="4457" t="n"/>
      <c r="AH23" s="4943" t="n"/>
    </row>
    <row r="24" ht="14.1" customHeight="1" s="4080">
      <c r="A24" s="4097" t="n"/>
      <c r="B24" s="4107" t="n"/>
      <c r="C24" s="4106" t="n"/>
      <c r="J24" s="4107" t="n"/>
      <c r="K24" s="4942" t="n"/>
      <c r="L24" s="4317" t="n"/>
      <c r="M24" s="4317" t="n"/>
      <c r="N24" s="4318" t="n"/>
      <c r="O24" s="662" t="inlineStr">
        <is>
          <t>2)</t>
        </is>
      </c>
      <c r="P24" s="3887" t="n"/>
      <c r="Q24" s="4457" t="n"/>
      <c r="R24" s="4457" t="n"/>
      <c r="S24" s="4457" t="n"/>
      <c r="T24" s="4457" t="n"/>
      <c r="U24" s="4457" t="n"/>
      <c r="V24" s="4457" t="n"/>
      <c r="W24" s="4457" t="n"/>
      <c r="X24" s="4457" t="n"/>
      <c r="Y24" s="663" t="inlineStr">
        <is>
          <t>4)</t>
        </is>
      </c>
      <c r="Z24" s="3883" t="n"/>
      <c r="AA24" s="4457" t="n"/>
      <c r="AB24" s="4457" t="n"/>
      <c r="AC24" s="4457" t="n"/>
      <c r="AD24" s="4457" t="n"/>
      <c r="AE24" s="4457" t="n"/>
      <c r="AF24" s="4457" t="n"/>
      <c r="AG24" s="4457" t="n"/>
      <c r="AH24" s="4943" t="n"/>
    </row>
    <row r="25" ht="14.1" customHeight="1" s="4080">
      <c r="A25" s="4097" t="n"/>
      <c r="B25" s="4107" t="n"/>
      <c r="C25" s="4102" t="n"/>
      <c r="D25" s="4103" t="n"/>
      <c r="E25" s="4103" t="n"/>
      <c r="F25" s="4103" t="n"/>
      <c r="G25" s="4103" t="n"/>
      <c r="H25" s="4103" t="n"/>
      <c r="I25" s="4103" t="n"/>
      <c r="J25" s="4104" t="n"/>
      <c r="K25" s="4946" t="inlineStr">
        <is>
          <t>勤務時間</t>
        </is>
      </c>
      <c r="L25" s="4459" t="n"/>
      <c r="M25" s="4459" t="n"/>
      <c r="N25" s="4461" t="n"/>
      <c r="O25" s="3891" t="inlineStr">
        <is>
          <t>９</t>
        </is>
      </c>
      <c r="P25" s="4459" t="n"/>
      <c r="Q25" s="3896" t="inlineStr">
        <is>
          <t>：</t>
        </is>
      </c>
      <c r="R25" s="3893" t="inlineStr">
        <is>
          <t>００</t>
        </is>
      </c>
      <c r="S25" s="4459" t="n"/>
      <c r="T25" s="3896" t="inlineStr">
        <is>
          <t>～</t>
        </is>
      </c>
      <c r="U25" s="3892" t="inlineStr">
        <is>
          <t>１７</t>
        </is>
      </c>
      <c r="V25" s="4459" t="n"/>
      <c r="W25" s="3896" t="inlineStr">
        <is>
          <t>：</t>
        </is>
      </c>
      <c r="X25" s="3893" t="inlineStr">
        <is>
          <t>４５</t>
        </is>
      </c>
      <c r="Y25" s="4459" t="n"/>
      <c r="Z25" s="3894" t="inlineStr">
        <is>
          <t>（実働</t>
        </is>
      </c>
      <c r="AA25" s="4459" t="n"/>
      <c r="AB25" s="3895" t="inlineStr">
        <is>
          <t>７</t>
        </is>
      </c>
      <c r="AC25" s="3894" t="inlineStr">
        <is>
          <t>時間</t>
        </is>
      </c>
      <c r="AD25" s="4459" t="n"/>
      <c r="AE25" s="3895" t="inlineStr">
        <is>
          <t>４５</t>
        </is>
      </c>
      <c r="AF25" s="4459" t="n"/>
      <c r="AG25" s="3897" t="inlineStr">
        <is>
          <t>分）</t>
        </is>
      </c>
      <c r="AH25" s="4462" t="n"/>
    </row>
    <row r="26" ht="15.75" customHeight="1" s="4080">
      <c r="A26" s="3061" t="inlineStr">
        <is>
          <t>職員の職種・員数</t>
        </is>
      </c>
      <c r="B26" s="4099" t="n"/>
      <c r="C26" s="4272" t="inlineStr">
        <is>
          <t xml:space="preserve">　　　　　　職種・勤務形態
常勤・非常勤の別</t>
        </is>
      </c>
      <c r="D26" s="4098" t="n"/>
      <c r="E26" s="4098" t="n"/>
      <c r="F26" s="4098" t="n"/>
      <c r="G26" s="4098" t="n"/>
      <c r="H26" s="4098" t="n"/>
      <c r="I26" s="4098" t="n"/>
      <c r="J26" s="4099" t="n"/>
      <c r="K26" s="4185" t="inlineStr">
        <is>
          <t>就労選択支援員</t>
        </is>
      </c>
      <c r="L26" s="4110" t="n"/>
      <c r="M26" s="4110" t="n"/>
      <c r="N26" s="4110" t="n"/>
      <c r="O26" s="4110" t="n"/>
      <c r="P26" s="4111" t="n"/>
      <c r="Q26" s="4325" t="n"/>
      <c r="R26" s="4098" t="n"/>
      <c r="S26" s="4098" t="n"/>
      <c r="T26" s="4098" t="n"/>
      <c r="U26" s="4098" t="n"/>
      <c r="V26" s="4099" t="n"/>
      <c r="W26" s="4325" t="n"/>
      <c r="X26" s="4098" t="n"/>
      <c r="Y26" s="4098" t="n"/>
      <c r="Z26" s="4098" t="n"/>
      <c r="AA26" s="4098" t="n"/>
      <c r="AB26" s="4099" t="n"/>
      <c r="AC26" s="4326" t="n"/>
      <c r="AD26" s="4098" t="n"/>
      <c r="AE26" s="4098" t="n"/>
      <c r="AF26" s="4098" t="n"/>
      <c r="AG26" s="4098" t="n"/>
      <c r="AH26" s="4101" t="n"/>
      <c r="AO26" s="1667" t="inlineStr">
        <is>
          <t>生活介護</t>
        </is>
      </c>
    </row>
    <row r="27" ht="15.75" customHeight="1" s="4080">
      <c r="A27" s="4097" t="n"/>
      <c r="B27" s="4107" t="n"/>
      <c r="C27" s="4102" t="n"/>
      <c r="D27" s="4103" t="n"/>
      <c r="E27" s="4103" t="n"/>
      <c r="F27" s="4103" t="n"/>
      <c r="G27" s="4103" t="n"/>
      <c r="H27" s="4103" t="n"/>
      <c r="I27" s="4103" t="n"/>
      <c r="J27" s="4104" t="n"/>
      <c r="K27" s="1617" t="inlineStr">
        <is>
          <t>専従</t>
        </is>
      </c>
      <c r="L27" s="4110" t="n"/>
      <c r="M27" s="4189" t="n"/>
      <c r="N27" s="1604" t="inlineStr">
        <is>
          <t>兼務</t>
        </is>
      </c>
      <c r="O27" s="4110" t="n"/>
      <c r="P27" s="4111" t="n"/>
      <c r="Q27" s="1617" t="inlineStr">
        <is>
          <t>専従</t>
        </is>
      </c>
      <c r="R27" s="4110" t="n"/>
      <c r="S27" s="4189" t="n"/>
      <c r="T27" s="1603" t="inlineStr">
        <is>
          <t>兼務</t>
        </is>
      </c>
      <c r="U27" s="4110" t="n"/>
      <c r="V27" s="4189" t="n"/>
      <c r="W27" s="1617" t="inlineStr">
        <is>
          <t>専従</t>
        </is>
      </c>
      <c r="X27" s="4110" t="n"/>
      <c r="Y27" s="4189" t="n"/>
      <c r="Z27" s="1603" t="inlineStr">
        <is>
          <t>兼務</t>
        </is>
      </c>
      <c r="AA27" s="4110" t="n"/>
      <c r="AB27" s="4189" t="n"/>
      <c r="AC27" s="1617" t="inlineStr">
        <is>
          <t>専従</t>
        </is>
      </c>
      <c r="AD27" s="4110" t="n"/>
      <c r="AE27" s="4189" t="n"/>
      <c r="AF27" s="1603" t="inlineStr">
        <is>
          <t>兼務</t>
        </is>
      </c>
      <c r="AG27" s="4110" t="n"/>
      <c r="AH27" s="4189" t="n"/>
      <c r="AO27" s="1667" t="inlineStr">
        <is>
          <t>自立訓練</t>
        </is>
      </c>
    </row>
    <row r="28" ht="15.75" customHeight="1" s="4080">
      <c r="A28" s="4097" t="n"/>
      <c r="B28" s="4107" t="n"/>
      <c r="C28" s="4185" t="inlineStr">
        <is>
          <t>常　　　　　勤（人）</t>
        </is>
      </c>
      <c r="D28" s="4110" t="n"/>
      <c r="E28" s="4110" t="n"/>
      <c r="F28" s="4110" t="n"/>
      <c r="G28" s="4110" t="n"/>
      <c r="H28" s="4110" t="n"/>
      <c r="I28" s="4110" t="n"/>
      <c r="J28" s="4111" t="n"/>
      <c r="K28" s="1487" t="n"/>
      <c r="L28" s="4110" t="n"/>
      <c r="M28" s="4189" t="n"/>
      <c r="N28" s="1489" t="inlineStr">
        <is>
          <t>１</t>
        </is>
      </c>
      <c r="O28" s="4110" t="n"/>
      <c r="P28" s="4111" t="n"/>
      <c r="Q28" s="1487" t="n"/>
      <c r="R28" s="4110" t="n"/>
      <c r="S28" s="4189" t="n"/>
      <c r="T28" s="1489" t="n"/>
      <c r="U28" s="4110" t="n"/>
      <c r="V28" s="4111" t="n"/>
      <c r="W28" s="1487" t="n"/>
      <c r="X28" s="4110" t="n"/>
      <c r="Y28" s="4189" t="n"/>
      <c r="Z28" s="1489" t="n"/>
      <c r="AA28" s="4110" t="n"/>
      <c r="AB28" s="4111" t="n"/>
      <c r="AC28" s="1487" t="n"/>
      <c r="AD28" s="4110" t="n"/>
      <c r="AE28" s="4189" t="n"/>
      <c r="AF28" s="2134" t="n"/>
      <c r="AG28" s="4110" t="n"/>
      <c r="AH28" s="4113" t="n"/>
      <c r="AO28" s="1667" t="inlineStr">
        <is>
          <t>就労移行支援</t>
        </is>
      </c>
    </row>
    <row r="29" ht="15.75" customHeight="1" s="4080">
      <c r="A29" s="4097" t="n"/>
      <c r="B29" s="4107" t="n"/>
      <c r="C29" s="4185" t="inlineStr">
        <is>
          <t>非　　常　　勤（人）</t>
        </is>
      </c>
      <c r="D29" s="4110" t="n"/>
      <c r="E29" s="4110" t="n"/>
      <c r="F29" s="4110" t="n"/>
      <c r="G29" s="4110" t="n"/>
      <c r="H29" s="4110" t="n"/>
      <c r="I29" s="4110" t="n"/>
      <c r="J29" s="4111" t="n"/>
      <c r="K29" s="1487" t="inlineStr">
        <is>
          <t>１</t>
        </is>
      </c>
      <c r="L29" s="4110" t="n"/>
      <c r="M29" s="4189" t="n"/>
      <c r="N29" s="1489" t="n"/>
      <c r="O29" s="4110" t="n"/>
      <c r="P29" s="4111" t="n"/>
      <c r="Q29" s="1487" t="n"/>
      <c r="R29" s="4110" t="n"/>
      <c r="S29" s="4189" t="n"/>
      <c r="T29" s="1489" t="n"/>
      <c r="U29" s="4110" t="n"/>
      <c r="V29" s="4111" t="n"/>
      <c r="W29" s="1487" t="n"/>
      <c r="X29" s="4110" t="n"/>
      <c r="Y29" s="4189" t="n"/>
      <c r="Z29" s="1489" t="n"/>
      <c r="AA29" s="4110" t="n"/>
      <c r="AB29" s="4111" t="n"/>
      <c r="AC29" s="1487" t="n"/>
      <c r="AD29" s="4110" t="n"/>
      <c r="AE29" s="4189" t="n"/>
      <c r="AF29" s="2134" t="n"/>
      <c r="AG29" s="4110" t="n"/>
      <c r="AH29" s="4113" t="n"/>
      <c r="AO29" s="1667" t="inlineStr">
        <is>
          <t>就労継続支援</t>
        </is>
      </c>
    </row>
    <row r="30" ht="15.75" customHeight="1" s="4080">
      <c r="A30" s="4097" t="n"/>
      <c r="B30" s="4107" t="n"/>
      <c r="C30" s="4185" t="inlineStr">
        <is>
          <t>常勤換算後の人数（人）</t>
        </is>
      </c>
      <c r="D30" s="4110" t="n"/>
      <c r="E30" s="4110" t="n"/>
      <c r="F30" s="4110" t="n"/>
      <c r="G30" s="4110" t="n"/>
      <c r="H30" s="4110" t="n"/>
      <c r="I30" s="4110" t="n"/>
      <c r="J30" s="4111" t="n"/>
      <c r="K30" s="4599" t="inlineStr">
        <is>
          <t>０．７</t>
        </is>
      </c>
      <c r="L30" s="4110" t="n"/>
      <c r="M30" s="4110" t="n"/>
      <c r="N30" s="4110" t="n"/>
      <c r="O30" s="4110" t="n"/>
      <c r="P30" s="4111" t="n"/>
      <c r="Q30" s="4599" t="n"/>
      <c r="R30" s="4110" t="n"/>
      <c r="S30" s="4110" t="n"/>
      <c r="T30" s="4110" t="n"/>
      <c r="U30" s="4110" t="n"/>
      <c r="V30" s="4111" t="n"/>
      <c r="W30" s="4437" t="n"/>
      <c r="X30" s="4098" t="n"/>
      <c r="Y30" s="4098" t="n"/>
      <c r="Z30" s="4098" t="n"/>
      <c r="AA30" s="4098" t="n"/>
      <c r="AB30" s="4099" t="n"/>
      <c r="AC30" s="4438" t="n"/>
      <c r="AD30" s="4098" t="n"/>
      <c r="AE30" s="4098" t="n"/>
      <c r="AF30" s="4098" t="n"/>
      <c r="AG30" s="4098" t="n"/>
      <c r="AH30" s="4101" t="n"/>
    </row>
    <row r="31" ht="3.95" customHeight="1" s="4080">
      <c r="A31" s="3061" t="n"/>
      <c r="B31" s="4098" t="n"/>
      <c r="C31" s="4098" t="n"/>
      <c r="D31" s="4098" t="n"/>
      <c r="E31" s="4098" t="n"/>
      <c r="F31" s="4098" t="n"/>
      <c r="G31" s="4098" t="n"/>
      <c r="H31" s="4098" t="n"/>
      <c r="I31" s="4098" t="n"/>
      <c r="J31" s="4099" t="n"/>
      <c r="K31" s="4332" t="n"/>
      <c r="L31" s="4333" t="n"/>
      <c r="M31" s="4333" t="n"/>
      <c r="N31" s="4333" t="n"/>
      <c r="O31" s="4333" t="n"/>
      <c r="P31" s="4392" t="n"/>
      <c r="Q31" s="4393" t="inlineStr">
        <is>
          <t>事業所の種類</t>
        </is>
      </c>
      <c r="R31" s="4098" t="n"/>
      <c r="S31" s="4098" t="n"/>
      <c r="T31" s="4098" t="n"/>
      <c r="U31" s="4098" t="n"/>
      <c r="V31" s="4099" t="n"/>
      <c r="W31" s="4989" t="inlineStr">
        <is>
          <t>生活介護</t>
        </is>
      </c>
      <c r="X31" s="4098" t="n"/>
      <c r="Y31" s="4098" t="n"/>
      <c r="Z31" s="4098" t="n"/>
      <c r="AA31" s="4098" t="n"/>
      <c r="AB31" s="4099" t="n"/>
      <c r="AC31" s="4990" t="n"/>
      <c r="AD31" s="4098" t="n"/>
      <c r="AE31" s="4098" t="n"/>
      <c r="AF31" s="4098" t="n"/>
      <c r="AG31" s="4098" t="n"/>
      <c r="AH31" s="4101" t="n"/>
    </row>
    <row r="32" ht="14.1" customHeight="1" s="4080">
      <c r="A32" s="4338" t="inlineStr">
        <is>
          <t>一体的に運営する事業所</t>
        </is>
      </c>
      <c r="J32" s="4107" t="n"/>
      <c r="K32" s="4339" t="n"/>
      <c r="L32" s="4340" t="inlineStr">
        <is>
          <t>無</t>
        </is>
      </c>
      <c r="M32" s="4340" t="inlineStr">
        <is>
          <t>・</t>
        </is>
      </c>
      <c r="O32" s="4964" t="inlineStr">
        <is>
          <t>有</t>
        </is>
      </c>
      <c r="P32" s="4397" t="n"/>
      <c r="Q32" s="4106" t="n"/>
      <c r="V32" s="4107" t="n"/>
      <c r="W32" s="4106" t="n"/>
      <c r="AB32" s="4107" t="n"/>
      <c r="AH32" s="4109" t="n"/>
    </row>
    <row r="33" ht="3.75" customHeight="1" s="4080">
      <c r="A33" s="2296" t="n"/>
      <c r="B33" s="2321" t="n"/>
      <c r="C33" s="2321" t="n"/>
      <c r="D33" s="2321" t="n"/>
      <c r="E33" s="2321" t="n"/>
      <c r="F33" s="2321" t="n"/>
      <c r="G33" s="2321" t="n"/>
      <c r="H33" s="2321" t="n"/>
      <c r="I33" s="2321" t="n"/>
      <c r="J33" s="1450" t="n"/>
      <c r="K33" s="4343" t="n"/>
      <c r="L33" s="4344" t="n"/>
      <c r="M33" s="4344" t="n"/>
      <c r="N33" s="4344" t="n"/>
      <c r="O33" s="4344" t="n"/>
      <c r="P33" s="4398" t="n"/>
      <c r="Q33" s="4102" t="n"/>
      <c r="R33" s="4103" t="n"/>
      <c r="S33" s="4103" t="n"/>
      <c r="T33" s="4103" t="n"/>
      <c r="U33" s="4103" t="n"/>
      <c r="V33" s="4104" t="n"/>
      <c r="W33" s="4102" t="n"/>
      <c r="X33" s="4103" t="n"/>
      <c r="Y33" s="4103" t="n"/>
      <c r="Z33" s="4103" t="n"/>
      <c r="AA33" s="4103" t="n"/>
      <c r="AB33" s="4104" t="n"/>
      <c r="AC33" s="4103" t="n"/>
      <c r="AD33" s="4103" t="n"/>
      <c r="AE33" s="4103" t="n"/>
      <c r="AF33" s="4103" t="n"/>
      <c r="AG33" s="4103" t="n"/>
      <c r="AH33" s="4105" t="n"/>
    </row>
    <row r="34" ht="24" customHeight="1" s="4080">
      <c r="A34" s="4948" t="inlineStr">
        <is>
          <t>前年度
利用者数
(又は推定数)</t>
        </is>
      </c>
      <c r="B34" s="4098" t="n"/>
      <c r="C34" s="4098" t="n"/>
      <c r="D34" s="4099" t="n"/>
      <c r="E34" s="4949" t="n"/>
      <c r="F34" s="4110" t="n"/>
      <c r="G34" s="4111" t="n"/>
      <c r="H34" s="2165" t="inlineStr">
        <is>
          <t>非該当</t>
        </is>
      </c>
      <c r="I34" s="4110" t="n"/>
      <c r="J34" s="4111" t="n"/>
      <c r="K34" s="2165" t="inlineStr">
        <is>
          <t>区分１</t>
        </is>
      </c>
      <c r="L34" s="4110" t="n"/>
      <c r="M34" s="4111" t="n"/>
      <c r="N34" s="2165" t="inlineStr">
        <is>
          <t>区分２</t>
        </is>
      </c>
      <c r="O34" s="4110" t="n"/>
      <c r="P34" s="4111" t="n"/>
      <c r="Q34" s="2165" t="inlineStr">
        <is>
          <t>区分３</t>
        </is>
      </c>
      <c r="R34" s="4110" t="n"/>
      <c r="S34" s="4111" t="n"/>
      <c r="T34" s="2165" t="inlineStr">
        <is>
          <t>区分４</t>
        </is>
      </c>
      <c r="U34" s="4110" t="n"/>
      <c r="V34" s="4111" t="n"/>
      <c r="W34" s="2165" t="inlineStr">
        <is>
          <t>区分５</t>
        </is>
      </c>
      <c r="X34" s="4110" t="n"/>
      <c r="Y34" s="4111" t="n"/>
      <c r="Z34" s="2165" t="inlineStr">
        <is>
          <t>区分６</t>
        </is>
      </c>
      <c r="AA34" s="4110" t="n"/>
      <c r="AB34" s="4111" t="n"/>
      <c r="AC34" s="4628" t="inlineStr">
        <is>
          <t>前年度
開所日数</t>
        </is>
      </c>
      <c r="AD34" s="4110" t="n"/>
      <c r="AE34" s="4111" t="n"/>
      <c r="AF34" s="4643" t="inlineStr">
        <is>
          <t>平均
利用者数</t>
        </is>
      </c>
      <c r="AG34" s="4110" t="n"/>
      <c r="AH34" s="4113" t="n"/>
    </row>
    <row r="35" ht="15" customHeight="1" s="4080">
      <c r="A35" s="4097" t="n"/>
      <c r="D35" s="4107" t="n"/>
      <c r="E35" s="4313" t="inlineStr">
        <is>
          <t>就労定着</t>
        </is>
      </c>
      <c r="F35" s="4110" t="n"/>
      <c r="G35" s="4111" t="n"/>
      <c r="H35" s="4644" t="n"/>
      <c r="I35" s="4110" t="n"/>
      <c r="J35" s="4350" t="inlineStr">
        <is>
          <t>人</t>
        </is>
      </c>
      <c r="K35" s="4644" t="n"/>
      <c r="L35" s="4110" t="n"/>
      <c r="M35" s="4350" t="inlineStr">
        <is>
          <t>人</t>
        </is>
      </c>
      <c r="N35" s="4644" t="n"/>
      <c r="O35" s="4110" t="n"/>
      <c r="P35" s="4350" t="n"/>
      <c r="Q35" s="4644" t="n"/>
      <c r="R35" s="4110" t="n"/>
      <c r="S35" s="4350" t="inlineStr">
        <is>
          <t>人</t>
        </is>
      </c>
      <c r="T35" s="4644" t="n"/>
      <c r="U35" s="4110" t="n"/>
      <c r="V35" s="4350" t="inlineStr">
        <is>
          <t>人</t>
        </is>
      </c>
      <c r="W35" s="4644" t="n"/>
      <c r="X35" s="4110" t="n"/>
      <c r="Y35" s="4350" t="inlineStr">
        <is>
          <t>人</t>
        </is>
      </c>
      <c r="Z35" s="4644" t="n"/>
      <c r="AA35" s="4110" t="n"/>
      <c r="AB35" s="3914" t="inlineStr">
        <is>
          <t>人</t>
        </is>
      </c>
      <c r="AC35" s="4644" t="n"/>
      <c r="AD35" s="4110" t="n"/>
      <c r="AE35" s="3914" t="inlineStr">
        <is>
          <t>日</t>
        </is>
      </c>
      <c r="AF35" s="4646">
        <f>IF(AC35=0," ",ROUNDUP((H35+K35+N35+Q35+T35+W35+Z35)/AC35,1))</f>
        <v/>
      </c>
      <c r="AG35" s="4110" t="n"/>
      <c r="AH35" s="4632" t="inlineStr">
        <is>
          <t>人</t>
        </is>
      </c>
    </row>
    <row r="36" ht="50.25" customHeight="1" s="4080" thickBot="1">
      <c r="A36" s="4086" t="n"/>
      <c r="B36" s="4087" t="n"/>
      <c r="C36" s="4087" t="n"/>
      <c r="D36" s="4410" t="n"/>
      <c r="E36" s="4591" t="inlineStr">
        <is>
          <t>一体的に運用する事業所</t>
        </is>
      </c>
      <c r="F36" s="4153" t="n"/>
      <c r="G36" s="4154" t="n"/>
      <c r="H36" s="4950" t="n">
        <v>1</v>
      </c>
      <c r="I36" s="4153" t="n"/>
      <c r="J36" s="4764" t="inlineStr">
        <is>
          <t>人</t>
        </is>
      </c>
      <c r="K36" s="4950" t="n">
        <v>1560</v>
      </c>
      <c r="L36" s="4153" t="n"/>
      <c r="M36" s="4764" t="inlineStr">
        <is>
          <t>人</t>
        </is>
      </c>
      <c r="N36" s="4950" t="n">
        <v>1040</v>
      </c>
      <c r="O36" s="4153" t="n"/>
      <c r="P36" s="4764" t="inlineStr">
        <is>
          <t>人</t>
        </is>
      </c>
      <c r="Q36" s="4950" t="n">
        <v>620</v>
      </c>
      <c r="R36" s="4153" t="n"/>
      <c r="S36" s="4764" t="inlineStr">
        <is>
          <t>人</t>
        </is>
      </c>
      <c r="T36" s="4950" t="n">
        <v>310</v>
      </c>
      <c r="U36" s="4153" t="n"/>
      <c r="V36" s="4764" t="inlineStr">
        <is>
          <t>人</t>
        </is>
      </c>
      <c r="W36" s="4950" t="n">
        <v>100</v>
      </c>
      <c r="X36" s="4153" t="n"/>
      <c r="Y36" s="4764" t="inlineStr">
        <is>
          <t>人</t>
        </is>
      </c>
      <c r="Z36" s="4950" t="n">
        <v>1</v>
      </c>
      <c r="AA36" s="4153" t="n"/>
      <c r="AB36" s="4951" t="inlineStr">
        <is>
          <t>人</t>
        </is>
      </c>
      <c r="AC36" s="4950" t="n">
        <v>260</v>
      </c>
      <c r="AD36" s="4153" t="n"/>
      <c r="AE36" s="4951" t="inlineStr">
        <is>
          <t>日</t>
        </is>
      </c>
      <c r="AF36" s="4787">
        <f>IF(AC36=0," ",ROUNDUP((H36+K36+N36+Q36+T36+W36+Z36)/AC36,1))</f>
        <v/>
      </c>
      <c r="AG36" s="4153" t="n"/>
      <c r="AH36" s="4767" t="inlineStr">
        <is>
          <t>人</t>
        </is>
      </c>
    </row>
    <row r="37" ht="12" customHeight="1" s="4080" thickBot="1">
      <c r="A37" s="4355" t="inlineStr">
        <is>
          <t>主　　な　　掲　　示　　事　　項</t>
        </is>
      </c>
      <c r="B37" s="4356" t="n"/>
      <c r="C37" s="1999" t="n"/>
      <c r="D37" s="1886" t="inlineStr">
        <is>
          <t>営業日</t>
        </is>
      </c>
      <c r="E37" s="4082" t="n"/>
      <c r="F37" s="4082" t="n"/>
      <c r="G37" s="4082" t="n"/>
      <c r="H37" s="4082" t="n"/>
      <c r="I37" s="4082" t="n"/>
      <c r="J37" s="2002" t="n"/>
      <c r="K37" s="2352" t="inlineStr">
        <is>
          <t>月</t>
        </is>
      </c>
      <c r="L37" s="2354" t="inlineStr">
        <is>
          <t>火</t>
        </is>
      </c>
      <c r="M37" s="2354" t="inlineStr">
        <is>
          <t>水</t>
        </is>
      </c>
      <c r="N37" s="2354" t="inlineStr">
        <is>
          <t>木</t>
        </is>
      </c>
      <c r="O37" s="2354" t="inlineStr">
        <is>
          <t>金</t>
        </is>
      </c>
      <c r="P37" s="2354" t="inlineStr">
        <is>
          <t>土</t>
        </is>
      </c>
      <c r="Q37" s="2354" t="inlineStr">
        <is>
          <t>日</t>
        </is>
      </c>
      <c r="R37" s="2356" t="inlineStr">
        <is>
          <t>祝</t>
        </is>
      </c>
      <c r="S37" s="2004" t="inlineStr">
        <is>
          <t>休業日</t>
        </is>
      </c>
      <c r="T37" s="2006" t="inlineStr">
        <is>
          <t>年末年始</t>
        </is>
      </c>
      <c r="U37" s="4082" t="n"/>
      <c r="V37" s="3985" t="inlineStr">
        <is>
          <t>12/29～1/3</t>
        </is>
      </c>
      <c r="W37" s="4082" t="n"/>
      <c r="X37" s="4082" t="n"/>
      <c r="Y37" s="4082" t="n"/>
      <c r="Z37" s="4082" t="n"/>
      <c r="AA37" s="4082" t="n"/>
      <c r="AB37" s="4356" t="n"/>
      <c r="AC37" s="4418" t="inlineStr">
        <is>
          <t>備 考</t>
        </is>
      </c>
      <c r="AD37" s="4965" t="n"/>
      <c r="AE37" s="4082" t="n"/>
      <c r="AF37" s="4082" t="n"/>
      <c r="AG37" s="4082" t="n"/>
      <c r="AH37" s="4083" t="n"/>
    </row>
    <row r="38" ht="12" customHeight="1" s="4080" thickBot="1">
      <c r="A38" s="4097" t="n"/>
      <c r="B38" s="4107" t="n"/>
      <c r="C38" s="4106" t="n"/>
      <c r="J38" s="4107" t="n"/>
      <c r="K38" s="4302" t="inlineStr">
        <is>
          <t>○</t>
        </is>
      </c>
      <c r="L38" s="4303" t="inlineStr">
        <is>
          <t>○</t>
        </is>
      </c>
      <c r="M38" s="4303" t="inlineStr">
        <is>
          <t>○</t>
        </is>
      </c>
      <c r="N38" s="4303" t="inlineStr">
        <is>
          <t>○</t>
        </is>
      </c>
      <c r="O38" s="4303" t="inlineStr">
        <is>
          <t>○</t>
        </is>
      </c>
      <c r="P38" s="4303" t="n"/>
      <c r="Q38" s="4303" t="n"/>
      <c r="R38" s="4309" t="inlineStr">
        <is>
          <t>○</t>
        </is>
      </c>
      <c r="S38" s="4282" t="n"/>
      <c r="T38" s="2008" t="inlineStr">
        <is>
          <t>夏季</t>
        </is>
      </c>
      <c r="V38" s="1744" t="inlineStr">
        <is>
          <t>8/13～8/16</t>
        </is>
      </c>
      <c r="AB38" s="4107" t="n"/>
      <c r="AC38" s="4419" t="n"/>
      <c r="AH38" s="4109" t="n"/>
    </row>
    <row r="39" ht="12" customHeight="1" s="4080">
      <c r="A39" s="4097" t="n"/>
      <c r="B39" s="4107" t="n"/>
      <c r="C39" s="4420" t="n"/>
      <c r="D39" s="4087" t="n"/>
      <c r="E39" s="4087" t="n"/>
      <c r="F39" s="4087" t="n"/>
      <c r="G39" s="4087" t="n"/>
      <c r="H39" s="4087" t="n"/>
      <c r="I39" s="4087" t="n"/>
      <c r="J39" s="4410" t="n"/>
      <c r="K39" s="4283" t="n"/>
      <c r="L39" s="4284" t="n"/>
      <c r="M39" s="4284" t="n"/>
      <c r="N39" s="4284" t="n"/>
      <c r="O39" s="4284" t="n"/>
      <c r="P39" s="4284" t="n"/>
      <c r="Q39" s="4284" t="n"/>
      <c r="R39" s="4285" t="n"/>
      <c r="S39" s="4421" t="n"/>
      <c r="T39" s="2024" t="inlineStr">
        <is>
          <t>その他</t>
        </is>
      </c>
      <c r="U39" s="4103" t="n"/>
      <c r="V39" s="940" t="n"/>
      <c r="W39" s="4103" t="n"/>
      <c r="X39" s="4103" t="n"/>
      <c r="Y39" s="4103" t="n"/>
      <c r="Z39" s="4103" t="n"/>
      <c r="AA39" s="4103" t="n"/>
      <c r="AB39" s="4104" t="n"/>
      <c r="AC39" s="4283" t="n"/>
      <c r="AD39" s="4103" t="n"/>
      <c r="AE39" s="4103" t="n"/>
      <c r="AF39" s="4103" t="n"/>
      <c r="AG39" s="4103" t="n"/>
      <c r="AH39" s="4105" t="n"/>
    </row>
    <row r="40" ht="3.95" customHeight="1" s="4080">
      <c r="A40" s="4097" t="n"/>
      <c r="B40" s="4107" t="n"/>
      <c r="C40" s="1393" t="n"/>
      <c r="D40" s="1264" t="inlineStr">
        <is>
          <t>営業時間</t>
        </is>
      </c>
      <c r="E40" s="4098" t="n"/>
      <c r="F40" s="4098" t="n"/>
      <c r="G40" s="4098" t="n"/>
      <c r="H40" s="4098" t="n"/>
      <c r="I40" s="4098" t="n"/>
      <c r="J40" s="4223" t="n"/>
      <c r="K40" s="4287" t="inlineStr">
        <is>
          <t>平日</t>
        </is>
      </c>
      <c r="L40" s="4098" t="n"/>
      <c r="M40" s="4190" t="n"/>
      <c r="N40" s="1590" t="n"/>
      <c r="O40" s="4098" t="n"/>
      <c r="P40" s="2842" t="inlineStr">
        <is>
          <t>時</t>
        </is>
      </c>
      <c r="Q40" s="1323" t="n"/>
      <c r="R40" s="1323" t="n"/>
      <c r="S40" s="4288" t="inlineStr">
        <is>
          <t>分～</t>
        </is>
      </c>
      <c r="T40" s="4098" t="n"/>
      <c r="U40" s="108" t="inlineStr">
        <is>
          <t xml:space="preserve">　</t>
        </is>
      </c>
      <c r="V40" s="1591" t="n"/>
      <c r="W40" s="4098" t="n"/>
      <c r="X40" s="2842" t="inlineStr">
        <is>
          <t>時</t>
        </is>
      </c>
      <c r="Y40" s="2834" t="n"/>
      <c r="Z40" s="2834" t="n"/>
      <c r="AA40" s="2842" t="inlineStr">
        <is>
          <t>分</t>
        </is>
      </c>
      <c r="AB40" s="1323" t="n"/>
      <c r="AC40" s="4422" t="inlineStr">
        <is>
          <t>備考</t>
        </is>
      </c>
      <c r="AD40" s="1747" t="n"/>
      <c r="AE40" s="4098" t="n"/>
      <c r="AF40" s="4098" t="n"/>
      <c r="AG40" s="4098" t="n"/>
      <c r="AH40" s="4101" t="n"/>
    </row>
    <row r="41" ht="12" customHeight="1" s="4080">
      <c r="A41" s="4097" t="n"/>
      <c r="B41" s="4107" t="n"/>
      <c r="C41" s="4106" t="n"/>
      <c r="J41" s="4107" t="n"/>
      <c r="K41" s="4106" t="n"/>
      <c r="M41" s="4191" t="n"/>
      <c r="N41" s="1733" t="inlineStr">
        <is>
          <t>９</t>
        </is>
      </c>
      <c r="Q41" s="1752" t="inlineStr">
        <is>
          <t>００</t>
        </is>
      </c>
      <c r="U41" s="1734" t="inlineStr">
        <is>
          <t>１７</t>
        </is>
      </c>
      <c r="Y41" s="1732" t="inlineStr">
        <is>
          <t>４５</t>
        </is>
      </c>
      <c r="AB41" s="1325" t="n"/>
      <c r="AC41" s="4419" t="n"/>
      <c r="AH41" s="4109" t="n"/>
    </row>
    <row r="42" ht="3.95" customHeight="1" s="4080">
      <c r="A42" s="4097" t="n"/>
      <c r="B42" s="4107" t="n"/>
      <c r="C42" s="4106" t="n"/>
      <c r="J42" s="4107" t="n"/>
      <c r="K42" s="4145" t="n"/>
      <c r="L42" s="4146" t="n"/>
      <c r="M42" s="4201" t="n"/>
      <c r="N42" s="1586" t="n"/>
      <c r="O42" s="1587" t="n"/>
      <c r="P42" s="4146" t="n"/>
      <c r="Q42" s="1585" t="n"/>
      <c r="R42" s="1585" t="n"/>
      <c r="S42" s="4146" t="n"/>
      <c r="T42" s="4146" t="n"/>
      <c r="U42" s="2253" t="n"/>
      <c r="V42" s="1587" t="n"/>
      <c r="W42" s="1587" t="n"/>
      <c r="X42" s="4146" t="n"/>
      <c r="Y42" s="101" t="n"/>
      <c r="Z42" s="101" t="n"/>
      <c r="AA42" s="4146" t="n"/>
      <c r="AB42" s="1585" t="n"/>
      <c r="AC42" s="4419" t="n"/>
      <c r="AH42" s="4109" t="n"/>
    </row>
    <row r="43" ht="3.95" customHeight="1" s="4080">
      <c r="A43" s="4097" t="n"/>
      <c r="B43" s="4107" t="n"/>
      <c r="C43" s="4106" t="n"/>
      <c r="J43" s="4107" t="n"/>
      <c r="K43" s="4289" t="inlineStr">
        <is>
          <t>土曜</t>
        </is>
      </c>
      <c r="L43" s="4290" t="n"/>
      <c r="M43" s="4291" t="n"/>
      <c r="N43" s="1581" t="n"/>
      <c r="O43" s="4290" t="n"/>
      <c r="P43" s="1514" t="inlineStr">
        <is>
          <t>時</t>
        </is>
      </c>
      <c r="Q43" s="1583" t="n"/>
      <c r="R43" s="1583" t="n"/>
      <c r="S43" s="4292" t="inlineStr">
        <is>
          <t>分～</t>
        </is>
      </c>
      <c r="T43" s="4290" t="n"/>
      <c r="U43" s="98" t="inlineStr">
        <is>
          <t xml:space="preserve">　</t>
        </is>
      </c>
      <c r="V43" s="1582" t="n"/>
      <c r="W43" s="1582" t="n"/>
      <c r="X43" s="1514" t="inlineStr">
        <is>
          <t>時</t>
        </is>
      </c>
      <c r="Y43" s="96" t="n"/>
      <c r="Z43" s="96" t="n"/>
      <c r="AA43" s="1514" t="inlineStr">
        <is>
          <t>分</t>
        </is>
      </c>
      <c r="AB43" s="1583" t="n"/>
      <c r="AC43" s="4419" t="n"/>
      <c r="AH43" s="4109" t="n"/>
    </row>
    <row r="44" ht="12" customHeight="1" s="4080">
      <c r="A44" s="4097" t="n"/>
      <c r="B44" s="4107" t="n"/>
      <c r="C44" s="4106" t="n"/>
      <c r="J44" s="4107" t="n"/>
      <c r="K44" s="4106" t="n"/>
      <c r="M44" s="4191" t="n"/>
      <c r="N44" s="1589" t="n"/>
      <c r="Q44" s="1325" t="n"/>
      <c r="U44" s="1257" t="n"/>
      <c r="Y44" s="1580" t="n"/>
      <c r="AB44" s="1325" t="n"/>
      <c r="AC44" s="4419" t="n"/>
      <c r="AH44" s="4109" t="n"/>
    </row>
    <row r="45" ht="3.95" customHeight="1" s="4080">
      <c r="A45" s="4097" t="n"/>
      <c r="B45" s="4107" t="n"/>
      <c r="C45" s="4106" t="n"/>
      <c r="J45" s="4107" t="n"/>
      <c r="K45" s="4145" t="n"/>
      <c r="L45" s="4146" t="n"/>
      <c r="M45" s="4201" t="n"/>
      <c r="N45" s="1586" t="n"/>
      <c r="O45" s="1587" t="n"/>
      <c r="P45" s="4146" t="n"/>
      <c r="Q45" s="1585" t="n"/>
      <c r="R45" s="1585" t="n"/>
      <c r="S45" s="4146" t="n"/>
      <c r="T45" s="4146" t="n"/>
      <c r="U45" s="103" t="n"/>
      <c r="V45" s="1587" t="n"/>
      <c r="W45" s="1587" t="n"/>
      <c r="X45" s="4146" t="n"/>
      <c r="Y45" s="101" t="n"/>
      <c r="Z45" s="101" t="n"/>
      <c r="AA45" s="4146" t="n"/>
      <c r="AB45" s="1585" t="n"/>
      <c r="AC45" s="4419" t="n"/>
      <c r="AH45" s="4109" t="n"/>
    </row>
    <row r="46" ht="3.95" customHeight="1" s="4080">
      <c r="A46" s="4097" t="n"/>
      <c r="B46" s="4107" t="n"/>
      <c r="C46" s="4106" t="n"/>
      <c r="J46" s="4107" t="n"/>
      <c r="K46" s="4293" t="inlineStr">
        <is>
          <t>日・祝日</t>
        </is>
      </c>
      <c r="L46" s="4290" t="n"/>
      <c r="M46" s="4291" t="n"/>
      <c r="N46" s="1581" t="n"/>
      <c r="O46" s="4290" t="n"/>
      <c r="P46" s="1521" t="inlineStr">
        <is>
          <t>時</t>
        </is>
      </c>
      <c r="Q46" s="1583" t="n"/>
      <c r="R46" s="1583" t="n"/>
      <c r="S46" s="4294" t="inlineStr">
        <is>
          <t>分～</t>
        </is>
      </c>
      <c r="T46" s="4290" t="n"/>
      <c r="U46" s="98" t="inlineStr">
        <is>
          <t xml:space="preserve">　</t>
        </is>
      </c>
      <c r="V46" s="1582" t="n"/>
      <c r="W46" s="1582" t="n"/>
      <c r="X46" s="1521" t="inlineStr">
        <is>
          <t>時</t>
        </is>
      </c>
      <c r="Y46" s="96" t="n"/>
      <c r="Z46" s="96" t="n"/>
      <c r="AA46" s="1521" t="inlineStr">
        <is>
          <t>分</t>
        </is>
      </c>
      <c r="AB46" s="1583" t="n"/>
      <c r="AC46" s="4419" t="n"/>
      <c r="AH46" s="4109" t="n"/>
    </row>
    <row r="47" ht="12" customHeight="1" s="4080">
      <c r="A47" s="4097" t="n"/>
      <c r="B47" s="4107" t="n"/>
      <c r="C47" s="4106" t="n"/>
      <c r="J47" s="4107" t="n"/>
      <c r="K47" s="4106" t="n"/>
      <c r="M47" s="4191" t="n"/>
      <c r="N47" s="1733" t="inlineStr">
        <is>
          <t>９</t>
        </is>
      </c>
      <c r="Q47" s="1752" t="inlineStr">
        <is>
          <t>００</t>
        </is>
      </c>
      <c r="U47" s="1734" t="inlineStr">
        <is>
          <t>１７</t>
        </is>
      </c>
      <c r="Y47" s="1732" t="inlineStr">
        <is>
          <t>４５</t>
        </is>
      </c>
      <c r="AB47" s="1325" t="n"/>
      <c r="AC47" s="4419" t="n"/>
      <c r="AH47" s="4109" t="n"/>
    </row>
    <row r="48" ht="3.95" customHeight="1" s="4080">
      <c r="A48" s="4097" t="n"/>
      <c r="B48" s="4107" t="n"/>
      <c r="C48" s="4102" t="n"/>
      <c r="D48" s="4103" t="n"/>
      <c r="E48" s="4103" t="n"/>
      <c r="F48" s="4103" t="n"/>
      <c r="G48" s="4103" t="n"/>
      <c r="H48" s="4103" t="n"/>
      <c r="I48" s="4103" t="n"/>
      <c r="J48" s="4104" t="n"/>
      <c r="K48" s="4102" t="n"/>
      <c r="L48" s="4103" t="n"/>
      <c r="M48" s="4193" t="n"/>
      <c r="N48" s="1588" t="n"/>
      <c r="O48" s="1258" t="n"/>
      <c r="P48" s="4103" t="n"/>
      <c r="Q48" s="1327" t="n"/>
      <c r="R48" s="1327" t="n"/>
      <c r="S48" s="4103" t="n"/>
      <c r="T48" s="4103" t="n"/>
      <c r="U48" s="92" t="n"/>
      <c r="V48" s="1258" t="n"/>
      <c r="W48" s="1258" t="n"/>
      <c r="X48" s="4103" t="n"/>
      <c r="Y48" s="2836" t="n"/>
      <c r="Z48" s="2836" t="n"/>
      <c r="AA48" s="4103" t="n"/>
      <c r="AB48" s="1327" t="n"/>
      <c r="AC48" s="4283" t="n"/>
      <c r="AD48" s="4103" t="n"/>
      <c r="AE48" s="4103" t="n"/>
      <c r="AF48" s="4103" t="n"/>
      <c r="AG48" s="4103" t="n"/>
      <c r="AH48" s="4105" t="n"/>
    </row>
    <row r="49" ht="12" customHeight="1" s="4080">
      <c r="A49" s="4097" t="n"/>
      <c r="B49" s="4107" t="n"/>
      <c r="C49" s="1393" t="n"/>
      <c r="D49" s="1264" t="inlineStr">
        <is>
          <t>サービス提供日</t>
        </is>
      </c>
      <c r="E49" s="4098" t="n"/>
      <c r="F49" s="4098" t="n"/>
      <c r="G49" s="4098" t="n"/>
      <c r="H49" s="4098" t="n"/>
      <c r="I49" s="4098" t="n"/>
      <c r="J49" s="4423" t="n"/>
      <c r="K49" s="2244" t="inlineStr">
        <is>
          <t>月</t>
        </is>
      </c>
      <c r="L49" s="2245" t="inlineStr">
        <is>
          <t>火</t>
        </is>
      </c>
      <c r="M49" s="2245" t="inlineStr">
        <is>
          <t>水</t>
        </is>
      </c>
      <c r="N49" s="2245" t="inlineStr">
        <is>
          <t>木</t>
        </is>
      </c>
      <c r="O49" s="2245" t="inlineStr">
        <is>
          <t>金</t>
        </is>
      </c>
      <c r="P49" s="2245" t="inlineStr">
        <is>
          <t>土</t>
        </is>
      </c>
      <c r="Q49" s="2245" t="inlineStr">
        <is>
          <t>日</t>
        </is>
      </c>
      <c r="R49" s="2249" t="inlineStr">
        <is>
          <t>祝</t>
        </is>
      </c>
      <c r="S49" s="4279" t="inlineStr">
        <is>
          <t>休業日</t>
        </is>
      </c>
      <c r="T49" s="1611" t="inlineStr">
        <is>
          <t>年末年始</t>
        </is>
      </c>
      <c r="U49" s="4098" t="n"/>
      <c r="V49" s="1717" t="inlineStr">
        <is>
          <t>12/29～1/3</t>
        </is>
      </c>
      <c r="W49" s="4098" t="n"/>
      <c r="X49" s="4098" t="n"/>
      <c r="Y49" s="4098" t="n"/>
      <c r="Z49" s="4098" t="n"/>
      <c r="AA49" s="4098" t="n"/>
      <c r="AB49" s="4099" t="n"/>
      <c r="AC49" s="4424" t="inlineStr">
        <is>
          <t>備考</t>
        </is>
      </c>
      <c r="AD49" s="2793" t="n"/>
      <c r="AE49" s="4098" t="n"/>
      <c r="AF49" s="4098" t="n"/>
      <c r="AG49" s="4098" t="n"/>
      <c r="AH49" s="4101" t="n"/>
    </row>
    <row r="50" ht="12" customHeight="1" s="4080">
      <c r="A50" s="4097" t="n"/>
      <c r="B50" s="4107" t="n"/>
      <c r="C50" s="4106" t="n"/>
      <c r="J50" s="4107" t="n"/>
      <c r="K50" s="4302" t="inlineStr">
        <is>
          <t>○</t>
        </is>
      </c>
      <c r="L50" s="4303" t="inlineStr">
        <is>
          <t>○</t>
        </is>
      </c>
      <c r="M50" s="4303" t="inlineStr">
        <is>
          <t>○</t>
        </is>
      </c>
      <c r="N50" s="4303" t="inlineStr">
        <is>
          <t>○</t>
        </is>
      </c>
      <c r="O50" s="4303" t="inlineStr">
        <is>
          <t>○</t>
        </is>
      </c>
      <c r="P50" s="4303" t="n"/>
      <c r="Q50" s="4303" t="n"/>
      <c r="R50" s="4309" t="inlineStr">
        <is>
          <t>○</t>
        </is>
      </c>
      <c r="S50" s="4282" t="n"/>
      <c r="T50" s="1609" t="inlineStr">
        <is>
          <t>夏季</t>
        </is>
      </c>
      <c r="V50" s="1744" t="inlineStr">
        <is>
          <t>8/13～8/16</t>
        </is>
      </c>
      <c r="AB50" s="4107" t="n"/>
      <c r="AC50" s="4419" t="n"/>
      <c r="AH50" s="4109" t="n"/>
    </row>
    <row r="51" ht="12" customHeight="1" s="4080">
      <c r="A51" s="4097" t="n"/>
      <c r="B51" s="4107" t="n"/>
      <c r="C51" s="4102" t="n"/>
      <c r="D51" s="4103" t="n"/>
      <c r="E51" s="4103" t="n"/>
      <c r="F51" s="4103" t="n"/>
      <c r="G51" s="4103" t="n"/>
      <c r="H51" s="4103" t="n"/>
      <c r="I51" s="4103" t="n"/>
      <c r="J51" s="4104" t="n"/>
      <c r="K51" s="4283" t="n"/>
      <c r="L51" s="4284" t="n"/>
      <c r="M51" s="4284" t="n"/>
      <c r="N51" s="4284" t="n"/>
      <c r="O51" s="4284" t="n"/>
      <c r="P51" s="4284" t="n"/>
      <c r="Q51" s="4284" t="n"/>
      <c r="R51" s="4285" t="n"/>
      <c r="S51" s="4286" t="n"/>
      <c r="T51" s="1610" t="inlineStr">
        <is>
          <t>その他</t>
        </is>
      </c>
      <c r="U51" s="4103" t="n"/>
      <c r="V51" s="940" t="n"/>
      <c r="W51" s="4103" t="n"/>
      <c r="X51" s="4103" t="n"/>
      <c r="Y51" s="4103" t="n"/>
      <c r="Z51" s="4103" t="n"/>
      <c r="AA51" s="4103" t="n"/>
      <c r="AB51" s="4104" t="n"/>
      <c r="AC51" s="4283" t="n"/>
      <c r="AD51" s="4103" t="n"/>
      <c r="AE51" s="4103" t="n"/>
      <c r="AF51" s="4103" t="n"/>
      <c r="AG51" s="4103" t="n"/>
      <c r="AH51" s="4105" t="n"/>
    </row>
    <row r="52" ht="15.75" customHeight="1" s="4080">
      <c r="A52" s="4097" t="n"/>
      <c r="B52" s="4107" t="n"/>
      <c r="C52" s="1322" t="n"/>
      <c r="D52" s="1264" t="inlineStr">
        <is>
          <t>サービス提供時間</t>
        </is>
      </c>
      <c r="E52" s="4110" t="n"/>
      <c r="F52" s="4110" t="n"/>
      <c r="G52" s="4110" t="n"/>
      <c r="H52" s="4110" t="n"/>
      <c r="I52" s="4110" t="n"/>
      <c r="J52" s="1403" t="n"/>
      <c r="K52" s="224" t="n"/>
      <c r="L52" s="1707" t="inlineStr">
        <is>
          <t>１０</t>
        </is>
      </c>
      <c r="O52" s="1325" t="inlineStr">
        <is>
          <t>時</t>
        </is>
      </c>
      <c r="P52" s="1538" t="inlineStr">
        <is>
          <t>００</t>
        </is>
      </c>
      <c r="R52" s="1325" t="inlineStr">
        <is>
          <t>分～</t>
        </is>
      </c>
      <c r="T52" s="1707" t="inlineStr">
        <is>
          <t>１７</t>
        </is>
      </c>
      <c r="W52" s="1325" t="inlineStr">
        <is>
          <t>時</t>
        </is>
      </c>
      <c r="X52" s="1538" t="inlineStr">
        <is>
          <t>００</t>
        </is>
      </c>
      <c r="Z52" s="1325" t="inlineStr">
        <is>
          <t>分</t>
        </is>
      </c>
      <c r="AA52" s="1325" t="n"/>
      <c r="AC52" s="1325" t="n"/>
      <c r="AF52" s="1668" t="n"/>
      <c r="AH52" s="4109" t="n"/>
    </row>
    <row r="53" ht="15.75" customHeight="1" s="4080">
      <c r="A53" s="4097" t="n"/>
      <c r="B53" s="4107" t="n"/>
      <c r="C53" s="1393" t="n"/>
      <c r="D53" s="4222" t="inlineStr">
        <is>
          <t>サービスを提供
する主たる対象者</t>
        </is>
      </c>
      <c r="E53" s="4098" t="n"/>
      <c r="F53" s="4098" t="n"/>
      <c r="G53" s="4098" t="n"/>
      <c r="H53" s="4098" t="n"/>
      <c r="I53" s="4098" t="n"/>
      <c r="J53" s="4223" t="n"/>
      <c r="K53" s="4952" t="inlineStr">
        <is>
          <t>身体障害者</t>
        </is>
      </c>
      <c r="L53" s="4138" t="n"/>
      <c r="M53" s="4138" t="n"/>
      <c r="N53" s="4138" t="n"/>
      <c r="O53" s="4138" t="n"/>
      <c r="P53" s="4138" t="n"/>
      <c r="Q53" s="4138" t="n"/>
      <c r="R53" s="4138" t="n"/>
      <c r="S53" s="4138" t="n"/>
      <c r="T53" s="4138" t="n"/>
      <c r="U53" s="4138" t="n"/>
      <c r="V53" s="4139" t="n"/>
      <c r="W53" s="4425" t="inlineStr">
        <is>
          <t>知的障害者</t>
        </is>
      </c>
      <c r="X53" s="4098" t="n"/>
      <c r="Y53" s="4098" t="n"/>
      <c r="Z53" s="4099" t="n"/>
      <c r="AA53" s="4425" t="inlineStr">
        <is>
          <t>精神障害者</t>
        </is>
      </c>
      <c r="AB53" s="4098" t="n"/>
      <c r="AC53" s="4098" t="n"/>
      <c r="AD53" s="4099" t="n"/>
      <c r="AE53" s="4426" t="inlineStr">
        <is>
          <t>難病等対象者</t>
        </is>
      </c>
      <c r="AF53" s="4098" t="n"/>
      <c r="AG53" s="4098" t="n"/>
      <c r="AH53" s="4099" t="n"/>
    </row>
    <row r="54" ht="15.75" customHeight="1" s="4080">
      <c r="A54" s="4097" t="n"/>
      <c r="B54" s="4107" t="n"/>
      <c r="C54" s="4106" t="n"/>
      <c r="J54" s="4107" t="n"/>
      <c r="K54" s="3931" t="inlineStr">
        <is>
          <t>肢体不自由</t>
        </is>
      </c>
      <c r="L54" s="4103" t="n"/>
      <c r="M54" s="4103" t="n"/>
      <c r="N54" s="4193" t="n"/>
      <c r="O54" s="4953" t="inlineStr">
        <is>
          <t>視覚</t>
        </is>
      </c>
      <c r="P54" s="4249" t="n"/>
      <c r="Q54" s="4250" t="inlineStr">
        <is>
          <t>聴覚・言語</t>
        </is>
      </c>
      <c r="R54" s="4140" t="n"/>
      <c r="S54" s="4140" t="n"/>
      <c r="T54" s="4249" t="n"/>
      <c r="U54" s="4954" t="inlineStr">
        <is>
          <t>内部</t>
        </is>
      </c>
      <c r="V54" s="4141" t="n"/>
      <c r="W54" s="4102" t="n"/>
      <c r="X54" s="4103" t="n"/>
      <c r="Y54" s="4103" t="n"/>
      <c r="Z54" s="4104" t="n"/>
      <c r="AA54" s="4102" t="n"/>
      <c r="AB54" s="4103" t="n"/>
      <c r="AC54" s="4103" t="n"/>
      <c r="AD54" s="4104" t="n"/>
      <c r="AE54" s="4102" t="n"/>
      <c r="AF54" s="4103" t="n"/>
      <c r="AG54" s="4103" t="n"/>
      <c r="AH54" s="4104" t="n"/>
    </row>
    <row r="55" ht="15.75" customHeight="1" s="4080">
      <c r="A55" s="4097" t="n"/>
      <c r="B55" s="4107" t="n"/>
      <c r="C55" s="4102" t="n"/>
      <c r="D55" s="4103" t="n"/>
      <c r="E55" s="4103" t="n"/>
      <c r="F55" s="4103" t="n"/>
      <c r="G55" s="4103" t="n"/>
      <c r="H55" s="4103" t="n"/>
      <c r="I55" s="4103" t="n"/>
      <c r="J55" s="4104" t="n"/>
      <c r="K55" s="3986" t="inlineStr">
        <is>
          <t>○</t>
        </is>
      </c>
      <c r="L55" s="4140" t="n"/>
      <c r="M55" s="4140" t="n"/>
      <c r="N55" s="4249" t="n"/>
      <c r="O55" s="4966" t="inlineStr">
        <is>
          <t>○</t>
        </is>
      </c>
      <c r="P55" s="4189" t="n"/>
      <c r="Q55" s="3986" t="inlineStr">
        <is>
          <t>○</t>
        </is>
      </c>
      <c r="R55" s="4140" t="n"/>
      <c r="S55" s="4140" t="n"/>
      <c r="T55" s="4249" t="n"/>
      <c r="U55" s="4967" t="inlineStr">
        <is>
          <t>○</t>
        </is>
      </c>
      <c r="V55" s="4111" t="n"/>
      <c r="W55" s="4968" t="inlineStr">
        <is>
          <t>○</t>
        </is>
      </c>
      <c r="X55" s="4110" t="n"/>
      <c r="Y55" s="4110" t="n"/>
      <c r="Z55" s="4111" t="n"/>
      <c r="AA55" s="3993" t="inlineStr">
        <is>
          <t>○</t>
        </is>
      </c>
      <c r="AB55" s="4140" t="n"/>
      <c r="AC55" s="4140" t="n"/>
      <c r="AD55" s="4141" t="n"/>
      <c r="AE55" s="3993" t="inlineStr">
        <is>
          <t>○</t>
        </is>
      </c>
      <c r="AF55" s="4140" t="n"/>
      <c r="AG55" s="4140" t="n"/>
      <c r="AH55" s="4141" t="n"/>
    </row>
    <row r="56" ht="15" customHeight="1" s="4080">
      <c r="A56" s="4097" t="n"/>
      <c r="B56" s="4107" t="n"/>
      <c r="C56" s="1393" t="n"/>
      <c r="D56" s="1264" t="inlineStr">
        <is>
          <t>利用料</t>
        </is>
      </c>
      <c r="E56" s="4110" t="n"/>
      <c r="F56" s="4110" t="n"/>
      <c r="G56" s="4110" t="n"/>
      <c r="H56" s="4110" t="n"/>
      <c r="I56" s="4110" t="n"/>
      <c r="J56" s="1394" t="n"/>
      <c r="K56" s="4647" t="inlineStr">
        <is>
          <t>厚生労働大臣が定める額</t>
        </is>
      </c>
      <c r="L56" s="4110" t="n"/>
      <c r="M56" s="4110" t="n"/>
      <c r="N56" s="4110" t="n"/>
      <c r="O56" s="4110" t="n"/>
      <c r="P56" s="4110" t="n"/>
      <c r="Q56" s="4110" t="n"/>
      <c r="R56" s="4110" t="n"/>
      <c r="S56" s="4110" t="n"/>
      <c r="T56" s="4110" t="n"/>
      <c r="U56" s="4110" t="n"/>
      <c r="V56" s="4110" t="n"/>
      <c r="W56" s="4110" t="n"/>
      <c r="X56" s="4110" t="n"/>
      <c r="Y56" s="4110" t="n"/>
      <c r="Z56" s="4110" t="n"/>
      <c r="AA56" s="4110" t="n"/>
      <c r="AB56" s="4110" t="n"/>
      <c r="AC56" s="4110" t="n"/>
      <c r="AD56" s="4110" t="n"/>
      <c r="AE56" s="4110" t="n"/>
      <c r="AF56" s="4110" t="n"/>
      <c r="AG56" s="4110" t="n"/>
      <c r="AH56" s="4113" t="n"/>
    </row>
    <row r="57" ht="15" customHeight="1" s="4080">
      <c r="A57" s="4097" t="n"/>
      <c r="B57" s="4107" t="n"/>
      <c r="C57" s="1322" t="n"/>
      <c r="D57" s="1264" t="inlineStr">
        <is>
          <t>その他の費用</t>
        </is>
      </c>
      <c r="E57" s="4110" t="n"/>
      <c r="F57" s="4110" t="n"/>
      <c r="G57" s="4110" t="n"/>
      <c r="H57" s="4110" t="n"/>
      <c r="I57" s="4110" t="n"/>
      <c r="J57" s="1331" t="n"/>
      <c r="K57" s="4267" t="inlineStr">
        <is>
          <t>運営規程に定めるとおり</t>
        </is>
      </c>
      <c r="L57" s="4110" t="n"/>
      <c r="M57" s="4110" t="n"/>
      <c r="N57" s="4110" t="n"/>
      <c r="O57" s="4110" t="n"/>
      <c r="P57" s="4110" t="n"/>
      <c r="Q57" s="4110" t="n"/>
      <c r="R57" s="4110" t="n"/>
      <c r="S57" s="4110" t="n"/>
      <c r="T57" s="4110" t="n"/>
      <c r="U57" s="4110" t="n"/>
      <c r="V57" s="4110" t="n"/>
      <c r="W57" s="4110" t="n"/>
      <c r="X57" s="4110" t="n"/>
      <c r="Y57" s="4110" t="n"/>
      <c r="Z57" s="4110" t="n"/>
      <c r="AA57" s="4110" t="n"/>
      <c r="AB57" s="4110" t="n"/>
      <c r="AC57" s="4110" t="n"/>
      <c r="AD57" s="4110" t="n"/>
      <c r="AE57" s="4110" t="n"/>
      <c r="AF57" s="4110" t="n"/>
      <c r="AG57" s="4110" t="n"/>
      <c r="AH57" s="4113" t="n"/>
    </row>
    <row r="58" ht="24" customHeight="1" s="4080">
      <c r="A58" s="4097" t="n"/>
      <c r="B58" s="4107" t="n"/>
      <c r="C58" s="1300" t="n"/>
      <c r="D58" s="4222" t="inlineStr">
        <is>
          <t>通常の事業の
実施地域</t>
        </is>
      </c>
      <c r="E58" s="4098" t="n"/>
      <c r="F58" s="4098" t="n"/>
      <c r="G58" s="4098" t="n"/>
      <c r="H58" s="4098" t="n"/>
      <c r="I58" s="4098" t="n"/>
      <c r="J58" s="1963" t="n"/>
      <c r="K58" s="3272" t="inlineStr">
        <is>
          <t>1)</t>
        </is>
      </c>
      <c r="L58" s="1562" t="inlineStr">
        <is>
          <t>大阪市中央区</t>
        </is>
      </c>
      <c r="M58" s="4110" t="n"/>
      <c r="N58" s="4110" t="n"/>
      <c r="O58" s="2325" t="inlineStr">
        <is>
          <t>2)</t>
        </is>
      </c>
      <c r="P58" s="1562" t="inlineStr">
        <is>
          <t>大阪市北区</t>
        </is>
      </c>
      <c r="Q58" s="4110" t="n"/>
      <c r="R58" s="4110" t="n"/>
      <c r="S58" s="2325" t="inlineStr">
        <is>
          <t>3)</t>
        </is>
      </c>
      <c r="T58" s="1562" t="inlineStr">
        <is>
          <t>大阪市天王寺区</t>
        </is>
      </c>
      <c r="U58" s="4110" t="n"/>
      <c r="V58" s="4110" t="n"/>
      <c r="W58" s="2325" t="inlineStr">
        <is>
          <t>4)</t>
        </is>
      </c>
      <c r="X58" s="1562" t="inlineStr">
        <is>
          <t>大阪市東成区</t>
        </is>
      </c>
      <c r="Y58" s="4110" t="n"/>
      <c r="Z58" s="4110" t="n"/>
      <c r="AA58" s="2325" t="inlineStr">
        <is>
          <t>5)</t>
        </is>
      </c>
      <c r="AB58" s="1562" t="inlineStr">
        <is>
          <t>大阪市生野区</t>
        </is>
      </c>
      <c r="AC58" s="4110" t="n"/>
      <c r="AD58" s="4110" t="n"/>
      <c r="AE58" s="4229" t="inlineStr">
        <is>
          <t>備考</t>
        </is>
      </c>
      <c r="AF58" s="4230" t="n"/>
      <c r="AG58" s="4098" t="n"/>
      <c r="AH58" s="4101" t="n"/>
    </row>
    <row r="59" ht="24" customHeight="1" s="4080">
      <c r="A59" s="4097" t="n"/>
      <c r="B59" s="4107" t="n"/>
      <c r="C59" s="4102" t="n"/>
      <c r="D59" s="4103" t="n"/>
      <c r="E59" s="4103" t="n"/>
      <c r="F59" s="4103" t="n"/>
      <c r="G59" s="4103" t="n"/>
      <c r="H59" s="4103" t="n"/>
      <c r="I59" s="4103" t="n"/>
      <c r="J59" s="4104" t="n"/>
      <c r="K59" s="3272" t="inlineStr">
        <is>
          <t>6)</t>
        </is>
      </c>
      <c r="L59" s="1562" t="inlineStr">
        <is>
          <t>東大阪市</t>
        </is>
      </c>
      <c r="M59" s="4110" t="n"/>
      <c r="N59" s="4110" t="n"/>
      <c r="O59" s="2325" t="inlineStr">
        <is>
          <t>7)</t>
        </is>
      </c>
      <c r="P59" s="1406" t="n"/>
      <c r="Q59" s="4110" t="n"/>
      <c r="R59" s="4110" t="n"/>
      <c r="S59" s="2325" t="inlineStr">
        <is>
          <t>8)</t>
        </is>
      </c>
      <c r="T59" s="1406" t="n"/>
      <c r="U59" s="4110" t="n"/>
      <c r="V59" s="4110" t="n"/>
      <c r="W59" s="2325" t="inlineStr">
        <is>
          <t>9)</t>
        </is>
      </c>
      <c r="X59" s="1406" t="n"/>
      <c r="Y59" s="4110" t="n"/>
      <c r="Z59" s="4110" t="n"/>
      <c r="AA59" s="71" t="inlineStr">
        <is>
          <t>10)</t>
        </is>
      </c>
      <c r="AB59" s="1406" t="n"/>
      <c r="AC59" s="4110" t="n"/>
      <c r="AD59" s="4110" t="n"/>
      <c r="AE59" s="4124" t="n"/>
      <c r="AF59" s="4102" t="n"/>
      <c r="AG59" s="4103" t="n"/>
      <c r="AH59" s="4105" t="n"/>
    </row>
    <row r="60" ht="3.95" customHeight="1" s="4080">
      <c r="A60" s="4097" t="n"/>
      <c r="B60" s="4107" t="n"/>
      <c r="C60" s="1795" t="n"/>
      <c r="D60" s="1402" t="n"/>
      <c r="E60" s="3328" t="n"/>
      <c r="F60" s="3328" t="n"/>
      <c r="G60" s="3328" t="n"/>
      <c r="H60" s="3328" t="n"/>
      <c r="I60" s="3328" t="n"/>
      <c r="J60" s="3329" t="n"/>
      <c r="K60" s="541" t="n"/>
      <c r="L60" s="1852" t="n"/>
      <c r="M60" s="4098" t="n"/>
      <c r="N60" s="4098" t="n"/>
      <c r="O60" s="3371" t="n"/>
      <c r="P60" s="4363" t="n"/>
      <c r="Q60" s="4098" t="n"/>
      <c r="R60" s="4098" t="n"/>
      <c r="S60" s="4098" t="n"/>
      <c r="T60" s="4098" t="n"/>
      <c r="U60" s="4098" t="n"/>
      <c r="V60" s="4098" t="n"/>
      <c r="W60" s="4098" t="n"/>
      <c r="X60" s="4098" t="n"/>
      <c r="Y60" s="4098" t="n"/>
      <c r="Z60" s="4098" t="n"/>
      <c r="AA60" s="4098" t="n"/>
      <c r="AB60" s="4098" t="n"/>
      <c r="AC60" s="4098" t="n"/>
      <c r="AD60" s="4098" t="n"/>
      <c r="AE60" s="4098" t="n"/>
      <c r="AF60" s="4098" t="n"/>
      <c r="AG60" s="4098" t="n"/>
      <c r="AH60" s="4101" t="n"/>
    </row>
    <row r="61" ht="12" customHeight="1" s="4080">
      <c r="A61" s="4097" t="n"/>
      <c r="B61" s="4107" t="n"/>
      <c r="C61" s="1241" t="n"/>
      <c r="D61" s="2284" t="inlineStr">
        <is>
          <t>食事提供の有無</t>
        </is>
      </c>
      <c r="J61" s="1243" t="n"/>
      <c r="K61" s="4106" t="n"/>
      <c r="L61" s="1829" t="inlineStr">
        <is>
          <t>有</t>
        </is>
      </c>
      <c r="M61" s="1829" t="inlineStr">
        <is>
          <t>・</t>
        </is>
      </c>
      <c r="N61" s="1829" t="inlineStr">
        <is>
          <t>無</t>
        </is>
      </c>
      <c r="O61" s="4107" t="n"/>
      <c r="P61" s="4106" t="n"/>
      <c r="AH61" s="4109" t="n"/>
    </row>
    <row r="62" ht="3.95" customHeight="1" s="4080">
      <c r="A62" s="4097" t="n"/>
      <c r="B62" s="4107" t="n"/>
      <c r="C62" s="1795" t="n"/>
      <c r="D62" s="1413" t="n"/>
      <c r="E62" s="3334" t="n"/>
      <c r="F62" s="3334" t="n"/>
      <c r="G62" s="3334" t="n"/>
      <c r="H62" s="3334" t="n"/>
      <c r="I62" s="3334" t="n"/>
      <c r="J62" s="3335" t="n"/>
      <c r="K62" s="4102" t="n"/>
      <c r="L62" s="2285" t="n"/>
      <c r="M62" s="4103" t="n"/>
      <c r="N62" s="4103" t="n"/>
      <c r="O62" s="4104" t="n"/>
      <c r="P62" s="4102" t="n"/>
      <c r="Q62" s="4103" t="n"/>
      <c r="R62" s="4103" t="n"/>
      <c r="S62" s="4103" t="n"/>
      <c r="T62" s="4103" t="n"/>
      <c r="U62" s="4103" t="n"/>
      <c r="V62" s="4103" t="n"/>
      <c r="W62" s="4103" t="n"/>
      <c r="X62" s="4103" t="n"/>
      <c r="Y62" s="4103" t="n"/>
      <c r="Z62" s="4103" t="n"/>
      <c r="AA62" s="4103" t="n"/>
      <c r="AB62" s="4103" t="n"/>
      <c r="AC62" s="4103" t="n"/>
      <c r="AD62" s="4103" t="n"/>
      <c r="AE62" s="4103" t="n"/>
      <c r="AF62" s="4103" t="n"/>
      <c r="AG62" s="4103" t="n"/>
      <c r="AH62" s="4105" t="n"/>
      <c r="AJ62" s="266" t="n"/>
    </row>
    <row r="63" ht="3.95" customHeight="1" s="4080">
      <c r="A63" s="4097" t="n"/>
      <c r="B63" s="4107" t="n"/>
      <c r="C63" s="4231" t="inlineStr">
        <is>
          <t>その他参考
となる事項</t>
        </is>
      </c>
      <c r="D63" s="4099" t="n"/>
      <c r="E63" s="2753" t="inlineStr">
        <is>
          <t>第三者評価の実施状況</t>
        </is>
      </c>
      <c r="F63" s="4098" t="n"/>
      <c r="G63" s="4098" t="n"/>
      <c r="H63" s="4098" t="n"/>
      <c r="I63" s="4098" t="n"/>
      <c r="J63" s="4099" t="n"/>
      <c r="K63" s="1657" t="n"/>
      <c r="L63" s="1658" t="n"/>
      <c r="M63" s="1658" t="n"/>
      <c r="N63" s="1658" t="n"/>
      <c r="O63" s="1658" t="n"/>
      <c r="P63" s="1658" t="n"/>
      <c r="Q63" s="1658" t="n"/>
      <c r="R63" s="930" t="n"/>
      <c r="AB63" s="1658" t="n"/>
      <c r="AC63" s="1658" t="n"/>
      <c r="AD63" s="1658" t="n"/>
      <c r="AE63" s="1658" t="n"/>
      <c r="AF63" s="1658" t="n"/>
      <c r="AG63" s="1658" t="n"/>
      <c r="AH63" s="1659" t="n"/>
    </row>
    <row r="64" ht="15" customHeight="1" s="4080">
      <c r="A64" s="4097" t="n"/>
      <c r="B64" s="4107" t="n"/>
      <c r="C64" s="4106" t="n"/>
      <c r="D64" s="4107" t="n"/>
      <c r="J64" s="4107" t="n"/>
      <c r="K64" s="1372" t="n"/>
      <c r="L64" s="1432" t="inlineStr">
        <is>
          <t>している</t>
        </is>
      </c>
      <c r="O64" s="1458" t="inlineStr">
        <is>
          <t>(実施先：</t>
        </is>
      </c>
      <c r="AB64" s="1325" t="inlineStr">
        <is>
          <t>)・</t>
        </is>
      </c>
      <c r="AD64" s="4264" t="inlineStr">
        <is>
          <t>していない</t>
        </is>
      </c>
      <c r="AE64" s="4265" t="n"/>
      <c r="AF64" s="4265" t="n"/>
      <c r="AG64" s="4266" t="n"/>
      <c r="AH64" s="1668" t="n"/>
    </row>
    <row r="65" ht="3.95" customHeight="1" s="4080">
      <c r="A65" s="4097" t="n"/>
      <c r="B65" s="4107" t="n"/>
      <c r="C65" s="4106" t="n"/>
      <c r="D65" s="4107" t="n"/>
      <c r="E65" s="4103" t="n"/>
      <c r="F65" s="4103" t="n"/>
      <c r="G65" s="4103" t="n"/>
      <c r="H65" s="4103" t="n"/>
      <c r="I65" s="4103" t="n"/>
      <c r="J65" s="4104" t="n"/>
      <c r="K65" s="1657" t="n"/>
      <c r="L65" s="1658" t="n"/>
      <c r="M65" s="1658" t="n"/>
      <c r="N65" s="1658" t="n"/>
      <c r="O65" s="1658" t="n"/>
      <c r="P65" s="1658" t="n"/>
      <c r="Q65" s="1658" t="n"/>
      <c r="R65" s="4103" t="n"/>
      <c r="S65" s="4103" t="n"/>
      <c r="T65" s="4103" t="n"/>
      <c r="U65" s="4103" t="n"/>
      <c r="V65" s="4103" t="n"/>
      <c r="W65" s="4103" t="n"/>
      <c r="X65" s="4103" t="n"/>
      <c r="Y65" s="4103" t="n"/>
      <c r="Z65" s="4103" t="n"/>
      <c r="AA65" s="4103" t="n"/>
      <c r="AB65" s="1658" t="n"/>
      <c r="AC65" s="1658" t="n"/>
      <c r="AD65" s="1658" t="n"/>
      <c r="AE65" s="1658" t="n"/>
      <c r="AF65" s="1658" t="n"/>
      <c r="AG65" s="1658" t="n"/>
      <c r="AH65" s="1659" t="n"/>
    </row>
    <row r="66" ht="15" customHeight="1" s="4080">
      <c r="A66" s="4097" t="n"/>
      <c r="B66" s="4107" t="n"/>
      <c r="C66" s="4106" t="n"/>
      <c r="D66" s="4107" t="n"/>
      <c r="E66" s="1439" t="inlineStr">
        <is>
          <t>苦情解決の措置概要</t>
        </is>
      </c>
      <c r="F66" s="4098" t="n"/>
      <c r="G66" s="4098" t="n"/>
      <c r="H66" s="4098" t="n"/>
      <c r="I66" s="4098" t="n"/>
      <c r="J66" s="4099" t="n"/>
      <c r="K66" s="2542" t="inlineStr">
        <is>
          <t>窓　口</t>
        </is>
      </c>
      <c r="L66" s="4110" t="n"/>
      <c r="M66" s="4111" t="n"/>
      <c r="N66" s="4267" t="inlineStr">
        <is>
          <t>大阪市役所障がい福祉サービスセンター</t>
        </is>
      </c>
      <c r="O66" s="4110" t="n"/>
      <c r="P66" s="4110" t="n"/>
      <c r="Q66" s="4110" t="n"/>
      <c r="R66" s="4110" t="n"/>
      <c r="S66" s="4110" t="n"/>
      <c r="T66" s="4110" t="n"/>
      <c r="U66" s="4110" t="n"/>
      <c r="V66" s="4110" t="n"/>
      <c r="W66" s="4110" t="n"/>
      <c r="X66" s="4110" t="n"/>
      <c r="Y66" s="4110" t="n"/>
      <c r="Z66" s="4110" t="n"/>
      <c r="AA66" s="4110" t="n"/>
      <c r="AB66" s="4110" t="n"/>
      <c r="AC66" s="4110" t="n"/>
      <c r="AD66" s="4110" t="n"/>
      <c r="AE66" s="4110" t="n"/>
      <c r="AF66" s="4110" t="n"/>
      <c r="AG66" s="4110" t="n"/>
      <c r="AH66" s="4113" t="n"/>
    </row>
    <row r="67" ht="15" customHeight="1" s="4080">
      <c r="A67" s="4097" t="n"/>
      <c r="B67" s="4107" t="n"/>
      <c r="C67" s="4106" t="n"/>
      <c r="D67" s="4107" t="n"/>
      <c r="E67" s="4103" t="n"/>
      <c r="F67" s="4103" t="n"/>
      <c r="G67" s="4103" t="n"/>
      <c r="H67" s="4103" t="n"/>
      <c r="I67" s="4103" t="n"/>
      <c r="J67" s="4104" t="n"/>
      <c r="K67" s="2542" t="inlineStr">
        <is>
          <t>担当者</t>
        </is>
      </c>
      <c r="L67" s="4110" t="n"/>
      <c r="M67" s="4111" t="n"/>
      <c r="N67" s="4233" t="inlineStr">
        <is>
          <t>市役所花子</t>
        </is>
      </c>
      <c r="O67" s="4110" t="n"/>
      <c r="P67" s="4110" t="n"/>
      <c r="Q67" s="4110" t="n"/>
      <c r="R67" s="4110" t="n"/>
      <c r="S67" s="4110" t="n"/>
      <c r="T67" s="4110" t="n"/>
      <c r="U67" s="4111" t="n"/>
      <c r="V67" s="2163" t="inlineStr">
        <is>
          <t>電話</t>
        </is>
      </c>
      <c r="W67" s="4111" t="n"/>
      <c r="X67" s="1479" t="inlineStr">
        <is>
          <t>06</t>
        </is>
      </c>
      <c r="Y67" s="4110" t="n"/>
      <c r="Z67" s="4110" t="n"/>
      <c r="AA67" s="1492" t="inlineStr">
        <is>
          <t>－</t>
        </is>
      </c>
      <c r="AB67" s="1150" t="inlineStr">
        <is>
          <t>6241</t>
        </is>
      </c>
      <c r="AC67" s="4110" t="n"/>
      <c r="AD67" s="4110" t="n"/>
      <c r="AE67" s="1492" t="inlineStr">
        <is>
          <t>－</t>
        </is>
      </c>
      <c r="AF67" s="1483" t="inlineStr">
        <is>
          <t>6520</t>
        </is>
      </c>
      <c r="AG67" s="4110" t="n"/>
      <c r="AH67" s="4113" t="n"/>
    </row>
    <row r="68" ht="15" customHeight="1" s="4080">
      <c r="A68" s="4114" t="n"/>
      <c r="B68" s="4104" t="n"/>
      <c r="C68" s="4102" t="n"/>
      <c r="D68" s="4104" t="n"/>
      <c r="E68" s="1394" t="inlineStr">
        <is>
          <t>そ　　 の 　　他</t>
        </is>
      </c>
      <c r="F68" s="4110" t="n"/>
      <c r="G68" s="4110" t="n"/>
      <c r="H68" s="4110" t="n"/>
      <c r="I68" s="4110" t="n"/>
      <c r="J68" s="4111" t="n"/>
      <c r="K68" s="4121" t="n"/>
      <c r="L68" s="4110" t="n"/>
      <c r="M68" s="4110" t="n"/>
      <c r="N68" s="4110" t="n"/>
      <c r="O68" s="4110" t="n"/>
      <c r="P68" s="4110" t="n"/>
      <c r="Q68" s="4110" t="n"/>
      <c r="R68" s="4110" t="n"/>
      <c r="S68" s="4110" t="n"/>
      <c r="T68" s="4110" t="n"/>
      <c r="U68" s="4110" t="n"/>
      <c r="V68" s="4110" t="n"/>
      <c r="W68" s="4110" t="n"/>
      <c r="X68" s="4110" t="n"/>
      <c r="Y68" s="4110" t="n"/>
      <c r="Z68" s="4110" t="n"/>
      <c r="AA68" s="4110" t="n"/>
      <c r="AB68" s="4110" t="n"/>
      <c r="AC68" s="4110" t="n"/>
      <c r="AD68" s="4110" t="n"/>
      <c r="AE68" s="4110" t="n"/>
      <c r="AF68" s="4110" t="n"/>
      <c r="AG68" s="4110" t="n"/>
      <c r="AH68" s="4113" t="n"/>
    </row>
    <row r="69" ht="15" customHeight="1" s="4080">
      <c r="A69" s="2915" t="n"/>
      <c r="B69" s="1264" t="inlineStr">
        <is>
          <t>協力医療機関</t>
        </is>
      </c>
      <c r="C69" s="4098" t="n"/>
      <c r="D69" s="4098" t="n"/>
      <c r="E69" s="4098" t="n"/>
      <c r="F69" s="4098" t="n"/>
      <c r="G69" s="4098" t="n"/>
      <c r="H69" s="4098" t="n"/>
      <c r="I69" s="4098" t="n"/>
      <c r="J69" s="2077" t="n"/>
      <c r="K69" s="1865" t="inlineStr">
        <is>
          <t>ﾌﾘｶﾞﾅ</t>
        </is>
      </c>
      <c r="L69" s="4110" t="n"/>
      <c r="M69" s="4110" t="n"/>
      <c r="N69" s="4432" t="n"/>
      <c r="O69" s="4110" t="n"/>
      <c r="P69" s="4110" t="n"/>
      <c r="Q69" s="4110" t="n"/>
      <c r="R69" s="4110" t="n"/>
      <c r="S69" s="4110" t="n"/>
      <c r="T69" s="4110" t="n"/>
      <c r="U69" s="4110" t="n"/>
      <c r="V69" s="4110" t="n"/>
      <c r="W69" s="4110" t="n"/>
      <c r="X69" s="4110" t="n"/>
      <c r="Y69" s="4110" t="n"/>
      <c r="Z69" s="4110" t="n"/>
      <c r="AA69" s="4110" t="n"/>
      <c r="AB69" s="4111" t="n"/>
      <c r="AC69" s="3362" t="inlineStr">
        <is>
          <t>主な診療科名</t>
        </is>
      </c>
      <c r="AD69" s="4099" t="n"/>
      <c r="AE69" s="4489" t="n"/>
      <c r="AF69" s="4098" t="n"/>
      <c r="AG69" s="4098" t="n"/>
      <c r="AH69" s="4101" t="n"/>
    </row>
    <row r="70" ht="24" customHeight="1" s="4080">
      <c r="A70" s="4114" t="n"/>
      <c r="B70" s="4103" t="n"/>
      <c r="C70" s="4103" t="n"/>
      <c r="D70" s="4103" t="n"/>
      <c r="E70" s="4103" t="n"/>
      <c r="F70" s="4103" t="n"/>
      <c r="G70" s="4103" t="n"/>
      <c r="H70" s="4103" t="n"/>
      <c r="I70" s="4103" t="n"/>
      <c r="J70" s="4104" t="n"/>
      <c r="K70" s="2164" t="inlineStr">
        <is>
          <t>名　称</t>
        </is>
      </c>
      <c r="L70" s="4110" t="n"/>
      <c r="M70" s="4111" t="n"/>
      <c r="N70" s="4123" t="n"/>
      <c r="O70" s="4110" t="n"/>
      <c r="P70" s="4110" t="n"/>
      <c r="Q70" s="4110" t="n"/>
      <c r="R70" s="4110" t="n"/>
      <c r="S70" s="4110" t="n"/>
      <c r="T70" s="4110" t="n"/>
      <c r="U70" s="4110" t="n"/>
      <c r="V70" s="4110" t="n"/>
      <c r="W70" s="4110" t="n"/>
      <c r="X70" s="4110" t="n"/>
      <c r="Y70" s="4110" t="n"/>
      <c r="Z70" s="4110" t="n"/>
      <c r="AA70" s="4110" t="n"/>
      <c r="AB70" s="4111" t="n"/>
      <c r="AC70" s="4103" t="n"/>
      <c r="AD70" s="4104" t="n"/>
      <c r="AE70" s="4102" t="n"/>
      <c r="AF70" s="4103" t="n"/>
      <c r="AG70" s="4103" t="n"/>
      <c r="AH70" s="4105" t="n"/>
    </row>
    <row r="71" ht="15" customHeight="1" s="4080">
      <c r="A71" s="2915" t="n"/>
      <c r="B71" s="1264" t="inlineStr">
        <is>
          <t>提携就労支援機関</t>
        </is>
      </c>
      <c r="C71" s="4098" t="n"/>
      <c r="D71" s="4098" t="n"/>
      <c r="E71" s="4098" t="n"/>
      <c r="F71" s="4098" t="n"/>
      <c r="G71" s="4098" t="n"/>
      <c r="H71" s="4098" t="n"/>
      <c r="I71" s="4098" t="n"/>
      <c r="J71" s="2077" t="n"/>
      <c r="K71" s="1865" t="inlineStr">
        <is>
          <t>ﾌﾘｶﾞﾅ</t>
        </is>
      </c>
      <c r="L71" s="4110" t="n"/>
      <c r="M71" s="4110" t="n"/>
      <c r="N71" s="4432" t="n"/>
      <c r="O71" s="4110" t="n"/>
      <c r="P71" s="4110" t="n"/>
      <c r="Q71" s="4110" t="n"/>
      <c r="R71" s="4110" t="n"/>
      <c r="S71" s="4110" t="n"/>
      <c r="T71" s="4110" t="n"/>
      <c r="U71" s="4110" t="n"/>
      <c r="V71" s="4110" t="n"/>
      <c r="W71" s="4110" t="n"/>
      <c r="X71" s="4110" t="n"/>
      <c r="Y71" s="4110" t="n"/>
      <c r="Z71" s="4110" t="n"/>
      <c r="AA71" s="4110" t="n"/>
      <c r="AB71" s="4111" t="n"/>
      <c r="AC71" s="3362" t="inlineStr">
        <is>
          <t>業種</t>
        </is>
      </c>
      <c r="AD71" s="4099" t="n"/>
      <c r="AE71" s="4489" t="n"/>
      <c r="AF71" s="4098" t="n"/>
      <c r="AG71" s="4098" t="n"/>
      <c r="AH71" s="4101" t="n"/>
    </row>
    <row r="72" ht="24" customHeight="1" s="4080">
      <c r="A72" s="4114" t="n"/>
      <c r="B72" s="4103" t="n"/>
      <c r="C72" s="4103" t="n"/>
      <c r="D72" s="4103" t="n"/>
      <c r="E72" s="4103" t="n"/>
      <c r="F72" s="4103" t="n"/>
      <c r="G72" s="4103" t="n"/>
      <c r="H72" s="4103" t="n"/>
      <c r="I72" s="4103" t="n"/>
      <c r="J72" s="4104" t="n"/>
      <c r="K72" s="2164" t="inlineStr">
        <is>
          <t>名　称</t>
        </is>
      </c>
      <c r="L72" s="4110" t="n"/>
      <c r="M72" s="4111" t="n"/>
      <c r="N72" s="4123" t="n"/>
      <c r="O72" s="4110" t="n"/>
      <c r="P72" s="4110" t="n"/>
      <c r="Q72" s="4110" t="n"/>
      <c r="R72" s="4110" t="n"/>
      <c r="S72" s="4110" t="n"/>
      <c r="T72" s="4110" t="n"/>
      <c r="U72" s="4110" t="n"/>
      <c r="V72" s="4110" t="n"/>
      <c r="W72" s="4110" t="n"/>
      <c r="X72" s="4110" t="n"/>
      <c r="Y72" s="4110" t="n"/>
      <c r="Z72" s="4110" t="n"/>
      <c r="AA72" s="4110" t="n"/>
      <c r="AB72" s="4111" t="n"/>
      <c r="AC72" s="4103" t="n"/>
      <c r="AD72" s="4104" t="n"/>
      <c r="AE72" s="4102" t="n"/>
      <c r="AF72" s="4103" t="n"/>
      <c r="AG72" s="4103" t="n"/>
      <c r="AH72" s="4105" t="n"/>
    </row>
    <row r="73" ht="17.1" customHeight="1" s="4080" thickBot="1">
      <c r="A73" s="4234" t="inlineStr">
        <is>
          <t>添　　付　　書　　類</t>
        </is>
      </c>
      <c r="B73" s="4153" t="n"/>
      <c r="C73" s="4153" t="n"/>
      <c r="D73" s="4153" t="n"/>
      <c r="E73" s="4153" t="n"/>
      <c r="F73" s="4153" t="n"/>
      <c r="G73" s="4153" t="n"/>
      <c r="H73" s="4153" t="n"/>
      <c r="I73" s="4153" t="n"/>
      <c r="J73" s="4154" t="n"/>
      <c r="K73" s="4235" t="inlineStr">
        <is>
          <t xml:space="preserve">　別紙「添付書類一覧表」のとおり</t>
        </is>
      </c>
      <c r="L73" s="4153" t="n"/>
      <c r="M73" s="4153" t="n"/>
      <c r="N73" s="4153" t="n"/>
      <c r="O73" s="4153" t="n"/>
      <c r="P73" s="4153" t="n"/>
      <c r="Q73" s="4153" t="n"/>
      <c r="R73" s="4153" t="n"/>
      <c r="S73" s="4153" t="n"/>
      <c r="T73" s="4153" t="n"/>
      <c r="U73" s="4153" t="n"/>
      <c r="V73" s="4153" t="n"/>
      <c r="W73" s="4153" t="n"/>
      <c r="X73" s="4153" t="n"/>
      <c r="Y73" s="4153" t="n"/>
      <c r="Z73" s="4153" t="n"/>
      <c r="AA73" s="4153" t="n"/>
      <c r="AB73" s="4153" t="n"/>
      <c r="AC73" s="4153" t="n"/>
      <c r="AD73" s="4153" t="n"/>
      <c r="AE73" s="4153" t="n"/>
      <c r="AF73" s="4153" t="n"/>
      <c r="AG73" s="4153" t="n"/>
      <c r="AH73" s="4155" t="n"/>
    </row>
    <row r="74">
      <c r="AE74" s="1667" t="inlineStr">
        <is>
          <t>就労選択</t>
        </is>
      </c>
    </row>
  </sheetData>
  <mergeCells count="328">
    <mergeCell ref="D57:I57"/>
    <mergeCell ref="Y47:Z47"/>
    <mergeCell ref="K35:L35"/>
    <mergeCell ref="A37:B68"/>
    <mergeCell ref="AB67:AD67"/>
    <mergeCell ref="V17:AH17"/>
    <mergeCell ref="C49:C51"/>
    <mergeCell ref="T34:V34"/>
    <mergeCell ref="T28:V28"/>
    <mergeCell ref="R63:AA65"/>
    <mergeCell ref="T51:U51"/>
    <mergeCell ref="O55:P55"/>
    <mergeCell ref="AA2:AA3"/>
    <mergeCell ref="K34:M34"/>
    <mergeCell ref="AC2:AC3"/>
    <mergeCell ref="P46:P48"/>
    <mergeCell ref="J71:J72"/>
    <mergeCell ref="P40:P42"/>
    <mergeCell ref="T29:V29"/>
    <mergeCell ref="V39:AB39"/>
    <mergeCell ref="AA11:AB11"/>
    <mergeCell ref="AC36:AD36"/>
    <mergeCell ref="AC11:AD11"/>
    <mergeCell ref="AE11:AF11"/>
    <mergeCell ref="E63:J65"/>
    <mergeCell ref="T58:V58"/>
    <mergeCell ref="K29:M29"/>
    <mergeCell ref="AC69:AD70"/>
    <mergeCell ref="P43:P45"/>
    <mergeCell ref="T35:U35"/>
    <mergeCell ref="D37:I39"/>
    <mergeCell ref="O64:Q64"/>
    <mergeCell ref="L52:N52"/>
    <mergeCell ref="AE53:AH54"/>
    <mergeCell ref="N44:O44"/>
    <mergeCell ref="Q54:T54"/>
    <mergeCell ref="A1:Y1"/>
    <mergeCell ref="K60:K62"/>
    <mergeCell ref="AA40:AA42"/>
    <mergeCell ref="V49:AB49"/>
    <mergeCell ref="AE71:AH72"/>
    <mergeCell ref="C63:D68"/>
    <mergeCell ref="AB64:AC64"/>
    <mergeCell ref="Q34:S34"/>
    <mergeCell ref="AC49:AC51"/>
    <mergeCell ref="X40:X42"/>
    <mergeCell ref="C53:C55"/>
    <mergeCell ref="Z2:Z3"/>
    <mergeCell ref="AC31:AH33"/>
    <mergeCell ref="AB2:AB3"/>
    <mergeCell ref="AD2:AD3"/>
    <mergeCell ref="R50:R51"/>
    <mergeCell ref="W29:Y29"/>
    <mergeCell ref="K55:N55"/>
    <mergeCell ref="AF27:AH27"/>
    <mergeCell ref="N70:AB70"/>
    <mergeCell ref="AB58:AD58"/>
    <mergeCell ref="M38:M39"/>
    <mergeCell ref="O38:O39"/>
    <mergeCell ref="Y41:Z41"/>
    <mergeCell ref="Q41:R41"/>
    <mergeCell ref="N66:AH66"/>
    <mergeCell ref="P59:R59"/>
    <mergeCell ref="J40:J48"/>
    <mergeCell ref="N47:O47"/>
    <mergeCell ref="I8:M9"/>
    <mergeCell ref="X46:X48"/>
    <mergeCell ref="D53:I55"/>
    <mergeCell ref="K53:V53"/>
    <mergeCell ref="A11:S11"/>
    <mergeCell ref="N67:U67"/>
    <mergeCell ref="Q36:R36"/>
    <mergeCell ref="J49:J51"/>
    <mergeCell ref="U54:V54"/>
    <mergeCell ref="AF58:AH59"/>
    <mergeCell ref="AC28:AE28"/>
    <mergeCell ref="M32:N32"/>
    <mergeCell ref="W30:AB30"/>
    <mergeCell ref="H35:I35"/>
    <mergeCell ref="N71:AB71"/>
    <mergeCell ref="AA55:AD55"/>
    <mergeCell ref="X52:Y52"/>
    <mergeCell ref="Z21:AH21"/>
    <mergeCell ref="U47:W47"/>
    <mergeCell ref="K71:M71"/>
    <mergeCell ref="N46:O46"/>
    <mergeCell ref="Z23:AH23"/>
    <mergeCell ref="I10:K10"/>
    <mergeCell ref="AC35:AD35"/>
    <mergeCell ref="X59:Z59"/>
    <mergeCell ref="K66:M66"/>
    <mergeCell ref="P13:Q15"/>
    <mergeCell ref="C13:E15"/>
    <mergeCell ref="L38:L39"/>
    <mergeCell ref="N38:N39"/>
    <mergeCell ref="C7:E9"/>
    <mergeCell ref="Z24:AH24"/>
    <mergeCell ref="U44:W44"/>
    <mergeCell ref="E35:G35"/>
    <mergeCell ref="W26:AB26"/>
    <mergeCell ref="N8:O9"/>
    <mergeCell ref="AF10:AH10"/>
    <mergeCell ref="AC29:AE29"/>
    <mergeCell ref="Z25:AA25"/>
    <mergeCell ref="K46:M48"/>
    <mergeCell ref="R25:S25"/>
    <mergeCell ref="A34:D36"/>
    <mergeCell ref="H36:I36"/>
    <mergeCell ref="Z34:AB34"/>
    <mergeCell ref="AD49:AH51"/>
    <mergeCell ref="K23:N24"/>
    <mergeCell ref="Z28:AB28"/>
    <mergeCell ref="J53:J55"/>
    <mergeCell ref="AA43:AA45"/>
    <mergeCell ref="B71:I72"/>
    <mergeCell ref="AF67:AH67"/>
    <mergeCell ref="X67:Z67"/>
    <mergeCell ref="AD40:AH48"/>
    <mergeCell ref="C58:C59"/>
    <mergeCell ref="Q10:S10"/>
    <mergeCell ref="K21:N22"/>
    <mergeCell ref="F4:AH4"/>
    <mergeCell ref="E34:G34"/>
    <mergeCell ref="U2:X3"/>
    <mergeCell ref="Q26:V26"/>
    <mergeCell ref="K67:M67"/>
    <mergeCell ref="K43:M45"/>
    <mergeCell ref="P7:R7"/>
    <mergeCell ref="D40:I48"/>
    <mergeCell ref="E36:G36"/>
    <mergeCell ref="C5:E6"/>
    <mergeCell ref="Y11:Z11"/>
    <mergeCell ref="C37:C39"/>
    <mergeCell ref="T52:V52"/>
    <mergeCell ref="F7:I7"/>
    <mergeCell ref="J13:M15"/>
    <mergeCell ref="T27:V27"/>
    <mergeCell ref="AC52:AE52"/>
    <mergeCell ref="N27:P27"/>
    <mergeCell ref="E68:J68"/>
    <mergeCell ref="K30:P30"/>
    <mergeCell ref="U55:V55"/>
    <mergeCell ref="C4:E4"/>
    <mergeCell ref="C26:J27"/>
    <mergeCell ref="R52:S52"/>
    <mergeCell ref="D52:I52"/>
    <mergeCell ref="Z36:AA36"/>
    <mergeCell ref="T39:U39"/>
    <mergeCell ref="K72:M72"/>
    <mergeCell ref="A4:B10"/>
    <mergeCell ref="P21:X21"/>
    <mergeCell ref="S49:S51"/>
    <mergeCell ref="D58:I59"/>
    <mergeCell ref="U41:W41"/>
    <mergeCell ref="V67:W67"/>
    <mergeCell ref="A69:A70"/>
    <mergeCell ref="P23:X23"/>
    <mergeCell ref="K36:L36"/>
    <mergeCell ref="W35:X35"/>
    <mergeCell ref="K56:AH56"/>
    <mergeCell ref="O50:O51"/>
    <mergeCell ref="Q50:Q51"/>
    <mergeCell ref="AC27:AE27"/>
    <mergeCell ref="P58:R58"/>
    <mergeCell ref="K38:K39"/>
    <mergeCell ref="Q28:S28"/>
    <mergeCell ref="S37:S39"/>
    <mergeCell ref="Q29:S29"/>
    <mergeCell ref="J69:J70"/>
    <mergeCell ref="T49:U49"/>
    <mergeCell ref="S46:T48"/>
    <mergeCell ref="X58:Z58"/>
    <mergeCell ref="W16:AH16"/>
    <mergeCell ref="Q38:Q39"/>
    <mergeCell ref="K27:M27"/>
    <mergeCell ref="N28:P28"/>
    <mergeCell ref="T50:U50"/>
    <mergeCell ref="O54:P54"/>
    <mergeCell ref="W18:AH18"/>
    <mergeCell ref="Q35:R35"/>
    <mergeCell ref="L59:N59"/>
    <mergeCell ref="P24:X24"/>
    <mergeCell ref="C16:M18"/>
    <mergeCell ref="AC25:AD25"/>
    <mergeCell ref="K57:AH57"/>
    <mergeCell ref="N40:O40"/>
    <mergeCell ref="S16:U18"/>
    <mergeCell ref="N12:O15"/>
    <mergeCell ref="K26:P26"/>
    <mergeCell ref="N35:O35"/>
    <mergeCell ref="F5:AH6"/>
    <mergeCell ref="N50:N51"/>
    <mergeCell ref="P50:P51"/>
    <mergeCell ref="V37:AB37"/>
    <mergeCell ref="A31:J31"/>
    <mergeCell ref="D56:I56"/>
    <mergeCell ref="X43:X45"/>
    <mergeCell ref="Q30:V30"/>
    <mergeCell ref="A73:J73"/>
    <mergeCell ref="AE69:AH70"/>
    <mergeCell ref="N34:P34"/>
    <mergeCell ref="AF2:AF3"/>
    <mergeCell ref="P20:AH20"/>
    <mergeCell ref="AH2:AH3"/>
    <mergeCell ref="V38:AB38"/>
    <mergeCell ref="AC37:AC39"/>
    <mergeCell ref="J7:N7"/>
    <mergeCell ref="W55:Z55"/>
    <mergeCell ref="T10:W10"/>
    <mergeCell ref="Q55:T55"/>
    <mergeCell ref="J37:J39"/>
    <mergeCell ref="AC71:AD72"/>
    <mergeCell ref="W11:X11"/>
    <mergeCell ref="T37:U37"/>
    <mergeCell ref="C28:J28"/>
    <mergeCell ref="C10:E10"/>
    <mergeCell ref="AB59:AD59"/>
    <mergeCell ref="P38:P39"/>
    <mergeCell ref="C30:J30"/>
    <mergeCell ref="T59:V59"/>
    <mergeCell ref="R38:R39"/>
    <mergeCell ref="L62:N62"/>
    <mergeCell ref="T38:U38"/>
    <mergeCell ref="J12:M12"/>
    <mergeCell ref="N41:O41"/>
    <mergeCell ref="L64:N64"/>
    <mergeCell ref="C40:C48"/>
    <mergeCell ref="N43:O43"/>
    <mergeCell ref="Q27:S27"/>
    <mergeCell ref="K25:N25"/>
    <mergeCell ref="AD64:AG64"/>
    <mergeCell ref="AA53:AD54"/>
    <mergeCell ref="X10:Z10"/>
    <mergeCell ref="P60:AH62"/>
    <mergeCell ref="K54:N54"/>
    <mergeCell ref="AB10:AD10"/>
    <mergeCell ref="T13:V15"/>
    <mergeCell ref="D49:I51"/>
    <mergeCell ref="V51:AB51"/>
    <mergeCell ref="Q47:R47"/>
    <mergeCell ref="AC30:AH30"/>
    <mergeCell ref="AA52:AB52"/>
    <mergeCell ref="AE2:AE3"/>
    <mergeCell ref="C19:J25"/>
    <mergeCell ref="AG2:AG3"/>
    <mergeCell ref="Y2:Y3"/>
    <mergeCell ref="C29:J29"/>
    <mergeCell ref="Z29:AB29"/>
    <mergeCell ref="W31:AB33"/>
    <mergeCell ref="U25:V25"/>
    <mergeCell ref="Q31:V33"/>
    <mergeCell ref="V40:W40"/>
    <mergeCell ref="P8:AH9"/>
    <mergeCell ref="Q2:S2"/>
    <mergeCell ref="N69:AB69"/>
    <mergeCell ref="X13:AH15"/>
    <mergeCell ref="A12:B25"/>
    <mergeCell ref="T12:X12"/>
    <mergeCell ref="K73:AH73"/>
    <mergeCell ref="W28:Y28"/>
    <mergeCell ref="K69:M69"/>
    <mergeCell ref="AF35:AG35"/>
    <mergeCell ref="F10:H10"/>
    <mergeCell ref="Z35:AA35"/>
    <mergeCell ref="K68:AH68"/>
    <mergeCell ref="AD37:AH39"/>
    <mergeCell ref="AF36:AG36"/>
    <mergeCell ref="F13:I15"/>
    <mergeCell ref="N16:R16"/>
    <mergeCell ref="AA46:AA48"/>
    <mergeCell ref="O60:O62"/>
    <mergeCell ref="L58:N58"/>
    <mergeCell ref="A71:A72"/>
    <mergeCell ref="AE55:AH55"/>
    <mergeCell ref="L60:N60"/>
    <mergeCell ref="O25:P25"/>
    <mergeCell ref="AF28:AH28"/>
    <mergeCell ref="K19:N20"/>
    <mergeCell ref="W34:Y34"/>
    <mergeCell ref="M50:M51"/>
    <mergeCell ref="A32:J32"/>
    <mergeCell ref="N72:AB72"/>
    <mergeCell ref="B69:I70"/>
    <mergeCell ref="E66:J67"/>
    <mergeCell ref="P19:AH19"/>
    <mergeCell ref="Z22:AH22"/>
    <mergeCell ref="AC26:AH26"/>
    <mergeCell ref="V50:AB50"/>
    <mergeCell ref="C12:E12"/>
    <mergeCell ref="P52:Q52"/>
    <mergeCell ref="N2:O2"/>
    <mergeCell ref="K70:M70"/>
    <mergeCell ref="N18:R18"/>
    <mergeCell ref="AF52:AH52"/>
    <mergeCell ref="AF34:AH34"/>
    <mergeCell ref="S40:T42"/>
    <mergeCell ref="A26:B30"/>
    <mergeCell ref="AF29:AH29"/>
    <mergeCell ref="AE25:AF25"/>
    <mergeCell ref="AG25:AH25"/>
    <mergeCell ref="D61:I61"/>
    <mergeCell ref="W36:X36"/>
    <mergeCell ref="AC34:AE34"/>
    <mergeCell ref="AC40:AC48"/>
    <mergeCell ref="L50:L51"/>
    <mergeCell ref="F8:H9"/>
    <mergeCell ref="J58:J59"/>
    <mergeCell ref="Z27:AB27"/>
    <mergeCell ref="H34:J34"/>
    <mergeCell ref="M10:O10"/>
    <mergeCell ref="K40:M42"/>
    <mergeCell ref="P12:S12"/>
    <mergeCell ref="K50:K51"/>
    <mergeCell ref="N29:P29"/>
    <mergeCell ref="S43:T45"/>
    <mergeCell ref="AE58:AE59"/>
    <mergeCell ref="U11:V11"/>
    <mergeCell ref="W27:Y27"/>
    <mergeCell ref="Y44:Z44"/>
    <mergeCell ref="K28:M28"/>
    <mergeCell ref="F12:I12"/>
    <mergeCell ref="Q44:R44"/>
    <mergeCell ref="S7:AH7"/>
    <mergeCell ref="X25:Y25"/>
    <mergeCell ref="T36:U36"/>
    <mergeCell ref="P22:X22"/>
    <mergeCell ref="N36:O36"/>
    <mergeCell ref="W53:Z54"/>
  </mergeCells>
  <conditionalFormatting sqref="AC35:AD36">
    <cfRule type="cellIs" priority="1" operator="lessThanOrEqual" dxfId="0" stopIfTrue="1">
      <formula>0</formula>
    </cfRule>
  </conditionalFormatting>
  <dataValidations count="12">
    <dataValidation sqref="K57:AH57" showDropDown="0" showInputMessage="1" showErrorMessage="1" allowBlank="1" type="list">
      <formula1>"　,運営規程に定めるとおり"</formula1>
    </dataValidation>
    <dataValidation sqref="F4:AH4 F12:M12 J69 J71 N69 N71 AE69 AE71 JF69 JJ69 KA69 TB69 TF69 TW69 ACX69 ADB69 ADS69 AMT69 AMX69 ANO69 AWP69 AWT69 AXK69 BGL69 BGP69 BHG69 BQH69 BQL69 BRC69 CAD69 CAH69 CAY69 CJZ69 CKD69 CKU69 CTV69 CTZ69 CUQ69 DDR69 DDV69 DEM69 DNN69 DNR69 DOI69 DXJ69 DXN69 DYE69 EHF69 EHJ69 EIA69 ERB69 ERF69 ERW69 FAX69 FBB69 FBS69 FKT69 FKX69 FLO69 FUP69 FUT69 FVK69 GEL69 GEP69 GFG69 GOH69 GOL69 GPC69 GYD69 GYH69 GYY69 HHZ69 HID69 HIU69 HRV69 HRZ69 HSQ69 IBR69 IBV69 ICM69 ILN69 ILR69 IMI69 IVJ69 IVN69 IWE69 JFF69 JFJ69 JGA69 JPB69 JPF69 JPW69 JYX69 JZB69 JZS69 KIT69 KIX69 KJO69 KSP69 KST69 KTK69 LCL69 LCP69 LDG69 LMH69 LML69 LNC69 LWD69 LWH69 LWY69 MFZ69 MGD69 MGU69 MPV69 MPZ69 MQQ69 MZR69 MZV69 NAM69 NJN69 NJR69 NKI69 NTJ69 NTN69 NUE69 ODF69 ODJ69 OEA69 ONB69 ONF69 ONW69 OWX69 OXB69 OXS69 PGT69 PGX69 PHO69 PQP69 PQT69 PRK69 QAL69 QAP69 QBG69 QKH69 QKL69 QLC69 QUD69 QUH69 QUY69 RDZ69 RED69 REU69 RNV69 RNZ69 ROQ69 RXR69 RXV69 RYM69 SHN69 SHR69 SII69 SRJ69 SRN69 SSE69 TBF69 TBJ69 TCA69 TLB69 TLF69 TLW69 TUX69 TVB69 TVS69 UET69 UEX69 UFO69 UOP69 UOT69 UPK69 UYL69 UYP69 UZG69 VIH69 VIL69 VJC69 VSD69 VSH69 VSY69 WBZ69 WCD69 WCU69 WLV69 WLZ69 WMQ69 WVR69 WVV69 WWM69" showDropDown="0" showInputMessage="1" showErrorMessage="1" allowBlank="1" imeMode="halfKatakana"/>
    <dataValidation sqref="K38:R39 K50:R51 K55 O55 Q55 U55 W55 AA55 AE55" showDropDown="0" showInputMessage="1" showErrorMessage="1" allowBlank="1" type="list">
      <formula1>"　,○"</formula1>
    </dataValidation>
    <dataValidation sqref="I10:K10 J7:N7 K28:K30 N28:N29 Q28:Q30 T12:X12 T28:T29 U11:V11 W28:W30 X67 Y2:AH3 Y11:Z11 Z28:Z29 AB67:AD67 AC11:AD11 AC28:AC30 AF28:AF29 AF67" showDropDown="0" showInputMessage="1" showErrorMessage="1" allowBlank="1" imeMode="fullAlpha"/>
    <dataValidation sqref="L52 N41 N44 N47 T52 U41:V41 U44:V44 U47:V47" showDropDown="0" showInputMessage="1" showErrorMessage="1" allowBlank="1" type="list">
      <formula1>"　,１,２,３,４,５,６,７,８,９,１０,１１,１２,１３,１４,１５,１６,１７,１８,１９,２０,２１,２２,２３,２４"</formula1>
    </dataValidation>
    <dataValidation sqref="M10:O10 Q10:S10 X10:Z10 AB10:AD10 AF10:AH10" showDropDown="0" showInputMessage="1" showErrorMessage="1" allowBlank="1" error="全角数字で入力してください" imeMode="fullAlpha"/>
    <dataValidation sqref="V17:AH17" showDropDown="0" showInputMessage="1" showErrorMessage="1" allowBlank="1" prompt="管理者は、サービス提供職員との兼務はできません。" type="list" errorStyle="warning">
      <formula1>"　,サービス提供責任者,サービス管理責任者,事務職員,サービス提供責任者、事務職員,サービス管理責任者、事務職員,サービス提供責任者、サービス管理責任者、事務職員"</formula1>
    </dataValidation>
    <dataValidation sqref="R25:S25 U25:V25 X25:Y25 AE25:AF25" showDropDown="0" showInputMessage="1" showErrorMessage="1" allowBlank="1" errorStyle="warning"/>
    <dataValidation sqref="O25:P25" showDropDown="0" showInputMessage="1" showErrorMessage="1" allowBlank="1" type="list" errorStyle="warning">
      <formula1>"　,７,８,９,１０,１１"</formula1>
    </dataValidation>
    <dataValidation sqref="AB25" showDropDown="0" showInputMessage="1" showErrorMessage="1" allowBlank="1" error="労働基準法では、１日当たりの労働時間は、原則８時間以内です。_x000a_法人の就業規則、労働基準局への届出等確認してください。" type="list" errorStyle="warning" imeMode="halfAlpha">
      <formula1>"　,１,２,３,４,５,６,７,８"</formula1>
    </dataValidation>
    <dataValidation sqref="H35:AA36 K31:P33 AC35:AD36" showDropDown="0" showInputMessage="1" showErrorMessage="1" allowBlank="1" imeMode="halfAlpha"/>
    <dataValidation sqref="K56:AH56" showDropDown="0" showInputMessage="1" showErrorMessage="1" allowBlank="1" type="list" errorStyle="warning">
      <formula1>"　,厚生労働大臣が定める額"</formula1>
    </dataValidation>
  </dataValidations>
  <hyperlinks>
    <hyperlink xmlns:r="http://schemas.openxmlformats.org/officeDocument/2006/relationships" ref="S7" r:id="rId1"/>
  </hyperlinks>
  <printOptions horizontalCentered="1"/>
  <pageMargins left="0.7086614173228347" right="0.5905511811023623" top="0.3937007874015748" bottom="0.3937007874015748" header="0.5118110236220472" footer="0.5118110236220472"/>
  <pageSetup orientation="portrait" paperSize="9" horizontalDpi="1200" verticalDpi="1200"/>
  <rowBreaks count="1" manualBreakCount="1">
    <brk id="68" min="0" max="3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2023-06-28T07:32:23Z</dcterms:created>
  <dcterms:modified xmlns:dcterms="http://purl.org/dc/terms/" xmlns:xsi="http://www.w3.org/2001/XMLSchema-instance" xsi:type="dcterms:W3CDTF">2026-08-18T07:30:58Z</dcterms:modified>
</cp:coreProperties>
</file>